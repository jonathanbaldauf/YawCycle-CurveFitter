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4.xml" ContentType="application/vnd.openxmlformats-officedocument.drawingml.chart+xml"/>
  <Override PartName="/xl/drawings/drawing3.xml" ContentType="application/vnd.openxmlformats-officedocument.drawingml.chartshapes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charts/chart7.xml" ContentType="application/vnd.openxmlformats-officedocument.drawingml.chart+xml"/>
  <Override PartName="/xl/drawings/drawing6.xml" ContentType="application/vnd.openxmlformats-officedocument.drawingml.chartshape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ba\Documents\SolverApp\"/>
    </mc:Choice>
  </mc:AlternateContent>
  <xr:revisionPtr revIDLastSave="0" documentId="13_ncr:1_{BCA1B22C-D438-4C53-99AF-A88FC5287C79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Summary" sheetId="25" r:id="rId1"/>
    <sheet name="ABCD" sheetId="36" r:id="rId2"/>
    <sheet name="Conversion Tables" sheetId="47" r:id="rId3"/>
  </sheets>
  <functionGroups builtInGroupCount="19"/>
  <definedNames>
    <definedName name="solver_adj" localSheetId="1" hidden="1">ABCD!$Y$5:$Y$10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hs1" localSheetId="1" hidden="1">ABCD!$Y$5</definedName>
    <definedName name="solver_lhs2" localSheetId="1" hidden="1">ABCD!$Y$7</definedName>
    <definedName name="solver_lhs3" localSheetId="1" hidden="1">ABCD!$Y$9</definedName>
    <definedName name="solver_lin" localSheetId="1" hidden="1">2</definedName>
    <definedName name="solver_neg" localSheetId="1" hidden="1">2</definedName>
    <definedName name="solver_num" localSheetId="1" hidden="1">3</definedName>
    <definedName name="solver_nwt" localSheetId="1" hidden="1">1</definedName>
    <definedName name="solver_opt" localSheetId="1" hidden="1">ABCD!$P$4</definedName>
    <definedName name="solver_pre" localSheetId="1" hidden="1">0.000001</definedName>
    <definedName name="solver_rel1" localSheetId="1" hidden="1">2</definedName>
    <definedName name="solver_rel2" localSheetId="1" hidden="1">3</definedName>
    <definedName name="solver_rel3" localSheetId="1" hidden="1">3</definedName>
    <definedName name="solver_rhs1" localSheetId="1" hidden="1">-ABCD!$Y$6</definedName>
    <definedName name="solver_rhs2" localSheetId="1" hidden="1">0</definedName>
    <definedName name="solver_rhs3" localSheetId="1" hidden="1">0</definedName>
    <definedName name="solver_scl" localSheetId="1" hidden="1">2</definedName>
    <definedName name="solver_sho" localSheetId="1" hidden="1">2</definedName>
    <definedName name="solver_tim" localSheetId="1" hidden="1">20</definedName>
    <definedName name="solver_tol" localSheetId="1" hidden="1">0.05</definedName>
    <definedName name="solver_typ" localSheetId="1" hidden="1">2</definedName>
    <definedName name="solver_val" localSheetId="1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36" l="1"/>
  <c r="S4" i="25"/>
  <c r="T4" i="25"/>
  <c r="U4" i="25"/>
  <c r="V4" i="25"/>
  <c r="W4" i="25"/>
  <c r="S5" i="25"/>
  <c r="T5" i="25"/>
  <c r="U5" i="25"/>
  <c r="V5" i="25"/>
  <c r="W5" i="25"/>
  <c r="S6" i="25"/>
  <c r="T6" i="25"/>
  <c r="U6" i="25"/>
  <c r="V6" i="25"/>
  <c r="W6" i="25"/>
  <c r="I4" i="25"/>
  <c r="F7" i="25"/>
  <c r="D20" i="36"/>
  <c r="M20" i="36" s="1"/>
  <c r="L20" i="36" l="1"/>
  <c r="N20" i="36" s="1"/>
  <c r="I20" i="36" l="1"/>
  <c r="J20" i="36"/>
  <c r="P20" i="36" s="1"/>
  <c r="S20" i="36" s="1"/>
  <c r="K20" i="36" l="1"/>
  <c r="Q20" i="36" s="1"/>
  <c r="T20" i="36" s="1"/>
  <c r="O20" i="36"/>
  <c r="R20" i="36" s="1"/>
  <c r="A6" i="47" l="1"/>
  <c r="A5" i="47"/>
  <c r="I16" i="36" l="1"/>
  <c r="I18" i="36"/>
  <c r="A4" i="47" l="1"/>
  <c r="A3" i="47"/>
  <c r="A2" i="47"/>
  <c r="BB4" i="25"/>
  <c r="AW4" i="25"/>
  <c r="AR4" i="25"/>
  <c r="AM4" i="25"/>
  <c r="AH4" i="25"/>
  <c r="AC4" i="25"/>
  <c r="X4" i="25"/>
  <c r="BE4" i="25" l="1"/>
  <c r="BD4" i="25"/>
  <c r="BC4" i="25"/>
  <c r="AZ4" i="25"/>
  <c r="AY4" i="25"/>
  <c r="AX4" i="25"/>
  <c r="AU4" i="25"/>
  <c r="AT4" i="25"/>
  <c r="AS4" i="25"/>
  <c r="AO5" i="25"/>
  <c r="AP4" i="25"/>
  <c r="AO4" i="25"/>
  <c r="AN4" i="25"/>
  <c r="AH5" i="25"/>
  <c r="AK4" i="25"/>
  <c r="AJ4" i="25"/>
  <c r="AI4" i="25"/>
  <c r="AC5" i="25"/>
  <c r="AF4" i="25"/>
  <c r="AE4" i="25"/>
  <c r="AD4" i="25"/>
  <c r="AA4" i="25"/>
  <c r="Z4" i="25"/>
  <c r="Y4" i="25"/>
  <c r="J54" i="36"/>
  <c r="I5" i="25" s="1"/>
  <c r="M53" i="36"/>
  <c r="L4" i="25" s="1"/>
  <c r="L53" i="36"/>
  <c r="K4" i="25" s="1"/>
  <c r="K53" i="36"/>
  <c r="J4" i="25" s="1"/>
  <c r="AI33" i="36"/>
  <c r="AI32" i="36"/>
  <c r="AI30" i="36"/>
  <c r="AI28" i="36"/>
  <c r="AI26" i="36"/>
  <c r="AI23" i="36"/>
  <c r="AI22" i="36"/>
  <c r="C22" i="36"/>
  <c r="D22" i="36" s="1"/>
  <c r="AI21" i="36"/>
  <c r="AI20" i="36"/>
  <c r="J18" i="36"/>
  <c r="D18" i="36"/>
  <c r="M18" i="36" s="1"/>
  <c r="J17" i="36"/>
  <c r="I17" i="36"/>
  <c r="D17" i="36"/>
  <c r="L17" i="36" s="1"/>
  <c r="J16" i="36"/>
  <c r="D16" i="36"/>
  <c r="L16" i="36" s="1"/>
  <c r="J15" i="36"/>
  <c r="I15" i="36"/>
  <c r="D15" i="36"/>
  <c r="L15" i="36" s="1"/>
  <c r="AI14" i="36"/>
  <c r="J12" i="36"/>
  <c r="I12" i="36"/>
  <c r="D12" i="36"/>
  <c r="L12" i="36" s="1"/>
  <c r="C7" i="25"/>
  <c r="K17" i="36" l="1"/>
  <c r="K15" i="36"/>
  <c r="AP5" i="25"/>
  <c r="AM5" i="25"/>
  <c r="AT5" i="25"/>
  <c r="AR5" i="25"/>
  <c r="M54" i="36"/>
  <c r="L5" i="25" s="1"/>
  <c r="AA5" i="25"/>
  <c r="X5" i="25"/>
  <c r="AZ5" i="25"/>
  <c r="AW5" i="25"/>
  <c r="BB6" i="25"/>
  <c r="BB5" i="25"/>
  <c r="K12" i="36"/>
  <c r="AI29" i="36"/>
  <c r="J55" i="36"/>
  <c r="AI24" i="36"/>
  <c r="AI25" i="36" s="1"/>
  <c r="AI27" i="36"/>
  <c r="AY5" i="25"/>
  <c r="BC5" i="25"/>
  <c r="BD5" i="25"/>
  <c r="K54" i="36"/>
  <c r="J5" i="25" s="1"/>
  <c r="K18" i="36"/>
  <c r="AI31" i="36"/>
  <c r="BF4" i="25"/>
  <c r="BD7" i="25"/>
  <c r="BB8" i="25"/>
  <c r="BC6" i="25"/>
  <c r="BA4" i="25"/>
  <c r="BA5" i="25"/>
  <c r="AX5" i="25"/>
  <c r="AW6" i="25"/>
  <c r="AV4" i="25"/>
  <c r="AS5" i="25"/>
  <c r="AR6" i="25"/>
  <c r="AQ4" i="25"/>
  <c r="AQ5" i="25"/>
  <c r="AN5" i="25"/>
  <c r="AM6" i="25"/>
  <c r="AL4" i="25"/>
  <c r="AH6" i="25"/>
  <c r="AI5" i="25"/>
  <c r="AJ5" i="25"/>
  <c r="AK5" i="25"/>
  <c r="AG4" i="25"/>
  <c r="AF5" i="25"/>
  <c r="AC6" i="25"/>
  <c r="AD5" i="25"/>
  <c r="AE5" i="25"/>
  <c r="AB4" i="25"/>
  <c r="X6" i="25"/>
  <c r="Y5" i="25"/>
  <c r="N53" i="36"/>
  <c r="M4" i="25" s="1"/>
  <c r="P18" i="36"/>
  <c r="S18" i="36" s="1"/>
  <c r="K16" i="36"/>
  <c r="M16" i="36"/>
  <c r="P16" i="36" s="1"/>
  <c r="S16" i="36" s="1"/>
  <c r="M15" i="36"/>
  <c r="P15" i="36" s="1"/>
  <c r="S15" i="36" s="1"/>
  <c r="O17" i="36"/>
  <c r="R17" i="36" s="1"/>
  <c r="L22" i="36"/>
  <c r="M22" i="36"/>
  <c r="O16" i="36"/>
  <c r="R16" i="36" s="1"/>
  <c r="O12" i="36"/>
  <c r="R12" i="36" s="1"/>
  <c r="O15" i="36"/>
  <c r="R15" i="36" s="1"/>
  <c r="M12" i="36"/>
  <c r="P12" i="36" s="1"/>
  <c r="S12" i="36" s="1"/>
  <c r="M17" i="36"/>
  <c r="P17" i="36" s="1"/>
  <c r="S17" i="36" s="1"/>
  <c r="L18" i="36"/>
  <c r="AI34" i="36"/>
  <c r="L54" i="36"/>
  <c r="K5" i="25" s="1"/>
  <c r="J56" i="36"/>
  <c r="I7" i="25" s="1"/>
  <c r="K55" i="36" l="1"/>
  <c r="J6" i="25" s="1"/>
  <c r="I6" i="25"/>
  <c r="M55" i="36"/>
  <c r="L6" i="25" s="1"/>
  <c r="BD6" i="25"/>
  <c r="U7" i="25"/>
  <c r="S7" i="25"/>
  <c r="BC7" i="25"/>
  <c r="BB7" i="25"/>
  <c r="BF6" i="25"/>
  <c r="BE6" i="25"/>
  <c r="AB5" i="25"/>
  <c r="Z5" i="25"/>
  <c r="N54" i="36"/>
  <c r="M5" i="25" s="1"/>
  <c r="AV5" i="25"/>
  <c r="AU5" i="25"/>
  <c r="BF5" i="25"/>
  <c r="BE5" i="25"/>
  <c r="L55" i="36"/>
  <c r="K6" i="25" s="1"/>
  <c r="BE7" i="25"/>
  <c r="V7" i="25"/>
  <c r="T7" i="25"/>
  <c r="BE8" i="25"/>
  <c r="BB9" i="25"/>
  <c r="BC8" i="25"/>
  <c r="BD8" i="25"/>
  <c r="AY6" i="25"/>
  <c r="AZ6" i="25"/>
  <c r="AW7" i="25"/>
  <c r="AX6" i="25"/>
  <c r="AR7" i="25"/>
  <c r="AS6" i="25"/>
  <c r="AU6" i="25"/>
  <c r="AT6" i="25"/>
  <c r="AO6" i="25"/>
  <c r="AP6" i="25"/>
  <c r="AM7" i="25"/>
  <c r="AN6" i="25"/>
  <c r="AH7" i="25"/>
  <c r="AI6" i="25"/>
  <c r="AJ6" i="25"/>
  <c r="AK6" i="25"/>
  <c r="AL5" i="25"/>
  <c r="AG5" i="25"/>
  <c r="AE6" i="25"/>
  <c r="AC7" i="25"/>
  <c r="AD6" i="25"/>
  <c r="AF6" i="25"/>
  <c r="X7" i="25"/>
  <c r="Y6" i="25"/>
  <c r="Z6" i="25"/>
  <c r="AA6" i="25"/>
  <c r="W7" i="25"/>
  <c r="N22" i="36"/>
  <c r="K4" i="36" s="1"/>
  <c r="D7" i="25" s="1"/>
  <c r="N16" i="36"/>
  <c r="Q16" i="36" s="1"/>
  <c r="T16" i="36" s="1"/>
  <c r="N15" i="36"/>
  <c r="Q15" i="36" s="1"/>
  <c r="T15" i="36" s="1"/>
  <c r="N12" i="36"/>
  <c r="Q12" i="36" s="1"/>
  <c r="T12" i="36" s="1"/>
  <c r="N17" i="36"/>
  <c r="Q17" i="36" s="1"/>
  <c r="T17" i="36" s="1"/>
  <c r="J57" i="36"/>
  <c r="I8" i="25" s="1"/>
  <c r="K56" i="36"/>
  <c r="J7" i="25" s="1"/>
  <c r="M56" i="36"/>
  <c r="L7" i="25" s="1"/>
  <c r="L56" i="36"/>
  <c r="K7" i="25" s="1"/>
  <c r="O18" i="36"/>
  <c r="R18" i="36" s="1"/>
  <c r="N18" i="36"/>
  <c r="Q18" i="36" s="1"/>
  <c r="T18" i="36" s="1"/>
  <c r="N55" i="36" l="1"/>
  <c r="M6" i="25" s="1"/>
  <c r="BF7" i="25"/>
  <c r="S9" i="25"/>
  <c r="S8" i="25"/>
  <c r="U8" i="25"/>
  <c r="V8" i="25"/>
  <c r="T8" i="25"/>
  <c r="BD9" i="25"/>
  <c r="BB10" i="25"/>
  <c r="BC9" i="25"/>
  <c r="BE9" i="25"/>
  <c r="BF8" i="25"/>
  <c r="BA6" i="25"/>
  <c r="AW8" i="25"/>
  <c r="AX7" i="25"/>
  <c r="AY7" i="25"/>
  <c r="AZ7" i="25"/>
  <c r="AV6" i="25"/>
  <c r="AR8" i="25"/>
  <c r="AS7" i="25"/>
  <c r="AU7" i="25"/>
  <c r="AT7" i="25"/>
  <c r="AQ6" i="25"/>
  <c r="AM8" i="25"/>
  <c r="AN7" i="25"/>
  <c r="AO7" i="25"/>
  <c r="AP7" i="25"/>
  <c r="AL6" i="25"/>
  <c r="AK7" i="25"/>
  <c r="AI7" i="25"/>
  <c r="AJ7" i="25"/>
  <c r="AH8" i="25"/>
  <c r="AG6" i="25"/>
  <c r="AC8" i="25"/>
  <c r="AD7" i="25"/>
  <c r="AF7" i="25"/>
  <c r="AE7" i="25"/>
  <c r="AB6" i="25"/>
  <c r="AA7" i="25"/>
  <c r="X8" i="25"/>
  <c r="Y7" i="25"/>
  <c r="Z7" i="25"/>
  <c r="V9" i="25"/>
  <c r="T9" i="25"/>
  <c r="S10" i="25"/>
  <c r="U9" i="25"/>
  <c r="N56" i="36"/>
  <c r="M7" i="25" s="1"/>
  <c r="J58" i="36"/>
  <c r="I9" i="25" s="1"/>
  <c r="K57" i="36"/>
  <c r="J8" i="25" s="1"/>
  <c r="M57" i="36"/>
  <c r="L8" i="25" s="1"/>
  <c r="L57" i="36"/>
  <c r="K8" i="25" s="1"/>
  <c r="W8" i="25" l="1"/>
  <c r="BF9" i="25"/>
  <c r="BB11" i="25"/>
  <c r="BC10" i="25"/>
  <c r="BE10" i="25"/>
  <c r="BD10" i="25"/>
  <c r="BA7" i="25"/>
  <c r="AW9" i="25"/>
  <c r="AX8" i="25"/>
  <c r="AY8" i="25"/>
  <c r="AZ8" i="25"/>
  <c r="AV7" i="25"/>
  <c r="AU8" i="25"/>
  <c r="AS8" i="25"/>
  <c r="AR9" i="25"/>
  <c r="AT8" i="25"/>
  <c r="AQ7" i="25"/>
  <c r="AM9" i="25"/>
  <c r="AN8" i="25"/>
  <c r="AP8" i="25"/>
  <c r="AO8" i="25"/>
  <c r="AL7" i="25"/>
  <c r="AJ8" i="25"/>
  <c r="AK8" i="25"/>
  <c r="AH9" i="25"/>
  <c r="AI8" i="25"/>
  <c r="AG7" i="25"/>
  <c r="AE8" i="25"/>
  <c r="AF8" i="25"/>
  <c r="AC9" i="25"/>
  <c r="AD8" i="25"/>
  <c r="Z8" i="25"/>
  <c r="AA8" i="25"/>
  <c r="X9" i="25"/>
  <c r="Y8" i="25"/>
  <c r="AB7" i="25"/>
  <c r="W9" i="25"/>
  <c r="U10" i="25"/>
  <c r="V10" i="25"/>
  <c r="T10" i="25"/>
  <c r="S11" i="25"/>
  <c r="M58" i="36"/>
  <c r="L9" i="25" s="1"/>
  <c r="J59" i="36"/>
  <c r="I10" i="25" s="1"/>
  <c r="K58" i="36"/>
  <c r="J9" i="25" s="1"/>
  <c r="L58" i="36"/>
  <c r="K9" i="25" s="1"/>
  <c r="N57" i="36"/>
  <c r="M8" i="25" s="1"/>
  <c r="C20" i="25"/>
  <c r="BF10" i="25" l="1"/>
  <c r="BD11" i="25"/>
  <c r="BE11" i="25"/>
  <c r="BC11" i="25"/>
  <c r="BB12" i="25"/>
  <c r="AZ9" i="25"/>
  <c r="AW10" i="25"/>
  <c r="AX9" i="25"/>
  <c r="AY9" i="25"/>
  <c r="BA8" i="25"/>
  <c r="AT9" i="25"/>
  <c r="AU9" i="25"/>
  <c r="AR10" i="25"/>
  <c r="AS9" i="25"/>
  <c r="AV8" i="25"/>
  <c r="AP9" i="25"/>
  <c r="AM10" i="25"/>
  <c r="AN9" i="25"/>
  <c r="AO9" i="25"/>
  <c r="AQ8" i="25"/>
  <c r="AL8" i="25"/>
  <c r="AH10" i="25"/>
  <c r="AI9" i="25"/>
  <c r="AJ9" i="25"/>
  <c r="AK9" i="25"/>
  <c r="AG8" i="25"/>
  <c r="AF9" i="25"/>
  <c r="AC10" i="25"/>
  <c r="AD9" i="25"/>
  <c r="AE9" i="25"/>
  <c r="AB8" i="25"/>
  <c r="X10" i="25"/>
  <c r="Y9" i="25"/>
  <c r="Z9" i="25"/>
  <c r="AA9" i="25"/>
  <c r="W10" i="25"/>
  <c r="S12" i="25"/>
  <c r="T11" i="25"/>
  <c r="V11" i="25"/>
  <c r="U11" i="25"/>
  <c r="L59" i="36"/>
  <c r="K10" i="25" s="1"/>
  <c r="M59" i="36"/>
  <c r="L10" i="25" s="1"/>
  <c r="J60" i="36"/>
  <c r="I11" i="25" s="1"/>
  <c r="K59" i="36"/>
  <c r="J10" i="25" s="1"/>
  <c r="N58" i="36"/>
  <c r="M9" i="25" s="1"/>
  <c r="BF11" i="25" l="1"/>
  <c r="BE12" i="25"/>
  <c r="BB13" i="25"/>
  <c r="BC12" i="25"/>
  <c r="BD12" i="25"/>
  <c r="AY10" i="25"/>
  <c r="AZ10" i="25"/>
  <c r="AW11" i="25"/>
  <c r="AX10" i="25"/>
  <c r="BA9" i="25"/>
  <c r="AV9" i="25"/>
  <c r="AR11" i="25"/>
  <c r="AS10" i="25"/>
  <c r="AU10" i="25"/>
  <c r="AT10" i="25"/>
  <c r="AO10" i="25"/>
  <c r="AM11" i="25"/>
  <c r="AN10" i="25"/>
  <c r="AP10" i="25"/>
  <c r="AQ9" i="25"/>
  <c r="AL9" i="25"/>
  <c r="AH11" i="25"/>
  <c r="AI10" i="25"/>
  <c r="AJ10" i="25"/>
  <c r="AK10" i="25"/>
  <c r="AE10" i="25"/>
  <c r="AC11" i="25"/>
  <c r="AD10" i="25"/>
  <c r="AF10" i="25"/>
  <c r="AG9" i="25"/>
  <c r="AB9" i="25"/>
  <c r="X11" i="25"/>
  <c r="Y10" i="25"/>
  <c r="Z10" i="25"/>
  <c r="AA10" i="25"/>
  <c r="S13" i="25"/>
  <c r="T12" i="25"/>
  <c r="U12" i="25"/>
  <c r="V12" i="25"/>
  <c r="W11" i="25"/>
  <c r="N59" i="36"/>
  <c r="M10" i="25" s="1"/>
  <c r="J61" i="36"/>
  <c r="I12" i="25" s="1"/>
  <c r="K60" i="36"/>
  <c r="J11" i="25" s="1"/>
  <c r="L60" i="36"/>
  <c r="K11" i="25" s="1"/>
  <c r="M60" i="36"/>
  <c r="L11" i="25" s="1"/>
  <c r="AG10" i="25" l="1"/>
  <c r="BD13" i="25"/>
  <c r="BC13" i="25"/>
  <c r="BB14" i="25"/>
  <c r="BE13" i="25"/>
  <c r="BF12" i="25"/>
  <c r="BA10" i="25"/>
  <c r="AW12" i="25"/>
  <c r="AX11" i="25"/>
  <c r="AY11" i="25"/>
  <c r="AZ11" i="25"/>
  <c r="AR12" i="25"/>
  <c r="AS11" i="25"/>
  <c r="AT11" i="25"/>
  <c r="AU11" i="25"/>
  <c r="AV10" i="25"/>
  <c r="AQ10" i="25"/>
  <c r="AM12" i="25"/>
  <c r="AN11" i="25"/>
  <c r="AO11" i="25"/>
  <c r="AP11" i="25"/>
  <c r="AL10" i="25"/>
  <c r="AK11" i="25"/>
  <c r="AH12" i="25"/>
  <c r="AI11" i="25"/>
  <c r="AJ11" i="25"/>
  <c r="AC12" i="25"/>
  <c r="AD11" i="25"/>
  <c r="AF11" i="25"/>
  <c r="AE11" i="25"/>
  <c r="AB10" i="25"/>
  <c r="AA11" i="25"/>
  <c r="Y11" i="25"/>
  <c r="Z11" i="25"/>
  <c r="X12" i="25"/>
  <c r="V13" i="25"/>
  <c r="S14" i="25"/>
  <c r="T13" i="25"/>
  <c r="U13" i="25"/>
  <c r="W12" i="25"/>
  <c r="N60" i="36"/>
  <c r="M11" i="25" s="1"/>
  <c r="L61" i="36"/>
  <c r="K12" i="25" s="1"/>
  <c r="J62" i="36"/>
  <c r="I13" i="25" s="1"/>
  <c r="K61" i="36"/>
  <c r="J12" i="25" s="1"/>
  <c r="M61" i="36"/>
  <c r="L12" i="25" s="1"/>
  <c r="BF13" i="25" l="1"/>
  <c r="BB15" i="25"/>
  <c r="BC14" i="25"/>
  <c r="BE14" i="25"/>
  <c r="BD14" i="25"/>
  <c r="BA11" i="25"/>
  <c r="AW13" i="25"/>
  <c r="AX12" i="25"/>
  <c r="AY12" i="25"/>
  <c r="AZ12" i="25"/>
  <c r="AV11" i="25"/>
  <c r="AU12" i="25"/>
  <c r="AS12" i="25"/>
  <c r="AT12" i="25"/>
  <c r="AR13" i="25"/>
  <c r="AQ11" i="25"/>
  <c r="AN12" i="25"/>
  <c r="AO12" i="25"/>
  <c r="AP12" i="25"/>
  <c r="AM13" i="25"/>
  <c r="AJ12" i="25"/>
  <c r="AK12" i="25"/>
  <c r="AI12" i="25"/>
  <c r="AH13" i="25"/>
  <c r="AL11" i="25"/>
  <c r="AE12" i="25"/>
  <c r="AF12" i="25"/>
  <c r="AD12" i="25"/>
  <c r="AC13" i="25"/>
  <c r="AG11" i="25"/>
  <c r="AB11" i="25"/>
  <c r="Z12" i="25"/>
  <c r="AA12" i="25"/>
  <c r="Y12" i="25"/>
  <c r="X13" i="25"/>
  <c r="W13" i="25"/>
  <c r="U14" i="25"/>
  <c r="V14" i="25"/>
  <c r="T14" i="25"/>
  <c r="S15" i="25"/>
  <c r="N61" i="36"/>
  <c r="M12" i="25" s="1"/>
  <c r="M62" i="36"/>
  <c r="L13" i="25" s="1"/>
  <c r="K62" i="36"/>
  <c r="J13" i="25" s="1"/>
  <c r="L62" i="36"/>
  <c r="K13" i="25" s="1"/>
  <c r="J63" i="36"/>
  <c r="I14" i="25" s="1"/>
  <c r="BF14" i="25" l="1"/>
  <c r="BD15" i="25"/>
  <c r="BE15" i="25"/>
  <c r="BB16" i="25"/>
  <c r="BC15" i="25"/>
  <c r="BA12" i="25"/>
  <c r="AZ13" i="25"/>
  <c r="AW14" i="25"/>
  <c r="AX13" i="25"/>
  <c r="AY13" i="25"/>
  <c r="AV12" i="25"/>
  <c r="AT13" i="25"/>
  <c r="AU13" i="25"/>
  <c r="AR14" i="25"/>
  <c r="AS13" i="25"/>
  <c r="AQ12" i="25"/>
  <c r="AM14" i="25"/>
  <c r="AN13" i="25"/>
  <c r="AO13" i="25"/>
  <c r="AP13" i="25"/>
  <c r="AL12" i="25"/>
  <c r="AH14" i="25"/>
  <c r="AI13" i="25"/>
  <c r="AJ13" i="25"/>
  <c r="AK13" i="25"/>
  <c r="AG12" i="25"/>
  <c r="AF13" i="25"/>
  <c r="AC14" i="25"/>
  <c r="AD13" i="25"/>
  <c r="AE13" i="25"/>
  <c r="AB12" i="25"/>
  <c r="X14" i="25"/>
  <c r="Y13" i="25"/>
  <c r="Z13" i="25"/>
  <c r="AA13" i="25"/>
  <c r="W14" i="25"/>
  <c r="S16" i="25"/>
  <c r="T15" i="25"/>
  <c r="V15" i="25"/>
  <c r="U15" i="25"/>
  <c r="N62" i="36"/>
  <c r="M13" i="25" s="1"/>
  <c r="L63" i="36"/>
  <c r="K14" i="25" s="1"/>
  <c r="M63" i="36"/>
  <c r="L14" i="25" s="1"/>
  <c r="J64" i="36"/>
  <c r="I15" i="25" s="1"/>
  <c r="K63" i="36"/>
  <c r="J14" i="25" s="1"/>
  <c r="BF15" i="25" l="1"/>
  <c r="BE16" i="25"/>
  <c r="BB17" i="25"/>
  <c r="BC16" i="25"/>
  <c r="BD16" i="25"/>
  <c r="AY14" i="25"/>
  <c r="AZ14" i="25"/>
  <c r="AX14" i="25"/>
  <c r="AW15" i="25"/>
  <c r="BA13" i="25"/>
  <c r="AV13" i="25"/>
  <c r="AR15" i="25"/>
  <c r="AS14" i="25"/>
  <c r="AU14" i="25"/>
  <c r="AT14" i="25"/>
  <c r="AM15" i="25"/>
  <c r="AN14" i="25"/>
  <c r="AO14" i="25"/>
  <c r="AP14" i="25"/>
  <c r="AQ13" i="25"/>
  <c r="AL13" i="25"/>
  <c r="AH15" i="25"/>
  <c r="AI14" i="25"/>
  <c r="AJ14" i="25"/>
  <c r="AK14" i="25"/>
  <c r="AE14" i="25"/>
  <c r="AC15" i="25"/>
  <c r="AD14" i="25"/>
  <c r="AF14" i="25"/>
  <c r="AG13" i="25"/>
  <c r="AB13" i="25"/>
  <c r="X15" i="25"/>
  <c r="Y14" i="25"/>
  <c r="Z14" i="25"/>
  <c r="AA14" i="25"/>
  <c r="W15" i="25"/>
  <c r="S17" i="25"/>
  <c r="T16" i="25"/>
  <c r="U16" i="25"/>
  <c r="V16" i="25"/>
  <c r="N63" i="36"/>
  <c r="M14" i="25" s="1"/>
  <c r="J65" i="36"/>
  <c r="I16" i="25" s="1"/>
  <c r="K64" i="36"/>
  <c r="J15" i="25" s="1"/>
  <c r="L64" i="36"/>
  <c r="K15" i="25" s="1"/>
  <c r="M64" i="36"/>
  <c r="L15" i="25" s="1"/>
  <c r="BD17" i="25" l="1"/>
  <c r="BB18" i="25"/>
  <c r="BC17" i="25"/>
  <c r="BE17" i="25"/>
  <c r="BF16" i="25"/>
  <c r="BA14" i="25"/>
  <c r="AW16" i="25"/>
  <c r="AX15" i="25"/>
  <c r="AY15" i="25"/>
  <c r="AZ15" i="25"/>
  <c r="AR16" i="25"/>
  <c r="AS15" i="25"/>
  <c r="AU15" i="25"/>
  <c r="AT15" i="25"/>
  <c r="AV14" i="25"/>
  <c r="AQ14" i="25"/>
  <c r="AP15" i="25"/>
  <c r="AM16" i="25"/>
  <c r="AN15" i="25"/>
  <c r="AO15" i="25"/>
  <c r="AL14" i="25"/>
  <c r="AK15" i="25"/>
  <c r="AI15" i="25"/>
  <c r="AJ15" i="25"/>
  <c r="AH16" i="25"/>
  <c r="AG14" i="25"/>
  <c r="AC16" i="25"/>
  <c r="AD15" i="25"/>
  <c r="AF15" i="25"/>
  <c r="AE15" i="25"/>
  <c r="AB14" i="25"/>
  <c r="AA15" i="25"/>
  <c r="X16" i="25"/>
  <c r="Z15" i="25"/>
  <c r="Y15" i="25"/>
  <c r="W16" i="25"/>
  <c r="V17" i="25"/>
  <c r="S18" i="25"/>
  <c r="T17" i="25"/>
  <c r="U17" i="25"/>
  <c r="N64" i="36"/>
  <c r="M15" i="25" s="1"/>
  <c r="J66" i="36"/>
  <c r="I17" i="25" s="1"/>
  <c r="K65" i="36"/>
  <c r="J16" i="25" s="1"/>
  <c r="M65" i="36"/>
  <c r="L16" i="25" s="1"/>
  <c r="L65" i="36"/>
  <c r="K16" i="25" s="1"/>
  <c r="BF17" i="25" l="1"/>
  <c r="BB19" i="25"/>
  <c r="BC18" i="25"/>
  <c r="BE18" i="25"/>
  <c r="BD18" i="25"/>
  <c r="BA15" i="25"/>
  <c r="AW17" i="25"/>
  <c r="AX16" i="25"/>
  <c r="AY16" i="25"/>
  <c r="AZ16" i="25"/>
  <c r="AU16" i="25"/>
  <c r="AR17" i="25"/>
  <c r="AS16" i="25"/>
  <c r="AT16" i="25"/>
  <c r="AV15" i="25"/>
  <c r="AO16" i="25"/>
  <c r="AP16" i="25"/>
  <c r="AM17" i="25"/>
  <c r="AN16" i="25"/>
  <c r="AQ15" i="25"/>
  <c r="AL15" i="25"/>
  <c r="AJ16" i="25"/>
  <c r="AK16" i="25"/>
  <c r="AH17" i="25"/>
  <c r="AI16" i="25"/>
  <c r="AE16" i="25"/>
  <c r="AF16" i="25"/>
  <c r="AC17" i="25"/>
  <c r="AD16" i="25"/>
  <c r="AG15" i="25"/>
  <c r="AB15" i="25"/>
  <c r="Z16" i="25"/>
  <c r="AA16" i="25"/>
  <c r="Y16" i="25"/>
  <c r="X17" i="25"/>
  <c r="U18" i="25"/>
  <c r="V18" i="25"/>
  <c r="S19" i="25"/>
  <c r="T18" i="25"/>
  <c r="W17" i="25"/>
  <c r="M66" i="36"/>
  <c r="L17" i="25" s="1"/>
  <c r="K66" i="36"/>
  <c r="J17" i="25" s="1"/>
  <c r="J67" i="36"/>
  <c r="I18" i="25" s="1"/>
  <c r="L66" i="36"/>
  <c r="K17" i="25" s="1"/>
  <c r="N65" i="36"/>
  <c r="M16" i="25" s="1"/>
  <c r="BD19" i="25" l="1"/>
  <c r="BE19" i="25"/>
  <c r="BC19" i="25"/>
  <c r="BB20" i="25"/>
  <c r="BF18" i="25"/>
  <c r="BA16" i="25"/>
  <c r="AZ17" i="25"/>
  <c r="AW18" i="25"/>
  <c r="AX17" i="25"/>
  <c r="AY17" i="25"/>
  <c r="AT17" i="25"/>
  <c r="AU17" i="25"/>
  <c r="AR18" i="25"/>
  <c r="AS17" i="25"/>
  <c r="AV16" i="25"/>
  <c r="AQ16" i="25"/>
  <c r="AM18" i="25"/>
  <c r="AN17" i="25"/>
  <c r="AO17" i="25"/>
  <c r="AP17" i="25"/>
  <c r="AL16" i="25"/>
  <c r="AH18" i="25"/>
  <c r="AI17" i="25"/>
  <c r="AJ17" i="25"/>
  <c r="AK17" i="25"/>
  <c r="AG16" i="25"/>
  <c r="AF17" i="25"/>
  <c r="AC18" i="25"/>
  <c r="AD17" i="25"/>
  <c r="AE17" i="25"/>
  <c r="AB16" i="25"/>
  <c r="X18" i="25"/>
  <c r="Y17" i="25"/>
  <c r="Z17" i="25"/>
  <c r="AA17" i="25"/>
  <c r="W18" i="25"/>
  <c r="S20" i="25"/>
  <c r="T19" i="25"/>
  <c r="V19" i="25"/>
  <c r="U19" i="25"/>
  <c r="L67" i="36"/>
  <c r="K18" i="25" s="1"/>
  <c r="M67" i="36"/>
  <c r="L18" i="25" s="1"/>
  <c r="J68" i="36"/>
  <c r="I19" i="25" s="1"/>
  <c r="K67" i="36"/>
  <c r="J18" i="25" s="1"/>
  <c r="N66" i="36"/>
  <c r="M17" i="25" s="1"/>
  <c r="BF19" i="25" l="1"/>
  <c r="BE20" i="25"/>
  <c r="BB21" i="25"/>
  <c r="BC20" i="25"/>
  <c r="BD20" i="25"/>
  <c r="AY18" i="25"/>
  <c r="AZ18" i="25"/>
  <c r="AX18" i="25"/>
  <c r="AW19" i="25"/>
  <c r="BA17" i="25"/>
  <c r="AV17" i="25"/>
  <c r="AR19" i="25"/>
  <c r="AS18" i="25"/>
  <c r="AU18" i="25"/>
  <c r="AT18" i="25"/>
  <c r="AM19" i="25"/>
  <c r="AN18" i="25"/>
  <c r="AO18" i="25"/>
  <c r="AP18" i="25"/>
  <c r="AQ17" i="25"/>
  <c r="AL17" i="25"/>
  <c r="AH19" i="25"/>
  <c r="AI18" i="25"/>
  <c r="AJ18" i="25"/>
  <c r="AK18" i="25"/>
  <c r="AE18" i="25"/>
  <c r="AC19" i="25"/>
  <c r="AD18" i="25"/>
  <c r="AF18" i="25"/>
  <c r="AG17" i="25"/>
  <c r="AB17" i="25"/>
  <c r="X19" i="25"/>
  <c r="Y18" i="25"/>
  <c r="AA18" i="25"/>
  <c r="Z18" i="25"/>
  <c r="S21" i="25"/>
  <c r="T20" i="25"/>
  <c r="U20" i="25"/>
  <c r="V20" i="25"/>
  <c r="W19" i="25"/>
  <c r="N67" i="36"/>
  <c r="M18" i="25" s="1"/>
  <c r="J69" i="36"/>
  <c r="I20" i="25" s="1"/>
  <c r="K68" i="36"/>
  <c r="J19" i="25" s="1"/>
  <c r="L68" i="36"/>
  <c r="K19" i="25" s="1"/>
  <c r="M68" i="36"/>
  <c r="L19" i="25" s="1"/>
  <c r="BD21" i="25" l="1"/>
  <c r="BC21" i="25"/>
  <c r="BB22" i="25"/>
  <c r="BE21" i="25"/>
  <c r="BF20" i="25"/>
  <c r="BA18" i="25"/>
  <c r="AW20" i="25"/>
  <c r="AX19" i="25"/>
  <c r="AY19" i="25"/>
  <c r="AZ19" i="25"/>
  <c r="AR20" i="25"/>
  <c r="AS19" i="25"/>
  <c r="AT19" i="25"/>
  <c r="AU19" i="25"/>
  <c r="AV18" i="25"/>
  <c r="AQ18" i="25"/>
  <c r="AP19" i="25"/>
  <c r="AM20" i="25"/>
  <c r="AN19" i="25"/>
  <c r="AO19" i="25"/>
  <c r="AL18" i="25"/>
  <c r="AK19" i="25"/>
  <c r="AH20" i="25"/>
  <c r="AI19" i="25"/>
  <c r="AJ19" i="25"/>
  <c r="AG18" i="25"/>
  <c r="AC20" i="25"/>
  <c r="AD19" i="25"/>
  <c r="AF19" i="25"/>
  <c r="AE19" i="25"/>
  <c r="AA19" i="25"/>
  <c r="Y19" i="25"/>
  <c r="Z19" i="25"/>
  <c r="X20" i="25"/>
  <c r="AB18" i="25"/>
  <c r="W20" i="25"/>
  <c r="V21" i="25"/>
  <c r="S22" i="25"/>
  <c r="T21" i="25"/>
  <c r="U21" i="25"/>
  <c r="N68" i="36"/>
  <c r="M19" i="25" s="1"/>
  <c r="J70" i="36"/>
  <c r="I21" i="25" s="1"/>
  <c r="K69" i="36"/>
  <c r="J20" i="25" s="1"/>
  <c r="L69" i="36"/>
  <c r="K20" i="25" s="1"/>
  <c r="M69" i="36"/>
  <c r="L20" i="25" s="1"/>
  <c r="BF21" i="25" l="1"/>
  <c r="BB23" i="25"/>
  <c r="BC22" i="25"/>
  <c r="BE22" i="25"/>
  <c r="BD22" i="25"/>
  <c r="BA19" i="25"/>
  <c r="AW21" i="25"/>
  <c r="AX20" i="25"/>
  <c r="AY20" i="25"/>
  <c r="AZ20" i="25"/>
  <c r="AV19" i="25"/>
  <c r="AU20" i="25"/>
  <c r="AR21" i="25"/>
  <c r="AT20" i="25"/>
  <c r="AS20" i="25"/>
  <c r="AO20" i="25"/>
  <c r="AP20" i="25"/>
  <c r="AN20" i="25"/>
  <c r="AM21" i="25"/>
  <c r="AQ19" i="25"/>
  <c r="AJ20" i="25"/>
  <c r="AK20" i="25"/>
  <c r="AI20" i="25"/>
  <c r="AH21" i="25"/>
  <c r="AL19" i="25"/>
  <c r="AG19" i="25"/>
  <c r="AE20" i="25"/>
  <c r="AF20" i="25"/>
  <c r="AD20" i="25"/>
  <c r="AC21" i="25"/>
  <c r="AB19" i="25"/>
  <c r="Z20" i="25"/>
  <c r="AA20" i="25"/>
  <c r="X21" i="25"/>
  <c r="Y20" i="25"/>
  <c r="U22" i="25"/>
  <c r="V22" i="25"/>
  <c r="S23" i="25"/>
  <c r="T22" i="25"/>
  <c r="W21" i="25"/>
  <c r="N69" i="36"/>
  <c r="M20" i="25" s="1"/>
  <c r="M70" i="36"/>
  <c r="L21" i="25" s="1"/>
  <c r="K70" i="36"/>
  <c r="J21" i="25" s="1"/>
  <c r="L70" i="36"/>
  <c r="K21" i="25" s="1"/>
  <c r="J71" i="36"/>
  <c r="I22" i="25" s="1"/>
  <c r="BF22" i="25" l="1"/>
  <c r="BD23" i="25"/>
  <c r="BE23" i="25"/>
  <c r="BB24" i="25"/>
  <c r="BC23" i="25"/>
  <c r="BA20" i="25"/>
  <c r="AZ21" i="25"/>
  <c r="AW22" i="25"/>
  <c r="AX21" i="25"/>
  <c r="AY21" i="25"/>
  <c r="AV20" i="25"/>
  <c r="AT21" i="25"/>
  <c r="AU21" i="25"/>
  <c r="AR22" i="25"/>
  <c r="AS21" i="25"/>
  <c r="AQ20" i="25"/>
  <c r="AM22" i="25"/>
  <c r="AN21" i="25"/>
  <c r="AO21" i="25"/>
  <c r="AP21" i="25"/>
  <c r="AL20" i="25"/>
  <c r="AH22" i="25"/>
  <c r="AI21" i="25"/>
  <c r="AK21" i="25"/>
  <c r="AJ21" i="25"/>
  <c r="AG20" i="25"/>
  <c r="AF21" i="25"/>
  <c r="AC22" i="25"/>
  <c r="AD21" i="25"/>
  <c r="AE21" i="25"/>
  <c r="AB20" i="25"/>
  <c r="X22" i="25"/>
  <c r="Y21" i="25"/>
  <c r="Z21" i="25"/>
  <c r="AA21" i="25"/>
  <c r="W22" i="25"/>
  <c r="S24" i="25"/>
  <c r="T23" i="25"/>
  <c r="V23" i="25"/>
  <c r="U23" i="25"/>
  <c r="N70" i="36"/>
  <c r="M21" i="25" s="1"/>
  <c r="L71" i="36"/>
  <c r="K22" i="25" s="1"/>
  <c r="M71" i="36"/>
  <c r="L22" i="25" s="1"/>
  <c r="J72" i="36"/>
  <c r="I23" i="25" s="1"/>
  <c r="K71" i="36"/>
  <c r="J22" i="25" s="1"/>
  <c r="BF23" i="25" l="1"/>
  <c r="BE24" i="25"/>
  <c r="BB25" i="25"/>
  <c r="BC24" i="25"/>
  <c r="BD24" i="25"/>
  <c r="AY22" i="25"/>
  <c r="AZ22" i="25"/>
  <c r="AW23" i="25"/>
  <c r="AX22" i="25"/>
  <c r="BA21" i="25"/>
  <c r="AV21" i="25"/>
  <c r="AR23" i="25"/>
  <c r="AS22" i="25"/>
  <c r="AT22" i="25"/>
  <c r="AU22" i="25"/>
  <c r="AM23" i="25"/>
  <c r="AN22" i="25"/>
  <c r="AO22" i="25"/>
  <c r="AP22" i="25"/>
  <c r="AQ21" i="25"/>
  <c r="AH23" i="25"/>
  <c r="AI22" i="25"/>
  <c r="AJ22" i="25"/>
  <c r="AK22" i="25"/>
  <c r="AL21" i="25"/>
  <c r="AE22" i="25"/>
  <c r="AC23" i="25"/>
  <c r="AD22" i="25"/>
  <c r="AF22" i="25"/>
  <c r="AG21" i="25"/>
  <c r="AB21" i="25"/>
  <c r="X23" i="25"/>
  <c r="Y22" i="25"/>
  <c r="Z22" i="25"/>
  <c r="AA22" i="25"/>
  <c r="S25" i="25"/>
  <c r="T24" i="25"/>
  <c r="U24" i="25"/>
  <c r="V24" i="25"/>
  <c r="W23" i="25"/>
  <c r="N71" i="36"/>
  <c r="M22" i="25" s="1"/>
  <c r="J73" i="36"/>
  <c r="I24" i="25" s="1"/>
  <c r="K72" i="36"/>
  <c r="J23" i="25" s="1"/>
  <c r="M72" i="36"/>
  <c r="L23" i="25" s="1"/>
  <c r="L72" i="36"/>
  <c r="K23" i="25" s="1"/>
  <c r="BD25" i="25" l="1"/>
  <c r="BC25" i="25"/>
  <c r="BB26" i="25"/>
  <c r="BE25" i="25"/>
  <c r="BF24" i="25"/>
  <c r="BA22" i="25"/>
  <c r="AW24" i="25"/>
  <c r="AX23" i="25"/>
  <c r="AY23" i="25"/>
  <c r="AZ23" i="25"/>
  <c r="AV22" i="25"/>
  <c r="AR24" i="25"/>
  <c r="AS23" i="25"/>
  <c r="AU23" i="25"/>
  <c r="AT23" i="25"/>
  <c r="AQ22" i="25"/>
  <c r="AP23" i="25"/>
  <c r="AM24" i="25"/>
  <c r="AN23" i="25"/>
  <c r="AO23" i="25"/>
  <c r="AL22" i="25"/>
  <c r="AK23" i="25"/>
  <c r="AI23" i="25"/>
  <c r="AH24" i="25"/>
  <c r="AJ23" i="25"/>
  <c r="AG22" i="25"/>
  <c r="AC24" i="25"/>
  <c r="AD23" i="25"/>
  <c r="AF23" i="25"/>
  <c r="AE23" i="25"/>
  <c r="AB22" i="25"/>
  <c r="AA23" i="25"/>
  <c r="X24" i="25"/>
  <c r="Y23" i="25"/>
  <c r="Z23" i="25"/>
  <c r="W24" i="25"/>
  <c r="V25" i="25"/>
  <c r="T25" i="25"/>
  <c r="S26" i="25"/>
  <c r="U25" i="25"/>
  <c r="J74" i="36"/>
  <c r="I25" i="25" s="1"/>
  <c r="K73" i="36"/>
  <c r="J24" i="25" s="1"/>
  <c r="M73" i="36"/>
  <c r="L24" i="25" s="1"/>
  <c r="L73" i="36"/>
  <c r="K24" i="25" s="1"/>
  <c r="N72" i="36"/>
  <c r="M23" i="25" s="1"/>
  <c r="BF25" i="25" l="1"/>
  <c r="BB27" i="25"/>
  <c r="BC26" i="25"/>
  <c r="BE26" i="25"/>
  <c r="BD26" i="25"/>
  <c r="BA23" i="25"/>
  <c r="AW25" i="25"/>
  <c r="AX24" i="25"/>
  <c r="AY24" i="25"/>
  <c r="AZ24" i="25"/>
  <c r="AU24" i="25"/>
  <c r="AS24" i="25"/>
  <c r="AR25" i="25"/>
  <c r="AT24" i="25"/>
  <c r="AV23" i="25"/>
  <c r="AO24" i="25"/>
  <c r="AP24" i="25"/>
  <c r="AN24" i="25"/>
  <c r="AM25" i="25"/>
  <c r="AQ23" i="25"/>
  <c r="AJ24" i="25"/>
  <c r="AK24" i="25"/>
  <c r="AI24" i="25"/>
  <c r="AH25" i="25"/>
  <c r="AL23" i="25"/>
  <c r="AE24" i="25"/>
  <c r="AF24" i="25"/>
  <c r="AD24" i="25"/>
  <c r="AC25" i="25"/>
  <c r="AG23" i="25"/>
  <c r="Z24" i="25"/>
  <c r="AA24" i="25"/>
  <c r="X25" i="25"/>
  <c r="Y24" i="25"/>
  <c r="AB23" i="25"/>
  <c r="U26" i="25"/>
  <c r="V26" i="25"/>
  <c r="T26" i="25"/>
  <c r="S27" i="25"/>
  <c r="W25" i="25"/>
  <c r="M74" i="36"/>
  <c r="L25" i="25" s="1"/>
  <c r="J75" i="36"/>
  <c r="I26" i="25" s="1"/>
  <c r="K74" i="36"/>
  <c r="J25" i="25" s="1"/>
  <c r="L74" i="36"/>
  <c r="K25" i="25" s="1"/>
  <c r="N73" i="36"/>
  <c r="M24" i="25" s="1"/>
  <c r="BF26" i="25" l="1"/>
  <c r="BD27" i="25"/>
  <c r="BE27" i="25"/>
  <c r="BC27" i="25"/>
  <c r="BB28" i="25"/>
  <c r="BA24" i="25"/>
  <c r="AZ25" i="25"/>
  <c r="AW26" i="25"/>
  <c r="AX25" i="25"/>
  <c r="AY25" i="25"/>
  <c r="AT25" i="25"/>
  <c r="AU25" i="25"/>
  <c r="AR26" i="25"/>
  <c r="AS25" i="25"/>
  <c r="AV24" i="25"/>
  <c r="AQ24" i="25"/>
  <c r="AM26" i="25"/>
  <c r="AN25" i="25"/>
  <c r="AO25" i="25"/>
  <c r="AP25" i="25"/>
  <c r="AL24" i="25"/>
  <c r="AH26" i="25"/>
  <c r="AI25" i="25"/>
  <c r="AJ25" i="25"/>
  <c r="AK25" i="25"/>
  <c r="AG24" i="25"/>
  <c r="AF25" i="25"/>
  <c r="AC26" i="25"/>
  <c r="AD25" i="25"/>
  <c r="AE25" i="25"/>
  <c r="AB24" i="25"/>
  <c r="X26" i="25"/>
  <c r="Y25" i="25"/>
  <c r="Z25" i="25"/>
  <c r="AA25" i="25"/>
  <c r="W26" i="25"/>
  <c r="S28" i="25"/>
  <c r="T27" i="25"/>
  <c r="V27" i="25"/>
  <c r="U27" i="25"/>
  <c r="N74" i="36"/>
  <c r="M25" i="25" s="1"/>
  <c r="L75" i="36"/>
  <c r="K26" i="25" s="1"/>
  <c r="M75" i="36"/>
  <c r="L26" i="25" s="1"/>
  <c r="J76" i="36"/>
  <c r="I27" i="25" s="1"/>
  <c r="K75" i="36"/>
  <c r="J26" i="25" s="1"/>
  <c r="BF27" i="25" l="1"/>
  <c r="BE28" i="25"/>
  <c r="BB29" i="25"/>
  <c r="BC28" i="25"/>
  <c r="BD28" i="25"/>
  <c r="AY26" i="25"/>
  <c r="AZ26" i="25"/>
  <c r="AW27" i="25"/>
  <c r="AX26" i="25"/>
  <c r="BA25" i="25"/>
  <c r="AV25" i="25"/>
  <c r="AR27" i="25"/>
  <c r="AS26" i="25"/>
  <c r="AU26" i="25"/>
  <c r="AT26" i="25"/>
  <c r="AQ25" i="25"/>
  <c r="AM27" i="25"/>
  <c r="AN26" i="25"/>
  <c r="AO26" i="25"/>
  <c r="AP26" i="25"/>
  <c r="AL25" i="25"/>
  <c r="AJ26" i="25"/>
  <c r="AH27" i="25"/>
  <c r="AI26" i="25"/>
  <c r="AK26" i="25"/>
  <c r="AE26" i="25"/>
  <c r="AC27" i="25"/>
  <c r="AD26" i="25"/>
  <c r="AF26" i="25"/>
  <c r="AG25" i="25"/>
  <c r="AB25" i="25"/>
  <c r="X27" i="25"/>
  <c r="Y26" i="25"/>
  <c r="Z26" i="25"/>
  <c r="AA26" i="25"/>
  <c r="S29" i="25"/>
  <c r="T28" i="25"/>
  <c r="U28" i="25"/>
  <c r="V28" i="25"/>
  <c r="W27" i="25"/>
  <c r="N75" i="36"/>
  <c r="M26" i="25" s="1"/>
  <c r="J77" i="36"/>
  <c r="I28" i="25" s="1"/>
  <c r="K76" i="36"/>
  <c r="J27" i="25" s="1"/>
  <c r="L76" i="36"/>
  <c r="K27" i="25" s="1"/>
  <c r="M76" i="36"/>
  <c r="L27" i="25" s="1"/>
  <c r="BD29" i="25" l="1"/>
  <c r="BB30" i="25"/>
  <c r="BC29" i="25"/>
  <c r="BE29" i="25"/>
  <c r="BF28" i="25"/>
  <c r="BA26" i="25"/>
  <c r="AW28" i="25"/>
  <c r="AX27" i="25"/>
  <c r="AY27" i="25"/>
  <c r="AZ27" i="25"/>
  <c r="AR28" i="25"/>
  <c r="AS27" i="25"/>
  <c r="AT27" i="25"/>
  <c r="AU27" i="25"/>
  <c r="AV26" i="25"/>
  <c r="AQ26" i="25"/>
  <c r="AP27" i="25"/>
  <c r="AM28" i="25"/>
  <c r="AN27" i="25"/>
  <c r="AO27" i="25"/>
  <c r="AL26" i="25"/>
  <c r="AK27" i="25"/>
  <c r="AH28" i="25"/>
  <c r="AI27" i="25"/>
  <c r="AJ27" i="25"/>
  <c r="AG26" i="25"/>
  <c r="AC28" i="25"/>
  <c r="AD27" i="25"/>
  <c r="AF27" i="25"/>
  <c r="AE27" i="25"/>
  <c r="AB26" i="25"/>
  <c r="AA27" i="25"/>
  <c r="Y27" i="25"/>
  <c r="X28" i="25"/>
  <c r="Z27" i="25"/>
  <c r="W28" i="25"/>
  <c r="V29" i="25"/>
  <c r="T29" i="25"/>
  <c r="S30" i="25"/>
  <c r="U29" i="25"/>
  <c r="N76" i="36"/>
  <c r="M27" i="25" s="1"/>
  <c r="L77" i="36"/>
  <c r="K28" i="25" s="1"/>
  <c r="J78" i="36"/>
  <c r="I29" i="25" s="1"/>
  <c r="K77" i="36"/>
  <c r="J28" i="25" s="1"/>
  <c r="M77" i="36"/>
  <c r="L28" i="25" s="1"/>
  <c r="BF29" i="25" l="1"/>
  <c r="BB31" i="25"/>
  <c r="BC30" i="25"/>
  <c r="BE30" i="25"/>
  <c r="BD30" i="25"/>
  <c r="BA27" i="25"/>
  <c r="AW29" i="25"/>
  <c r="AX28" i="25"/>
  <c r="AY28" i="25"/>
  <c r="AZ28" i="25"/>
  <c r="AV27" i="25"/>
  <c r="AU28" i="25"/>
  <c r="AR29" i="25"/>
  <c r="AT28" i="25"/>
  <c r="AS28" i="25"/>
  <c r="AO28" i="25"/>
  <c r="AP28" i="25"/>
  <c r="AN28" i="25"/>
  <c r="AM29" i="25"/>
  <c r="AQ27" i="25"/>
  <c r="AJ28" i="25"/>
  <c r="AK28" i="25"/>
  <c r="AH29" i="25"/>
  <c r="AI28" i="25"/>
  <c r="AL27" i="25"/>
  <c r="AG27" i="25"/>
  <c r="AE28" i="25"/>
  <c r="AF28" i="25"/>
  <c r="AD28" i="25"/>
  <c r="AC29" i="25"/>
  <c r="Z28" i="25"/>
  <c r="AA28" i="25"/>
  <c r="Y28" i="25"/>
  <c r="X29" i="25"/>
  <c r="AB27" i="25"/>
  <c r="U30" i="25"/>
  <c r="V30" i="25"/>
  <c r="T30" i="25"/>
  <c r="S31" i="25"/>
  <c r="W29" i="25"/>
  <c r="N77" i="36"/>
  <c r="M28" i="25" s="1"/>
  <c r="M78" i="36"/>
  <c r="L29" i="25" s="1"/>
  <c r="K78" i="36"/>
  <c r="J29" i="25" s="1"/>
  <c r="L78" i="36"/>
  <c r="K29" i="25" s="1"/>
  <c r="J79" i="36"/>
  <c r="I30" i="25" s="1"/>
  <c r="BF30" i="25" l="1"/>
  <c r="BD31" i="25"/>
  <c r="BE31" i="25"/>
  <c r="BB32" i="25"/>
  <c r="BC31" i="25"/>
  <c r="BA28" i="25"/>
  <c r="AZ29" i="25"/>
  <c r="AW30" i="25"/>
  <c r="AX29" i="25"/>
  <c r="AY29" i="25"/>
  <c r="AT29" i="25"/>
  <c r="AU29" i="25"/>
  <c r="AR30" i="25"/>
  <c r="AS29" i="25"/>
  <c r="AV28" i="25"/>
  <c r="AQ28" i="25"/>
  <c r="AM30" i="25"/>
  <c r="AN29" i="25"/>
  <c r="AO29" i="25"/>
  <c r="AP29" i="25"/>
  <c r="AL28" i="25"/>
  <c r="AH30" i="25"/>
  <c r="AI29" i="25"/>
  <c r="AK29" i="25"/>
  <c r="AJ29" i="25"/>
  <c r="AG28" i="25"/>
  <c r="AF29" i="25"/>
  <c r="AC30" i="25"/>
  <c r="AD29" i="25"/>
  <c r="AE29" i="25"/>
  <c r="AB28" i="25"/>
  <c r="X30" i="25"/>
  <c r="Y29" i="25"/>
  <c r="Z29" i="25"/>
  <c r="AA29" i="25"/>
  <c r="W30" i="25"/>
  <c r="S32" i="25"/>
  <c r="T31" i="25"/>
  <c r="U31" i="25"/>
  <c r="V31" i="25"/>
  <c r="N78" i="36"/>
  <c r="M29" i="25" s="1"/>
  <c r="L79" i="36"/>
  <c r="K30" i="25" s="1"/>
  <c r="M79" i="36"/>
  <c r="L30" i="25" s="1"/>
  <c r="J80" i="36"/>
  <c r="I31" i="25" s="1"/>
  <c r="K79" i="36"/>
  <c r="J30" i="25" s="1"/>
  <c r="BE32" i="25" l="1"/>
  <c r="BB33" i="25"/>
  <c r="BC32" i="25"/>
  <c r="BD32" i="25"/>
  <c r="BF31" i="25"/>
  <c r="AY30" i="25"/>
  <c r="AZ30" i="25"/>
  <c r="AX30" i="25"/>
  <c r="AW31" i="25"/>
  <c r="BA29" i="25"/>
  <c r="AV29" i="25"/>
  <c r="AR31" i="25"/>
  <c r="AS30" i="25"/>
  <c r="AT30" i="25"/>
  <c r="AU30" i="25"/>
  <c r="AQ29" i="25"/>
  <c r="AM31" i="25"/>
  <c r="AN30" i="25"/>
  <c r="AO30" i="25"/>
  <c r="AP30" i="25"/>
  <c r="AL29" i="25"/>
  <c r="AH31" i="25"/>
  <c r="AI30" i="25"/>
  <c r="AJ30" i="25"/>
  <c r="AK30" i="25"/>
  <c r="AE30" i="25"/>
  <c r="AC31" i="25"/>
  <c r="AD30" i="25"/>
  <c r="AF30" i="25"/>
  <c r="AG29" i="25"/>
  <c r="AB29" i="25"/>
  <c r="X31" i="25"/>
  <c r="Y30" i="25"/>
  <c r="Z30" i="25"/>
  <c r="AA30" i="25"/>
  <c r="W31" i="25"/>
  <c r="S33" i="25"/>
  <c r="T32" i="25"/>
  <c r="U32" i="25"/>
  <c r="V32" i="25"/>
  <c r="N79" i="36"/>
  <c r="M30" i="25" s="1"/>
  <c r="J81" i="36"/>
  <c r="I32" i="25" s="1"/>
  <c r="K80" i="36"/>
  <c r="J31" i="25" s="1"/>
  <c r="L80" i="36"/>
  <c r="K31" i="25" s="1"/>
  <c r="M80" i="36"/>
  <c r="L31" i="25" s="1"/>
  <c r="AG30" i="25" l="1"/>
  <c r="BD33" i="25"/>
  <c r="BB34" i="25"/>
  <c r="BC33" i="25"/>
  <c r="BE33" i="25"/>
  <c r="BF32" i="25"/>
  <c r="BA30" i="25"/>
  <c r="AW32" i="25"/>
  <c r="AX31" i="25"/>
  <c r="AY31" i="25"/>
  <c r="AZ31" i="25"/>
  <c r="AV30" i="25"/>
  <c r="AR32" i="25"/>
  <c r="AS31" i="25"/>
  <c r="AT31" i="25"/>
  <c r="AU31" i="25"/>
  <c r="AQ30" i="25"/>
  <c r="AP31" i="25"/>
  <c r="AM32" i="25"/>
  <c r="AN31" i="25"/>
  <c r="AO31" i="25"/>
  <c r="AL30" i="25"/>
  <c r="AK31" i="25"/>
  <c r="AI31" i="25"/>
  <c r="AH32" i="25"/>
  <c r="AJ31" i="25"/>
  <c r="AC32" i="25"/>
  <c r="AD31" i="25"/>
  <c r="AF31" i="25"/>
  <c r="AE31" i="25"/>
  <c r="AB30" i="25"/>
  <c r="AA31" i="25"/>
  <c r="X32" i="25"/>
  <c r="Y31" i="25"/>
  <c r="Z31" i="25"/>
  <c r="W32" i="25"/>
  <c r="V33" i="25"/>
  <c r="T33" i="25"/>
  <c r="S34" i="25"/>
  <c r="U33" i="25"/>
  <c r="N80" i="36"/>
  <c r="M31" i="25" s="1"/>
  <c r="J82" i="36"/>
  <c r="I33" i="25" s="1"/>
  <c r="K81" i="36"/>
  <c r="J32" i="25" s="1"/>
  <c r="M81" i="36"/>
  <c r="L32" i="25" s="1"/>
  <c r="L81" i="36"/>
  <c r="K32" i="25" s="1"/>
  <c r="BF33" i="25" l="1"/>
  <c r="BB35" i="25"/>
  <c r="BC34" i="25"/>
  <c r="BE34" i="25"/>
  <c r="BD34" i="25"/>
  <c r="BA31" i="25"/>
  <c r="AW33" i="25"/>
  <c r="AX32" i="25"/>
  <c r="AY32" i="25"/>
  <c r="AZ32" i="25"/>
  <c r="AV31" i="25"/>
  <c r="AU32" i="25"/>
  <c r="AR33" i="25"/>
  <c r="AS32" i="25"/>
  <c r="AT32" i="25"/>
  <c r="AO32" i="25"/>
  <c r="AP32" i="25"/>
  <c r="AM33" i="25"/>
  <c r="AN32" i="25"/>
  <c r="AQ31" i="25"/>
  <c r="AJ32" i="25"/>
  <c r="AK32" i="25"/>
  <c r="AI32" i="25"/>
  <c r="AH33" i="25"/>
  <c r="AL31" i="25"/>
  <c r="AE32" i="25"/>
  <c r="AF32" i="25"/>
  <c r="AC33" i="25"/>
  <c r="AD32" i="25"/>
  <c r="AG31" i="25"/>
  <c r="Z32" i="25"/>
  <c r="AA32" i="25"/>
  <c r="Y32" i="25"/>
  <c r="X33" i="25"/>
  <c r="AB31" i="25"/>
  <c r="U34" i="25"/>
  <c r="V34" i="25"/>
  <c r="T34" i="25"/>
  <c r="S35" i="25"/>
  <c r="W33" i="25"/>
  <c r="M82" i="36"/>
  <c r="L33" i="25" s="1"/>
  <c r="K82" i="36"/>
  <c r="J33" i="25" s="1"/>
  <c r="J83" i="36"/>
  <c r="I34" i="25" s="1"/>
  <c r="L82" i="36"/>
  <c r="K33" i="25" s="1"/>
  <c r="N81" i="36"/>
  <c r="M32" i="25" s="1"/>
  <c r="BF34" i="25" l="1"/>
  <c r="BD35" i="25"/>
  <c r="BE35" i="25"/>
  <c r="BC35" i="25"/>
  <c r="BB36" i="25"/>
  <c r="BA32" i="25"/>
  <c r="AZ33" i="25"/>
  <c r="AW34" i="25"/>
  <c r="AX33" i="25"/>
  <c r="AY33" i="25"/>
  <c r="AT33" i="25"/>
  <c r="AU33" i="25"/>
  <c r="AR34" i="25"/>
  <c r="AS33" i="25"/>
  <c r="AV32" i="25"/>
  <c r="AQ32" i="25"/>
  <c r="AM34" i="25"/>
  <c r="AN33" i="25"/>
  <c r="AO33" i="25"/>
  <c r="AP33" i="25"/>
  <c r="AL32" i="25"/>
  <c r="AH34" i="25"/>
  <c r="AI33" i="25"/>
  <c r="AJ33" i="25"/>
  <c r="AK33" i="25"/>
  <c r="AG32" i="25"/>
  <c r="AF33" i="25"/>
  <c r="AC34" i="25"/>
  <c r="AD33" i="25"/>
  <c r="AE33" i="25"/>
  <c r="AB32" i="25"/>
  <c r="X34" i="25"/>
  <c r="Y33" i="25"/>
  <c r="Z33" i="25"/>
  <c r="AA33" i="25"/>
  <c r="W34" i="25"/>
  <c r="S36" i="25"/>
  <c r="T35" i="25"/>
  <c r="V35" i="25"/>
  <c r="U35" i="25"/>
  <c r="N82" i="36"/>
  <c r="M33" i="25" s="1"/>
  <c r="L83" i="36"/>
  <c r="K34" i="25" s="1"/>
  <c r="M83" i="36"/>
  <c r="L34" i="25" s="1"/>
  <c r="J84" i="36"/>
  <c r="I35" i="25" s="1"/>
  <c r="K83" i="36"/>
  <c r="J34" i="25" s="1"/>
  <c r="BF35" i="25" l="1"/>
  <c r="BE36" i="25"/>
  <c r="BB37" i="25"/>
  <c r="BC36" i="25"/>
  <c r="BD36" i="25"/>
  <c r="AY34" i="25"/>
  <c r="AZ34" i="25"/>
  <c r="AX34" i="25"/>
  <c r="AW35" i="25"/>
  <c r="BA33" i="25"/>
  <c r="AV33" i="25"/>
  <c r="AR35" i="25"/>
  <c r="AS34" i="25"/>
  <c r="AT34" i="25"/>
  <c r="AU34" i="25"/>
  <c r="AQ33" i="25"/>
  <c r="AM35" i="25"/>
  <c r="AN34" i="25"/>
  <c r="AO34" i="25"/>
  <c r="AP34" i="25"/>
  <c r="AL33" i="25"/>
  <c r="AJ34" i="25"/>
  <c r="AH35" i="25"/>
  <c r="AI34" i="25"/>
  <c r="AK34" i="25"/>
  <c r="AG33" i="25"/>
  <c r="AE34" i="25"/>
  <c r="AC35" i="25"/>
  <c r="AD34" i="25"/>
  <c r="AF34" i="25"/>
  <c r="AB33" i="25"/>
  <c r="X35" i="25"/>
  <c r="Y34" i="25"/>
  <c r="Z34" i="25"/>
  <c r="AA34" i="25"/>
  <c r="S37" i="25"/>
  <c r="T36" i="25"/>
  <c r="U36" i="25"/>
  <c r="V36" i="25"/>
  <c r="W35" i="25"/>
  <c r="N83" i="36"/>
  <c r="M34" i="25" s="1"/>
  <c r="J85" i="36"/>
  <c r="I36" i="25" s="1"/>
  <c r="K84" i="36"/>
  <c r="J35" i="25" s="1"/>
  <c r="L84" i="36"/>
  <c r="K35" i="25" s="1"/>
  <c r="M84" i="36"/>
  <c r="L35" i="25" s="1"/>
  <c r="BD37" i="25" l="1"/>
  <c r="BB38" i="25"/>
  <c r="BC37" i="25"/>
  <c r="BE37" i="25"/>
  <c r="BF36" i="25"/>
  <c r="BA34" i="25"/>
  <c r="AW36" i="25"/>
  <c r="AX35" i="25"/>
  <c r="AY35" i="25"/>
  <c r="AZ35" i="25"/>
  <c r="AV34" i="25"/>
  <c r="AT35" i="25"/>
  <c r="AR36" i="25"/>
  <c r="AS35" i="25"/>
  <c r="AU35" i="25"/>
  <c r="AQ34" i="25"/>
  <c r="AP35" i="25"/>
  <c r="AM36" i="25"/>
  <c r="AN35" i="25"/>
  <c r="AO35" i="25"/>
  <c r="AL34" i="25"/>
  <c r="AK35" i="25"/>
  <c r="AH36" i="25"/>
  <c r="AI35" i="25"/>
  <c r="AJ35" i="25"/>
  <c r="AG34" i="25"/>
  <c r="AC36" i="25"/>
  <c r="AD35" i="25"/>
  <c r="AF35" i="25"/>
  <c r="AE35" i="25"/>
  <c r="AB34" i="25"/>
  <c r="AA35" i="25"/>
  <c r="Y35" i="25"/>
  <c r="X36" i="25"/>
  <c r="Z35" i="25"/>
  <c r="W36" i="25"/>
  <c r="V37" i="25"/>
  <c r="T37" i="25"/>
  <c r="S38" i="25"/>
  <c r="U37" i="25"/>
  <c r="J86" i="36"/>
  <c r="I37" i="25" s="1"/>
  <c r="K85" i="36"/>
  <c r="J36" i="25" s="1"/>
  <c r="L85" i="36"/>
  <c r="K36" i="25" s="1"/>
  <c r="M85" i="36"/>
  <c r="L36" i="25" s="1"/>
  <c r="N84" i="36"/>
  <c r="M35" i="25" s="1"/>
  <c r="BF37" i="25" l="1"/>
  <c r="BB39" i="25"/>
  <c r="BC38" i="25"/>
  <c r="BE38" i="25"/>
  <c r="BD38" i="25"/>
  <c r="BA35" i="25"/>
  <c r="AW37" i="25"/>
  <c r="AX36" i="25"/>
  <c r="AY36" i="25"/>
  <c r="AZ36" i="25"/>
  <c r="AV35" i="25"/>
  <c r="AU36" i="25"/>
  <c r="AR37" i="25"/>
  <c r="AT36" i="25"/>
  <c r="AS36" i="25"/>
  <c r="AO36" i="25"/>
  <c r="AP36" i="25"/>
  <c r="AN36" i="25"/>
  <c r="AM37" i="25"/>
  <c r="AQ35" i="25"/>
  <c r="AJ36" i="25"/>
  <c r="AK36" i="25"/>
  <c r="AI36" i="25"/>
  <c r="AH37" i="25"/>
  <c r="AL35" i="25"/>
  <c r="AG35" i="25"/>
  <c r="AE36" i="25"/>
  <c r="AF36" i="25"/>
  <c r="AD36" i="25"/>
  <c r="AC37" i="25"/>
  <c r="Z36" i="25"/>
  <c r="AA36" i="25"/>
  <c r="X37" i="25"/>
  <c r="Y36" i="25"/>
  <c r="AB35" i="25"/>
  <c r="U38" i="25"/>
  <c r="V38" i="25"/>
  <c r="S39" i="25"/>
  <c r="T38" i="25"/>
  <c r="W37" i="25"/>
  <c r="N85" i="36"/>
  <c r="M36" i="25" s="1"/>
  <c r="M86" i="36"/>
  <c r="L37" i="25" s="1"/>
  <c r="K86" i="36"/>
  <c r="J37" i="25" s="1"/>
  <c r="L86" i="36"/>
  <c r="K37" i="25" s="1"/>
  <c r="J87" i="36"/>
  <c r="I38" i="25" s="1"/>
  <c r="BF38" i="25" l="1"/>
  <c r="BD39" i="25"/>
  <c r="BE39" i="25"/>
  <c r="BB40" i="25"/>
  <c r="BC39" i="25"/>
  <c r="BA36" i="25"/>
  <c r="AZ37" i="25"/>
  <c r="AW38" i="25"/>
  <c r="AX37" i="25"/>
  <c r="AY37" i="25"/>
  <c r="AV36" i="25"/>
  <c r="AT37" i="25"/>
  <c r="AU37" i="25"/>
  <c r="AR38" i="25"/>
  <c r="AS37" i="25"/>
  <c r="AQ36" i="25"/>
  <c r="AM38" i="25"/>
  <c r="AN37" i="25"/>
  <c r="AO37" i="25"/>
  <c r="AP37" i="25"/>
  <c r="AL36" i="25"/>
  <c r="AH38" i="25"/>
  <c r="AI37" i="25"/>
  <c r="AK37" i="25"/>
  <c r="AJ37" i="25"/>
  <c r="AG36" i="25"/>
  <c r="AF37" i="25"/>
  <c r="AC38" i="25"/>
  <c r="AD37" i="25"/>
  <c r="AE37" i="25"/>
  <c r="AB36" i="25"/>
  <c r="X38" i="25"/>
  <c r="Y37" i="25"/>
  <c r="Z37" i="25"/>
  <c r="AA37" i="25"/>
  <c r="W38" i="25"/>
  <c r="S40" i="25"/>
  <c r="T39" i="25"/>
  <c r="V39" i="25"/>
  <c r="U39" i="25"/>
  <c r="N86" i="36"/>
  <c r="M37" i="25" s="1"/>
  <c r="L87" i="36"/>
  <c r="K38" i="25" s="1"/>
  <c r="M87" i="36"/>
  <c r="L38" i="25" s="1"/>
  <c r="J88" i="36"/>
  <c r="I39" i="25" s="1"/>
  <c r="K87" i="36"/>
  <c r="J38" i="25" s="1"/>
  <c r="BF39" i="25" l="1"/>
  <c r="BE40" i="25"/>
  <c r="BB41" i="25"/>
  <c r="BC40" i="25"/>
  <c r="BD40" i="25"/>
  <c r="AY38" i="25"/>
  <c r="AZ38" i="25"/>
  <c r="AW39" i="25"/>
  <c r="AX38" i="25"/>
  <c r="BA37" i="25"/>
  <c r="AV37" i="25"/>
  <c r="AR39" i="25"/>
  <c r="AS38" i="25"/>
  <c r="AT38" i="25"/>
  <c r="AU38" i="25"/>
  <c r="AQ37" i="25"/>
  <c r="AM39" i="25"/>
  <c r="AN38" i="25"/>
  <c r="AO38" i="25"/>
  <c r="AP38" i="25"/>
  <c r="AH39" i="25"/>
  <c r="AI38" i="25"/>
  <c r="AJ38" i="25"/>
  <c r="AK38" i="25"/>
  <c r="AL37" i="25"/>
  <c r="AE38" i="25"/>
  <c r="AC39" i="25"/>
  <c r="AD38" i="25"/>
  <c r="AF38" i="25"/>
  <c r="AG37" i="25"/>
  <c r="AB37" i="25"/>
  <c r="X39" i="25"/>
  <c r="Y38" i="25"/>
  <c r="Z38" i="25"/>
  <c r="AA38" i="25"/>
  <c r="W39" i="25"/>
  <c r="S41" i="25"/>
  <c r="T40" i="25"/>
  <c r="U40" i="25"/>
  <c r="V40" i="25"/>
  <c r="N87" i="36"/>
  <c r="M38" i="25" s="1"/>
  <c r="J89" i="36"/>
  <c r="I40" i="25" s="1"/>
  <c r="K88" i="36"/>
  <c r="J39" i="25" s="1"/>
  <c r="L88" i="36"/>
  <c r="K39" i="25" s="1"/>
  <c r="M88" i="36"/>
  <c r="L39" i="25" s="1"/>
  <c r="BD41" i="25" l="1"/>
  <c r="BC41" i="25"/>
  <c r="BB42" i="25"/>
  <c r="BE41" i="25"/>
  <c r="BF40" i="25"/>
  <c r="BA38" i="25"/>
  <c r="AW40" i="25"/>
  <c r="AX39" i="25"/>
  <c r="AY39" i="25"/>
  <c r="AZ39" i="25"/>
  <c r="AV38" i="25"/>
  <c r="AT39" i="25"/>
  <c r="AR40" i="25"/>
  <c r="AS39" i="25"/>
  <c r="AU39" i="25"/>
  <c r="AQ38" i="25"/>
  <c r="AP39" i="25"/>
  <c r="AM40" i="25"/>
  <c r="AN39" i="25"/>
  <c r="AO39" i="25"/>
  <c r="AL38" i="25"/>
  <c r="AK39" i="25"/>
  <c r="AI39" i="25"/>
  <c r="AH40" i="25"/>
  <c r="AJ39" i="25"/>
  <c r="AG38" i="25"/>
  <c r="AC40" i="25"/>
  <c r="AD39" i="25"/>
  <c r="AF39" i="25"/>
  <c r="AE39" i="25"/>
  <c r="AB38" i="25"/>
  <c r="AA39" i="25"/>
  <c r="X40" i="25"/>
  <c r="Y39" i="25"/>
  <c r="Z39" i="25"/>
  <c r="W40" i="25"/>
  <c r="V41" i="25"/>
  <c r="T41" i="25"/>
  <c r="S42" i="25"/>
  <c r="U41" i="25"/>
  <c r="N88" i="36"/>
  <c r="M39" i="25" s="1"/>
  <c r="J90" i="36"/>
  <c r="I41" i="25" s="1"/>
  <c r="K89" i="36"/>
  <c r="J40" i="25" s="1"/>
  <c r="M89" i="36"/>
  <c r="L40" i="25" s="1"/>
  <c r="L89" i="36"/>
  <c r="K40" i="25" s="1"/>
  <c r="BF41" i="25" l="1"/>
  <c r="BB43" i="25"/>
  <c r="BC42" i="25"/>
  <c r="BE42" i="25"/>
  <c r="BD42" i="25"/>
  <c r="BA39" i="25"/>
  <c r="AW41" i="25"/>
  <c r="AX40" i="25"/>
  <c r="AY40" i="25"/>
  <c r="AZ40" i="25"/>
  <c r="AV39" i="25"/>
  <c r="AU40" i="25"/>
  <c r="AR41" i="25"/>
  <c r="AT40" i="25"/>
  <c r="AS40" i="25"/>
  <c r="AO40" i="25"/>
  <c r="AP40" i="25"/>
  <c r="AN40" i="25"/>
  <c r="AM41" i="25"/>
  <c r="AQ39" i="25"/>
  <c r="AJ40" i="25"/>
  <c r="AK40" i="25"/>
  <c r="AI40" i="25"/>
  <c r="AH41" i="25"/>
  <c r="AL39" i="25"/>
  <c r="AE40" i="25"/>
  <c r="AF40" i="25"/>
  <c r="AC41" i="25"/>
  <c r="AD40" i="25"/>
  <c r="AG39" i="25"/>
  <c r="Z40" i="25"/>
  <c r="AA40" i="25"/>
  <c r="X41" i="25"/>
  <c r="Y40" i="25"/>
  <c r="AB39" i="25"/>
  <c r="U42" i="25"/>
  <c r="V42" i="25"/>
  <c r="T42" i="25"/>
  <c r="S43" i="25"/>
  <c r="W41" i="25"/>
  <c r="M90" i="36"/>
  <c r="L41" i="25" s="1"/>
  <c r="K90" i="36"/>
  <c r="J41" i="25" s="1"/>
  <c r="J91" i="36"/>
  <c r="I42" i="25" s="1"/>
  <c r="L90" i="36"/>
  <c r="K41" i="25" s="1"/>
  <c r="N89" i="36"/>
  <c r="M40" i="25" s="1"/>
  <c r="BF42" i="25" l="1"/>
  <c r="BD43" i="25"/>
  <c r="BE43" i="25"/>
  <c r="BC43" i="25"/>
  <c r="BB44" i="25"/>
  <c r="BA40" i="25"/>
  <c r="AZ41" i="25"/>
  <c r="AW42" i="25"/>
  <c r="AX41" i="25"/>
  <c r="AY41" i="25"/>
  <c r="AV40" i="25"/>
  <c r="AT41" i="25"/>
  <c r="AU41" i="25"/>
  <c r="AR42" i="25"/>
  <c r="AS41" i="25"/>
  <c r="AQ40" i="25"/>
  <c r="AM42" i="25"/>
  <c r="AN41" i="25"/>
  <c r="AO41" i="25"/>
  <c r="AP41" i="25"/>
  <c r="AL40" i="25"/>
  <c r="AH42" i="25"/>
  <c r="AI41" i="25"/>
  <c r="AJ41" i="25"/>
  <c r="AK41" i="25"/>
  <c r="AG40" i="25"/>
  <c r="AF41" i="25"/>
  <c r="AC42" i="25"/>
  <c r="AD41" i="25"/>
  <c r="AE41" i="25"/>
  <c r="AB40" i="25"/>
  <c r="X42" i="25"/>
  <c r="Y41" i="25"/>
  <c r="Z41" i="25"/>
  <c r="AA41" i="25"/>
  <c r="W42" i="25"/>
  <c r="S44" i="25"/>
  <c r="T43" i="25"/>
  <c r="U43" i="25"/>
  <c r="V43" i="25"/>
  <c r="L91" i="36"/>
  <c r="K42" i="25" s="1"/>
  <c r="M91" i="36"/>
  <c r="L42" i="25" s="1"/>
  <c r="J92" i="36"/>
  <c r="I43" i="25" s="1"/>
  <c r="K91" i="36"/>
  <c r="J42" i="25" s="1"/>
  <c r="N90" i="36"/>
  <c r="M41" i="25" s="1"/>
  <c r="BF43" i="25" l="1"/>
  <c r="BE44" i="25"/>
  <c r="BB45" i="25"/>
  <c r="BC44" i="25"/>
  <c r="BD44" i="25"/>
  <c r="AY42" i="25"/>
  <c r="AZ42" i="25"/>
  <c r="AW43" i="25"/>
  <c r="AX42" i="25"/>
  <c r="BA41" i="25"/>
  <c r="AV41" i="25"/>
  <c r="AR43" i="25"/>
  <c r="AS42" i="25"/>
  <c r="AU42" i="25"/>
  <c r="AT42" i="25"/>
  <c r="AQ41" i="25"/>
  <c r="AM43" i="25"/>
  <c r="AN42" i="25"/>
  <c r="AO42" i="25"/>
  <c r="AP42" i="25"/>
  <c r="AL41" i="25"/>
  <c r="AJ42" i="25"/>
  <c r="AH43" i="25"/>
  <c r="AI42" i="25"/>
  <c r="AK42" i="25"/>
  <c r="AE42" i="25"/>
  <c r="AC43" i="25"/>
  <c r="AD42" i="25"/>
  <c r="AF42" i="25"/>
  <c r="AG41" i="25"/>
  <c r="AB41" i="25"/>
  <c r="X43" i="25"/>
  <c r="Y42" i="25"/>
  <c r="Z42" i="25"/>
  <c r="AA42" i="25"/>
  <c r="W43" i="25"/>
  <c r="S45" i="25"/>
  <c r="T44" i="25"/>
  <c r="U44" i="25"/>
  <c r="V44" i="25"/>
  <c r="N91" i="36"/>
  <c r="M42" i="25" s="1"/>
  <c r="J93" i="36"/>
  <c r="I44" i="25" s="1"/>
  <c r="K92" i="36"/>
  <c r="J43" i="25" s="1"/>
  <c r="L92" i="36"/>
  <c r="K43" i="25" s="1"/>
  <c r="M92" i="36"/>
  <c r="L43" i="25" s="1"/>
  <c r="AG42" i="25" l="1"/>
  <c r="BD45" i="25"/>
  <c r="BB46" i="25"/>
  <c r="BC45" i="25"/>
  <c r="BE45" i="25"/>
  <c r="BF44" i="25"/>
  <c r="BA42" i="25"/>
  <c r="AW44" i="25"/>
  <c r="AX43" i="25"/>
  <c r="AY43" i="25"/>
  <c r="AZ43" i="25"/>
  <c r="AR44" i="25"/>
  <c r="AS43" i="25"/>
  <c r="AU43" i="25"/>
  <c r="AT43" i="25"/>
  <c r="AV42" i="25"/>
  <c r="AQ42" i="25"/>
  <c r="AP43" i="25"/>
  <c r="AM44" i="25"/>
  <c r="AN43" i="25"/>
  <c r="AO43" i="25"/>
  <c r="AK43" i="25"/>
  <c r="AH44" i="25"/>
  <c r="AI43" i="25"/>
  <c r="AJ43" i="25"/>
  <c r="AL42" i="25"/>
  <c r="AC44" i="25"/>
  <c r="AD43" i="25"/>
  <c r="AF43" i="25"/>
  <c r="AE43" i="25"/>
  <c r="AB42" i="25"/>
  <c r="AA43" i="25"/>
  <c r="Y43" i="25"/>
  <c r="Z43" i="25"/>
  <c r="X44" i="25"/>
  <c r="W44" i="25"/>
  <c r="V45" i="25"/>
  <c r="T45" i="25"/>
  <c r="S46" i="25"/>
  <c r="U45" i="25"/>
  <c r="N92" i="36"/>
  <c r="M43" i="25" s="1"/>
  <c r="J94" i="36"/>
  <c r="I45" i="25" s="1"/>
  <c r="K93" i="36"/>
  <c r="J44" i="25" s="1"/>
  <c r="L93" i="36"/>
  <c r="K44" i="25" s="1"/>
  <c r="M93" i="36"/>
  <c r="L44" i="25" s="1"/>
  <c r="BF45" i="25" l="1"/>
  <c r="BB47" i="25"/>
  <c r="BC46" i="25"/>
  <c r="BE46" i="25"/>
  <c r="BD46" i="25"/>
  <c r="BA43" i="25"/>
  <c r="AW45" i="25"/>
  <c r="AX44" i="25"/>
  <c r="AY44" i="25"/>
  <c r="AZ44" i="25"/>
  <c r="AU44" i="25"/>
  <c r="AR45" i="25"/>
  <c r="AS44" i="25"/>
  <c r="AT44" i="25"/>
  <c r="AV43" i="25"/>
  <c r="AO44" i="25"/>
  <c r="AP44" i="25"/>
  <c r="AN44" i="25"/>
  <c r="AM45" i="25"/>
  <c r="AQ43" i="25"/>
  <c r="AJ44" i="25"/>
  <c r="AK44" i="25"/>
  <c r="AH45" i="25"/>
  <c r="AI44" i="25"/>
  <c r="AL43" i="25"/>
  <c r="AG43" i="25"/>
  <c r="AE44" i="25"/>
  <c r="AF44" i="25"/>
  <c r="AD44" i="25"/>
  <c r="AC45" i="25"/>
  <c r="AB43" i="25"/>
  <c r="Z44" i="25"/>
  <c r="AA44" i="25"/>
  <c r="Y44" i="25"/>
  <c r="X45" i="25"/>
  <c r="U46" i="25"/>
  <c r="V46" i="25"/>
  <c r="T46" i="25"/>
  <c r="S47" i="25"/>
  <c r="W45" i="25"/>
  <c r="N93" i="36"/>
  <c r="M44" i="25" s="1"/>
  <c r="M94" i="36"/>
  <c r="L45" i="25" s="1"/>
  <c r="K94" i="36"/>
  <c r="J45" i="25" s="1"/>
  <c r="J95" i="36"/>
  <c r="I46" i="25" s="1"/>
  <c r="L94" i="36"/>
  <c r="K45" i="25" s="1"/>
  <c r="BF46" i="25" l="1"/>
  <c r="BD47" i="25"/>
  <c r="BE47" i="25"/>
  <c r="BB48" i="25"/>
  <c r="BC47" i="25"/>
  <c r="BA44" i="25"/>
  <c r="AZ45" i="25"/>
  <c r="AW46" i="25"/>
  <c r="AX45" i="25"/>
  <c r="AY45" i="25"/>
  <c r="AT45" i="25"/>
  <c r="AU45" i="25"/>
  <c r="AR46" i="25"/>
  <c r="AS45" i="25"/>
  <c r="AV44" i="25"/>
  <c r="AQ44" i="25"/>
  <c r="AM46" i="25"/>
  <c r="AN45" i="25"/>
  <c r="AO45" i="25"/>
  <c r="AP45" i="25"/>
  <c r="AL44" i="25"/>
  <c r="AH46" i="25"/>
  <c r="AI45" i="25"/>
  <c r="AK45" i="25"/>
  <c r="AJ45" i="25"/>
  <c r="AG44" i="25"/>
  <c r="AF45" i="25"/>
  <c r="AC46" i="25"/>
  <c r="AD45" i="25"/>
  <c r="AE45" i="25"/>
  <c r="AB44" i="25"/>
  <c r="X46" i="25"/>
  <c r="Y45" i="25"/>
  <c r="Z45" i="25"/>
  <c r="AA45" i="25"/>
  <c r="W46" i="25"/>
  <c r="S48" i="25"/>
  <c r="T47" i="25"/>
  <c r="V47" i="25"/>
  <c r="U47" i="25"/>
  <c r="L95" i="36"/>
  <c r="K46" i="25" s="1"/>
  <c r="M95" i="36"/>
  <c r="L46" i="25" s="1"/>
  <c r="J96" i="36"/>
  <c r="I47" i="25" s="1"/>
  <c r="K95" i="36"/>
  <c r="J46" i="25" s="1"/>
  <c r="N94" i="36"/>
  <c r="M45" i="25" s="1"/>
  <c r="BF47" i="25" l="1"/>
  <c r="BE48" i="25"/>
  <c r="BB49" i="25"/>
  <c r="BC48" i="25"/>
  <c r="BD48" i="25"/>
  <c r="AY46" i="25"/>
  <c r="AZ46" i="25"/>
  <c r="AX46" i="25"/>
  <c r="AW47" i="25"/>
  <c r="BA45" i="25"/>
  <c r="AV45" i="25"/>
  <c r="AR47" i="25"/>
  <c r="AS46" i="25"/>
  <c r="AU46" i="25"/>
  <c r="AT46" i="25"/>
  <c r="AQ45" i="25"/>
  <c r="AM47" i="25"/>
  <c r="AN46" i="25"/>
  <c r="AO46" i="25"/>
  <c r="AP46" i="25"/>
  <c r="AH47" i="25"/>
  <c r="AI46" i="25"/>
  <c r="AJ46" i="25"/>
  <c r="AK46" i="25"/>
  <c r="AL45" i="25"/>
  <c r="AE46" i="25"/>
  <c r="AC47" i="25"/>
  <c r="AD46" i="25"/>
  <c r="AF46" i="25"/>
  <c r="AG45" i="25"/>
  <c r="AB45" i="25"/>
  <c r="X47" i="25"/>
  <c r="Y46" i="25"/>
  <c r="Z46" i="25"/>
  <c r="AA46" i="25"/>
  <c r="W47" i="25"/>
  <c r="S49" i="25"/>
  <c r="T48" i="25"/>
  <c r="U48" i="25"/>
  <c r="V48" i="25"/>
  <c r="N95" i="36"/>
  <c r="M46" i="25" s="1"/>
  <c r="J97" i="36"/>
  <c r="I48" i="25" s="1"/>
  <c r="K96" i="36"/>
  <c r="J47" i="25" s="1"/>
  <c r="L96" i="36"/>
  <c r="K47" i="25" s="1"/>
  <c r="M96" i="36"/>
  <c r="L47" i="25" s="1"/>
  <c r="BD49" i="25" l="1"/>
  <c r="BB50" i="25"/>
  <c r="BC49" i="25"/>
  <c r="BE49" i="25"/>
  <c r="BF48" i="25"/>
  <c r="BA46" i="25"/>
  <c r="AW48" i="25"/>
  <c r="AX47" i="25"/>
  <c r="AY47" i="25"/>
  <c r="AZ47" i="25"/>
  <c r="AT47" i="25"/>
  <c r="AR48" i="25"/>
  <c r="AS47" i="25"/>
  <c r="AU47" i="25"/>
  <c r="AV46" i="25"/>
  <c r="AQ46" i="25"/>
  <c r="AP47" i="25"/>
  <c r="AM48" i="25"/>
  <c r="AN47" i="25"/>
  <c r="AO47" i="25"/>
  <c r="AL46" i="25"/>
  <c r="AK47" i="25"/>
  <c r="AI47" i="25"/>
  <c r="AH48" i="25"/>
  <c r="AJ47" i="25"/>
  <c r="AG46" i="25"/>
  <c r="AC48" i="25"/>
  <c r="AD47" i="25"/>
  <c r="AF47" i="25"/>
  <c r="AE47" i="25"/>
  <c r="AB46" i="25"/>
  <c r="AA47" i="25"/>
  <c r="X48" i="25"/>
  <c r="Z47" i="25"/>
  <c r="Y47" i="25"/>
  <c r="W48" i="25"/>
  <c r="V49" i="25"/>
  <c r="T49" i="25"/>
  <c r="S50" i="25"/>
  <c r="U49" i="25"/>
  <c r="N96" i="36"/>
  <c r="M47" i="25" s="1"/>
  <c r="J98" i="36"/>
  <c r="I49" i="25" s="1"/>
  <c r="K97" i="36"/>
  <c r="J48" i="25" s="1"/>
  <c r="L97" i="36"/>
  <c r="K48" i="25" s="1"/>
  <c r="M97" i="36"/>
  <c r="L48" i="25" s="1"/>
  <c r="BF49" i="25" l="1"/>
  <c r="BB51" i="25"/>
  <c r="BC50" i="25"/>
  <c r="BE50" i="25"/>
  <c r="BD50" i="25"/>
  <c r="BA47" i="25"/>
  <c r="AW49" i="25"/>
  <c r="AX48" i="25"/>
  <c r="AY48" i="25"/>
  <c r="AZ48" i="25"/>
  <c r="AV47" i="25"/>
  <c r="AR49" i="25"/>
  <c r="AS48" i="25"/>
  <c r="AU48" i="25"/>
  <c r="AT48" i="25"/>
  <c r="AO48" i="25"/>
  <c r="AP48" i="25"/>
  <c r="AM49" i="25"/>
  <c r="AN48" i="25"/>
  <c r="AQ47" i="25"/>
  <c r="AJ48" i="25"/>
  <c r="AK48" i="25"/>
  <c r="AI48" i="25"/>
  <c r="AH49" i="25"/>
  <c r="AL47" i="25"/>
  <c r="AE48" i="25"/>
  <c r="AF48" i="25"/>
  <c r="AC49" i="25"/>
  <c r="AD48" i="25"/>
  <c r="AG47" i="25"/>
  <c r="AB47" i="25"/>
  <c r="Z48" i="25"/>
  <c r="AA48" i="25"/>
  <c r="Y48" i="25"/>
  <c r="X49" i="25"/>
  <c r="U50" i="25"/>
  <c r="V50" i="25"/>
  <c r="T50" i="25"/>
  <c r="S51" i="25"/>
  <c r="W49" i="25"/>
  <c r="N97" i="36"/>
  <c r="M48" i="25" s="1"/>
  <c r="M98" i="36"/>
  <c r="L49" i="25" s="1"/>
  <c r="K98" i="36"/>
  <c r="J49" i="25" s="1"/>
  <c r="L98" i="36"/>
  <c r="K49" i="25" s="1"/>
  <c r="J99" i="36"/>
  <c r="I50" i="25" s="1"/>
  <c r="BD51" i="25" l="1"/>
  <c r="BE51" i="25"/>
  <c r="BC51" i="25"/>
  <c r="BB52" i="25"/>
  <c r="BF50" i="25"/>
  <c r="BA48" i="25"/>
  <c r="AZ49" i="25"/>
  <c r="AW50" i="25"/>
  <c r="AX49" i="25"/>
  <c r="AY49" i="25"/>
  <c r="AS49" i="25"/>
  <c r="AT49" i="25"/>
  <c r="AR50" i="25"/>
  <c r="AU49" i="25"/>
  <c r="AV48" i="25"/>
  <c r="AQ48" i="25"/>
  <c r="AM50" i="25"/>
  <c r="AN49" i="25"/>
  <c r="AO49" i="25"/>
  <c r="AP49" i="25"/>
  <c r="AL48" i="25"/>
  <c r="AH50" i="25"/>
  <c r="AI49" i="25"/>
  <c r="AJ49" i="25"/>
  <c r="AK49" i="25"/>
  <c r="AG48" i="25"/>
  <c r="AF49" i="25"/>
  <c r="AC50" i="25"/>
  <c r="AD49" i="25"/>
  <c r="AE49" i="25"/>
  <c r="AB48" i="25"/>
  <c r="X50" i="25"/>
  <c r="Y49" i="25"/>
  <c r="Z49" i="25"/>
  <c r="AA49" i="25"/>
  <c r="W50" i="25"/>
  <c r="S52" i="25"/>
  <c r="T51" i="25"/>
  <c r="V51" i="25"/>
  <c r="U51" i="25"/>
  <c r="N98" i="36"/>
  <c r="M49" i="25" s="1"/>
  <c r="L99" i="36"/>
  <c r="K50" i="25" s="1"/>
  <c r="M99" i="36"/>
  <c r="L50" i="25" s="1"/>
  <c r="J100" i="36"/>
  <c r="I51" i="25" s="1"/>
  <c r="K99" i="36"/>
  <c r="J50" i="25" s="1"/>
  <c r="BF51" i="25" l="1"/>
  <c r="BE52" i="25"/>
  <c r="BB53" i="25"/>
  <c r="BC52" i="25"/>
  <c r="BD52" i="25"/>
  <c r="AY50" i="25"/>
  <c r="AZ50" i="25"/>
  <c r="AX50" i="25"/>
  <c r="AW51" i="25"/>
  <c r="BA49" i="25"/>
  <c r="AV49" i="25"/>
  <c r="AU50" i="25"/>
  <c r="AS50" i="25"/>
  <c r="AT50" i="25"/>
  <c r="AR51" i="25"/>
  <c r="AM51" i="25"/>
  <c r="AN50" i="25"/>
  <c r="AO50" i="25"/>
  <c r="AP50" i="25"/>
  <c r="AQ49" i="25"/>
  <c r="AL49" i="25"/>
  <c r="AJ50" i="25"/>
  <c r="AH51" i="25"/>
  <c r="AI50" i="25"/>
  <c r="AK50" i="25"/>
  <c r="AE50" i="25"/>
  <c r="AC51" i="25"/>
  <c r="AD50" i="25"/>
  <c r="AF50" i="25"/>
  <c r="AG49" i="25"/>
  <c r="AB49" i="25"/>
  <c r="X51" i="25"/>
  <c r="Y50" i="25"/>
  <c r="AA50" i="25"/>
  <c r="Z50" i="25"/>
  <c r="S53" i="25"/>
  <c r="T52" i="25"/>
  <c r="U52" i="25"/>
  <c r="V52" i="25"/>
  <c r="W51" i="25"/>
  <c r="N99" i="36"/>
  <c r="M50" i="25" s="1"/>
  <c r="J101" i="36"/>
  <c r="I52" i="25" s="1"/>
  <c r="K100" i="36"/>
  <c r="J51" i="25" s="1"/>
  <c r="L100" i="36"/>
  <c r="K51" i="25" s="1"/>
  <c r="M100" i="36"/>
  <c r="L51" i="25" s="1"/>
  <c r="BD53" i="25" l="1"/>
  <c r="BB54" i="25"/>
  <c r="BC53" i="25"/>
  <c r="BE53" i="25"/>
  <c r="BF52" i="25"/>
  <c r="BA50" i="25"/>
  <c r="AW52" i="25"/>
  <c r="AX51" i="25"/>
  <c r="AY51" i="25"/>
  <c r="AZ51" i="25"/>
  <c r="AV50" i="25"/>
  <c r="AT51" i="25"/>
  <c r="AS51" i="25"/>
  <c r="AU51" i="25"/>
  <c r="AR52" i="25"/>
  <c r="AQ50" i="25"/>
  <c r="AP51" i="25"/>
  <c r="AM52" i="25"/>
  <c r="AN51" i="25"/>
  <c r="AO51" i="25"/>
  <c r="AL50" i="25"/>
  <c r="AK51" i="25"/>
  <c r="AH52" i="25"/>
  <c r="AI51" i="25"/>
  <c r="AJ51" i="25"/>
  <c r="AG50" i="25"/>
  <c r="AC52" i="25"/>
  <c r="AD51" i="25"/>
  <c r="AF51" i="25"/>
  <c r="AE51" i="25"/>
  <c r="AA51" i="25"/>
  <c r="Y51" i="25"/>
  <c r="Z51" i="25"/>
  <c r="X52" i="25"/>
  <c r="AB50" i="25"/>
  <c r="W52" i="25"/>
  <c r="V53" i="25"/>
  <c r="T53" i="25"/>
  <c r="S54" i="25"/>
  <c r="U53" i="25"/>
  <c r="N100" i="36"/>
  <c r="M51" i="25" s="1"/>
  <c r="J102" i="36"/>
  <c r="I53" i="25" s="1"/>
  <c r="K101" i="36"/>
  <c r="J52" i="25" s="1"/>
  <c r="M101" i="36"/>
  <c r="L52" i="25" s="1"/>
  <c r="L101" i="36"/>
  <c r="K52" i="25" s="1"/>
  <c r="BF53" i="25" l="1"/>
  <c r="BB55" i="25"/>
  <c r="BC54" i="25"/>
  <c r="BE54" i="25"/>
  <c r="BD54" i="25"/>
  <c r="BA51" i="25"/>
  <c r="AW53" i="25"/>
  <c r="AX52" i="25"/>
  <c r="AY52" i="25"/>
  <c r="AZ52" i="25"/>
  <c r="AV51" i="25"/>
  <c r="AR53" i="25"/>
  <c r="AS52" i="25"/>
  <c r="AT52" i="25"/>
  <c r="AU52" i="25"/>
  <c r="AO52" i="25"/>
  <c r="AP52" i="25"/>
  <c r="AN52" i="25"/>
  <c r="AM53" i="25"/>
  <c r="AQ51" i="25"/>
  <c r="AJ52" i="25"/>
  <c r="AK52" i="25"/>
  <c r="AI52" i="25"/>
  <c r="AH53" i="25"/>
  <c r="AL51" i="25"/>
  <c r="AE52" i="25"/>
  <c r="AF52" i="25"/>
  <c r="AD52" i="25"/>
  <c r="AC53" i="25"/>
  <c r="AG51" i="25"/>
  <c r="AB51" i="25"/>
  <c r="Z52" i="25"/>
  <c r="AA52" i="25"/>
  <c r="X53" i="25"/>
  <c r="Y52" i="25"/>
  <c r="U54" i="25"/>
  <c r="V54" i="25"/>
  <c r="S55" i="25"/>
  <c r="T54" i="25"/>
  <c r="W53" i="25"/>
  <c r="M102" i="36"/>
  <c r="L53" i="25" s="1"/>
  <c r="K102" i="36"/>
  <c r="J53" i="25" s="1"/>
  <c r="J103" i="36"/>
  <c r="I54" i="25" s="1"/>
  <c r="L102" i="36"/>
  <c r="K53" i="25" s="1"/>
  <c r="N101" i="36"/>
  <c r="M52" i="25" s="1"/>
  <c r="BD55" i="25" l="1"/>
  <c r="BE55" i="25"/>
  <c r="BB56" i="25"/>
  <c r="BC55" i="25"/>
  <c r="BF54" i="25"/>
  <c r="BA52" i="25"/>
  <c r="AZ53" i="25"/>
  <c r="AW54" i="25"/>
  <c r="AX53" i="25"/>
  <c r="AY53" i="25"/>
  <c r="AV52" i="25"/>
  <c r="AT53" i="25"/>
  <c r="AU53" i="25"/>
  <c r="AS53" i="25"/>
  <c r="AR54" i="25"/>
  <c r="AQ52" i="25"/>
  <c r="AM54" i="25"/>
  <c r="AN53" i="25"/>
  <c r="AO53" i="25"/>
  <c r="AP53" i="25"/>
  <c r="AH54" i="25"/>
  <c r="AI53" i="25"/>
  <c r="AK53" i="25"/>
  <c r="AJ53" i="25"/>
  <c r="AL52" i="25"/>
  <c r="AG52" i="25"/>
  <c r="AF53" i="25"/>
  <c r="AC54" i="25"/>
  <c r="AD53" i="25"/>
  <c r="AE53" i="25"/>
  <c r="AB52" i="25"/>
  <c r="X54" i="25"/>
  <c r="Y53" i="25"/>
  <c r="Z53" i="25"/>
  <c r="AA53" i="25"/>
  <c r="W54" i="25"/>
  <c r="S56" i="25"/>
  <c r="T55" i="25"/>
  <c r="V55" i="25"/>
  <c r="U55" i="25"/>
  <c r="L103" i="36"/>
  <c r="K54" i="25" s="1"/>
  <c r="M103" i="36"/>
  <c r="L54" i="25" s="1"/>
  <c r="J104" i="36"/>
  <c r="I55" i="25" s="1"/>
  <c r="K103" i="36"/>
  <c r="J54" i="25" s="1"/>
  <c r="N102" i="36"/>
  <c r="M53" i="25" s="1"/>
  <c r="BF55" i="25" l="1"/>
  <c r="BE56" i="25"/>
  <c r="BB57" i="25"/>
  <c r="BC56" i="25"/>
  <c r="BD56" i="25"/>
  <c r="AY54" i="25"/>
  <c r="AZ54" i="25"/>
  <c r="AW55" i="25"/>
  <c r="AX54" i="25"/>
  <c r="BA53" i="25"/>
  <c r="AV53" i="25"/>
  <c r="AU54" i="25"/>
  <c r="AT54" i="25"/>
  <c r="AR55" i="25"/>
  <c r="AS54" i="25"/>
  <c r="AQ53" i="25"/>
  <c r="AM55" i="25"/>
  <c r="AN54" i="25"/>
  <c r="AO54" i="25"/>
  <c r="AP54" i="25"/>
  <c r="AH55" i="25"/>
  <c r="AI54" i="25"/>
  <c r="AJ54" i="25"/>
  <c r="AK54" i="25"/>
  <c r="AL53" i="25"/>
  <c r="AE54" i="25"/>
  <c r="AC55" i="25"/>
  <c r="AD54" i="25"/>
  <c r="AF54" i="25"/>
  <c r="AG53" i="25"/>
  <c r="AB53" i="25"/>
  <c r="X55" i="25"/>
  <c r="Y54" i="25"/>
  <c r="Z54" i="25"/>
  <c r="AA54" i="25"/>
  <c r="W55" i="25"/>
  <c r="S57" i="25"/>
  <c r="T56" i="25"/>
  <c r="U56" i="25"/>
  <c r="V56" i="25"/>
  <c r="N103" i="36"/>
  <c r="M54" i="25" s="1"/>
  <c r="J105" i="36"/>
  <c r="I56" i="25" s="1"/>
  <c r="K104" i="36"/>
  <c r="J55" i="25" s="1"/>
  <c r="L104" i="36"/>
  <c r="K55" i="25" s="1"/>
  <c r="M104" i="36"/>
  <c r="L55" i="25" s="1"/>
  <c r="BD57" i="25" l="1"/>
  <c r="BB58" i="25"/>
  <c r="BC57" i="25"/>
  <c r="BE57" i="25"/>
  <c r="BF56" i="25"/>
  <c r="BA54" i="25"/>
  <c r="AW56" i="25"/>
  <c r="AX55" i="25"/>
  <c r="AY55" i="25"/>
  <c r="AZ55" i="25"/>
  <c r="AT55" i="25"/>
  <c r="AU55" i="25"/>
  <c r="AR56" i="25"/>
  <c r="AS55" i="25"/>
  <c r="AV54" i="25"/>
  <c r="AQ54" i="25"/>
  <c r="AP55" i="25"/>
  <c r="AM56" i="25"/>
  <c r="AN55" i="25"/>
  <c r="AO55" i="25"/>
  <c r="AL54" i="25"/>
  <c r="AK55" i="25"/>
  <c r="AI55" i="25"/>
  <c r="AH56" i="25"/>
  <c r="AJ55" i="25"/>
  <c r="AG54" i="25"/>
  <c r="AC56" i="25"/>
  <c r="AD55" i="25"/>
  <c r="AF55" i="25"/>
  <c r="AE55" i="25"/>
  <c r="AB54" i="25"/>
  <c r="AA55" i="25"/>
  <c r="X56" i="25"/>
  <c r="Y55" i="25"/>
  <c r="Z55" i="25"/>
  <c r="W56" i="25"/>
  <c r="V57" i="25"/>
  <c r="S58" i="25"/>
  <c r="T57" i="25"/>
  <c r="U57" i="25"/>
  <c r="N104" i="36"/>
  <c r="M55" i="25" s="1"/>
  <c r="J106" i="36"/>
  <c r="I57" i="25" s="1"/>
  <c r="K105" i="36"/>
  <c r="J56" i="25" s="1"/>
  <c r="L105" i="36"/>
  <c r="K56" i="25" s="1"/>
  <c r="M105" i="36"/>
  <c r="L56" i="25" s="1"/>
  <c r="BF57" i="25" l="1"/>
  <c r="BB59" i="25"/>
  <c r="BC58" i="25"/>
  <c r="BE58" i="25"/>
  <c r="BD58" i="25"/>
  <c r="BA55" i="25"/>
  <c r="AW57" i="25"/>
  <c r="AX56" i="25"/>
  <c r="AY56" i="25"/>
  <c r="AZ56" i="25"/>
  <c r="AV55" i="25"/>
  <c r="AR57" i="25"/>
  <c r="AS56" i="25"/>
  <c r="AU56" i="25"/>
  <c r="AT56" i="25"/>
  <c r="AO56" i="25"/>
  <c r="AP56" i="25"/>
  <c r="AN56" i="25"/>
  <c r="AM57" i="25"/>
  <c r="AQ55" i="25"/>
  <c r="AJ56" i="25"/>
  <c r="AK56" i="25"/>
  <c r="AH57" i="25"/>
  <c r="AI56" i="25"/>
  <c r="AL55" i="25"/>
  <c r="AE56" i="25"/>
  <c r="AF56" i="25"/>
  <c r="AC57" i="25"/>
  <c r="AD56" i="25"/>
  <c r="AG55" i="25"/>
  <c r="Z56" i="25"/>
  <c r="AA56" i="25"/>
  <c r="Y56" i="25"/>
  <c r="X57" i="25"/>
  <c r="AB55" i="25"/>
  <c r="U58" i="25"/>
  <c r="V58" i="25"/>
  <c r="T58" i="25"/>
  <c r="S59" i="25"/>
  <c r="W57" i="25"/>
  <c r="M106" i="36"/>
  <c r="L57" i="25" s="1"/>
  <c r="K106" i="36"/>
  <c r="J57" i="25" s="1"/>
  <c r="L106" i="36"/>
  <c r="K57" i="25" s="1"/>
  <c r="J107" i="36"/>
  <c r="I58" i="25" s="1"/>
  <c r="N105" i="36"/>
  <c r="M56" i="25" s="1"/>
  <c r="BD59" i="25" l="1"/>
  <c r="BE59" i="25"/>
  <c r="BC59" i="25"/>
  <c r="BB60" i="25"/>
  <c r="BF58" i="25"/>
  <c r="BA56" i="25"/>
  <c r="AZ57" i="25"/>
  <c r="AW58" i="25"/>
  <c r="AX57" i="25"/>
  <c r="AY57" i="25"/>
  <c r="AU57" i="25"/>
  <c r="AR58" i="25"/>
  <c r="AS57" i="25"/>
  <c r="AT57" i="25"/>
  <c r="AV56" i="25"/>
  <c r="AQ56" i="25"/>
  <c r="AM58" i="25"/>
  <c r="AN57" i="25"/>
  <c r="AO57" i="25"/>
  <c r="AP57" i="25"/>
  <c r="AL56" i="25"/>
  <c r="AH58" i="25"/>
  <c r="AI57" i="25"/>
  <c r="AJ57" i="25"/>
  <c r="AK57" i="25"/>
  <c r="AG56" i="25"/>
  <c r="AF57" i="25"/>
  <c r="AC58" i="25"/>
  <c r="AD57" i="25"/>
  <c r="AE57" i="25"/>
  <c r="AB56" i="25"/>
  <c r="X58" i="25"/>
  <c r="Y57" i="25"/>
  <c r="Z57" i="25"/>
  <c r="AA57" i="25"/>
  <c r="W58" i="25"/>
  <c r="S60" i="25"/>
  <c r="T59" i="25"/>
  <c r="U59" i="25"/>
  <c r="V59" i="25"/>
  <c r="N106" i="36"/>
  <c r="M57" i="25" s="1"/>
  <c r="L107" i="36"/>
  <c r="K58" i="25" s="1"/>
  <c r="M107" i="36"/>
  <c r="L58" i="25" s="1"/>
  <c r="J108" i="36"/>
  <c r="I59" i="25" s="1"/>
  <c r="K107" i="36"/>
  <c r="J58" i="25" s="1"/>
  <c r="N107" i="36" l="1"/>
  <c r="M58" i="25" s="1"/>
  <c r="BF59" i="25"/>
  <c r="BE60" i="25"/>
  <c r="BB61" i="25"/>
  <c r="BC60" i="25"/>
  <c r="BD60" i="25"/>
  <c r="AY58" i="25"/>
  <c r="AZ58" i="25"/>
  <c r="AW59" i="25"/>
  <c r="AX58" i="25"/>
  <c r="BA57" i="25"/>
  <c r="AU58" i="25"/>
  <c r="AR59" i="25"/>
  <c r="AT58" i="25"/>
  <c r="AS58" i="25"/>
  <c r="AV57" i="25"/>
  <c r="AM59" i="25"/>
  <c r="AN58" i="25"/>
  <c r="AO58" i="25"/>
  <c r="AP58" i="25"/>
  <c r="AQ57" i="25"/>
  <c r="AL57" i="25"/>
  <c r="AJ58" i="25"/>
  <c r="AH59" i="25"/>
  <c r="AI58" i="25"/>
  <c r="AK58" i="25"/>
  <c r="AE58" i="25"/>
  <c r="AC59" i="25"/>
  <c r="AD58" i="25"/>
  <c r="AF58" i="25"/>
  <c r="AG57" i="25"/>
  <c r="AB57" i="25"/>
  <c r="X59" i="25"/>
  <c r="Y58" i="25"/>
  <c r="Z58" i="25"/>
  <c r="AA58" i="25"/>
  <c r="W59" i="25"/>
  <c r="U60" i="25"/>
  <c r="S61" i="25"/>
  <c r="T60" i="25"/>
  <c r="V60" i="25"/>
  <c r="J109" i="36"/>
  <c r="I60" i="25" s="1"/>
  <c r="K108" i="36"/>
  <c r="J59" i="25" s="1"/>
  <c r="L108" i="36"/>
  <c r="K59" i="25" s="1"/>
  <c r="M108" i="36"/>
  <c r="L59" i="25" s="1"/>
  <c r="BD61" i="25" l="1"/>
  <c r="BB62" i="25"/>
  <c r="BC61" i="25"/>
  <c r="BE61" i="25"/>
  <c r="BF60" i="25"/>
  <c r="BA58" i="25"/>
  <c r="AW60" i="25"/>
  <c r="AX59" i="25"/>
  <c r="AY59" i="25"/>
  <c r="AZ59" i="25"/>
  <c r="AV58" i="25"/>
  <c r="AT59" i="25"/>
  <c r="AS59" i="25"/>
  <c r="AR60" i="25"/>
  <c r="AU59" i="25"/>
  <c r="AQ58" i="25"/>
  <c r="AP59" i="25"/>
  <c r="AM60" i="25"/>
  <c r="AN59" i="25"/>
  <c r="AO59" i="25"/>
  <c r="AL58" i="25"/>
  <c r="AK59" i="25"/>
  <c r="AH60" i="25"/>
  <c r="AI59" i="25"/>
  <c r="AJ59" i="25"/>
  <c r="AG58" i="25"/>
  <c r="AC60" i="25"/>
  <c r="AD59" i="25"/>
  <c r="AF59" i="25"/>
  <c r="AE59" i="25"/>
  <c r="AB58" i="25"/>
  <c r="AA59" i="25"/>
  <c r="Y59" i="25"/>
  <c r="X60" i="25"/>
  <c r="Z59" i="25"/>
  <c r="W60" i="25"/>
  <c r="V61" i="25"/>
  <c r="S62" i="25"/>
  <c r="T61" i="25"/>
  <c r="U61" i="25"/>
  <c r="N108" i="36"/>
  <c r="M59" i="25" s="1"/>
  <c r="J110" i="36"/>
  <c r="I61" i="25" s="1"/>
  <c r="K109" i="36"/>
  <c r="J60" i="25" s="1"/>
  <c r="M109" i="36"/>
  <c r="L60" i="25" s="1"/>
  <c r="L109" i="36"/>
  <c r="K60" i="25" s="1"/>
  <c r="BF61" i="25" l="1"/>
  <c r="BB63" i="25"/>
  <c r="BC62" i="25"/>
  <c r="BE62" i="25"/>
  <c r="BD62" i="25"/>
  <c r="BA59" i="25"/>
  <c r="AW61" i="25"/>
  <c r="AX60" i="25"/>
  <c r="AY60" i="25"/>
  <c r="AZ60" i="25"/>
  <c r="AV59" i="25"/>
  <c r="AR61" i="25"/>
  <c r="AS60" i="25"/>
  <c r="AT60" i="25"/>
  <c r="AU60" i="25"/>
  <c r="AO60" i="25"/>
  <c r="AP60" i="25"/>
  <c r="AN60" i="25"/>
  <c r="AM61" i="25"/>
  <c r="AQ59" i="25"/>
  <c r="AJ60" i="25"/>
  <c r="AK60" i="25"/>
  <c r="AH61" i="25"/>
  <c r="AI60" i="25"/>
  <c r="AL59" i="25"/>
  <c r="AE60" i="25"/>
  <c r="AF60" i="25"/>
  <c r="AD60" i="25"/>
  <c r="AC61" i="25"/>
  <c r="AG59" i="25"/>
  <c r="Z60" i="25"/>
  <c r="AA60" i="25"/>
  <c r="X61" i="25"/>
  <c r="Y60" i="25"/>
  <c r="AB59" i="25"/>
  <c r="U62" i="25"/>
  <c r="V62" i="25"/>
  <c r="T62" i="25"/>
  <c r="S63" i="25"/>
  <c r="W61" i="25"/>
  <c r="M110" i="36"/>
  <c r="L61" i="25" s="1"/>
  <c r="K110" i="36"/>
  <c r="J61" i="25" s="1"/>
  <c r="J111" i="36"/>
  <c r="I62" i="25" s="1"/>
  <c r="L110" i="36"/>
  <c r="K61" i="25" s="1"/>
  <c r="N109" i="36"/>
  <c r="M60" i="25" s="1"/>
  <c r="BD63" i="25" l="1"/>
  <c r="BE63" i="25"/>
  <c r="BB64" i="25"/>
  <c r="BC63" i="25"/>
  <c r="BF62" i="25"/>
  <c r="BA60" i="25"/>
  <c r="AZ61" i="25"/>
  <c r="AW62" i="25"/>
  <c r="AX61" i="25"/>
  <c r="AY61" i="25"/>
  <c r="AV60" i="25"/>
  <c r="AR62" i="25"/>
  <c r="AS61" i="25"/>
  <c r="AU61" i="25"/>
  <c r="AT61" i="25"/>
  <c r="AQ60" i="25"/>
  <c r="AM62" i="25"/>
  <c r="AN61" i="25"/>
  <c r="AO61" i="25"/>
  <c r="AP61" i="25"/>
  <c r="AL60" i="25"/>
  <c r="AH62" i="25"/>
  <c r="AI61" i="25"/>
  <c r="AK61" i="25"/>
  <c r="AJ61" i="25"/>
  <c r="AG60" i="25"/>
  <c r="AF61" i="25"/>
  <c r="AC62" i="25"/>
  <c r="AD61" i="25"/>
  <c r="AE61" i="25"/>
  <c r="AB60" i="25"/>
  <c r="X62" i="25"/>
  <c r="Y61" i="25"/>
  <c r="Z61" i="25"/>
  <c r="AA61" i="25"/>
  <c r="W62" i="25"/>
  <c r="S64" i="25"/>
  <c r="T63" i="25"/>
  <c r="U63" i="25"/>
  <c r="V63" i="25"/>
  <c r="L111" i="36"/>
  <c r="K62" i="25" s="1"/>
  <c r="M111" i="36"/>
  <c r="L62" i="25" s="1"/>
  <c r="J112" i="36"/>
  <c r="I63" i="25" s="1"/>
  <c r="K111" i="36"/>
  <c r="J62" i="25" s="1"/>
  <c r="N110" i="36"/>
  <c r="M61" i="25" s="1"/>
  <c r="BF63" i="25" l="1"/>
  <c r="BE64" i="25"/>
  <c r="BB65" i="25"/>
  <c r="BC64" i="25"/>
  <c r="BD64" i="25"/>
  <c r="AY62" i="25"/>
  <c r="AZ62" i="25"/>
  <c r="AX62" i="25"/>
  <c r="AW63" i="25"/>
  <c r="BA61" i="25"/>
  <c r="AU62" i="25"/>
  <c r="AR63" i="25"/>
  <c r="AT62" i="25"/>
  <c r="AS62" i="25"/>
  <c r="AV61" i="25"/>
  <c r="AM63" i="25"/>
  <c r="AN62" i="25"/>
  <c r="AO62" i="25"/>
  <c r="AP62" i="25"/>
  <c r="AQ61" i="25"/>
  <c r="AH63" i="25"/>
  <c r="AI62" i="25"/>
  <c r="AJ62" i="25"/>
  <c r="AK62" i="25"/>
  <c r="AL61" i="25"/>
  <c r="AE62" i="25"/>
  <c r="AC63" i="25"/>
  <c r="AD62" i="25"/>
  <c r="AF62" i="25"/>
  <c r="AG61" i="25"/>
  <c r="AB61" i="25"/>
  <c r="X63" i="25"/>
  <c r="Y62" i="25"/>
  <c r="Z62" i="25"/>
  <c r="AA62" i="25"/>
  <c r="W63" i="25"/>
  <c r="U64" i="25"/>
  <c r="S65" i="25"/>
  <c r="T64" i="25"/>
  <c r="V64" i="25"/>
  <c r="N111" i="36"/>
  <c r="M62" i="25" s="1"/>
  <c r="J113" i="36"/>
  <c r="I64" i="25" s="1"/>
  <c r="K112" i="36"/>
  <c r="J63" i="25" s="1"/>
  <c r="L112" i="36"/>
  <c r="K63" i="25" s="1"/>
  <c r="M112" i="36"/>
  <c r="L63" i="25" s="1"/>
  <c r="BD65" i="25" l="1"/>
  <c r="BB66" i="25"/>
  <c r="BC65" i="25"/>
  <c r="BE65" i="25"/>
  <c r="BF64" i="25"/>
  <c r="BA62" i="25"/>
  <c r="AW64" i="25"/>
  <c r="AX63" i="25"/>
  <c r="AY63" i="25"/>
  <c r="AZ63" i="25"/>
  <c r="AV62" i="25"/>
  <c r="AT63" i="25"/>
  <c r="AR64" i="25"/>
  <c r="AS63" i="25"/>
  <c r="AU63" i="25"/>
  <c r="AQ62" i="25"/>
  <c r="AP63" i="25"/>
  <c r="AM64" i="25"/>
  <c r="AN63" i="25"/>
  <c r="AO63" i="25"/>
  <c r="AL62" i="25"/>
  <c r="AK63" i="25"/>
  <c r="AI63" i="25"/>
  <c r="AH64" i="25"/>
  <c r="AJ63" i="25"/>
  <c r="AG62" i="25"/>
  <c r="AC64" i="25"/>
  <c r="AD63" i="25"/>
  <c r="AF63" i="25"/>
  <c r="AE63" i="25"/>
  <c r="AB62" i="25"/>
  <c r="AA63" i="25"/>
  <c r="X64" i="25"/>
  <c r="Y63" i="25"/>
  <c r="Z63" i="25"/>
  <c r="W64" i="25"/>
  <c r="V65" i="25"/>
  <c r="S66" i="25"/>
  <c r="T65" i="25"/>
  <c r="U65" i="25"/>
  <c r="J114" i="36"/>
  <c r="I65" i="25" s="1"/>
  <c r="K113" i="36"/>
  <c r="J64" i="25" s="1"/>
  <c r="L113" i="36"/>
  <c r="K64" i="25" s="1"/>
  <c r="M113" i="36"/>
  <c r="L64" i="25" s="1"/>
  <c r="N112" i="36"/>
  <c r="M63" i="25" s="1"/>
  <c r="BF65" i="25" l="1"/>
  <c r="BB67" i="25"/>
  <c r="BC66" i="25"/>
  <c r="BE66" i="25"/>
  <c r="BD66" i="25"/>
  <c r="BA63" i="25"/>
  <c r="AW65" i="25"/>
  <c r="AX64" i="25"/>
  <c r="AY64" i="25"/>
  <c r="AZ64" i="25"/>
  <c r="AV63" i="25"/>
  <c r="AR65" i="25"/>
  <c r="AS64" i="25"/>
  <c r="AU64" i="25"/>
  <c r="AT64" i="25"/>
  <c r="AO64" i="25"/>
  <c r="AP64" i="25"/>
  <c r="AM65" i="25"/>
  <c r="AN64" i="25"/>
  <c r="AQ63" i="25"/>
  <c r="AJ64" i="25"/>
  <c r="AK64" i="25"/>
  <c r="AI64" i="25"/>
  <c r="AH65" i="25"/>
  <c r="AL63" i="25"/>
  <c r="AE64" i="25"/>
  <c r="AF64" i="25"/>
  <c r="AC65" i="25"/>
  <c r="AD64" i="25"/>
  <c r="AG63" i="25"/>
  <c r="Z64" i="25"/>
  <c r="AA64" i="25"/>
  <c r="X65" i="25"/>
  <c r="Y64" i="25"/>
  <c r="AB63" i="25"/>
  <c r="U66" i="25"/>
  <c r="V66" i="25"/>
  <c r="T66" i="25"/>
  <c r="S67" i="25"/>
  <c r="W65" i="25"/>
  <c r="N113" i="36"/>
  <c r="M64" i="25" s="1"/>
  <c r="M114" i="36"/>
  <c r="L65" i="25" s="1"/>
  <c r="K114" i="36"/>
  <c r="J65" i="25" s="1"/>
  <c r="J115" i="36"/>
  <c r="I66" i="25" s="1"/>
  <c r="L114" i="36"/>
  <c r="K65" i="25" s="1"/>
  <c r="BD67" i="25" l="1"/>
  <c r="BE67" i="25"/>
  <c r="BC67" i="25"/>
  <c r="BB68" i="25"/>
  <c r="BF66" i="25"/>
  <c r="BA64" i="25"/>
  <c r="AZ65" i="25"/>
  <c r="AW66" i="25"/>
  <c r="AX65" i="25"/>
  <c r="AY65" i="25"/>
  <c r="AV64" i="25"/>
  <c r="AS65" i="25"/>
  <c r="AT65" i="25"/>
  <c r="AR66" i="25"/>
  <c r="AU65" i="25"/>
  <c r="AQ64" i="25"/>
  <c r="AM66" i="25"/>
  <c r="AN65" i="25"/>
  <c r="AO65" i="25"/>
  <c r="AP65" i="25"/>
  <c r="AL64" i="25"/>
  <c r="AH66" i="25"/>
  <c r="AI65" i="25"/>
  <c r="AJ65" i="25"/>
  <c r="AK65" i="25"/>
  <c r="AG64" i="25"/>
  <c r="AF65" i="25"/>
  <c r="AC66" i="25"/>
  <c r="AD65" i="25"/>
  <c r="AE65" i="25"/>
  <c r="AB64" i="25"/>
  <c r="X66" i="25"/>
  <c r="Y65" i="25"/>
  <c r="Z65" i="25"/>
  <c r="AA65" i="25"/>
  <c r="W66" i="25"/>
  <c r="S68" i="25"/>
  <c r="T67" i="25"/>
  <c r="V67" i="25"/>
  <c r="U67" i="25"/>
  <c r="L115" i="36"/>
  <c r="K66" i="25" s="1"/>
  <c r="M115" i="36"/>
  <c r="L66" i="25" s="1"/>
  <c r="J116" i="36"/>
  <c r="I67" i="25" s="1"/>
  <c r="K115" i="36"/>
  <c r="J66" i="25" s="1"/>
  <c r="N114" i="36"/>
  <c r="M65" i="25" s="1"/>
  <c r="BF67" i="25" l="1"/>
  <c r="BE68" i="25"/>
  <c r="BB69" i="25"/>
  <c r="BC68" i="25"/>
  <c r="BD68" i="25"/>
  <c r="AY66" i="25"/>
  <c r="AZ66" i="25"/>
  <c r="AX66" i="25"/>
  <c r="AW67" i="25"/>
  <c r="BA65" i="25"/>
  <c r="AV65" i="25"/>
  <c r="AU66" i="25"/>
  <c r="AS66" i="25"/>
  <c r="AT66" i="25"/>
  <c r="AR67" i="25"/>
  <c r="AM67" i="25"/>
  <c r="AN66" i="25"/>
  <c r="AO66" i="25"/>
  <c r="AP66" i="25"/>
  <c r="AQ65" i="25"/>
  <c r="AL65" i="25"/>
  <c r="AJ66" i="25"/>
  <c r="AH67" i="25"/>
  <c r="AI66" i="25"/>
  <c r="AK66" i="25"/>
  <c r="AE66" i="25"/>
  <c r="AC67" i="25"/>
  <c r="AD66" i="25"/>
  <c r="AF66" i="25"/>
  <c r="AG65" i="25"/>
  <c r="AB65" i="25"/>
  <c r="X67" i="25"/>
  <c r="Y66" i="25"/>
  <c r="Z66" i="25"/>
  <c r="AA66" i="25"/>
  <c r="S69" i="25"/>
  <c r="T68" i="25"/>
  <c r="U68" i="25"/>
  <c r="V68" i="25"/>
  <c r="W67" i="25"/>
  <c r="N115" i="36"/>
  <c r="M66" i="25" s="1"/>
  <c r="J117" i="36"/>
  <c r="I68" i="25" s="1"/>
  <c r="K116" i="36"/>
  <c r="J67" i="25" s="1"/>
  <c r="L116" i="36"/>
  <c r="K67" i="25" s="1"/>
  <c r="M116" i="36"/>
  <c r="L67" i="25" s="1"/>
  <c r="BD69" i="25" l="1"/>
  <c r="BB70" i="25"/>
  <c r="BC69" i="25"/>
  <c r="BE69" i="25"/>
  <c r="BF68" i="25"/>
  <c r="BA66" i="25"/>
  <c r="AW68" i="25"/>
  <c r="AX67" i="25"/>
  <c r="AY67" i="25"/>
  <c r="AZ67" i="25"/>
  <c r="AV66" i="25"/>
  <c r="AT67" i="25"/>
  <c r="AS67" i="25"/>
  <c r="AU67" i="25"/>
  <c r="AR68" i="25"/>
  <c r="AQ66" i="25"/>
  <c r="AP67" i="25"/>
  <c r="AM68" i="25"/>
  <c r="AN67" i="25"/>
  <c r="AO67" i="25"/>
  <c r="AL66" i="25"/>
  <c r="AK67" i="25"/>
  <c r="AH68" i="25"/>
  <c r="AI67" i="25"/>
  <c r="AJ67" i="25"/>
  <c r="AG66" i="25"/>
  <c r="AC68" i="25"/>
  <c r="AD67" i="25"/>
  <c r="AF67" i="25"/>
  <c r="AE67" i="25"/>
  <c r="AB66" i="25"/>
  <c r="AA67" i="25"/>
  <c r="Y67" i="25"/>
  <c r="Z67" i="25"/>
  <c r="X68" i="25"/>
  <c r="W68" i="25"/>
  <c r="V69" i="25"/>
  <c r="T69" i="25"/>
  <c r="S70" i="25"/>
  <c r="U69" i="25"/>
  <c r="J118" i="36"/>
  <c r="I69" i="25" s="1"/>
  <c r="K117" i="36"/>
  <c r="J68" i="25" s="1"/>
  <c r="L117" i="36"/>
  <c r="K68" i="25" s="1"/>
  <c r="M117" i="36"/>
  <c r="L68" i="25" s="1"/>
  <c r="N116" i="36"/>
  <c r="M67" i="25" s="1"/>
  <c r="BF69" i="25" l="1"/>
  <c r="BB71" i="25"/>
  <c r="BC70" i="25"/>
  <c r="BE70" i="25"/>
  <c r="BD70" i="25"/>
  <c r="BA67" i="25"/>
  <c r="AW69" i="25"/>
  <c r="AX68" i="25"/>
  <c r="AY68" i="25"/>
  <c r="AZ68" i="25"/>
  <c r="AV67" i="25"/>
  <c r="AR69" i="25"/>
  <c r="AS68" i="25"/>
  <c r="AT68" i="25"/>
  <c r="AU68" i="25"/>
  <c r="AO68" i="25"/>
  <c r="AP68" i="25"/>
  <c r="AN68" i="25"/>
  <c r="AM69" i="25"/>
  <c r="AQ67" i="25"/>
  <c r="AJ68" i="25"/>
  <c r="AK68" i="25"/>
  <c r="AI68" i="25"/>
  <c r="AH69" i="25"/>
  <c r="AL67" i="25"/>
  <c r="AE68" i="25"/>
  <c r="AF68" i="25"/>
  <c r="AD68" i="25"/>
  <c r="AC69" i="25"/>
  <c r="AG67" i="25"/>
  <c r="AB67" i="25"/>
  <c r="Z68" i="25"/>
  <c r="AA68" i="25"/>
  <c r="Y68" i="25"/>
  <c r="X69" i="25"/>
  <c r="U70" i="25"/>
  <c r="V70" i="25"/>
  <c r="S71" i="25"/>
  <c r="T70" i="25"/>
  <c r="W69" i="25"/>
  <c r="N117" i="36"/>
  <c r="M68" i="25" s="1"/>
  <c r="M118" i="36"/>
  <c r="L69" i="25" s="1"/>
  <c r="K118" i="36"/>
  <c r="J69" i="25" s="1"/>
  <c r="L118" i="36"/>
  <c r="K69" i="25" s="1"/>
  <c r="J119" i="36"/>
  <c r="I70" i="25" s="1"/>
  <c r="BD71" i="25" l="1"/>
  <c r="BE71" i="25"/>
  <c r="BB72" i="25"/>
  <c r="BC71" i="25"/>
  <c r="BF70" i="25"/>
  <c r="BA68" i="25"/>
  <c r="AZ69" i="25"/>
  <c r="AW70" i="25"/>
  <c r="AX69" i="25"/>
  <c r="AY69" i="25"/>
  <c r="AV68" i="25"/>
  <c r="AT69" i="25"/>
  <c r="AR70" i="25"/>
  <c r="AU69" i="25"/>
  <c r="AS69" i="25"/>
  <c r="AQ68" i="25"/>
  <c r="AM70" i="25"/>
  <c r="AN69" i="25"/>
  <c r="AO69" i="25"/>
  <c r="AP69" i="25"/>
  <c r="AL68" i="25"/>
  <c r="AH70" i="25"/>
  <c r="AI69" i="25"/>
  <c r="AK69" i="25"/>
  <c r="AJ69" i="25"/>
  <c r="AG68" i="25"/>
  <c r="AF69" i="25"/>
  <c r="AC70" i="25"/>
  <c r="AD69" i="25"/>
  <c r="AE69" i="25"/>
  <c r="AB68" i="25"/>
  <c r="X70" i="25"/>
  <c r="Y69" i="25"/>
  <c r="Z69" i="25"/>
  <c r="AA69" i="25"/>
  <c r="W70" i="25"/>
  <c r="S72" i="25"/>
  <c r="T71" i="25"/>
  <c r="V71" i="25"/>
  <c r="U71" i="25"/>
  <c r="N118" i="36"/>
  <c r="M69" i="25" s="1"/>
  <c r="L119" i="36"/>
  <c r="K70" i="25" s="1"/>
  <c r="M119" i="36"/>
  <c r="L70" i="25" s="1"/>
  <c r="J120" i="36"/>
  <c r="I71" i="25" s="1"/>
  <c r="K119" i="36"/>
  <c r="J70" i="25" s="1"/>
  <c r="AV69" i="25" l="1"/>
  <c r="BF71" i="25"/>
  <c r="BE72" i="25"/>
  <c r="BB73" i="25"/>
  <c r="BC72" i="25"/>
  <c r="BD72" i="25"/>
  <c r="AY70" i="25"/>
  <c r="AZ70" i="25"/>
  <c r="AW71" i="25"/>
  <c r="AX70" i="25"/>
  <c r="BA69" i="25"/>
  <c r="AU70" i="25"/>
  <c r="AT70" i="25"/>
  <c r="AR71" i="25"/>
  <c r="AS70" i="25"/>
  <c r="AM71" i="25"/>
  <c r="AN70" i="25"/>
  <c r="AO70" i="25"/>
  <c r="AP70" i="25"/>
  <c r="AQ69" i="25"/>
  <c r="AH71" i="25"/>
  <c r="AI70" i="25"/>
  <c r="AJ70" i="25"/>
  <c r="AK70" i="25"/>
  <c r="AL69" i="25"/>
  <c r="AE70" i="25"/>
  <c r="AC71" i="25"/>
  <c r="AD70" i="25"/>
  <c r="AF70" i="25"/>
  <c r="AG69" i="25"/>
  <c r="AB69" i="25"/>
  <c r="X71" i="25"/>
  <c r="Y70" i="25"/>
  <c r="Z70" i="25"/>
  <c r="AA70" i="25"/>
  <c r="S73" i="25"/>
  <c r="T72" i="25"/>
  <c r="U72" i="25"/>
  <c r="V72" i="25"/>
  <c r="W71" i="25"/>
  <c r="N119" i="36"/>
  <c r="M70" i="25" s="1"/>
  <c r="J121" i="36"/>
  <c r="I72" i="25" s="1"/>
  <c r="K120" i="36"/>
  <c r="J71" i="25" s="1"/>
  <c r="L120" i="36"/>
  <c r="K71" i="25" s="1"/>
  <c r="M120" i="36"/>
  <c r="L71" i="25" s="1"/>
  <c r="AG70" i="25" l="1"/>
  <c r="BD73" i="25"/>
  <c r="BB74" i="25"/>
  <c r="BC73" i="25"/>
  <c r="BE73" i="25"/>
  <c r="BF72" i="25"/>
  <c r="BA70" i="25"/>
  <c r="AW72" i="25"/>
  <c r="AX71" i="25"/>
  <c r="AY71" i="25"/>
  <c r="AZ71" i="25"/>
  <c r="AV70" i="25"/>
  <c r="AT71" i="25"/>
  <c r="AU71" i="25"/>
  <c r="AS71" i="25"/>
  <c r="AR72" i="25"/>
  <c r="AQ70" i="25"/>
  <c r="AP71" i="25"/>
  <c r="AM72" i="25"/>
  <c r="AN71" i="25"/>
  <c r="AO71" i="25"/>
  <c r="AL70" i="25"/>
  <c r="AK71" i="25"/>
  <c r="AI71" i="25"/>
  <c r="AH72" i="25"/>
  <c r="AJ71" i="25"/>
  <c r="AC72" i="25"/>
  <c r="AD71" i="25"/>
  <c r="AF71" i="25"/>
  <c r="AE71" i="25"/>
  <c r="AB70" i="25"/>
  <c r="AA71" i="25"/>
  <c r="X72" i="25"/>
  <c r="Z71" i="25"/>
  <c r="Y71" i="25"/>
  <c r="W72" i="25"/>
  <c r="V73" i="25"/>
  <c r="T73" i="25"/>
  <c r="S74" i="25"/>
  <c r="U73" i="25"/>
  <c r="N120" i="36"/>
  <c r="M71" i="25" s="1"/>
  <c r="J122" i="36"/>
  <c r="I73" i="25" s="1"/>
  <c r="K121" i="36"/>
  <c r="J72" i="25" s="1"/>
  <c r="M121" i="36"/>
  <c r="L72" i="25" s="1"/>
  <c r="L121" i="36"/>
  <c r="K72" i="25" s="1"/>
  <c r="BF73" i="25" l="1"/>
  <c r="BB75" i="25"/>
  <c r="BC74" i="25"/>
  <c r="BE74" i="25"/>
  <c r="BD74" i="25"/>
  <c r="BA71" i="25"/>
  <c r="AW73" i="25"/>
  <c r="AX72" i="25"/>
  <c r="AY72" i="25"/>
  <c r="AZ72" i="25"/>
  <c r="AV71" i="25"/>
  <c r="AR73" i="25"/>
  <c r="AS72" i="25"/>
  <c r="AU72" i="25"/>
  <c r="AT72" i="25"/>
  <c r="AO72" i="25"/>
  <c r="AP72" i="25"/>
  <c r="AN72" i="25"/>
  <c r="AM73" i="25"/>
  <c r="AQ71" i="25"/>
  <c r="AJ72" i="25"/>
  <c r="AK72" i="25"/>
  <c r="AI72" i="25"/>
  <c r="AH73" i="25"/>
  <c r="AL71" i="25"/>
  <c r="AG71" i="25"/>
  <c r="AE72" i="25"/>
  <c r="AF72" i="25"/>
  <c r="AD72" i="25"/>
  <c r="AC73" i="25"/>
  <c r="AB71" i="25"/>
  <c r="Z72" i="25"/>
  <c r="AA72" i="25"/>
  <c r="Y72" i="25"/>
  <c r="X73" i="25"/>
  <c r="U74" i="25"/>
  <c r="V74" i="25"/>
  <c r="T74" i="25"/>
  <c r="S75" i="25"/>
  <c r="W73" i="25"/>
  <c r="M122" i="36"/>
  <c r="L73" i="25" s="1"/>
  <c r="K122" i="36"/>
  <c r="J73" i="25" s="1"/>
  <c r="J123" i="36"/>
  <c r="I74" i="25" s="1"/>
  <c r="L122" i="36"/>
  <c r="K73" i="25" s="1"/>
  <c r="N121" i="36"/>
  <c r="M72" i="25" s="1"/>
  <c r="BD75" i="25" l="1"/>
  <c r="BE75" i="25"/>
  <c r="BC75" i="25"/>
  <c r="BB76" i="25"/>
  <c r="BF74" i="25"/>
  <c r="BA72" i="25"/>
  <c r="AZ73" i="25"/>
  <c r="AW74" i="25"/>
  <c r="AX73" i="25"/>
  <c r="AY73" i="25"/>
  <c r="AV72" i="25"/>
  <c r="AU73" i="25"/>
  <c r="AS73" i="25"/>
  <c r="AR74" i="25"/>
  <c r="AT73" i="25"/>
  <c r="AQ72" i="25"/>
  <c r="AM74" i="25"/>
  <c r="AN73" i="25"/>
  <c r="AO73" i="25"/>
  <c r="AP73" i="25"/>
  <c r="AL72" i="25"/>
  <c r="AH74" i="25"/>
  <c r="AI73" i="25"/>
  <c r="AJ73" i="25"/>
  <c r="AK73" i="25"/>
  <c r="AG72" i="25"/>
  <c r="AF73" i="25"/>
  <c r="AC74" i="25"/>
  <c r="AD73" i="25"/>
  <c r="AE73" i="25"/>
  <c r="AB72" i="25"/>
  <c r="X74" i="25"/>
  <c r="Y73" i="25"/>
  <c r="Z73" i="25"/>
  <c r="AA73" i="25"/>
  <c r="W74" i="25"/>
  <c r="S76" i="25"/>
  <c r="T75" i="25"/>
  <c r="V75" i="25"/>
  <c r="U75" i="25"/>
  <c r="L123" i="36"/>
  <c r="K74" i="25" s="1"/>
  <c r="M123" i="36"/>
  <c r="L74" i="25" s="1"/>
  <c r="J124" i="36"/>
  <c r="I75" i="25" s="1"/>
  <c r="K123" i="36"/>
  <c r="J74" i="25" s="1"/>
  <c r="N122" i="36"/>
  <c r="M73" i="25" s="1"/>
  <c r="BF75" i="25" l="1"/>
  <c r="BE76" i="25"/>
  <c r="BB77" i="25"/>
  <c r="BC76" i="25"/>
  <c r="BD76" i="25"/>
  <c r="AY74" i="25"/>
  <c r="AZ74" i="25"/>
  <c r="AW75" i="25"/>
  <c r="AX74" i="25"/>
  <c r="BA73" i="25"/>
  <c r="AU74" i="25"/>
  <c r="AS74" i="25"/>
  <c r="AR75" i="25"/>
  <c r="AT74" i="25"/>
  <c r="AV73" i="25"/>
  <c r="AM75" i="25"/>
  <c r="AN74" i="25"/>
  <c r="AO74" i="25"/>
  <c r="AP74" i="25"/>
  <c r="AQ73" i="25"/>
  <c r="AL73" i="25"/>
  <c r="AJ74" i="25"/>
  <c r="AH75" i="25"/>
  <c r="AI74" i="25"/>
  <c r="AK74" i="25"/>
  <c r="AE74" i="25"/>
  <c r="AC75" i="25"/>
  <c r="AD74" i="25"/>
  <c r="AF74" i="25"/>
  <c r="AG73" i="25"/>
  <c r="AB73" i="25"/>
  <c r="X75" i="25"/>
  <c r="Y74" i="25"/>
  <c r="AA74" i="25"/>
  <c r="Z74" i="25"/>
  <c r="W75" i="25"/>
  <c r="S77" i="25"/>
  <c r="T76" i="25"/>
  <c r="U76" i="25"/>
  <c r="V76" i="25"/>
  <c r="N123" i="36"/>
  <c r="M74" i="25" s="1"/>
  <c r="J125" i="36"/>
  <c r="I76" i="25" s="1"/>
  <c r="K124" i="36"/>
  <c r="J75" i="25" s="1"/>
  <c r="L124" i="36"/>
  <c r="K75" i="25" s="1"/>
  <c r="M124" i="36"/>
  <c r="L75" i="25" s="1"/>
  <c r="BD77" i="25" l="1"/>
  <c r="BB78" i="25"/>
  <c r="BC77" i="25"/>
  <c r="BE77" i="25"/>
  <c r="BF76" i="25"/>
  <c r="BA74" i="25"/>
  <c r="AW76" i="25"/>
  <c r="AX75" i="25"/>
  <c r="AY75" i="25"/>
  <c r="AZ75" i="25"/>
  <c r="AT75" i="25"/>
  <c r="AR76" i="25"/>
  <c r="AU75" i="25"/>
  <c r="AS75" i="25"/>
  <c r="AV74" i="25"/>
  <c r="AQ74" i="25"/>
  <c r="AP75" i="25"/>
  <c r="AM76" i="25"/>
  <c r="AN75" i="25"/>
  <c r="AO75" i="25"/>
  <c r="AL74" i="25"/>
  <c r="AK75" i="25"/>
  <c r="AH76" i="25"/>
  <c r="AI75" i="25"/>
  <c r="AJ75" i="25"/>
  <c r="AG74" i="25"/>
  <c r="AC76" i="25"/>
  <c r="AD75" i="25"/>
  <c r="AF75" i="25"/>
  <c r="AE75" i="25"/>
  <c r="AA75" i="25"/>
  <c r="Y75" i="25"/>
  <c r="X76" i="25"/>
  <c r="Z75" i="25"/>
  <c r="AB74" i="25"/>
  <c r="W76" i="25"/>
  <c r="V77" i="25"/>
  <c r="S78" i="25"/>
  <c r="T77" i="25"/>
  <c r="U77" i="25"/>
  <c r="N124" i="36"/>
  <c r="M75" i="25" s="1"/>
  <c r="J126" i="36"/>
  <c r="I77" i="25" s="1"/>
  <c r="K125" i="36"/>
  <c r="J76" i="25" s="1"/>
  <c r="L125" i="36"/>
  <c r="K76" i="25" s="1"/>
  <c r="M125" i="36"/>
  <c r="L76" i="25" s="1"/>
  <c r="BF77" i="25" l="1"/>
  <c r="BB79" i="25"/>
  <c r="BC78" i="25"/>
  <c r="BE78" i="25"/>
  <c r="BD78" i="25"/>
  <c r="BA75" i="25"/>
  <c r="AW77" i="25"/>
  <c r="AX76" i="25"/>
  <c r="AY76" i="25"/>
  <c r="AZ76" i="25"/>
  <c r="AV75" i="25"/>
  <c r="AR77" i="25"/>
  <c r="AS76" i="25"/>
  <c r="AT76" i="25"/>
  <c r="AU76" i="25"/>
  <c r="AO76" i="25"/>
  <c r="AP76" i="25"/>
  <c r="AN76" i="25"/>
  <c r="AM77" i="25"/>
  <c r="AQ75" i="25"/>
  <c r="AJ76" i="25"/>
  <c r="AK76" i="25"/>
  <c r="AH77" i="25"/>
  <c r="AI76" i="25"/>
  <c r="AL75" i="25"/>
  <c r="AE76" i="25"/>
  <c r="AF76" i="25"/>
  <c r="AD76" i="25"/>
  <c r="AC77" i="25"/>
  <c r="AG75" i="25"/>
  <c r="Z76" i="25"/>
  <c r="AA76" i="25"/>
  <c r="X77" i="25"/>
  <c r="Y76" i="25"/>
  <c r="AB75" i="25"/>
  <c r="U78" i="25"/>
  <c r="V78" i="25"/>
  <c r="T78" i="25"/>
  <c r="S79" i="25"/>
  <c r="W77" i="25"/>
  <c r="M126" i="36"/>
  <c r="L77" i="25" s="1"/>
  <c r="K126" i="36"/>
  <c r="J77" i="25" s="1"/>
  <c r="J127" i="36"/>
  <c r="I78" i="25" s="1"/>
  <c r="L126" i="36"/>
  <c r="K77" i="25" s="1"/>
  <c r="N125" i="36"/>
  <c r="M76" i="25" s="1"/>
  <c r="BD79" i="25" l="1"/>
  <c r="BE79" i="25"/>
  <c r="BB80" i="25"/>
  <c r="BC79" i="25"/>
  <c r="BF78" i="25"/>
  <c r="BA76" i="25"/>
  <c r="AZ77" i="25"/>
  <c r="AW78" i="25"/>
  <c r="AX77" i="25"/>
  <c r="AY77" i="25"/>
  <c r="AV76" i="25"/>
  <c r="AR78" i="25"/>
  <c r="AS77" i="25"/>
  <c r="AU77" i="25"/>
  <c r="AT77" i="25"/>
  <c r="AQ76" i="25"/>
  <c r="AM78" i="25"/>
  <c r="AN77" i="25"/>
  <c r="AO77" i="25"/>
  <c r="AP77" i="25"/>
  <c r="AL76" i="25"/>
  <c r="AH78" i="25"/>
  <c r="AI77" i="25"/>
  <c r="AK77" i="25"/>
  <c r="AJ77" i="25"/>
  <c r="AG76" i="25"/>
  <c r="AF77" i="25"/>
  <c r="AC78" i="25"/>
  <c r="AD77" i="25"/>
  <c r="AE77" i="25"/>
  <c r="AB76" i="25"/>
  <c r="X78" i="25"/>
  <c r="Y77" i="25"/>
  <c r="Z77" i="25"/>
  <c r="AA77" i="25"/>
  <c r="W78" i="25"/>
  <c r="S80" i="25"/>
  <c r="T79" i="25"/>
  <c r="U79" i="25"/>
  <c r="V79" i="25"/>
  <c r="L127" i="36"/>
  <c r="K78" i="25" s="1"/>
  <c r="M127" i="36"/>
  <c r="L78" i="25" s="1"/>
  <c r="J128" i="36"/>
  <c r="I79" i="25" s="1"/>
  <c r="K127" i="36"/>
  <c r="J78" i="25" s="1"/>
  <c r="N126" i="36"/>
  <c r="M77" i="25" s="1"/>
  <c r="BF79" i="25" l="1"/>
  <c r="BE80" i="25"/>
  <c r="BB81" i="25"/>
  <c r="BC80" i="25"/>
  <c r="BD80" i="25"/>
  <c r="AY78" i="25"/>
  <c r="AZ78" i="25"/>
  <c r="AX78" i="25"/>
  <c r="AW79" i="25"/>
  <c r="BA77" i="25"/>
  <c r="AV77" i="25"/>
  <c r="AU78" i="25"/>
  <c r="AT78" i="25"/>
  <c r="AR79" i="25"/>
  <c r="AS78" i="25"/>
  <c r="AM79" i="25"/>
  <c r="AN78" i="25"/>
  <c r="AO78" i="25"/>
  <c r="AP78" i="25"/>
  <c r="AQ77" i="25"/>
  <c r="AH79" i="25"/>
  <c r="AI78" i="25"/>
  <c r="AJ78" i="25"/>
  <c r="AK78" i="25"/>
  <c r="AL77" i="25"/>
  <c r="AG77" i="25"/>
  <c r="AE78" i="25"/>
  <c r="AC79" i="25"/>
  <c r="AD78" i="25"/>
  <c r="AF78" i="25"/>
  <c r="AB77" i="25"/>
  <c r="X79" i="25"/>
  <c r="Y78" i="25"/>
  <c r="Z78" i="25"/>
  <c r="AA78" i="25"/>
  <c r="W79" i="25"/>
  <c r="U80" i="25"/>
  <c r="S81" i="25"/>
  <c r="T80" i="25"/>
  <c r="V80" i="25"/>
  <c r="N127" i="36"/>
  <c r="M78" i="25" s="1"/>
  <c r="J129" i="36"/>
  <c r="I80" i="25" s="1"/>
  <c r="K128" i="36"/>
  <c r="J79" i="25" s="1"/>
  <c r="L128" i="36"/>
  <c r="K79" i="25" s="1"/>
  <c r="M128" i="36"/>
  <c r="L79" i="25" s="1"/>
  <c r="BD81" i="25" l="1"/>
  <c r="BB82" i="25"/>
  <c r="BC81" i="25"/>
  <c r="BE81" i="25"/>
  <c r="BF80" i="25"/>
  <c r="BA78" i="25"/>
  <c r="AW80" i="25"/>
  <c r="AX79" i="25"/>
  <c r="AY79" i="25"/>
  <c r="AZ79" i="25"/>
  <c r="AV78" i="25"/>
  <c r="AT79" i="25"/>
  <c r="AU79" i="25"/>
  <c r="AR80" i="25"/>
  <c r="AS79" i="25"/>
  <c r="AQ78" i="25"/>
  <c r="AP79" i="25"/>
  <c r="AM80" i="25"/>
  <c r="AN79" i="25"/>
  <c r="AO79" i="25"/>
  <c r="AL78" i="25"/>
  <c r="AK79" i="25"/>
  <c r="AI79" i="25"/>
  <c r="AH80" i="25"/>
  <c r="AJ79" i="25"/>
  <c r="AG78" i="25"/>
  <c r="AC80" i="25"/>
  <c r="AD79" i="25"/>
  <c r="AF79" i="25"/>
  <c r="AE79" i="25"/>
  <c r="AB78" i="25"/>
  <c r="AA79" i="25"/>
  <c r="X80" i="25"/>
  <c r="Y79" i="25"/>
  <c r="Z79" i="25"/>
  <c r="W80" i="25"/>
  <c r="V81" i="25"/>
  <c r="S82" i="25"/>
  <c r="T81" i="25"/>
  <c r="U81" i="25"/>
  <c r="J130" i="36"/>
  <c r="I81" i="25" s="1"/>
  <c r="K129" i="36"/>
  <c r="J80" i="25" s="1"/>
  <c r="L129" i="36"/>
  <c r="K80" i="25" s="1"/>
  <c r="M129" i="36"/>
  <c r="L80" i="25" s="1"/>
  <c r="N128" i="36"/>
  <c r="M79" i="25" s="1"/>
  <c r="BF81" i="25" l="1"/>
  <c r="BB83" i="25"/>
  <c r="BC82" i="25"/>
  <c r="BE82" i="25"/>
  <c r="BD82" i="25"/>
  <c r="BA79" i="25"/>
  <c r="AW81" i="25"/>
  <c r="AX80" i="25"/>
  <c r="AY80" i="25"/>
  <c r="AZ80" i="25"/>
  <c r="AV79" i="25"/>
  <c r="AR81" i="25"/>
  <c r="AS80" i="25"/>
  <c r="AT80" i="25"/>
  <c r="AU80" i="25"/>
  <c r="AO80" i="25"/>
  <c r="AP80" i="25"/>
  <c r="AM81" i="25"/>
  <c r="AN80" i="25"/>
  <c r="AQ79" i="25"/>
  <c r="AJ80" i="25"/>
  <c r="AK80" i="25"/>
  <c r="AI80" i="25"/>
  <c r="AH81" i="25"/>
  <c r="AL79" i="25"/>
  <c r="AE80" i="25"/>
  <c r="AF80" i="25"/>
  <c r="AC81" i="25"/>
  <c r="AD80" i="25"/>
  <c r="AG79" i="25"/>
  <c r="Z80" i="25"/>
  <c r="AA80" i="25"/>
  <c r="Y80" i="25"/>
  <c r="X81" i="25"/>
  <c r="AB79" i="25"/>
  <c r="U82" i="25"/>
  <c r="V82" i="25"/>
  <c r="T82" i="25"/>
  <c r="S83" i="25"/>
  <c r="W81" i="25"/>
  <c r="N129" i="36"/>
  <c r="M80" i="25" s="1"/>
  <c r="M130" i="36"/>
  <c r="L81" i="25" s="1"/>
  <c r="K130" i="36"/>
  <c r="J81" i="25" s="1"/>
  <c r="L130" i="36"/>
  <c r="K81" i="25" s="1"/>
  <c r="J131" i="36"/>
  <c r="I82" i="25" s="1"/>
  <c r="BD83" i="25" l="1"/>
  <c r="BE83" i="25"/>
  <c r="BC83" i="25"/>
  <c r="BB84" i="25"/>
  <c r="BF82" i="25"/>
  <c r="BA80" i="25"/>
  <c r="AZ81" i="25"/>
  <c r="AW82" i="25"/>
  <c r="AX81" i="25"/>
  <c r="AY81" i="25"/>
  <c r="AR82" i="25"/>
  <c r="AS81" i="25"/>
  <c r="AU81" i="25"/>
  <c r="AT81" i="25"/>
  <c r="AV80" i="25"/>
  <c r="AQ80" i="25"/>
  <c r="AM82" i="25"/>
  <c r="AN81" i="25"/>
  <c r="AO81" i="25"/>
  <c r="AP81" i="25"/>
  <c r="AL80" i="25"/>
  <c r="AH82" i="25"/>
  <c r="AI81" i="25"/>
  <c r="AJ81" i="25"/>
  <c r="AK81" i="25"/>
  <c r="AG80" i="25"/>
  <c r="AF81" i="25"/>
  <c r="AC82" i="25"/>
  <c r="AD81" i="25"/>
  <c r="AE81" i="25"/>
  <c r="AB80" i="25"/>
  <c r="X82" i="25"/>
  <c r="Y81" i="25"/>
  <c r="Z81" i="25"/>
  <c r="AA81" i="25"/>
  <c r="W82" i="25"/>
  <c r="S84" i="25"/>
  <c r="T83" i="25"/>
  <c r="V83" i="25"/>
  <c r="U83" i="25"/>
  <c r="N130" i="36"/>
  <c r="M81" i="25" s="1"/>
  <c r="L131" i="36"/>
  <c r="K82" i="25" s="1"/>
  <c r="M131" i="36"/>
  <c r="L82" i="25" s="1"/>
  <c r="J132" i="36"/>
  <c r="I83" i="25" s="1"/>
  <c r="K131" i="36"/>
  <c r="J82" i="25" s="1"/>
  <c r="BF83" i="25" l="1"/>
  <c r="BE84" i="25"/>
  <c r="BB85" i="25"/>
  <c r="BC84" i="25"/>
  <c r="BD84" i="25"/>
  <c r="AY82" i="25"/>
  <c r="AZ82" i="25"/>
  <c r="AX82" i="25"/>
  <c r="AW83" i="25"/>
  <c r="BA81" i="25"/>
  <c r="AU82" i="25"/>
  <c r="AT82" i="25"/>
  <c r="AR83" i="25"/>
  <c r="AS82" i="25"/>
  <c r="AV81" i="25"/>
  <c r="AM83" i="25"/>
  <c r="AN82" i="25"/>
  <c r="AO82" i="25"/>
  <c r="AP82" i="25"/>
  <c r="AQ81" i="25"/>
  <c r="AL81" i="25"/>
  <c r="AJ82" i="25"/>
  <c r="AH83" i="25"/>
  <c r="AI82" i="25"/>
  <c r="AK82" i="25"/>
  <c r="AG81" i="25"/>
  <c r="AE82" i="25"/>
  <c r="AC83" i="25"/>
  <c r="AD82" i="25"/>
  <c r="AF82" i="25"/>
  <c r="AB81" i="25"/>
  <c r="X83" i="25"/>
  <c r="Y82" i="25"/>
  <c r="AA82" i="25"/>
  <c r="Z82" i="25"/>
  <c r="S85" i="25"/>
  <c r="T84" i="25"/>
  <c r="U84" i="25"/>
  <c r="V84" i="25"/>
  <c r="W83" i="25"/>
  <c r="N131" i="36"/>
  <c r="M82" i="25" s="1"/>
  <c r="J133" i="36"/>
  <c r="I84" i="25" s="1"/>
  <c r="K132" i="36"/>
  <c r="J83" i="25" s="1"/>
  <c r="L132" i="36"/>
  <c r="K83" i="25" s="1"/>
  <c r="M132" i="36"/>
  <c r="L83" i="25" s="1"/>
  <c r="BD85" i="25" l="1"/>
  <c r="BB86" i="25"/>
  <c r="BC85" i="25"/>
  <c r="BE85" i="25"/>
  <c r="BF84" i="25"/>
  <c r="BA82" i="25"/>
  <c r="AW84" i="25"/>
  <c r="AX83" i="25"/>
  <c r="AY83" i="25"/>
  <c r="AZ83" i="25"/>
  <c r="AV82" i="25"/>
  <c r="AT83" i="25"/>
  <c r="AU83" i="25"/>
  <c r="AR84" i="25"/>
  <c r="AS83" i="25"/>
  <c r="AQ82" i="25"/>
  <c r="AP83" i="25"/>
  <c r="AM84" i="25"/>
  <c r="AN83" i="25"/>
  <c r="AO83" i="25"/>
  <c r="AL82" i="25"/>
  <c r="AK83" i="25"/>
  <c r="AH84" i="25"/>
  <c r="AI83" i="25"/>
  <c r="AJ83" i="25"/>
  <c r="AG82" i="25"/>
  <c r="AC84" i="25"/>
  <c r="AD83" i="25"/>
  <c r="AF83" i="25"/>
  <c r="AE83" i="25"/>
  <c r="AA83" i="25"/>
  <c r="Y83" i="25"/>
  <c r="X84" i="25"/>
  <c r="Z83" i="25"/>
  <c r="AB82" i="25"/>
  <c r="W84" i="25"/>
  <c r="V85" i="25"/>
  <c r="T85" i="25"/>
  <c r="S86" i="25"/>
  <c r="U85" i="25"/>
  <c r="N132" i="36"/>
  <c r="M83" i="25" s="1"/>
  <c r="J134" i="36"/>
  <c r="I85" i="25" s="1"/>
  <c r="K133" i="36"/>
  <c r="J84" i="25" s="1"/>
  <c r="M133" i="36"/>
  <c r="L84" i="25" s="1"/>
  <c r="L133" i="36"/>
  <c r="K84" i="25" s="1"/>
  <c r="BF85" i="25" l="1"/>
  <c r="BB87" i="25"/>
  <c r="BC86" i="25"/>
  <c r="BE86" i="25"/>
  <c r="BD86" i="25"/>
  <c r="BA83" i="25"/>
  <c r="AW85" i="25"/>
  <c r="AX84" i="25"/>
  <c r="AY84" i="25"/>
  <c r="AZ84" i="25"/>
  <c r="AV83" i="25"/>
  <c r="AR85" i="25"/>
  <c r="AS84" i="25"/>
  <c r="AT84" i="25"/>
  <c r="AU84" i="25"/>
  <c r="AO84" i="25"/>
  <c r="AP84" i="25"/>
  <c r="AN84" i="25"/>
  <c r="AM85" i="25"/>
  <c r="AQ83" i="25"/>
  <c r="AJ84" i="25"/>
  <c r="AK84" i="25"/>
  <c r="AI84" i="25"/>
  <c r="AH85" i="25"/>
  <c r="AL83" i="25"/>
  <c r="AE84" i="25"/>
  <c r="AF84" i="25"/>
  <c r="AD84" i="25"/>
  <c r="AC85" i="25"/>
  <c r="AG83" i="25"/>
  <c r="Z84" i="25"/>
  <c r="AA84" i="25"/>
  <c r="X85" i="25"/>
  <c r="Y84" i="25"/>
  <c r="AB83" i="25"/>
  <c r="U86" i="25"/>
  <c r="V86" i="25"/>
  <c r="S87" i="25"/>
  <c r="T86" i="25"/>
  <c r="W85" i="25"/>
  <c r="M134" i="36"/>
  <c r="L85" i="25" s="1"/>
  <c r="J135" i="36"/>
  <c r="I86" i="25" s="1"/>
  <c r="K134" i="36"/>
  <c r="J85" i="25" s="1"/>
  <c r="L134" i="36"/>
  <c r="K85" i="25" s="1"/>
  <c r="N133" i="36"/>
  <c r="M84" i="25" s="1"/>
  <c r="BD87" i="25" l="1"/>
  <c r="BE87" i="25"/>
  <c r="BC87" i="25"/>
  <c r="BB88" i="25"/>
  <c r="BF86" i="25"/>
  <c r="BA84" i="25"/>
  <c r="AZ85" i="25"/>
  <c r="AW86" i="25"/>
  <c r="AX85" i="25"/>
  <c r="AY85" i="25"/>
  <c r="AR86" i="25"/>
  <c r="AS85" i="25"/>
  <c r="AU85" i="25"/>
  <c r="AT85" i="25"/>
  <c r="AV84" i="25"/>
  <c r="AQ84" i="25"/>
  <c r="AM86" i="25"/>
  <c r="AN85" i="25"/>
  <c r="AO85" i="25"/>
  <c r="AP85" i="25"/>
  <c r="AL84" i="25"/>
  <c r="AH86" i="25"/>
  <c r="AI85" i="25"/>
  <c r="AK85" i="25"/>
  <c r="AJ85" i="25"/>
  <c r="AG84" i="25"/>
  <c r="AF85" i="25"/>
  <c r="AC86" i="25"/>
  <c r="AD85" i="25"/>
  <c r="AE85" i="25"/>
  <c r="AB84" i="25"/>
  <c r="X86" i="25"/>
  <c r="Y85" i="25"/>
  <c r="Z85" i="25"/>
  <c r="AA85" i="25"/>
  <c r="W86" i="25"/>
  <c r="S88" i="25"/>
  <c r="T87" i="25"/>
  <c r="V87" i="25"/>
  <c r="U87" i="25"/>
  <c r="L135" i="36"/>
  <c r="K86" i="25" s="1"/>
  <c r="M135" i="36"/>
  <c r="L86" i="25" s="1"/>
  <c r="J136" i="36"/>
  <c r="I87" i="25" s="1"/>
  <c r="K135" i="36"/>
  <c r="J86" i="25" s="1"/>
  <c r="N134" i="36"/>
  <c r="M85" i="25" s="1"/>
  <c r="BF87" i="25" l="1"/>
  <c r="BE88" i="25"/>
  <c r="BB89" i="25"/>
  <c r="BC88" i="25"/>
  <c r="BD88" i="25"/>
  <c r="AY86" i="25"/>
  <c r="AZ86" i="25"/>
  <c r="AW87" i="25"/>
  <c r="AX86" i="25"/>
  <c r="BA85" i="25"/>
  <c r="AU86" i="25"/>
  <c r="AT86" i="25"/>
  <c r="AR87" i="25"/>
  <c r="AS86" i="25"/>
  <c r="AV85" i="25"/>
  <c r="AQ85" i="25"/>
  <c r="AM87" i="25"/>
  <c r="AN86" i="25"/>
  <c r="AO86" i="25"/>
  <c r="AP86" i="25"/>
  <c r="AH87" i="25"/>
  <c r="AI86" i="25"/>
  <c r="AJ86" i="25"/>
  <c r="AK86" i="25"/>
  <c r="AL85" i="25"/>
  <c r="AE86" i="25"/>
  <c r="AC87" i="25"/>
  <c r="AD86" i="25"/>
  <c r="AF86" i="25"/>
  <c r="AG85" i="25"/>
  <c r="AB85" i="25"/>
  <c r="X87" i="25"/>
  <c r="Y86" i="25"/>
  <c r="Z86" i="25"/>
  <c r="AA86" i="25"/>
  <c r="S89" i="25"/>
  <c r="T88" i="25"/>
  <c r="U88" i="25"/>
  <c r="V88" i="25"/>
  <c r="W87" i="25"/>
  <c r="N135" i="36"/>
  <c r="M86" i="25" s="1"/>
  <c r="J137" i="36"/>
  <c r="I88" i="25" s="1"/>
  <c r="K136" i="36"/>
  <c r="J87" i="25" s="1"/>
  <c r="M136" i="36"/>
  <c r="L87" i="25" s="1"/>
  <c r="L136" i="36"/>
  <c r="K87" i="25" s="1"/>
  <c r="BD89" i="25" l="1"/>
  <c r="BB90" i="25"/>
  <c r="BC89" i="25"/>
  <c r="BE89" i="25"/>
  <c r="BF88" i="25"/>
  <c r="BA86" i="25"/>
  <c r="AW88" i="25"/>
  <c r="AX87" i="25"/>
  <c r="AY87" i="25"/>
  <c r="AZ87" i="25"/>
  <c r="AT87" i="25"/>
  <c r="AU87" i="25"/>
  <c r="AR88" i="25"/>
  <c r="AS87" i="25"/>
  <c r="AV86" i="25"/>
  <c r="AQ86" i="25"/>
  <c r="AP87" i="25"/>
  <c r="AM88" i="25"/>
  <c r="AN87" i="25"/>
  <c r="AO87" i="25"/>
  <c r="AL86" i="25"/>
  <c r="AK87" i="25"/>
  <c r="AI87" i="25"/>
  <c r="AH88" i="25"/>
  <c r="AJ87" i="25"/>
  <c r="AG86" i="25"/>
  <c r="AC88" i="25"/>
  <c r="AD87" i="25"/>
  <c r="AF87" i="25"/>
  <c r="AE87" i="25"/>
  <c r="AB86" i="25"/>
  <c r="AA87" i="25"/>
  <c r="X88" i="25"/>
  <c r="Y87" i="25"/>
  <c r="Z87" i="25"/>
  <c r="W88" i="25"/>
  <c r="V89" i="25"/>
  <c r="T89" i="25"/>
  <c r="S90" i="25"/>
  <c r="U89" i="25"/>
  <c r="N136" i="36"/>
  <c r="M87" i="25" s="1"/>
  <c r="J138" i="36"/>
  <c r="I89" i="25" s="1"/>
  <c r="K137" i="36"/>
  <c r="J88" i="25" s="1"/>
  <c r="L137" i="36"/>
  <c r="K88" i="25" s="1"/>
  <c r="M137" i="36"/>
  <c r="L88" i="25" s="1"/>
  <c r="BF89" i="25" l="1"/>
  <c r="BB91" i="25"/>
  <c r="BC90" i="25"/>
  <c r="BE90" i="25"/>
  <c r="BD90" i="25"/>
  <c r="BA87" i="25"/>
  <c r="AW89" i="25"/>
  <c r="AX88" i="25"/>
  <c r="AY88" i="25"/>
  <c r="AZ88" i="25"/>
  <c r="AV87" i="25"/>
  <c r="AR89" i="25"/>
  <c r="AS88" i="25"/>
  <c r="AT88" i="25"/>
  <c r="AU88" i="25"/>
  <c r="AO88" i="25"/>
  <c r="AP88" i="25"/>
  <c r="AN88" i="25"/>
  <c r="AM89" i="25"/>
  <c r="AQ87" i="25"/>
  <c r="AL87" i="25"/>
  <c r="AJ88" i="25"/>
  <c r="AK88" i="25"/>
  <c r="AI88" i="25"/>
  <c r="AH89" i="25"/>
  <c r="AG87" i="25"/>
  <c r="AE88" i="25"/>
  <c r="AF88" i="25"/>
  <c r="AC89" i="25"/>
  <c r="AD88" i="25"/>
  <c r="Z88" i="25"/>
  <c r="AA88" i="25"/>
  <c r="X89" i="25"/>
  <c r="Y88" i="25"/>
  <c r="AB87" i="25"/>
  <c r="U90" i="25"/>
  <c r="V90" i="25"/>
  <c r="T90" i="25"/>
  <c r="S91" i="25"/>
  <c r="W89" i="25"/>
  <c r="N137" i="36"/>
  <c r="M88" i="25" s="1"/>
  <c r="M138" i="36"/>
  <c r="L89" i="25" s="1"/>
  <c r="J139" i="36"/>
  <c r="I90" i="25" s="1"/>
  <c r="L138" i="36"/>
  <c r="K89" i="25" s="1"/>
  <c r="K138" i="36"/>
  <c r="J89" i="25" s="1"/>
  <c r="BD91" i="25" l="1"/>
  <c r="BE91" i="25"/>
  <c r="BC91" i="25"/>
  <c r="BB92" i="25"/>
  <c r="BF90" i="25"/>
  <c r="BA88" i="25"/>
  <c r="AZ89" i="25"/>
  <c r="AW90" i="25"/>
  <c r="AX89" i="25"/>
  <c r="AY89" i="25"/>
  <c r="AV88" i="25"/>
  <c r="AR90" i="25"/>
  <c r="AS89" i="25"/>
  <c r="AU89" i="25"/>
  <c r="AT89" i="25"/>
  <c r="AQ88" i="25"/>
  <c r="AM90" i="25"/>
  <c r="AN89" i="25"/>
  <c r="AO89" i="25"/>
  <c r="AP89" i="25"/>
  <c r="AL88" i="25"/>
  <c r="AH90" i="25"/>
  <c r="AI89" i="25"/>
  <c r="AJ89" i="25"/>
  <c r="AK89" i="25"/>
  <c r="AG88" i="25"/>
  <c r="AF89" i="25"/>
  <c r="AC90" i="25"/>
  <c r="AD89" i="25"/>
  <c r="AE89" i="25"/>
  <c r="AB88" i="25"/>
  <c r="X90" i="25"/>
  <c r="Y89" i="25"/>
  <c r="Z89" i="25"/>
  <c r="AA89" i="25"/>
  <c r="W90" i="25"/>
  <c r="S92" i="25"/>
  <c r="T91" i="25"/>
  <c r="V91" i="25"/>
  <c r="U91" i="25"/>
  <c r="N138" i="36"/>
  <c r="M89" i="25" s="1"/>
  <c r="L139" i="36"/>
  <c r="K90" i="25" s="1"/>
  <c r="M139" i="36"/>
  <c r="L90" i="25" s="1"/>
  <c r="J140" i="36"/>
  <c r="I91" i="25" s="1"/>
  <c r="K139" i="36"/>
  <c r="J90" i="25" s="1"/>
  <c r="N139" i="36" l="1"/>
  <c r="M90" i="25" s="1"/>
  <c r="BF91" i="25"/>
  <c r="BE92" i="25"/>
  <c r="BB93" i="25"/>
  <c r="BC92" i="25"/>
  <c r="BD92" i="25"/>
  <c r="AY90" i="25"/>
  <c r="AZ90" i="25"/>
  <c r="AW91" i="25"/>
  <c r="AX90" i="25"/>
  <c r="BA89" i="25"/>
  <c r="AV89" i="25"/>
  <c r="AU90" i="25"/>
  <c r="AT90" i="25"/>
  <c r="AS90" i="25"/>
  <c r="AR91" i="25"/>
  <c r="AQ89" i="25"/>
  <c r="AM91" i="25"/>
  <c r="AN90" i="25"/>
  <c r="AO90" i="25"/>
  <c r="AP90" i="25"/>
  <c r="AL89" i="25"/>
  <c r="AJ90" i="25"/>
  <c r="AH91" i="25"/>
  <c r="AI90" i="25"/>
  <c r="AK90" i="25"/>
  <c r="AE90" i="25"/>
  <c r="AC91" i="25"/>
  <c r="AD90" i="25"/>
  <c r="AF90" i="25"/>
  <c r="AG89" i="25"/>
  <c r="AB89" i="25"/>
  <c r="X91" i="25"/>
  <c r="Y90" i="25"/>
  <c r="Z90" i="25"/>
  <c r="AA90" i="25"/>
  <c r="W91" i="25"/>
  <c r="S93" i="25"/>
  <c r="T92" i="25"/>
  <c r="U92" i="25"/>
  <c r="V92" i="25"/>
  <c r="J141" i="36"/>
  <c r="I92" i="25" s="1"/>
  <c r="K140" i="36"/>
  <c r="J91" i="25" s="1"/>
  <c r="L140" i="36"/>
  <c r="K91" i="25" s="1"/>
  <c r="M140" i="36"/>
  <c r="L91" i="25" s="1"/>
  <c r="AG90" i="25" l="1"/>
  <c r="BD93" i="25"/>
  <c r="BB94" i="25"/>
  <c r="BC93" i="25"/>
  <c r="BE93" i="25"/>
  <c r="BF92" i="25"/>
  <c r="BA90" i="25"/>
  <c r="AW92" i="25"/>
  <c r="AX91" i="25"/>
  <c r="AY91" i="25"/>
  <c r="AZ91" i="25"/>
  <c r="AV90" i="25"/>
  <c r="AT91" i="25"/>
  <c r="AU91" i="25"/>
  <c r="AR92" i="25"/>
  <c r="AS91" i="25"/>
  <c r="AQ90" i="25"/>
  <c r="AP91" i="25"/>
  <c r="AM92" i="25"/>
  <c r="AN91" i="25"/>
  <c r="AO91" i="25"/>
  <c r="AL90" i="25"/>
  <c r="AK91" i="25"/>
  <c r="AH92" i="25"/>
  <c r="AI91" i="25"/>
  <c r="AJ91" i="25"/>
  <c r="AC92" i="25"/>
  <c r="AD91" i="25"/>
  <c r="AF91" i="25"/>
  <c r="AE91" i="25"/>
  <c r="AB90" i="25"/>
  <c r="AA91" i="25"/>
  <c r="Y91" i="25"/>
  <c r="Z91" i="25"/>
  <c r="X92" i="25"/>
  <c r="W92" i="25"/>
  <c r="V93" i="25"/>
  <c r="S94" i="25"/>
  <c r="T93" i="25"/>
  <c r="U93" i="25"/>
  <c r="N140" i="36"/>
  <c r="M91" i="25" s="1"/>
  <c r="L141" i="36"/>
  <c r="K92" i="25" s="1"/>
  <c r="J142" i="36"/>
  <c r="I93" i="25" s="1"/>
  <c r="K141" i="36"/>
  <c r="J92" i="25" s="1"/>
  <c r="M141" i="36"/>
  <c r="L92" i="25" s="1"/>
  <c r="BF93" i="25" l="1"/>
  <c r="BB95" i="25"/>
  <c r="BC94" i="25"/>
  <c r="BE94" i="25"/>
  <c r="BD94" i="25"/>
  <c r="BA91" i="25"/>
  <c r="AW93" i="25"/>
  <c r="AX92" i="25"/>
  <c r="AY92" i="25"/>
  <c r="AZ92" i="25"/>
  <c r="AV91" i="25"/>
  <c r="AR93" i="25"/>
  <c r="AS92" i="25"/>
  <c r="AT92" i="25"/>
  <c r="AU92" i="25"/>
  <c r="AO92" i="25"/>
  <c r="AP92" i="25"/>
  <c r="AN92" i="25"/>
  <c r="AM93" i="25"/>
  <c r="AQ91" i="25"/>
  <c r="AJ92" i="25"/>
  <c r="AK92" i="25"/>
  <c r="AH93" i="25"/>
  <c r="AI92" i="25"/>
  <c r="AL91" i="25"/>
  <c r="AE92" i="25"/>
  <c r="AF92" i="25"/>
  <c r="AD92" i="25"/>
  <c r="AC93" i="25"/>
  <c r="AG91" i="25"/>
  <c r="AB91" i="25"/>
  <c r="Z92" i="25"/>
  <c r="AA92" i="25"/>
  <c r="Y92" i="25"/>
  <c r="X93" i="25"/>
  <c r="U94" i="25"/>
  <c r="V94" i="25"/>
  <c r="T94" i="25"/>
  <c r="S95" i="25"/>
  <c r="W93" i="25"/>
  <c r="N141" i="36"/>
  <c r="M92" i="25" s="1"/>
  <c r="M142" i="36"/>
  <c r="L93" i="25" s="1"/>
  <c r="K142" i="36"/>
  <c r="J93" i="25" s="1"/>
  <c r="L142" i="36"/>
  <c r="K93" i="25" s="1"/>
  <c r="J143" i="36"/>
  <c r="I94" i="25" s="1"/>
  <c r="BD95" i="25" l="1"/>
  <c r="BE95" i="25"/>
  <c r="BB96" i="25"/>
  <c r="BC95" i="25"/>
  <c r="BF94" i="25"/>
  <c r="BA92" i="25"/>
  <c r="AZ93" i="25"/>
  <c r="AW94" i="25"/>
  <c r="AX93" i="25"/>
  <c r="AY93" i="25"/>
  <c r="AR94" i="25"/>
  <c r="AS93" i="25"/>
  <c r="AU93" i="25"/>
  <c r="AT93" i="25"/>
  <c r="AV92" i="25"/>
  <c r="AQ92" i="25"/>
  <c r="AM94" i="25"/>
  <c r="AN93" i="25"/>
  <c r="AO93" i="25"/>
  <c r="AP93" i="25"/>
  <c r="AL92" i="25"/>
  <c r="AH94" i="25"/>
  <c r="AI93" i="25"/>
  <c r="AK93" i="25"/>
  <c r="AJ93" i="25"/>
  <c r="AG92" i="25"/>
  <c r="AF93" i="25"/>
  <c r="AC94" i="25"/>
  <c r="AD93" i="25"/>
  <c r="AE93" i="25"/>
  <c r="AB92" i="25"/>
  <c r="X94" i="25"/>
  <c r="Y93" i="25"/>
  <c r="Z93" i="25"/>
  <c r="AA93" i="25"/>
  <c r="W94" i="25"/>
  <c r="S96" i="25"/>
  <c r="T95" i="25"/>
  <c r="U95" i="25"/>
  <c r="V95" i="25"/>
  <c r="N142" i="36"/>
  <c r="M93" i="25" s="1"/>
  <c r="L143" i="36"/>
  <c r="K94" i="25" s="1"/>
  <c r="M143" i="36"/>
  <c r="L94" i="25" s="1"/>
  <c r="J144" i="36"/>
  <c r="I95" i="25" s="1"/>
  <c r="K143" i="36"/>
  <c r="J94" i="25" s="1"/>
  <c r="BF95" i="25" l="1"/>
  <c r="BE96" i="25"/>
  <c r="BB97" i="25"/>
  <c r="BC96" i="25"/>
  <c r="BD96" i="25"/>
  <c r="AY94" i="25"/>
  <c r="AZ94" i="25"/>
  <c r="AX94" i="25"/>
  <c r="AW95" i="25"/>
  <c r="BA93" i="25"/>
  <c r="AU94" i="25"/>
  <c r="AT94" i="25"/>
  <c r="AS94" i="25"/>
  <c r="AR95" i="25"/>
  <c r="AV93" i="25"/>
  <c r="AM95" i="25"/>
  <c r="AN94" i="25"/>
  <c r="AO94" i="25"/>
  <c r="AP94" i="25"/>
  <c r="AQ93" i="25"/>
  <c r="AH95" i="25"/>
  <c r="AI94" i="25"/>
  <c r="AJ94" i="25"/>
  <c r="AK94" i="25"/>
  <c r="AL93" i="25"/>
  <c r="AE94" i="25"/>
  <c r="AC95" i="25"/>
  <c r="AD94" i="25"/>
  <c r="AF94" i="25"/>
  <c r="AG93" i="25"/>
  <c r="AB93" i="25"/>
  <c r="X95" i="25"/>
  <c r="Y94" i="25"/>
  <c r="Z94" i="25"/>
  <c r="AA94" i="25"/>
  <c r="W95" i="25"/>
  <c r="U96" i="25"/>
  <c r="S97" i="25"/>
  <c r="T96" i="25"/>
  <c r="V96" i="25"/>
  <c r="N143" i="36"/>
  <c r="M94" i="25" s="1"/>
  <c r="J145" i="36"/>
  <c r="I96" i="25" s="1"/>
  <c r="K144" i="36"/>
  <c r="J95" i="25" s="1"/>
  <c r="L144" i="36"/>
  <c r="K95" i="25" s="1"/>
  <c r="M144" i="36"/>
  <c r="L95" i="25" s="1"/>
  <c r="BD97" i="25" l="1"/>
  <c r="BB98" i="25"/>
  <c r="BC97" i="25"/>
  <c r="BE97" i="25"/>
  <c r="BF96" i="25"/>
  <c r="BA94" i="25"/>
  <c r="AW96" i="25"/>
  <c r="AX95" i="25"/>
  <c r="AY95" i="25"/>
  <c r="AZ95" i="25"/>
  <c r="AT95" i="25"/>
  <c r="AU95" i="25"/>
  <c r="AR96" i="25"/>
  <c r="AS95" i="25"/>
  <c r="AV94" i="25"/>
  <c r="AQ94" i="25"/>
  <c r="AP95" i="25"/>
  <c r="AM96" i="25"/>
  <c r="AN95" i="25"/>
  <c r="AO95" i="25"/>
  <c r="AL94" i="25"/>
  <c r="AK95" i="25"/>
  <c r="AH96" i="25"/>
  <c r="AI95" i="25"/>
  <c r="AJ95" i="25"/>
  <c r="AG94" i="25"/>
  <c r="AC96" i="25"/>
  <c r="AD95" i="25"/>
  <c r="AF95" i="25"/>
  <c r="AE95" i="25"/>
  <c r="AB94" i="25"/>
  <c r="AA95" i="25"/>
  <c r="X96" i="25"/>
  <c r="Z95" i="25"/>
  <c r="Y95" i="25"/>
  <c r="W96" i="25"/>
  <c r="V97" i="25"/>
  <c r="S98" i="25"/>
  <c r="T97" i="25"/>
  <c r="U97" i="25"/>
  <c r="N144" i="36"/>
  <c r="M95" i="25" s="1"/>
  <c r="J146" i="36"/>
  <c r="I97" i="25" s="1"/>
  <c r="K145" i="36"/>
  <c r="J96" i="25" s="1"/>
  <c r="M145" i="36"/>
  <c r="L96" i="25" s="1"/>
  <c r="L145" i="36"/>
  <c r="K96" i="25" s="1"/>
  <c r="BF97" i="25" l="1"/>
  <c r="BB99" i="25"/>
  <c r="BC98" i="25"/>
  <c r="BE98" i="25"/>
  <c r="BD98" i="25"/>
  <c r="BA95" i="25"/>
  <c r="AW97" i="25"/>
  <c r="AX96" i="25"/>
  <c r="AY96" i="25"/>
  <c r="AZ96" i="25"/>
  <c r="AV95" i="25"/>
  <c r="AR97" i="25"/>
  <c r="AS96" i="25"/>
  <c r="AT96" i="25"/>
  <c r="AU96" i="25"/>
  <c r="AO96" i="25"/>
  <c r="AP96" i="25"/>
  <c r="AM97" i="25"/>
  <c r="AN96" i="25"/>
  <c r="AQ95" i="25"/>
  <c r="AJ96" i="25"/>
  <c r="AK96" i="25"/>
  <c r="AI96" i="25"/>
  <c r="AH97" i="25"/>
  <c r="AL95" i="25"/>
  <c r="AE96" i="25"/>
  <c r="AF96" i="25"/>
  <c r="AC97" i="25"/>
  <c r="AD96" i="25"/>
  <c r="AG95" i="25"/>
  <c r="AB95" i="25"/>
  <c r="Z96" i="25"/>
  <c r="AA96" i="25"/>
  <c r="Y96" i="25"/>
  <c r="X97" i="25"/>
  <c r="U98" i="25"/>
  <c r="V98" i="25"/>
  <c r="T98" i="25"/>
  <c r="S99" i="25"/>
  <c r="W97" i="25"/>
  <c r="M146" i="36"/>
  <c r="L97" i="25" s="1"/>
  <c r="K146" i="36"/>
  <c r="J97" i="25" s="1"/>
  <c r="J147" i="36"/>
  <c r="I98" i="25" s="1"/>
  <c r="L146" i="36"/>
  <c r="K97" i="25" s="1"/>
  <c r="N145" i="36"/>
  <c r="M96" i="25" s="1"/>
  <c r="BD99" i="25" l="1"/>
  <c r="BE99" i="25"/>
  <c r="BC99" i="25"/>
  <c r="BB100" i="25"/>
  <c r="BF98" i="25"/>
  <c r="BA96" i="25"/>
  <c r="AZ97" i="25"/>
  <c r="AW98" i="25"/>
  <c r="AX97" i="25"/>
  <c r="AY97" i="25"/>
  <c r="AV96" i="25"/>
  <c r="AR98" i="25"/>
  <c r="AS97" i="25"/>
  <c r="AU97" i="25"/>
  <c r="AT97" i="25"/>
  <c r="AQ96" i="25"/>
  <c r="AM98" i="25"/>
  <c r="AN97" i="25"/>
  <c r="AO97" i="25"/>
  <c r="AP97" i="25"/>
  <c r="AL96" i="25"/>
  <c r="AH98" i="25"/>
  <c r="AI97" i="25"/>
  <c r="AK97" i="25"/>
  <c r="AJ97" i="25"/>
  <c r="AG96" i="25"/>
  <c r="AF97" i="25"/>
  <c r="AC98" i="25"/>
  <c r="AD97" i="25"/>
  <c r="AE97" i="25"/>
  <c r="AB96" i="25"/>
  <c r="X98" i="25"/>
  <c r="Y97" i="25"/>
  <c r="Z97" i="25"/>
  <c r="AA97" i="25"/>
  <c r="W98" i="25"/>
  <c r="S100" i="25"/>
  <c r="T99" i="25"/>
  <c r="U99" i="25"/>
  <c r="V99" i="25"/>
  <c r="L147" i="36"/>
  <c r="K98" i="25" s="1"/>
  <c r="M147" i="36"/>
  <c r="L98" i="25" s="1"/>
  <c r="J148" i="36"/>
  <c r="I99" i="25" s="1"/>
  <c r="K147" i="36"/>
  <c r="J98" i="25" s="1"/>
  <c r="N146" i="36"/>
  <c r="M97" i="25" s="1"/>
  <c r="BF99" i="25" l="1"/>
  <c r="BE100" i="25"/>
  <c r="BB101" i="25"/>
  <c r="BC100" i="25"/>
  <c r="BD100" i="25"/>
  <c r="AY98" i="25"/>
  <c r="AZ98" i="25"/>
  <c r="AX98" i="25"/>
  <c r="AW99" i="25"/>
  <c r="BA97" i="25"/>
  <c r="AU98" i="25"/>
  <c r="AT98" i="25"/>
  <c r="AS98" i="25"/>
  <c r="AR99" i="25"/>
  <c r="AV97" i="25"/>
  <c r="AM99" i="25"/>
  <c r="AN98" i="25"/>
  <c r="AO98" i="25"/>
  <c r="AP98" i="25"/>
  <c r="AQ97" i="25"/>
  <c r="AH99" i="25"/>
  <c r="AI98" i="25"/>
  <c r="AJ98" i="25"/>
  <c r="AK98" i="25"/>
  <c r="AL97" i="25"/>
  <c r="AE98" i="25"/>
  <c r="AC99" i="25"/>
  <c r="AD98" i="25"/>
  <c r="AF98" i="25"/>
  <c r="AG97" i="25"/>
  <c r="AB97" i="25"/>
  <c r="X99" i="25"/>
  <c r="Y98" i="25"/>
  <c r="AA98" i="25"/>
  <c r="Z98" i="25"/>
  <c r="W99" i="25"/>
  <c r="U100" i="25"/>
  <c r="S101" i="25"/>
  <c r="T100" i="25"/>
  <c r="V100" i="25"/>
  <c r="N147" i="36"/>
  <c r="M98" i="25" s="1"/>
  <c r="J149" i="36"/>
  <c r="I100" i="25" s="1"/>
  <c r="K148" i="36"/>
  <c r="J99" i="25" s="1"/>
  <c r="M148" i="36"/>
  <c r="L99" i="25" s="1"/>
  <c r="L148" i="36"/>
  <c r="K99" i="25" s="1"/>
  <c r="N148" i="36" l="1"/>
  <c r="M99" i="25" s="1"/>
  <c r="BD101" i="25"/>
  <c r="BB102" i="25"/>
  <c r="BC101" i="25"/>
  <c r="BE101" i="25"/>
  <c r="BF100" i="25"/>
  <c r="BA98" i="25"/>
  <c r="AW100" i="25"/>
  <c r="AX99" i="25"/>
  <c r="AY99" i="25"/>
  <c r="AZ99" i="25"/>
  <c r="AT99" i="25"/>
  <c r="AU99" i="25"/>
  <c r="AR100" i="25"/>
  <c r="AS99" i="25"/>
  <c r="AV98" i="25"/>
  <c r="AQ98" i="25"/>
  <c r="AP99" i="25"/>
  <c r="AM100" i="25"/>
  <c r="AN99" i="25"/>
  <c r="AO99" i="25"/>
  <c r="AL98" i="25"/>
  <c r="AK99" i="25"/>
  <c r="AI99" i="25"/>
  <c r="AH100" i="25"/>
  <c r="AJ99" i="25"/>
  <c r="AG98" i="25"/>
  <c r="AC100" i="25"/>
  <c r="AD99" i="25"/>
  <c r="AF99" i="25"/>
  <c r="AE99" i="25"/>
  <c r="AA99" i="25"/>
  <c r="Y99" i="25"/>
  <c r="X100" i="25"/>
  <c r="Z99" i="25"/>
  <c r="AB98" i="25"/>
  <c r="W100" i="25"/>
  <c r="V101" i="25"/>
  <c r="S102" i="25"/>
  <c r="T101" i="25"/>
  <c r="U101" i="25"/>
  <c r="J150" i="36"/>
  <c r="I101" i="25" s="1"/>
  <c r="K149" i="36"/>
  <c r="J100" i="25" s="1"/>
  <c r="L149" i="36"/>
  <c r="K100" i="25" s="1"/>
  <c r="M149" i="36"/>
  <c r="L100" i="25" s="1"/>
  <c r="BF101" i="25" l="1"/>
  <c r="BB103" i="25"/>
  <c r="BC102" i="25"/>
  <c r="BE102" i="25"/>
  <c r="BD102" i="25"/>
  <c r="BA99" i="25"/>
  <c r="AW101" i="25"/>
  <c r="AX100" i="25"/>
  <c r="AY100" i="25"/>
  <c r="AZ100" i="25"/>
  <c r="AV99" i="25"/>
  <c r="AR101" i="25"/>
  <c r="AS100" i="25"/>
  <c r="AT100" i="25"/>
  <c r="AU100" i="25"/>
  <c r="AO100" i="25"/>
  <c r="AP100" i="25"/>
  <c r="AN100" i="25"/>
  <c r="AM101" i="25"/>
  <c r="AQ99" i="25"/>
  <c r="AJ100" i="25"/>
  <c r="AK100" i="25"/>
  <c r="AI100" i="25"/>
  <c r="AH101" i="25"/>
  <c r="AL99" i="25"/>
  <c r="AG99" i="25"/>
  <c r="AE100" i="25"/>
  <c r="AF100" i="25"/>
  <c r="AD100" i="25"/>
  <c r="AC101" i="25"/>
  <c r="Z100" i="25"/>
  <c r="AA100" i="25"/>
  <c r="X101" i="25"/>
  <c r="Y100" i="25"/>
  <c r="AB99" i="25"/>
  <c r="U102" i="25"/>
  <c r="V102" i="25"/>
  <c r="S103" i="25"/>
  <c r="T102" i="25"/>
  <c r="W101" i="25"/>
  <c r="N149" i="36"/>
  <c r="M100" i="25" s="1"/>
  <c r="M150" i="36"/>
  <c r="L101" i="25" s="1"/>
  <c r="K150" i="36"/>
  <c r="J101" i="25" s="1"/>
  <c r="L150" i="36"/>
  <c r="K101" i="25" s="1"/>
  <c r="J151" i="36"/>
  <c r="I102" i="25" s="1"/>
  <c r="BD103" i="25" l="1"/>
  <c r="BE103" i="25"/>
  <c r="BB104" i="25"/>
  <c r="BC103" i="25"/>
  <c r="BF102" i="25"/>
  <c r="BA100" i="25"/>
  <c r="AZ101" i="25"/>
  <c r="AW102" i="25"/>
  <c r="AX101" i="25"/>
  <c r="AY101" i="25"/>
  <c r="AV100" i="25"/>
  <c r="AR102" i="25"/>
  <c r="AS101" i="25"/>
  <c r="AU101" i="25"/>
  <c r="AT101" i="25"/>
  <c r="AQ100" i="25"/>
  <c r="AM102" i="25"/>
  <c r="AN101" i="25"/>
  <c r="AO101" i="25"/>
  <c r="AP101" i="25"/>
  <c r="AL100" i="25"/>
  <c r="AH102" i="25"/>
  <c r="AI101" i="25"/>
  <c r="AJ101" i="25"/>
  <c r="AK101" i="25"/>
  <c r="AG100" i="25"/>
  <c r="AF101" i="25"/>
  <c r="AC102" i="25"/>
  <c r="AD101" i="25"/>
  <c r="AE101" i="25"/>
  <c r="AB100" i="25"/>
  <c r="X102" i="25"/>
  <c r="Y101" i="25"/>
  <c r="Z101" i="25"/>
  <c r="AA101" i="25"/>
  <c r="W102" i="25"/>
  <c r="S104" i="25"/>
  <c r="T103" i="25"/>
  <c r="U103" i="25"/>
  <c r="V103" i="25"/>
  <c r="N150" i="36"/>
  <c r="M101" i="25" s="1"/>
  <c r="L151" i="36"/>
  <c r="K102" i="25" s="1"/>
  <c r="M151" i="36"/>
  <c r="L102" i="25" s="1"/>
  <c r="J152" i="36"/>
  <c r="I103" i="25" s="1"/>
  <c r="K151" i="36"/>
  <c r="J102" i="25" s="1"/>
  <c r="BF103" i="25" l="1"/>
  <c r="BE104" i="25"/>
  <c r="BB105" i="25"/>
  <c r="BC104" i="25"/>
  <c r="BD104" i="25"/>
  <c r="AY102" i="25"/>
  <c r="AZ102" i="25"/>
  <c r="AW103" i="25"/>
  <c r="AX102" i="25"/>
  <c r="BA101" i="25"/>
  <c r="AU102" i="25"/>
  <c r="AT102" i="25"/>
  <c r="AR103" i="25"/>
  <c r="AS102" i="25"/>
  <c r="AV101" i="25"/>
  <c r="AQ101" i="25"/>
  <c r="AM103" i="25"/>
  <c r="AN102" i="25"/>
  <c r="AO102" i="25"/>
  <c r="AP102" i="25"/>
  <c r="AL101" i="25"/>
  <c r="AJ102" i="25"/>
  <c r="AH103" i="25"/>
  <c r="AI102" i="25"/>
  <c r="AK102" i="25"/>
  <c r="AE102" i="25"/>
  <c r="AC103" i="25"/>
  <c r="AD102" i="25"/>
  <c r="AF102" i="25"/>
  <c r="AG101" i="25"/>
  <c r="AB101" i="25"/>
  <c r="X103" i="25"/>
  <c r="Y102" i="25"/>
  <c r="Z102" i="25"/>
  <c r="AA102" i="25"/>
  <c r="W103" i="25"/>
  <c r="U104" i="25"/>
  <c r="S105" i="25"/>
  <c r="T104" i="25"/>
  <c r="V104" i="25"/>
  <c r="N151" i="36"/>
  <c r="M102" i="25" s="1"/>
  <c r="J153" i="36"/>
  <c r="I104" i="25" s="1"/>
  <c r="K152" i="36"/>
  <c r="J103" i="25" s="1"/>
  <c r="L152" i="36"/>
  <c r="K103" i="25" s="1"/>
  <c r="M152" i="36"/>
  <c r="L103" i="25" s="1"/>
  <c r="BD105" i="25" l="1"/>
  <c r="BB106" i="25"/>
  <c r="BC105" i="25"/>
  <c r="BE105" i="25"/>
  <c r="BF104" i="25"/>
  <c r="BA102" i="25"/>
  <c r="AW104" i="25"/>
  <c r="AX103" i="25"/>
  <c r="AY103" i="25"/>
  <c r="AZ103" i="25"/>
  <c r="AV102" i="25"/>
  <c r="AT103" i="25"/>
  <c r="AU103" i="25"/>
  <c r="AR104" i="25"/>
  <c r="AS103" i="25"/>
  <c r="AQ102" i="25"/>
  <c r="AP103" i="25"/>
  <c r="AM104" i="25"/>
  <c r="AN103" i="25"/>
  <c r="AO103" i="25"/>
  <c r="AL102" i="25"/>
  <c r="AK103" i="25"/>
  <c r="AI103" i="25"/>
  <c r="AH104" i="25"/>
  <c r="AJ103" i="25"/>
  <c r="AG102" i="25"/>
  <c r="AC104" i="25"/>
  <c r="AD103" i="25"/>
  <c r="AF103" i="25"/>
  <c r="AE103" i="25"/>
  <c r="AB102" i="25"/>
  <c r="AA103" i="25"/>
  <c r="X104" i="25"/>
  <c r="Y103" i="25"/>
  <c r="Z103" i="25"/>
  <c r="W104" i="25"/>
  <c r="V105" i="25"/>
  <c r="S106" i="25"/>
  <c r="T105" i="25"/>
  <c r="U105" i="25"/>
  <c r="N152" i="36"/>
  <c r="M103" i="25" s="1"/>
  <c r="J154" i="36"/>
  <c r="I105" i="25" s="1"/>
  <c r="K153" i="36"/>
  <c r="J104" i="25" s="1"/>
  <c r="M153" i="36"/>
  <c r="L104" i="25" s="1"/>
  <c r="L153" i="36"/>
  <c r="K104" i="25" s="1"/>
  <c r="BF105" i="25" l="1"/>
  <c r="BB107" i="25"/>
  <c r="BC106" i="25"/>
  <c r="BE106" i="25"/>
  <c r="BD106" i="25"/>
  <c r="BA103" i="25"/>
  <c r="AW105" i="25"/>
  <c r="AX104" i="25"/>
  <c r="AY104" i="25"/>
  <c r="AZ104" i="25"/>
  <c r="AV103" i="25"/>
  <c r="AR105" i="25"/>
  <c r="AS104" i="25"/>
  <c r="AT104" i="25"/>
  <c r="AU104" i="25"/>
  <c r="AO104" i="25"/>
  <c r="AP104" i="25"/>
  <c r="AN104" i="25"/>
  <c r="AM105" i="25"/>
  <c r="AQ103" i="25"/>
  <c r="AJ104" i="25"/>
  <c r="AK104" i="25"/>
  <c r="AI104" i="25"/>
  <c r="AH105" i="25"/>
  <c r="AL103" i="25"/>
  <c r="AG103" i="25"/>
  <c r="AE104" i="25"/>
  <c r="AF104" i="25"/>
  <c r="AC105" i="25"/>
  <c r="AD104" i="25"/>
  <c r="Z104" i="25"/>
  <c r="AA104" i="25"/>
  <c r="X105" i="25"/>
  <c r="Y104" i="25"/>
  <c r="AB103" i="25"/>
  <c r="U106" i="25"/>
  <c r="V106" i="25"/>
  <c r="T106" i="25"/>
  <c r="S107" i="25"/>
  <c r="W105" i="25"/>
  <c r="M154" i="36"/>
  <c r="L105" i="25" s="1"/>
  <c r="K154" i="36"/>
  <c r="J105" i="25" s="1"/>
  <c r="J155" i="36"/>
  <c r="I106" i="25" s="1"/>
  <c r="L154" i="36"/>
  <c r="K105" i="25" s="1"/>
  <c r="N153" i="36"/>
  <c r="M104" i="25" s="1"/>
  <c r="BD107" i="25" l="1"/>
  <c r="BE107" i="25"/>
  <c r="BC107" i="25"/>
  <c r="BB108" i="25"/>
  <c r="BF106" i="25"/>
  <c r="BA104" i="25"/>
  <c r="AZ105" i="25"/>
  <c r="AW106" i="25"/>
  <c r="AX105" i="25"/>
  <c r="AY105" i="25"/>
  <c r="AR106" i="25"/>
  <c r="AS105" i="25"/>
  <c r="AU105" i="25"/>
  <c r="AT105" i="25"/>
  <c r="AV104" i="25"/>
  <c r="AQ104" i="25"/>
  <c r="AM106" i="25"/>
  <c r="AN105" i="25"/>
  <c r="AO105" i="25"/>
  <c r="AP105" i="25"/>
  <c r="AL104" i="25"/>
  <c r="AH106" i="25"/>
  <c r="AI105" i="25"/>
  <c r="AJ105" i="25"/>
  <c r="AK105" i="25"/>
  <c r="AG104" i="25"/>
  <c r="AF105" i="25"/>
  <c r="AC106" i="25"/>
  <c r="AD105" i="25"/>
  <c r="AE105" i="25"/>
  <c r="AB104" i="25"/>
  <c r="X106" i="25"/>
  <c r="Y105" i="25"/>
  <c r="Z105" i="25"/>
  <c r="AA105" i="25"/>
  <c r="W106" i="25"/>
  <c r="S108" i="25"/>
  <c r="T107" i="25"/>
  <c r="U107" i="25"/>
  <c r="V107" i="25"/>
  <c r="L155" i="36"/>
  <c r="K106" i="25" s="1"/>
  <c r="M155" i="36"/>
  <c r="L106" i="25" s="1"/>
  <c r="J156" i="36"/>
  <c r="I107" i="25" s="1"/>
  <c r="K155" i="36"/>
  <c r="J106" i="25" s="1"/>
  <c r="N154" i="36"/>
  <c r="M105" i="25" s="1"/>
  <c r="BF107" i="25" l="1"/>
  <c r="BE108" i="25"/>
  <c r="BB109" i="25"/>
  <c r="BC108" i="25"/>
  <c r="BD108" i="25"/>
  <c r="AY106" i="25"/>
  <c r="AZ106" i="25"/>
  <c r="AW107" i="25"/>
  <c r="AX106" i="25"/>
  <c r="BA105" i="25"/>
  <c r="AU106" i="25"/>
  <c r="AT106" i="25"/>
  <c r="AS106" i="25"/>
  <c r="AR107" i="25"/>
  <c r="AV105" i="25"/>
  <c r="AM107" i="25"/>
  <c r="AN106" i="25"/>
  <c r="AO106" i="25"/>
  <c r="AP106" i="25"/>
  <c r="AQ105" i="25"/>
  <c r="AL105" i="25"/>
  <c r="AJ106" i="25"/>
  <c r="AH107" i="25"/>
  <c r="AI106" i="25"/>
  <c r="AK106" i="25"/>
  <c r="AE106" i="25"/>
  <c r="AC107" i="25"/>
  <c r="AD106" i="25"/>
  <c r="AF106" i="25"/>
  <c r="AG105" i="25"/>
  <c r="AB105" i="25"/>
  <c r="X107" i="25"/>
  <c r="Y106" i="25"/>
  <c r="Z106" i="25"/>
  <c r="AA106" i="25"/>
  <c r="W107" i="25"/>
  <c r="U108" i="25"/>
  <c r="S109" i="25"/>
  <c r="T108" i="25"/>
  <c r="V108" i="25"/>
  <c r="N155" i="36"/>
  <c r="M106" i="25" s="1"/>
  <c r="J157" i="36"/>
  <c r="I108" i="25" s="1"/>
  <c r="K156" i="36"/>
  <c r="J107" i="25" s="1"/>
  <c r="M156" i="36"/>
  <c r="L107" i="25" s="1"/>
  <c r="L156" i="36"/>
  <c r="K107" i="25" s="1"/>
  <c r="N156" i="36" l="1"/>
  <c r="M107" i="25" s="1"/>
  <c r="BD109" i="25"/>
  <c r="BB110" i="25"/>
  <c r="BC109" i="25"/>
  <c r="BE109" i="25"/>
  <c r="BF108" i="25"/>
  <c r="BA106" i="25"/>
  <c r="AW108" i="25"/>
  <c r="AX107" i="25"/>
  <c r="AY107" i="25"/>
  <c r="AZ107" i="25"/>
  <c r="AV106" i="25"/>
  <c r="AT107" i="25"/>
  <c r="AU107" i="25"/>
  <c r="AR108" i="25"/>
  <c r="AS107" i="25"/>
  <c r="AQ106" i="25"/>
  <c r="AP107" i="25"/>
  <c r="AM108" i="25"/>
  <c r="AN107" i="25"/>
  <c r="AO107" i="25"/>
  <c r="AL106" i="25"/>
  <c r="AK107" i="25"/>
  <c r="AH108" i="25"/>
  <c r="AI107" i="25"/>
  <c r="AJ107" i="25"/>
  <c r="AG106" i="25"/>
  <c r="AC108" i="25"/>
  <c r="AD107" i="25"/>
  <c r="AF107" i="25"/>
  <c r="AE107" i="25"/>
  <c r="AB106" i="25"/>
  <c r="AA107" i="25"/>
  <c r="Y107" i="25"/>
  <c r="Z107" i="25"/>
  <c r="X108" i="25"/>
  <c r="W108" i="25"/>
  <c r="V109" i="25"/>
  <c r="S110" i="25"/>
  <c r="T109" i="25"/>
  <c r="U109" i="25"/>
  <c r="J158" i="36"/>
  <c r="I109" i="25" s="1"/>
  <c r="K157" i="36"/>
  <c r="J108" i="25" s="1"/>
  <c r="L157" i="36"/>
  <c r="K108" i="25" s="1"/>
  <c r="M157" i="36"/>
  <c r="L108" i="25" s="1"/>
  <c r="BF109" i="25" l="1"/>
  <c r="BB111" i="25"/>
  <c r="BC110" i="25"/>
  <c r="BE110" i="25"/>
  <c r="BD110" i="25"/>
  <c r="BA107" i="25"/>
  <c r="AW109" i="25"/>
  <c r="AX108" i="25"/>
  <c r="AY108" i="25"/>
  <c r="AZ108" i="25"/>
  <c r="AV107" i="25"/>
  <c r="AR109" i="25"/>
  <c r="AS108" i="25"/>
  <c r="AT108" i="25"/>
  <c r="AU108" i="25"/>
  <c r="AO108" i="25"/>
  <c r="AP108" i="25"/>
  <c r="AM109" i="25"/>
  <c r="AN108" i="25"/>
  <c r="AQ107" i="25"/>
  <c r="AJ108" i="25"/>
  <c r="AK108" i="25"/>
  <c r="AH109" i="25"/>
  <c r="AI108" i="25"/>
  <c r="AL107" i="25"/>
  <c r="AE108" i="25"/>
  <c r="AF108" i="25"/>
  <c r="AD108" i="25"/>
  <c r="AC109" i="25"/>
  <c r="AG107" i="25"/>
  <c r="AB107" i="25"/>
  <c r="Z108" i="25"/>
  <c r="AA108" i="25"/>
  <c r="Y108" i="25"/>
  <c r="X109" i="25"/>
  <c r="U110" i="25"/>
  <c r="V110" i="25"/>
  <c r="T110" i="25"/>
  <c r="S111" i="25"/>
  <c r="W109" i="25"/>
  <c r="N157" i="36"/>
  <c r="M108" i="25" s="1"/>
  <c r="M158" i="36"/>
  <c r="L109" i="25" s="1"/>
  <c r="J159" i="36"/>
  <c r="I110" i="25" s="1"/>
  <c r="L158" i="36"/>
  <c r="K109" i="25" s="1"/>
  <c r="K158" i="36"/>
  <c r="J109" i="25" s="1"/>
  <c r="BD111" i="25" l="1"/>
  <c r="BE111" i="25"/>
  <c r="BB112" i="25"/>
  <c r="BC111" i="25"/>
  <c r="BF110" i="25"/>
  <c r="BA108" i="25"/>
  <c r="AZ109" i="25"/>
  <c r="AW110" i="25"/>
  <c r="AX109" i="25"/>
  <c r="AY109" i="25"/>
  <c r="AR110" i="25"/>
  <c r="AS109" i="25"/>
  <c r="AU109" i="25"/>
  <c r="AT109" i="25"/>
  <c r="AV108" i="25"/>
  <c r="AQ108" i="25"/>
  <c r="AM110" i="25"/>
  <c r="AN109" i="25"/>
  <c r="AO109" i="25"/>
  <c r="AP109" i="25"/>
  <c r="AL108" i="25"/>
  <c r="AH110" i="25"/>
  <c r="AI109" i="25"/>
  <c r="AK109" i="25"/>
  <c r="AJ109" i="25"/>
  <c r="AG108" i="25"/>
  <c r="AF109" i="25"/>
  <c r="AC110" i="25"/>
  <c r="AD109" i="25"/>
  <c r="AE109" i="25"/>
  <c r="AB108" i="25"/>
  <c r="X110" i="25"/>
  <c r="Y109" i="25"/>
  <c r="Z109" i="25"/>
  <c r="AA109" i="25"/>
  <c r="W110" i="25"/>
  <c r="S112" i="25"/>
  <c r="T111" i="25"/>
  <c r="U111" i="25"/>
  <c r="V111" i="25"/>
  <c r="N158" i="36"/>
  <c r="M109" i="25" s="1"/>
  <c r="L159" i="36"/>
  <c r="K110" i="25" s="1"/>
  <c r="M159" i="36"/>
  <c r="L110" i="25" s="1"/>
  <c r="J160" i="36"/>
  <c r="I111" i="25" s="1"/>
  <c r="K159" i="36"/>
  <c r="J110" i="25" s="1"/>
  <c r="BF111" i="25" l="1"/>
  <c r="BE112" i="25"/>
  <c r="BB113" i="25"/>
  <c r="BC112" i="25"/>
  <c r="BD112" i="25"/>
  <c r="AY110" i="25"/>
  <c r="AZ110" i="25"/>
  <c r="AX110" i="25"/>
  <c r="AW111" i="25"/>
  <c r="BA109" i="25"/>
  <c r="AV109" i="25"/>
  <c r="AU110" i="25"/>
  <c r="AT110" i="25"/>
  <c r="AR111" i="25"/>
  <c r="AS110" i="25"/>
  <c r="AQ109" i="25"/>
  <c r="AM111" i="25"/>
  <c r="AN110" i="25"/>
  <c r="AO110" i="25"/>
  <c r="AP110" i="25"/>
  <c r="AH111" i="25"/>
  <c r="AI110" i="25"/>
  <c r="AJ110" i="25"/>
  <c r="AK110" i="25"/>
  <c r="AL109" i="25"/>
  <c r="AE110" i="25"/>
  <c r="AC111" i="25"/>
  <c r="AD110" i="25"/>
  <c r="AF110" i="25"/>
  <c r="AG109" i="25"/>
  <c r="AB109" i="25"/>
  <c r="X111" i="25"/>
  <c r="Y110" i="25"/>
  <c r="Z110" i="25"/>
  <c r="AA110" i="25"/>
  <c r="W111" i="25"/>
  <c r="U112" i="25"/>
  <c r="S113" i="25"/>
  <c r="T112" i="25"/>
  <c r="V112" i="25"/>
  <c r="N159" i="36"/>
  <c r="M110" i="25" s="1"/>
  <c r="J161" i="36"/>
  <c r="I112" i="25" s="1"/>
  <c r="K160" i="36"/>
  <c r="J111" i="25" s="1"/>
  <c r="L160" i="36"/>
  <c r="K111" i="25" s="1"/>
  <c r="M160" i="36"/>
  <c r="L111" i="25" s="1"/>
  <c r="BF112" i="25" l="1"/>
  <c r="BD113" i="25"/>
  <c r="BB114" i="25"/>
  <c r="BC113" i="25"/>
  <c r="BE113" i="25"/>
  <c r="BA110" i="25"/>
  <c r="AW112" i="25"/>
  <c r="AX111" i="25"/>
  <c r="AY111" i="25"/>
  <c r="AZ111" i="25"/>
  <c r="AV110" i="25"/>
  <c r="AT111" i="25"/>
  <c r="AU111" i="25"/>
  <c r="AR112" i="25"/>
  <c r="AS111" i="25"/>
  <c r="AQ110" i="25"/>
  <c r="AP111" i="25"/>
  <c r="AM112" i="25"/>
  <c r="AN111" i="25"/>
  <c r="AO111" i="25"/>
  <c r="AL110" i="25"/>
  <c r="AK111" i="25"/>
  <c r="AI111" i="25"/>
  <c r="AH112" i="25"/>
  <c r="AJ111" i="25"/>
  <c r="AG110" i="25"/>
  <c r="AC112" i="25"/>
  <c r="AD111" i="25"/>
  <c r="AF111" i="25"/>
  <c r="AE111" i="25"/>
  <c r="AB110" i="25"/>
  <c r="AA111" i="25"/>
  <c r="X112" i="25"/>
  <c r="Y111" i="25"/>
  <c r="Z111" i="25"/>
  <c r="W112" i="25"/>
  <c r="V113" i="25"/>
  <c r="S114" i="25"/>
  <c r="T113" i="25"/>
  <c r="U113" i="25"/>
  <c r="N160" i="36"/>
  <c r="M111" i="25" s="1"/>
  <c r="L161" i="36"/>
  <c r="K112" i="25" s="1"/>
  <c r="J162" i="36"/>
  <c r="I113" i="25" s="1"/>
  <c r="K161" i="36"/>
  <c r="J112" i="25" s="1"/>
  <c r="M161" i="36"/>
  <c r="L112" i="25" s="1"/>
  <c r="BF113" i="25" l="1"/>
  <c r="BB115" i="25"/>
  <c r="BC114" i="25"/>
  <c r="BE114" i="25"/>
  <c r="BD114" i="25"/>
  <c r="BA111" i="25"/>
  <c r="AW113" i="25"/>
  <c r="AX112" i="25"/>
  <c r="AY112" i="25"/>
  <c r="AZ112" i="25"/>
  <c r="AV111" i="25"/>
  <c r="AR113" i="25"/>
  <c r="AS112" i="25"/>
  <c r="AT112" i="25"/>
  <c r="AU112" i="25"/>
  <c r="AO112" i="25"/>
  <c r="AP112" i="25"/>
  <c r="AM113" i="25"/>
  <c r="AN112" i="25"/>
  <c r="AQ111" i="25"/>
  <c r="AJ112" i="25"/>
  <c r="AK112" i="25"/>
  <c r="AI112" i="25"/>
  <c r="AH113" i="25"/>
  <c r="AL111" i="25"/>
  <c r="AE112" i="25"/>
  <c r="AF112" i="25"/>
  <c r="AC113" i="25"/>
  <c r="AD112" i="25"/>
  <c r="AG111" i="25"/>
  <c r="Z112" i="25"/>
  <c r="AA112" i="25"/>
  <c r="X113" i="25"/>
  <c r="Y112" i="25"/>
  <c r="AB111" i="25"/>
  <c r="U114" i="25"/>
  <c r="V114" i="25"/>
  <c r="T114" i="25"/>
  <c r="S115" i="25"/>
  <c r="W113" i="25"/>
  <c r="N161" i="36"/>
  <c r="M112" i="25" s="1"/>
  <c r="M162" i="36"/>
  <c r="L113" i="25" s="1"/>
  <c r="J163" i="36"/>
  <c r="I114" i="25" s="1"/>
  <c r="K162" i="36"/>
  <c r="J113" i="25" s="1"/>
  <c r="L162" i="36"/>
  <c r="K113" i="25" s="1"/>
  <c r="BD115" i="25" l="1"/>
  <c r="BE115" i="25"/>
  <c r="BC115" i="25"/>
  <c r="BB116" i="25"/>
  <c r="BF114" i="25"/>
  <c r="BA112" i="25"/>
  <c r="AZ113" i="25"/>
  <c r="AW114" i="25"/>
  <c r="AX113" i="25"/>
  <c r="AY113" i="25"/>
  <c r="AR114" i="25"/>
  <c r="AS113" i="25"/>
  <c r="AU113" i="25"/>
  <c r="AT113" i="25"/>
  <c r="AV112" i="25"/>
  <c r="AQ112" i="25"/>
  <c r="AM114" i="25"/>
  <c r="AN113" i="25"/>
  <c r="AO113" i="25"/>
  <c r="AP113" i="25"/>
  <c r="AL112" i="25"/>
  <c r="AH114" i="25"/>
  <c r="AI113" i="25"/>
  <c r="AJ113" i="25"/>
  <c r="AK113" i="25"/>
  <c r="AG112" i="25"/>
  <c r="AF113" i="25"/>
  <c r="AC114" i="25"/>
  <c r="AD113" i="25"/>
  <c r="AE113" i="25"/>
  <c r="AB112" i="25"/>
  <c r="X114" i="25"/>
  <c r="Y113" i="25"/>
  <c r="Z113" i="25"/>
  <c r="AA113" i="25"/>
  <c r="W114" i="25"/>
  <c r="S116" i="25"/>
  <c r="T115" i="25"/>
  <c r="U115" i="25"/>
  <c r="V115" i="25"/>
  <c r="L163" i="36"/>
  <c r="K114" i="25" s="1"/>
  <c r="M163" i="36"/>
  <c r="L114" i="25" s="1"/>
  <c r="J164" i="36"/>
  <c r="I115" i="25" s="1"/>
  <c r="K163" i="36"/>
  <c r="J114" i="25" s="1"/>
  <c r="N162" i="36"/>
  <c r="M113" i="25" s="1"/>
  <c r="BF115" i="25" l="1"/>
  <c r="BE116" i="25"/>
  <c r="BB117" i="25"/>
  <c r="BC116" i="25"/>
  <c r="BD116" i="25"/>
  <c r="AY114" i="25"/>
  <c r="AZ114" i="25"/>
  <c r="AX114" i="25"/>
  <c r="AW115" i="25"/>
  <c r="BA113" i="25"/>
  <c r="AU114" i="25"/>
  <c r="AT114" i="25"/>
  <c r="AR115" i="25"/>
  <c r="AS114" i="25"/>
  <c r="AV113" i="25"/>
  <c r="AM115" i="25"/>
  <c r="AN114" i="25"/>
  <c r="AO114" i="25"/>
  <c r="AP114" i="25"/>
  <c r="AQ113" i="25"/>
  <c r="AL113" i="25"/>
  <c r="AJ114" i="25"/>
  <c r="AH115" i="25"/>
  <c r="AI114" i="25"/>
  <c r="AK114" i="25"/>
  <c r="AE114" i="25"/>
  <c r="AC115" i="25"/>
  <c r="AD114" i="25"/>
  <c r="AF114" i="25"/>
  <c r="AG113" i="25"/>
  <c r="AB113" i="25"/>
  <c r="X115" i="25"/>
  <c r="Y114" i="25"/>
  <c r="Z114" i="25"/>
  <c r="AA114" i="25"/>
  <c r="W115" i="25"/>
  <c r="U116" i="25"/>
  <c r="S117" i="25"/>
  <c r="T116" i="25"/>
  <c r="V116" i="25"/>
  <c r="N163" i="36"/>
  <c r="M114" i="25" s="1"/>
  <c r="J165" i="36"/>
  <c r="I116" i="25" s="1"/>
  <c r="K164" i="36"/>
  <c r="J115" i="25" s="1"/>
  <c r="L164" i="36"/>
  <c r="K115" i="25" s="1"/>
  <c r="M164" i="36"/>
  <c r="L115" i="25" s="1"/>
  <c r="BD117" i="25" l="1"/>
  <c r="BB118" i="25"/>
  <c r="BC117" i="25"/>
  <c r="BE117" i="25"/>
  <c r="BF116" i="25"/>
  <c r="BA114" i="25"/>
  <c r="AW116" i="25"/>
  <c r="AX115" i="25"/>
  <c r="AY115" i="25"/>
  <c r="AZ115" i="25"/>
  <c r="AV114" i="25"/>
  <c r="AT115" i="25"/>
  <c r="AU115" i="25"/>
  <c r="AR116" i="25"/>
  <c r="AS115" i="25"/>
  <c r="AQ114" i="25"/>
  <c r="AP115" i="25"/>
  <c r="AM116" i="25"/>
  <c r="AN115" i="25"/>
  <c r="AO115" i="25"/>
  <c r="AL114" i="25"/>
  <c r="AK115" i="25"/>
  <c r="AH116" i="25"/>
  <c r="AI115" i="25"/>
  <c r="AJ115" i="25"/>
  <c r="AG114" i="25"/>
  <c r="AC116" i="25"/>
  <c r="AD115" i="25"/>
  <c r="AF115" i="25"/>
  <c r="AE115" i="25"/>
  <c r="AB114" i="25"/>
  <c r="AA115" i="25"/>
  <c r="Y115" i="25"/>
  <c r="Z115" i="25"/>
  <c r="X116" i="25"/>
  <c r="W116" i="25"/>
  <c r="V117" i="25"/>
  <c r="S118" i="25"/>
  <c r="T117" i="25"/>
  <c r="U117" i="25"/>
  <c r="L165" i="36"/>
  <c r="K116" i="25" s="1"/>
  <c r="J166" i="36"/>
  <c r="I117" i="25" s="1"/>
  <c r="K165" i="36"/>
  <c r="J116" i="25" s="1"/>
  <c r="M165" i="36"/>
  <c r="L116" i="25" s="1"/>
  <c r="N164" i="36"/>
  <c r="M115" i="25" s="1"/>
  <c r="BF117" i="25" l="1"/>
  <c r="BB119" i="25"/>
  <c r="BC118" i="25"/>
  <c r="BE118" i="25"/>
  <c r="BD118" i="25"/>
  <c r="BA115" i="25"/>
  <c r="AW117" i="25"/>
  <c r="AX116" i="25"/>
  <c r="AY116" i="25"/>
  <c r="AZ116" i="25"/>
  <c r="AV115" i="25"/>
  <c r="AR117" i="25"/>
  <c r="AS116" i="25"/>
  <c r="AT116" i="25"/>
  <c r="AU116" i="25"/>
  <c r="AO116" i="25"/>
  <c r="AP116" i="25"/>
  <c r="AN116" i="25"/>
  <c r="AM117" i="25"/>
  <c r="AQ115" i="25"/>
  <c r="AJ116" i="25"/>
  <c r="AK116" i="25"/>
  <c r="AI116" i="25"/>
  <c r="AH117" i="25"/>
  <c r="AL115" i="25"/>
  <c r="AE116" i="25"/>
  <c r="AF116" i="25"/>
  <c r="AD116" i="25"/>
  <c r="AC117" i="25"/>
  <c r="AG115" i="25"/>
  <c r="AB115" i="25"/>
  <c r="Z116" i="25"/>
  <c r="AA116" i="25"/>
  <c r="Y116" i="25"/>
  <c r="X117" i="25"/>
  <c r="U118" i="25"/>
  <c r="V118" i="25"/>
  <c r="S119" i="25"/>
  <c r="T118" i="25"/>
  <c r="W117" i="25"/>
  <c r="N165" i="36"/>
  <c r="M116" i="25" s="1"/>
  <c r="M166" i="36"/>
  <c r="L117" i="25" s="1"/>
  <c r="K166" i="36"/>
  <c r="J117" i="25" s="1"/>
  <c r="L166" i="36"/>
  <c r="K117" i="25" s="1"/>
  <c r="J167" i="36"/>
  <c r="I118" i="25" s="1"/>
  <c r="BD119" i="25" l="1"/>
  <c r="BE119" i="25"/>
  <c r="BB120" i="25"/>
  <c r="BC119" i="25"/>
  <c r="BF118" i="25"/>
  <c r="BA116" i="25"/>
  <c r="AZ117" i="25"/>
  <c r="AW118" i="25"/>
  <c r="AX117" i="25"/>
  <c r="AY117" i="25"/>
  <c r="AR118" i="25"/>
  <c r="AS117" i="25"/>
  <c r="AU117" i="25"/>
  <c r="AT117" i="25"/>
  <c r="AV116" i="25"/>
  <c r="AQ116" i="25"/>
  <c r="AM118" i="25"/>
  <c r="AN117" i="25"/>
  <c r="AO117" i="25"/>
  <c r="AP117" i="25"/>
  <c r="AL116" i="25"/>
  <c r="AH118" i="25"/>
  <c r="AI117" i="25"/>
  <c r="AK117" i="25"/>
  <c r="AJ117" i="25"/>
  <c r="AG116" i="25"/>
  <c r="AF117" i="25"/>
  <c r="AC118" i="25"/>
  <c r="AD117" i="25"/>
  <c r="AE117" i="25"/>
  <c r="AB116" i="25"/>
  <c r="X118" i="25"/>
  <c r="Y117" i="25"/>
  <c r="Z117" i="25"/>
  <c r="AA117" i="25"/>
  <c r="W118" i="25"/>
  <c r="S120" i="25"/>
  <c r="T119" i="25"/>
  <c r="U119" i="25"/>
  <c r="V119" i="25"/>
  <c r="N166" i="36"/>
  <c r="M117" i="25" s="1"/>
  <c r="L167" i="36"/>
  <c r="K118" i="25" s="1"/>
  <c r="M167" i="36"/>
  <c r="L118" i="25" s="1"/>
  <c r="J168" i="36"/>
  <c r="I119" i="25" s="1"/>
  <c r="K167" i="36"/>
  <c r="J118" i="25" s="1"/>
  <c r="BF119" i="25" l="1"/>
  <c r="BE120" i="25"/>
  <c r="BB121" i="25"/>
  <c r="BC120" i="25"/>
  <c r="BD120" i="25"/>
  <c r="AY118" i="25"/>
  <c r="AZ118" i="25"/>
  <c r="AW119" i="25"/>
  <c r="AX118" i="25"/>
  <c r="BA117" i="25"/>
  <c r="AU118" i="25"/>
  <c r="AT118" i="25"/>
  <c r="AR119" i="25"/>
  <c r="AS118" i="25"/>
  <c r="AV117" i="25"/>
  <c r="AM119" i="25"/>
  <c r="AN118" i="25"/>
  <c r="AO118" i="25"/>
  <c r="AP118" i="25"/>
  <c r="AQ117" i="25"/>
  <c r="AH119" i="25"/>
  <c r="AI118" i="25"/>
  <c r="AJ118" i="25"/>
  <c r="AK118" i="25"/>
  <c r="AL117" i="25"/>
  <c r="AG117" i="25"/>
  <c r="AE118" i="25"/>
  <c r="AC119" i="25"/>
  <c r="AD118" i="25"/>
  <c r="AF118" i="25"/>
  <c r="AB117" i="25"/>
  <c r="X119" i="25"/>
  <c r="Y118" i="25"/>
  <c r="Z118" i="25"/>
  <c r="AA118" i="25"/>
  <c r="W119" i="25"/>
  <c r="S121" i="25"/>
  <c r="U120" i="25"/>
  <c r="T120" i="25"/>
  <c r="V120" i="25"/>
  <c r="N167" i="36"/>
  <c r="M118" i="25" s="1"/>
  <c r="J169" i="36"/>
  <c r="I120" i="25" s="1"/>
  <c r="K168" i="36"/>
  <c r="J119" i="25" s="1"/>
  <c r="L168" i="36"/>
  <c r="K119" i="25" s="1"/>
  <c r="M168" i="36"/>
  <c r="L119" i="25" s="1"/>
  <c r="BD121" i="25" l="1"/>
  <c r="BB122" i="25"/>
  <c r="BC121" i="25"/>
  <c r="BE121" i="25"/>
  <c r="BF120" i="25"/>
  <c r="BA118" i="25"/>
  <c r="AW120" i="25"/>
  <c r="AX119" i="25"/>
  <c r="AY119" i="25"/>
  <c r="AZ119" i="25"/>
  <c r="AV118" i="25"/>
  <c r="AT119" i="25"/>
  <c r="AU119" i="25"/>
  <c r="AR120" i="25"/>
  <c r="AS119" i="25"/>
  <c r="AQ118" i="25"/>
  <c r="AP119" i="25"/>
  <c r="AM120" i="25"/>
  <c r="AN119" i="25"/>
  <c r="AO119" i="25"/>
  <c r="AL118" i="25"/>
  <c r="AK119" i="25"/>
  <c r="AI119" i="25"/>
  <c r="AH120" i="25"/>
  <c r="AJ119" i="25"/>
  <c r="AC120" i="25"/>
  <c r="AD119" i="25"/>
  <c r="AF119" i="25"/>
  <c r="AE119" i="25"/>
  <c r="AG118" i="25"/>
  <c r="AB118" i="25"/>
  <c r="AA119" i="25"/>
  <c r="X120" i="25"/>
  <c r="Z119" i="25"/>
  <c r="Y119" i="25"/>
  <c r="W120" i="25"/>
  <c r="S122" i="25"/>
  <c r="T121" i="25"/>
  <c r="U121" i="25"/>
  <c r="V121" i="25"/>
  <c r="N168" i="36"/>
  <c r="M119" i="25" s="1"/>
  <c r="J170" i="36"/>
  <c r="I121" i="25" s="1"/>
  <c r="K169" i="36"/>
  <c r="J120" i="25" s="1"/>
  <c r="M169" i="36"/>
  <c r="L120" i="25" s="1"/>
  <c r="L169" i="36"/>
  <c r="K120" i="25" s="1"/>
  <c r="BF121" i="25" l="1"/>
  <c r="BB123" i="25"/>
  <c r="BC122" i="25"/>
  <c r="BE122" i="25"/>
  <c r="BD122" i="25"/>
  <c r="BA119" i="25"/>
  <c r="AW121" i="25"/>
  <c r="AX120" i="25"/>
  <c r="AY120" i="25"/>
  <c r="AZ120" i="25"/>
  <c r="AV119" i="25"/>
  <c r="AR121" i="25"/>
  <c r="AS120" i="25"/>
  <c r="AT120" i="25"/>
  <c r="AU120" i="25"/>
  <c r="AO120" i="25"/>
  <c r="AP120" i="25"/>
  <c r="AN120" i="25"/>
  <c r="AM121" i="25"/>
  <c r="AQ119" i="25"/>
  <c r="AJ120" i="25"/>
  <c r="AK120" i="25"/>
  <c r="AH121" i="25"/>
  <c r="AI120" i="25"/>
  <c r="AL119" i="25"/>
  <c r="AE120" i="25"/>
  <c r="AF120" i="25"/>
  <c r="AC121" i="25"/>
  <c r="AD120" i="25"/>
  <c r="AG119" i="25"/>
  <c r="AB119" i="25"/>
  <c r="Z120" i="25"/>
  <c r="AA120" i="25"/>
  <c r="Y120" i="25"/>
  <c r="X121" i="25"/>
  <c r="W121" i="25"/>
  <c r="V122" i="25"/>
  <c r="S123" i="25"/>
  <c r="U122" i="25"/>
  <c r="T122" i="25"/>
  <c r="M170" i="36"/>
  <c r="L121" i="25" s="1"/>
  <c r="J171" i="36"/>
  <c r="I122" i="25" s="1"/>
  <c r="K170" i="36"/>
  <c r="J121" i="25" s="1"/>
  <c r="L170" i="36"/>
  <c r="K121" i="25" s="1"/>
  <c r="N169" i="36"/>
  <c r="M120" i="25" s="1"/>
  <c r="BD123" i="25" l="1"/>
  <c r="BE123" i="25"/>
  <c r="BC123" i="25"/>
  <c r="BB124" i="25"/>
  <c r="BF122" i="25"/>
  <c r="BA120" i="25"/>
  <c r="AZ121" i="25"/>
  <c r="AW122" i="25"/>
  <c r="AX121" i="25"/>
  <c r="AY121" i="25"/>
  <c r="AR122" i="25"/>
  <c r="AS121" i="25"/>
  <c r="AU121" i="25"/>
  <c r="AT121" i="25"/>
  <c r="AV120" i="25"/>
  <c r="AQ120" i="25"/>
  <c r="AM122" i="25"/>
  <c r="AN121" i="25"/>
  <c r="AO121" i="25"/>
  <c r="AP121" i="25"/>
  <c r="AL120" i="25"/>
  <c r="AH122" i="25"/>
  <c r="AI121" i="25"/>
  <c r="AJ121" i="25"/>
  <c r="AK121" i="25"/>
  <c r="AG120" i="25"/>
  <c r="AF121" i="25"/>
  <c r="AC122" i="25"/>
  <c r="AD121" i="25"/>
  <c r="AE121" i="25"/>
  <c r="AB120" i="25"/>
  <c r="X122" i="25"/>
  <c r="Y121" i="25"/>
  <c r="Z121" i="25"/>
  <c r="AA121" i="25"/>
  <c r="W122" i="25"/>
  <c r="U123" i="25"/>
  <c r="S124" i="25"/>
  <c r="T123" i="25"/>
  <c r="V123" i="25"/>
  <c r="L171" i="36"/>
  <c r="K122" i="25" s="1"/>
  <c r="M171" i="36"/>
  <c r="L122" i="25" s="1"/>
  <c r="J172" i="36"/>
  <c r="I123" i="25" s="1"/>
  <c r="K171" i="36"/>
  <c r="J122" i="25" s="1"/>
  <c r="N170" i="36"/>
  <c r="M121" i="25" s="1"/>
  <c r="BF123" i="25" l="1"/>
  <c r="BE124" i="25"/>
  <c r="BB125" i="25"/>
  <c r="BC124" i="25"/>
  <c r="BD124" i="25"/>
  <c r="AY122" i="25"/>
  <c r="AZ122" i="25"/>
  <c r="AW123" i="25"/>
  <c r="AX122" i="25"/>
  <c r="BA121" i="25"/>
  <c r="AV121" i="25"/>
  <c r="AU122" i="25"/>
  <c r="AT122" i="25"/>
  <c r="AS122" i="25"/>
  <c r="AR123" i="25"/>
  <c r="AQ121" i="25"/>
  <c r="AM123" i="25"/>
  <c r="AN122" i="25"/>
  <c r="AO122" i="25"/>
  <c r="AP122" i="25"/>
  <c r="AL121" i="25"/>
  <c r="AJ122" i="25"/>
  <c r="AH123" i="25"/>
  <c r="AI122" i="25"/>
  <c r="AK122" i="25"/>
  <c r="AE122" i="25"/>
  <c r="AC123" i="25"/>
  <c r="AD122" i="25"/>
  <c r="AF122" i="25"/>
  <c r="AG121" i="25"/>
  <c r="AB121" i="25"/>
  <c r="X123" i="25"/>
  <c r="Y122" i="25"/>
  <c r="Z122" i="25"/>
  <c r="AA122" i="25"/>
  <c r="W123" i="25"/>
  <c r="S125" i="25"/>
  <c r="T124" i="25"/>
  <c r="U124" i="25"/>
  <c r="V124" i="25"/>
  <c r="N171" i="36"/>
  <c r="M122" i="25" s="1"/>
  <c r="J173" i="36"/>
  <c r="I124" i="25" s="1"/>
  <c r="K172" i="36"/>
  <c r="J123" i="25" s="1"/>
  <c r="L172" i="36"/>
  <c r="K123" i="25" s="1"/>
  <c r="M172" i="36"/>
  <c r="L123" i="25" s="1"/>
  <c r="BD125" i="25" l="1"/>
  <c r="BB126" i="25"/>
  <c r="BC125" i="25"/>
  <c r="BE125" i="25"/>
  <c r="BF124" i="25"/>
  <c r="BA122" i="25"/>
  <c r="AW124" i="25"/>
  <c r="AX123" i="25"/>
  <c r="AY123" i="25"/>
  <c r="AZ123" i="25"/>
  <c r="AV122" i="25"/>
  <c r="AT123" i="25"/>
  <c r="AU123" i="25"/>
  <c r="AR124" i="25"/>
  <c r="AS123" i="25"/>
  <c r="AQ122" i="25"/>
  <c r="AP123" i="25"/>
  <c r="AM124" i="25"/>
  <c r="AN123" i="25"/>
  <c r="AO123" i="25"/>
  <c r="AL122" i="25"/>
  <c r="AK123" i="25"/>
  <c r="AH124" i="25"/>
  <c r="AI123" i="25"/>
  <c r="AJ123" i="25"/>
  <c r="AG122" i="25"/>
  <c r="AC124" i="25"/>
  <c r="AD123" i="25"/>
  <c r="AF123" i="25"/>
  <c r="AE123" i="25"/>
  <c r="AB122" i="25"/>
  <c r="AA123" i="25"/>
  <c r="Y123" i="25"/>
  <c r="Z123" i="25"/>
  <c r="X124" i="25"/>
  <c r="W124" i="25"/>
  <c r="T125" i="25"/>
  <c r="V125" i="25"/>
  <c r="U125" i="25"/>
  <c r="S126" i="25"/>
  <c r="N172" i="36"/>
  <c r="M123" i="25" s="1"/>
  <c r="L173" i="36"/>
  <c r="K124" i="25" s="1"/>
  <c r="J174" i="36"/>
  <c r="I125" i="25" s="1"/>
  <c r="K173" i="36"/>
  <c r="J124" i="25" s="1"/>
  <c r="M173" i="36"/>
  <c r="L124" i="25" s="1"/>
  <c r="BF125" i="25" l="1"/>
  <c r="BB127" i="25"/>
  <c r="BC126" i="25"/>
  <c r="BE126" i="25"/>
  <c r="BD126" i="25"/>
  <c r="BA123" i="25"/>
  <c r="AW125" i="25"/>
  <c r="AX124" i="25"/>
  <c r="AY124" i="25"/>
  <c r="AZ124" i="25"/>
  <c r="AV123" i="25"/>
  <c r="AR125" i="25"/>
  <c r="AS124" i="25"/>
  <c r="AT124" i="25"/>
  <c r="AU124" i="25"/>
  <c r="AO124" i="25"/>
  <c r="AP124" i="25"/>
  <c r="AN124" i="25"/>
  <c r="AM125" i="25"/>
  <c r="AQ123" i="25"/>
  <c r="AJ124" i="25"/>
  <c r="AK124" i="25"/>
  <c r="AH125" i="25"/>
  <c r="AI124" i="25"/>
  <c r="AL123" i="25"/>
  <c r="AG123" i="25"/>
  <c r="AE124" i="25"/>
  <c r="AF124" i="25"/>
  <c r="AD124" i="25"/>
  <c r="AC125" i="25"/>
  <c r="AB123" i="25"/>
  <c r="Z124" i="25"/>
  <c r="AA124" i="25"/>
  <c r="X125" i="25"/>
  <c r="Y124" i="25"/>
  <c r="W125" i="25"/>
  <c r="V126" i="25"/>
  <c r="T126" i="25"/>
  <c r="U126" i="25"/>
  <c r="S127" i="25"/>
  <c r="N173" i="36"/>
  <c r="M124" i="25" s="1"/>
  <c r="M174" i="36"/>
  <c r="L125" i="25" s="1"/>
  <c r="J175" i="36"/>
  <c r="I126" i="25" s="1"/>
  <c r="L174" i="36"/>
  <c r="K125" i="25" s="1"/>
  <c r="K174" i="36"/>
  <c r="J125" i="25" s="1"/>
  <c r="BD127" i="25" l="1"/>
  <c r="BE127" i="25"/>
  <c r="BB128" i="25"/>
  <c r="BC127" i="25"/>
  <c r="BF126" i="25"/>
  <c r="BA124" i="25"/>
  <c r="AZ125" i="25"/>
  <c r="AW126" i="25"/>
  <c r="AX125" i="25"/>
  <c r="AY125" i="25"/>
  <c r="AR126" i="25"/>
  <c r="AS125" i="25"/>
  <c r="AU125" i="25"/>
  <c r="AT125" i="25"/>
  <c r="AV124" i="25"/>
  <c r="AQ124" i="25"/>
  <c r="AM126" i="25"/>
  <c r="AN125" i="25"/>
  <c r="AO125" i="25"/>
  <c r="AP125" i="25"/>
  <c r="AL124" i="25"/>
  <c r="AH126" i="25"/>
  <c r="AI125" i="25"/>
  <c r="AK125" i="25"/>
  <c r="AJ125" i="25"/>
  <c r="AG124" i="25"/>
  <c r="AF125" i="25"/>
  <c r="AC126" i="25"/>
  <c r="AD125" i="25"/>
  <c r="AE125" i="25"/>
  <c r="AB124" i="25"/>
  <c r="X126" i="25"/>
  <c r="Y125" i="25"/>
  <c r="Z125" i="25"/>
  <c r="AA125" i="25"/>
  <c r="U127" i="25"/>
  <c r="T127" i="25"/>
  <c r="V127" i="25"/>
  <c r="S128" i="25"/>
  <c r="W126" i="25"/>
  <c r="N174" i="36"/>
  <c r="M125" i="25" s="1"/>
  <c r="L175" i="36"/>
  <c r="K126" i="25" s="1"/>
  <c r="M175" i="36"/>
  <c r="L126" i="25" s="1"/>
  <c r="J176" i="36"/>
  <c r="I127" i="25" s="1"/>
  <c r="K175" i="36"/>
  <c r="J126" i="25" s="1"/>
  <c r="BF127" i="25" l="1"/>
  <c r="BE128" i="25"/>
  <c r="BB129" i="25"/>
  <c r="BC128" i="25"/>
  <c r="BD128" i="25"/>
  <c r="AY126" i="25"/>
  <c r="AZ126" i="25"/>
  <c r="AX126" i="25"/>
  <c r="AW127" i="25"/>
  <c r="BA125" i="25"/>
  <c r="AV125" i="25"/>
  <c r="AU126" i="25"/>
  <c r="AT126" i="25"/>
  <c r="AS126" i="25"/>
  <c r="AR127" i="25"/>
  <c r="AQ125" i="25"/>
  <c r="AM127" i="25"/>
  <c r="AN126" i="25"/>
  <c r="AO126" i="25"/>
  <c r="AP126" i="25"/>
  <c r="AH127" i="25"/>
  <c r="AI126" i="25"/>
  <c r="AJ126" i="25"/>
  <c r="AK126" i="25"/>
  <c r="AL125" i="25"/>
  <c r="AE126" i="25"/>
  <c r="AC127" i="25"/>
  <c r="AD126" i="25"/>
  <c r="AF126" i="25"/>
  <c r="AG125" i="25"/>
  <c r="AB125" i="25"/>
  <c r="X127" i="25"/>
  <c r="Y126" i="25"/>
  <c r="Z126" i="25"/>
  <c r="AA126" i="25"/>
  <c r="W127" i="25"/>
  <c r="S129" i="25"/>
  <c r="T128" i="25"/>
  <c r="U128" i="25"/>
  <c r="V128" i="25"/>
  <c r="N175" i="36"/>
  <c r="M126" i="25" s="1"/>
  <c r="J177" i="36"/>
  <c r="I128" i="25" s="1"/>
  <c r="K176" i="36"/>
  <c r="J127" i="25" s="1"/>
  <c r="L176" i="36"/>
  <c r="K127" i="25" s="1"/>
  <c r="M176" i="36"/>
  <c r="L127" i="25" s="1"/>
  <c r="BD129" i="25" l="1"/>
  <c r="BB130" i="25"/>
  <c r="BC129" i="25"/>
  <c r="BE129" i="25"/>
  <c r="BF128" i="25"/>
  <c r="BA126" i="25"/>
  <c r="AW128" i="25"/>
  <c r="AX127" i="25"/>
  <c r="AY127" i="25"/>
  <c r="AZ127" i="25"/>
  <c r="AV126" i="25"/>
  <c r="AT127" i="25"/>
  <c r="AU127" i="25"/>
  <c r="AR128" i="25"/>
  <c r="AS127" i="25"/>
  <c r="AQ126" i="25"/>
  <c r="AP127" i="25"/>
  <c r="AM128" i="25"/>
  <c r="AN127" i="25"/>
  <c r="AO127" i="25"/>
  <c r="AL126" i="25"/>
  <c r="AK127" i="25"/>
  <c r="AI127" i="25"/>
  <c r="AH128" i="25"/>
  <c r="AJ127" i="25"/>
  <c r="AG126" i="25"/>
  <c r="AC128" i="25"/>
  <c r="AD127" i="25"/>
  <c r="AF127" i="25"/>
  <c r="AE127" i="25"/>
  <c r="AB126" i="25"/>
  <c r="AA127" i="25"/>
  <c r="X128" i="25"/>
  <c r="Y127" i="25"/>
  <c r="Z127" i="25"/>
  <c r="W128" i="25"/>
  <c r="U129" i="25"/>
  <c r="V129" i="25"/>
  <c r="S130" i="25"/>
  <c r="T129" i="25"/>
  <c r="J178" i="36"/>
  <c r="I129" i="25" s="1"/>
  <c r="K177" i="36"/>
  <c r="J128" i="25" s="1"/>
  <c r="L177" i="36"/>
  <c r="K128" i="25" s="1"/>
  <c r="M177" i="36"/>
  <c r="L128" i="25" s="1"/>
  <c r="N176" i="36"/>
  <c r="M127" i="25" s="1"/>
  <c r="BF129" i="25" l="1"/>
  <c r="BB131" i="25"/>
  <c r="BC130" i="25"/>
  <c r="BE130" i="25"/>
  <c r="BD130" i="25"/>
  <c r="BA127" i="25"/>
  <c r="AW129" i="25"/>
  <c r="AX128" i="25"/>
  <c r="AY128" i="25"/>
  <c r="AZ128" i="25"/>
  <c r="AV127" i="25"/>
  <c r="AR129" i="25"/>
  <c r="AS128" i="25"/>
  <c r="AT128" i="25"/>
  <c r="AU128" i="25"/>
  <c r="AO128" i="25"/>
  <c r="AP128" i="25"/>
  <c r="AM129" i="25"/>
  <c r="AN128" i="25"/>
  <c r="AQ127" i="25"/>
  <c r="AJ128" i="25"/>
  <c r="AK128" i="25"/>
  <c r="AI128" i="25"/>
  <c r="AH129" i="25"/>
  <c r="AL127" i="25"/>
  <c r="AG127" i="25"/>
  <c r="AE128" i="25"/>
  <c r="AF128" i="25"/>
  <c r="AC129" i="25"/>
  <c r="AD128" i="25"/>
  <c r="Z128" i="25"/>
  <c r="AA128" i="25"/>
  <c r="X129" i="25"/>
  <c r="Y128" i="25"/>
  <c r="AB127" i="25"/>
  <c r="W129" i="25"/>
  <c r="V130" i="25"/>
  <c r="U130" i="25"/>
  <c r="S131" i="25"/>
  <c r="T130" i="25"/>
  <c r="N177" i="36"/>
  <c r="M128" i="25" s="1"/>
  <c r="M178" i="36"/>
  <c r="L129" i="25" s="1"/>
  <c r="K178" i="36"/>
  <c r="J129" i="25" s="1"/>
  <c r="J179" i="36"/>
  <c r="I130" i="25" s="1"/>
  <c r="L178" i="36"/>
  <c r="K129" i="25" s="1"/>
  <c r="BD131" i="25" l="1"/>
  <c r="BE131" i="25"/>
  <c r="BC131" i="25"/>
  <c r="BB132" i="25"/>
  <c r="BF130" i="25"/>
  <c r="BA128" i="25"/>
  <c r="AZ129" i="25"/>
  <c r="AW130" i="25"/>
  <c r="AX129" i="25"/>
  <c r="AY129" i="25"/>
  <c r="AV128" i="25"/>
  <c r="AR130" i="25"/>
  <c r="AS129" i="25"/>
  <c r="AU129" i="25"/>
  <c r="AT129" i="25"/>
  <c r="AQ128" i="25"/>
  <c r="AM130" i="25"/>
  <c r="AN129" i="25"/>
  <c r="AO129" i="25"/>
  <c r="AP129" i="25"/>
  <c r="AL128" i="25"/>
  <c r="AH130" i="25"/>
  <c r="AI129" i="25"/>
  <c r="AJ129" i="25"/>
  <c r="AK129" i="25"/>
  <c r="AG128" i="25"/>
  <c r="AF129" i="25"/>
  <c r="AC130" i="25"/>
  <c r="AD129" i="25"/>
  <c r="AE129" i="25"/>
  <c r="AB128" i="25"/>
  <c r="X130" i="25"/>
  <c r="Y129" i="25"/>
  <c r="Z129" i="25"/>
  <c r="AA129" i="25"/>
  <c r="W130" i="25"/>
  <c r="U131" i="25"/>
  <c r="V131" i="25"/>
  <c r="S132" i="25"/>
  <c r="T131" i="25"/>
  <c r="L179" i="36"/>
  <c r="K130" i="25" s="1"/>
  <c r="M179" i="36"/>
  <c r="L130" i="25" s="1"/>
  <c r="J180" i="36"/>
  <c r="I131" i="25" s="1"/>
  <c r="K179" i="36"/>
  <c r="J130" i="25" s="1"/>
  <c r="N178" i="36"/>
  <c r="M129" i="25" s="1"/>
  <c r="BF131" i="25" l="1"/>
  <c r="BE132" i="25"/>
  <c r="BB133" i="25"/>
  <c r="BC132" i="25"/>
  <c r="BD132" i="25"/>
  <c r="AY130" i="25"/>
  <c r="AZ130" i="25"/>
  <c r="AX130" i="25"/>
  <c r="AW131" i="25"/>
  <c r="BA129" i="25"/>
  <c r="AU130" i="25"/>
  <c r="AT130" i="25"/>
  <c r="AS130" i="25"/>
  <c r="AR131" i="25"/>
  <c r="AV129" i="25"/>
  <c r="AM131" i="25"/>
  <c r="AN130" i="25"/>
  <c r="AO130" i="25"/>
  <c r="AP130" i="25"/>
  <c r="AQ129" i="25"/>
  <c r="AL129" i="25"/>
  <c r="AJ130" i="25"/>
  <c r="AH131" i="25"/>
  <c r="AI130" i="25"/>
  <c r="AK130" i="25"/>
  <c r="AE130" i="25"/>
  <c r="AC131" i="25"/>
  <c r="AD130" i="25"/>
  <c r="AF130" i="25"/>
  <c r="AG129" i="25"/>
  <c r="AB129" i="25"/>
  <c r="X131" i="25"/>
  <c r="Y130" i="25"/>
  <c r="Z130" i="25"/>
  <c r="AA130" i="25"/>
  <c r="W131" i="25"/>
  <c r="S133" i="25"/>
  <c r="T132" i="25"/>
  <c r="V132" i="25"/>
  <c r="U132" i="25"/>
  <c r="N179" i="36"/>
  <c r="M130" i="25" s="1"/>
  <c r="J181" i="36"/>
  <c r="I132" i="25" s="1"/>
  <c r="K180" i="36"/>
  <c r="J131" i="25" s="1"/>
  <c r="L180" i="36"/>
  <c r="K131" i="25" s="1"/>
  <c r="M180" i="36"/>
  <c r="L131" i="25" s="1"/>
  <c r="BD133" i="25" l="1"/>
  <c r="BB134" i="25"/>
  <c r="BC133" i="25"/>
  <c r="BE133" i="25"/>
  <c r="BF132" i="25"/>
  <c r="BA130" i="25"/>
  <c r="AW132" i="25"/>
  <c r="AX131" i="25"/>
  <c r="AY131" i="25"/>
  <c r="AZ131" i="25"/>
  <c r="AV130" i="25"/>
  <c r="AT131" i="25"/>
  <c r="AU131" i="25"/>
  <c r="AR132" i="25"/>
  <c r="AS131" i="25"/>
  <c r="AQ130" i="25"/>
  <c r="AP131" i="25"/>
  <c r="AM132" i="25"/>
  <c r="AN131" i="25"/>
  <c r="AO131" i="25"/>
  <c r="AL130" i="25"/>
  <c r="AK131" i="25"/>
  <c r="AH132" i="25"/>
  <c r="AI131" i="25"/>
  <c r="AJ131" i="25"/>
  <c r="AG130" i="25"/>
  <c r="AC132" i="25"/>
  <c r="AD131" i="25"/>
  <c r="AF131" i="25"/>
  <c r="AE131" i="25"/>
  <c r="AB130" i="25"/>
  <c r="AA131" i="25"/>
  <c r="Y131" i="25"/>
  <c r="X132" i="25"/>
  <c r="Z131" i="25"/>
  <c r="V133" i="25"/>
  <c r="T133" i="25"/>
  <c r="S134" i="25"/>
  <c r="U133" i="25"/>
  <c r="W132" i="25"/>
  <c r="N180" i="36"/>
  <c r="M131" i="25" s="1"/>
  <c r="J182" i="36"/>
  <c r="I133" i="25" s="1"/>
  <c r="K181" i="36"/>
  <c r="J132" i="25" s="1"/>
  <c r="L181" i="36"/>
  <c r="K132" i="25" s="1"/>
  <c r="M181" i="36"/>
  <c r="L132" i="25" s="1"/>
  <c r="BF133" i="25" l="1"/>
  <c r="BB135" i="25"/>
  <c r="BC134" i="25"/>
  <c r="BE134" i="25"/>
  <c r="BD134" i="25"/>
  <c r="BA131" i="25"/>
  <c r="AW133" i="25"/>
  <c r="AX132" i="25"/>
  <c r="AY132" i="25"/>
  <c r="AZ132" i="25"/>
  <c r="AV131" i="25"/>
  <c r="AR133" i="25"/>
  <c r="AS132" i="25"/>
  <c r="AT132" i="25"/>
  <c r="AU132" i="25"/>
  <c r="AO132" i="25"/>
  <c r="AP132" i="25"/>
  <c r="AN132" i="25"/>
  <c r="AM133" i="25"/>
  <c r="AQ131" i="25"/>
  <c r="AJ132" i="25"/>
  <c r="AK132" i="25"/>
  <c r="AI132" i="25"/>
  <c r="AH133" i="25"/>
  <c r="AL131" i="25"/>
  <c r="AE132" i="25"/>
  <c r="AF132" i="25"/>
  <c r="AD132" i="25"/>
  <c r="AC133" i="25"/>
  <c r="AG131" i="25"/>
  <c r="Z132" i="25"/>
  <c r="AA132" i="25"/>
  <c r="Y132" i="25"/>
  <c r="X133" i="25"/>
  <c r="AB131" i="25"/>
  <c r="V134" i="25"/>
  <c r="S135" i="25"/>
  <c r="T134" i="25"/>
  <c r="U134" i="25"/>
  <c r="W133" i="25"/>
  <c r="N181" i="36"/>
  <c r="M132" i="25" s="1"/>
  <c r="M182" i="36"/>
  <c r="L133" i="25" s="1"/>
  <c r="K182" i="36"/>
  <c r="J133" i="25" s="1"/>
  <c r="L182" i="36"/>
  <c r="K133" i="25" s="1"/>
  <c r="J183" i="36"/>
  <c r="I134" i="25" s="1"/>
  <c r="BD135" i="25" l="1"/>
  <c r="BE135" i="25"/>
  <c r="BB136" i="25"/>
  <c r="BC135" i="25"/>
  <c r="BF134" i="25"/>
  <c r="BA132" i="25"/>
  <c r="AZ133" i="25"/>
  <c r="AW134" i="25"/>
  <c r="AX133" i="25"/>
  <c r="AY133" i="25"/>
  <c r="AR134" i="25"/>
  <c r="AS133" i="25"/>
  <c r="AU133" i="25"/>
  <c r="AT133" i="25"/>
  <c r="AV132" i="25"/>
  <c r="AQ132" i="25"/>
  <c r="AM134" i="25"/>
  <c r="AN133" i="25"/>
  <c r="AO133" i="25"/>
  <c r="AP133" i="25"/>
  <c r="AL132" i="25"/>
  <c r="AH134" i="25"/>
  <c r="AI133" i="25"/>
  <c r="AK133" i="25"/>
  <c r="AJ133" i="25"/>
  <c r="AG132" i="25"/>
  <c r="AF133" i="25"/>
  <c r="AC134" i="25"/>
  <c r="AD133" i="25"/>
  <c r="AE133" i="25"/>
  <c r="AB132" i="25"/>
  <c r="X134" i="25"/>
  <c r="Y133" i="25"/>
  <c r="Z133" i="25"/>
  <c r="AA133" i="25"/>
  <c r="U135" i="25"/>
  <c r="S136" i="25"/>
  <c r="T135" i="25"/>
  <c r="V135" i="25"/>
  <c r="W134" i="25"/>
  <c r="N182" i="36"/>
  <c r="M133" i="25" s="1"/>
  <c r="L183" i="36"/>
  <c r="K134" i="25" s="1"/>
  <c r="M183" i="36"/>
  <c r="L134" i="25" s="1"/>
  <c r="J184" i="36"/>
  <c r="I135" i="25" s="1"/>
  <c r="K183" i="36"/>
  <c r="J134" i="25" s="1"/>
  <c r="BF135" i="25" l="1"/>
  <c r="BE136" i="25"/>
  <c r="BB137" i="25"/>
  <c r="BC136" i="25"/>
  <c r="BD136" i="25"/>
  <c r="AY134" i="25"/>
  <c r="AZ134" i="25"/>
  <c r="AW135" i="25"/>
  <c r="AX134" i="25"/>
  <c r="BA133" i="25"/>
  <c r="AU134" i="25"/>
  <c r="AT134" i="25"/>
  <c r="AR135" i="25"/>
  <c r="AS134" i="25"/>
  <c r="AV133" i="25"/>
  <c r="AM135" i="25"/>
  <c r="AN134" i="25"/>
  <c r="AO134" i="25"/>
  <c r="AP134" i="25"/>
  <c r="AQ133" i="25"/>
  <c r="AH135" i="25"/>
  <c r="AI134" i="25"/>
  <c r="AJ134" i="25"/>
  <c r="AK134" i="25"/>
  <c r="AL133" i="25"/>
  <c r="AE134" i="25"/>
  <c r="AC135" i="25"/>
  <c r="AD134" i="25"/>
  <c r="AF134" i="25"/>
  <c r="AG133" i="25"/>
  <c r="AB133" i="25"/>
  <c r="X135" i="25"/>
  <c r="Y134" i="25"/>
  <c r="Z134" i="25"/>
  <c r="AA134" i="25"/>
  <c r="W135" i="25"/>
  <c r="S137" i="25"/>
  <c r="T136" i="25"/>
  <c r="U136" i="25"/>
  <c r="V136" i="25"/>
  <c r="N183" i="36"/>
  <c r="M134" i="25" s="1"/>
  <c r="J185" i="36"/>
  <c r="I136" i="25" s="1"/>
  <c r="K184" i="36"/>
  <c r="J135" i="25" s="1"/>
  <c r="M184" i="36"/>
  <c r="L135" i="25" s="1"/>
  <c r="L184" i="36"/>
  <c r="K135" i="25" s="1"/>
  <c r="AG134" i="25" l="1"/>
  <c r="BD137" i="25"/>
  <c r="BB138" i="25"/>
  <c r="BC137" i="25"/>
  <c r="BE137" i="25"/>
  <c r="BF136" i="25"/>
  <c r="BA134" i="25"/>
  <c r="AW136" i="25"/>
  <c r="AX135" i="25"/>
  <c r="AY135" i="25"/>
  <c r="AZ135" i="25"/>
  <c r="AV134" i="25"/>
  <c r="AT135" i="25"/>
  <c r="AU135" i="25"/>
  <c r="AR136" i="25"/>
  <c r="AS135" i="25"/>
  <c r="AQ134" i="25"/>
  <c r="AP135" i="25"/>
  <c r="AM136" i="25"/>
  <c r="AN135" i="25"/>
  <c r="AO135" i="25"/>
  <c r="AL134" i="25"/>
  <c r="AK135" i="25"/>
  <c r="AI135" i="25"/>
  <c r="AH136" i="25"/>
  <c r="AJ135" i="25"/>
  <c r="AC136" i="25"/>
  <c r="AD135" i="25"/>
  <c r="AF135" i="25"/>
  <c r="AE135" i="25"/>
  <c r="AB134" i="25"/>
  <c r="AA135" i="25"/>
  <c r="X136" i="25"/>
  <c r="Y135" i="25"/>
  <c r="Z135" i="25"/>
  <c r="W136" i="25"/>
  <c r="S138" i="25"/>
  <c r="T137" i="25"/>
  <c r="U137" i="25"/>
  <c r="V137" i="25"/>
  <c r="N184" i="36"/>
  <c r="M135" i="25" s="1"/>
  <c r="J186" i="36"/>
  <c r="I137" i="25" s="1"/>
  <c r="K185" i="36"/>
  <c r="J136" i="25" s="1"/>
  <c r="M185" i="36"/>
  <c r="L136" i="25" s="1"/>
  <c r="L185" i="36"/>
  <c r="K136" i="25" s="1"/>
  <c r="BF137" i="25" l="1"/>
  <c r="BB139" i="25"/>
  <c r="BC138" i="25"/>
  <c r="BE138" i="25"/>
  <c r="BD138" i="25"/>
  <c r="BA135" i="25"/>
  <c r="AW137" i="25"/>
  <c r="AX136" i="25"/>
  <c r="AY136" i="25"/>
  <c r="AZ136" i="25"/>
  <c r="AV135" i="25"/>
  <c r="AR137" i="25"/>
  <c r="AS136" i="25"/>
  <c r="AT136" i="25"/>
  <c r="AU136" i="25"/>
  <c r="AO136" i="25"/>
  <c r="AP136" i="25"/>
  <c r="AN136" i="25"/>
  <c r="AM137" i="25"/>
  <c r="AQ135" i="25"/>
  <c r="AJ136" i="25"/>
  <c r="AK136" i="25"/>
  <c r="AI136" i="25"/>
  <c r="AH137" i="25"/>
  <c r="AL135" i="25"/>
  <c r="AE136" i="25"/>
  <c r="AF136" i="25"/>
  <c r="AC137" i="25"/>
  <c r="AD136" i="25"/>
  <c r="AG135" i="25"/>
  <c r="Z136" i="25"/>
  <c r="AA136" i="25"/>
  <c r="Y136" i="25"/>
  <c r="X137" i="25"/>
  <c r="AB135" i="25"/>
  <c r="W137" i="25"/>
  <c r="V138" i="25"/>
  <c r="S139" i="25"/>
  <c r="U138" i="25"/>
  <c r="T138" i="25"/>
  <c r="M186" i="36"/>
  <c r="L137" i="25" s="1"/>
  <c r="J187" i="36"/>
  <c r="I138" i="25" s="1"/>
  <c r="K186" i="36"/>
  <c r="J137" i="25" s="1"/>
  <c r="L186" i="36"/>
  <c r="K137" i="25" s="1"/>
  <c r="N185" i="36"/>
  <c r="M136" i="25" s="1"/>
  <c r="BD139" i="25" l="1"/>
  <c r="BE139" i="25"/>
  <c r="BC139" i="25"/>
  <c r="BB140" i="25"/>
  <c r="BF138" i="25"/>
  <c r="BA136" i="25"/>
  <c r="AZ137" i="25"/>
  <c r="AW138" i="25"/>
  <c r="AX137" i="25"/>
  <c r="AY137" i="25"/>
  <c r="AR138" i="25"/>
  <c r="AS137" i="25"/>
  <c r="AU137" i="25"/>
  <c r="AT137" i="25"/>
  <c r="AV136" i="25"/>
  <c r="AQ136" i="25"/>
  <c r="AM138" i="25"/>
  <c r="AN137" i="25"/>
  <c r="AO137" i="25"/>
  <c r="AP137" i="25"/>
  <c r="AL136" i="25"/>
  <c r="AH138" i="25"/>
  <c r="AI137" i="25"/>
  <c r="AJ137" i="25"/>
  <c r="AK137" i="25"/>
  <c r="AG136" i="25"/>
  <c r="AF137" i="25"/>
  <c r="AC138" i="25"/>
  <c r="AD137" i="25"/>
  <c r="AE137" i="25"/>
  <c r="AB136" i="25"/>
  <c r="X138" i="25"/>
  <c r="Y137" i="25"/>
  <c r="Z137" i="25"/>
  <c r="AA137" i="25"/>
  <c r="W138" i="25"/>
  <c r="U139" i="25"/>
  <c r="S140" i="25"/>
  <c r="T139" i="25"/>
  <c r="V139" i="25"/>
  <c r="L187" i="36"/>
  <c r="K138" i="25" s="1"/>
  <c r="M187" i="36"/>
  <c r="L138" i="25" s="1"/>
  <c r="J188" i="36"/>
  <c r="I139" i="25" s="1"/>
  <c r="K187" i="36"/>
  <c r="J138" i="25" s="1"/>
  <c r="N186" i="36"/>
  <c r="M137" i="25" s="1"/>
  <c r="BF139" i="25" l="1"/>
  <c r="BE140" i="25"/>
  <c r="BB141" i="25"/>
  <c r="BC140" i="25"/>
  <c r="BD140" i="25"/>
  <c r="AY138" i="25"/>
  <c r="AZ138" i="25"/>
  <c r="AW139" i="25"/>
  <c r="AX138" i="25"/>
  <c r="BA137" i="25"/>
  <c r="AU138" i="25"/>
  <c r="AT138" i="25"/>
  <c r="AS138" i="25"/>
  <c r="AR139" i="25"/>
  <c r="AV137" i="25"/>
  <c r="AM139" i="25"/>
  <c r="AN138" i="25"/>
  <c r="AO138" i="25"/>
  <c r="AP138" i="25"/>
  <c r="AQ137" i="25"/>
  <c r="AL137" i="25"/>
  <c r="AJ138" i="25"/>
  <c r="AH139" i="25"/>
  <c r="AI138" i="25"/>
  <c r="AK138" i="25"/>
  <c r="AG137" i="25"/>
  <c r="AE138" i="25"/>
  <c r="AC139" i="25"/>
  <c r="AD138" i="25"/>
  <c r="AF138" i="25"/>
  <c r="AB137" i="25"/>
  <c r="X139" i="25"/>
  <c r="Y138" i="25"/>
  <c r="Z138" i="25"/>
  <c r="AA138" i="25"/>
  <c r="W139" i="25"/>
  <c r="S141" i="25"/>
  <c r="T140" i="25"/>
  <c r="U140" i="25"/>
  <c r="V140" i="25"/>
  <c r="N187" i="36"/>
  <c r="M138" i="25" s="1"/>
  <c r="J189" i="36"/>
  <c r="I140" i="25" s="1"/>
  <c r="K188" i="36"/>
  <c r="J139" i="25" s="1"/>
  <c r="L188" i="36"/>
  <c r="K139" i="25" s="1"/>
  <c r="M188" i="36"/>
  <c r="L139" i="25" s="1"/>
  <c r="BD141" i="25" l="1"/>
  <c r="BB142" i="25"/>
  <c r="BC141" i="25"/>
  <c r="BE141" i="25"/>
  <c r="BF140" i="25"/>
  <c r="BA138" i="25"/>
  <c r="AW140" i="25"/>
  <c r="AX139" i="25"/>
  <c r="AY139" i="25"/>
  <c r="AZ139" i="25"/>
  <c r="AV138" i="25"/>
  <c r="AT139" i="25"/>
  <c r="AU139" i="25"/>
  <c r="AR140" i="25"/>
  <c r="AS139" i="25"/>
  <c r="AQ138" i="25"/>
  <c r="AP139" i="25"/>
  <c r="AM140" i="25"/>
  <c r="AN139" i="25"/>
  <c r="AO139" i="25"/>
  <c r="AK139" i="25"/>
  <c r="AI139" i="25"/>
  <c r="AH140" i="25"/>
  <c r="AJ139" i="25"/>
  <c r="AL138" i="25"/>
  <c r="AG138" i="25"/>
  <c r="AC140" i="25"/>
  <c r="AD139" i="25"/>
  <c r="AF139" i="25"/>
  <c r="AE139" i="25"/>
  <c r="AB138" i="25"/>
  <c r="AA139" i="25"/>
  <c r="Y139" i="25"/>
  <c r="Z139" i="25"/>
  <c r="X140" i="25"/>
  <c r="W140" i="25"/>
  <c r="T141" i="25"/>
  <c r="V141" i="25"/>
  <c r="U141" i="25"/>
  <c r="S142" i="25"/>
  <c r="N188" i="36"/>
  <c r="M139" i="25" s="1"/>
  <c r="L189" i="36"/>
  <c r="K140" i="25" s="1"/>
  <c r="J190" i="36"/>
  <c r="I141" i="25" s="1"/>
  <c r="K189" i="36"/>
  <c r="J140" i="25" s="1"/>
  <c r="M189" i="36"/>
  <c r="L140" i="25" s="1"/>
  <c r="AV139" i="25" l="1"/>
  <c r="BF141" i="25"/>
  <c r="BB143" i="25"/>
  <c r="BC142" i="25"/>
  <c r="BE142" i="25"/>
  <c r="BD142" i="25"/>
  <c r="BA139" i="25"/>
  <c r="AW141" i="25"/>
  <c r="AX140" i="25"/>
  <c r="AY140" i="25"/>
  <c r="AZ140" i="25"/>
  <c r="AR141" i="25"/>
  <c r="AS140" i="25"/>
  <c r="AT140" i="25"/>
  <c r="AU140" i="25"/>
  <c r="AO140" i="25"/>
  <c r="AP140" i="25"/>
  <c r="AN140" i="25"/>
  <c r="AM141" i="25"/>
  <c r="AQ139" i="25"/>
  <c r="AJ140" i="25"/>
  <c r="AK140" i="25"/>
  <c r="AH141" i="25"/>
  <c r="AI140" i="25"/>
  <c r="AL139" i="25"/>
  <c r="AE140" i="25"/>
  <c r="AF140" i="25"/>
  <c r="AD140" i="25"/>
  <c r="AC141" i="25"/>
  <c r="AG139" i="25"/>
  <c r="AB139" i="25"/>
  <c r="Z140" i="25"/>
  <c r="AA140" i="25"/>
  <c r="X141" i="25"/>
  <c r="Y140" i="25"/>
  <c r="W141" i="25"/>
  <c r="V142" i="25"/>
  <c r="T142" i="25"/>
  <c r="U142" i="25"/>
  <c r="S143" i="25"/>
  <c r="N189" i="36"/>
  <c r="M140" i="25" s="1"/>
  <c r="M190" i="36"/>
  <c r="L141" i="25" s="1"/>
  <c r="K190" i="36"/>
  <c r="J141" i="25" s="1"/>
  <c r="L190" i="36"/>
  <c r="K141" i="25" s="1"/>
  <c r="J191" i="36"/>
  <c r="I142" i="25" s="1"/>
  <c r="BD143" i="25" l="1"/>
  <c r="BE143" i="25"/>
  <c r="BB144" i="25"/>
  <c r="BC143" i="25"/>
  <c r="BF142" i="25"/>
  <c r="BA140" i="25"/>
  <c r="AZ141" i="25"/>
  <c r="AW142" i="25"/>
  <c r="AX141" i="25"/>
  <c r="AY141" i="25"/>
  <c r="AV140" i="25"/>
  <c r="AR142" i="25"/>
  <c r="AS141" i="25"/>
  <c r="AU141" i="25"/>
  <c r="AT141" i="25"/>
  <c r="AQ140" i="25"/>
  <c r="AM142" i="25"/>
  <c r="AN141" i="25"/>
  <c r="AO141" i="25"/>
  <c r="AP141" i="25"/>
  <c r="AL140" i="25"/>
  <c r="AH142" i="25"/>
  <c r="AI141" i="25"/>
  <c r="AJ141" i="25"/>
  <c r="AK141" i="25"/>
  <c r="AG140" i="25"/>
  <c r="AF141" i="25"/>
  <c r="AC142" i="25"/>
  <c r="AD141" i="25"/>
  <c r="AE141" i="25"/>
  <c r="AB140" i="25"/>
  <c r="X142" i="25"/>
  <c r="Y141" i="25"/>
  <c r="Z141" i="25"/>
  <c r="AA141" i="25"/>
  <c r="U143" i="25"/>
  <c r="T143" i="25"/>
  <c r="V143" i="25"/>
  <c r="S144" i="25"/>
  <c r="W142" i="25"/>
  <c r="N190" i="36"/>
  <c r="M141" i="25" s="1"/>
  <c r="L191" i="36"/>
  <c r="K142" i="25" s="1"/>
  <c r="M191" i="36"/>
  <c r="L142" i="25" s="1"/>
  <c r="J192" i="36"/>
  <c r="I143" i="25" s="1"/>
  <c r="K191" i="36"/>
  <c r="J142" i="25" s="1"/>
  <c r="W143" i="25" l="1"/>
  <c r="BF143" i="25"/>
  <c r="BE144" i="25"/>
  <c r="BB145" i="25"/>
  <c r="BC144" i="25"/>
  <c r="BD144" i="25"/>
  <c r="AY142" i="25"/>
  <c r="AZ142" i="25"/>
  <c r="AX142" i="25"/>
  <c r="AW143" i="25"/>
  <c r="BA141" i="25"/>
  <c r="AU142" i="25"/>
  <c r="AT142" i="25"/>
  <c r="AR143" i="25"/>
  <c r="AS142" i="25"/>
  <c r="AV141" i="25"/>
  <c r="AM143" i="25"/>
  <c r="AN142" i="25"/>
  <c r="AO142" i="25"/>
  <c r="AP142" i="25"/>
  <c r="AQ141" i="25"/>
  <c r="AL141" i="25"/>
  <c r="AJ142" i="25"/>
  <c r="AH143" i="25"/>
  <c r="AI142" i="25"/>
  <c r="AK142" i="25"/>
  <c r="AE142" i="25"/>
  <c r="AC143" i="25"/>
  <c r="AD142" i="25"/>
  <c r="AF142" i="25"/>
  <c r="AG141" i="25"/>
  <c r="AB141" i="25"/>
  <c r="X143" i="25"/>
  <c r="Y142" i="25"/>
  <c r="Z142" i="25"/>
  <c r="AA142" i="25"/>
  <c r="S145" i="25"/>
  <c r="T144" i="25"/>
  <c r="U144" i="25"/>
  <c r="V144" i="25"/>
  <c r="N191" i="36"/>
  <c r="M142" i="25" s="1"/>
  <c r="J193" i="36"/>
  <c r="I144" i="25" s="1"/>
  <c r="K192" i="36"/>
  <c r="J143" i="25" s="1"/>
  <c r="M192" i="36"/>
  <c r="L143" i="25" s="1"/>
  <c r="L192" i="36"/>
  <c r="K143" i="25" s="1"/>
  <c r="BD145" i="25" l="1"/>
  <c r="BB146" i="25"/>
  <c r="BC145" i="25"/>
  <c r="BE145" i="25"/>
  <c r="BF144" i="25"/>
  <c r="BA142" i="25"/>
  <c r="AW144" i="25"/>
  <c r="AX143" i="25"/>
  <c r="AY143" i="25"/>
  <c r="AZ143" i="25"/>
  <c r="AV142" i="25"/>
  <c r="AT143" i="25"/>
  <c r="AU143" i="25"/>
  <c r="AR144" i="25"/>
  <c r="AS143" i="25"/>
  <c r="AQ142" i="25"/>
  <c r="AP143" i="25"/>
  <c r="AM144" i="25"/>
  <c r="AN143" i="25"/>
  <c r="AO143" i="25"/>
  <c r="AL142" i="25"/>
  <c r="AK143" i="25"/>
  <c r="AH144" i="25"/>
  <c r="AI143" i="25"/>
  <c r="AJ143" i="25"/>
  <c r="AG142" i="25"/>
  <c r="AC144" i="25"/>
  <c r="AD143" i="25"/>
  <c r="AF143" i="25"/>
  <c r="AE143" i="25"/>
  <c r="AB142" i="25"/>
  <c r="AA143" i="25"/>
  <c r="X144" i="25"/>
  <c r="Y143" i="25"/>
  <c r="Z143" i="25"/>
  <c r="W144" i="25"/>
  <c r="U145" i="25"/>
  <c r="V145" i="25"/>
  <c r="S146" i="25"/>
  <c r="T145" i="25"/>
  <c r="J194" i="36"/>
  <c r="I145" i="25" s="1"/>
  <c r="K193" i="36"/>
  <c r="J144" i="25" s="1"/>
  <c r="M193" i="36"/>
  <c r="L144" i="25" s="1"/>
  <c r="L193" i="36"/>
  <c r="K144" i="25" s="1"/>
  <c r="N192" i="36"/>
  <c r="M143" i="25" s="1"/>
  <c r="BF145" i="25" l="1"/>
  <c r="BB147" i="25"/>
  <c r="BC146" i="25"/>
  <c r="BE146" i="25"/>
  <c r="BD146" i="25"/>
  <c r="BA143" i="25"/>
  <c r="AW145" i="25"/>
  <c r="AX144" i="25"/>
  <c r="AY144" i="25"/>
  <c r="AZ144" i="25"/>
  <c r="AV143" i="25"/>
  <c r="AR145" i="25"/>
  <c r="AS144" i="25"/>
  <c r="AT144" i="25"/>
  <c r="AU144" i="25"/>
  <c r="AO144" i="25"/>
  <c r="AP144" i="25"/>
  <c r="AM145" i="25"/>
  <c r="AN144" i="25"/>
  <c r="AQ143" i="25"/>
  <c r="AJ144" i="25"/>
  <c r="AK144" i="25"/>
  <c r="AI144" i="25"/>
  <c r="AH145" i="25"/>
  <c r="AL143" i="25"/>
  <c r="AE144" i="25"/>
  <c r="AF144" i="25"/>
  <c r="AC145" i="25"/>
  <c r="AD144" i="25"/>
  <c r="AG143" i="25"/>
  <c r="Z144" i="25"/>
  <c r="AA144" i="25"/>
  <c r="X145" i="25"/>
  <c r="Y144" i="25"/>
  <c r="AB143" i="25"/>
  <c r="W145" i="25"/>
  <c r="V146" i="25"/>
  <c r="U146" i="25"/>
  <c r="S147" i="25"/>
  <c r="T146" i="25"/>
  <c r="N193" i="36"/>
  <c r="M144" i="25" s="1"/>
  <c r="M194" i="36"/>
  <c r="L145" i="25" s="1"/>
  <c r="J195" i="36"/>
  <c r="I146" i="25" s="1"/>
  <c r="K194" i="36"/>
  <c r="J145" i="25" s="1"/>
  <c r="L194" i="36"/>
  <c r="K145" i="25" s="1"/>
  <c r="BD147" i="25" l="1"/>
  <c r="BE147" i="25"/>
  <c r="BC147" i="25"/>
  <c r="BB148" i="25"/>
  <c r="BF146" i="25"/>
  <c r="BA144" i="25"/>
  <c r="AZ145" i="25"/>
  <c r="AW146" i="25"/>
  <c r="AX145" i="25"/>
  <c r="AY145" i="25"/>
  <c r="AR146" i="25"/>
  <c r="AS145" i="25"/>
  <c r="AU145" i="25"/>
  <c r="AT145" i="25"/>
  <c r="AV144" i="25"/>
  <c r="AQ144" i="25"/>
  <c r="AM146" i="25"/>
  <c r="AN145" i="25"/>
  <c r="AO145" i="25"/>
  <c r="AP145" i="25"/>
  <c r="AL144" i="25"/>
  <c r="AH146" i="25"/>
  <c r="AI145" i="25"/>
  <c r="AK145" i="25"/>
  <c r="AJ145" i="25"/>
  <c r="AG144" i="25"/>
  <c r="AF145" i="25"/>
  <c r="AC146" i="25"/>
  <c r="AD145" i="25"/>
  <c r="AE145" i="25"/>
  <c r="AB144" i="25"/>
  <c r="X146" i="25"/>
  <c r="Y145" i="25"/>
  <c r="Z145" i="25"/>
  <c r="AA145" i="25"/>
  <c r="W146" i="25"/>
  <c r="U147" i="25"/>
  <c r="V147" i="25"/>
  <c r="S148" i="25"/>
  <c r="T147" i="25"/>
  <c r="L195" i="36"/>
  <c r="K146" i="25" s="1"/>
  <c r="M195" i="36"/>
  <c r="L146" i="25" s="1"/>
  <c r="J196" i="36"/>
  <c r="I147" i="25" s="1"/>
  <c r="K195" i="36"/>
  <c r="J146" i="25" s="1"/>
  <c r="N194" i="36"/>
  <c r="M145" i="25" s="1"/>
  <c r="BF147" i="25" l="1"/>
  <c r="BE148" i="25"/>
  <c r="BB149" i="25"/>
  <c r="BC148" i="25"/>
  <c r="BD148" i="25"/>
  <c r="AY146" i="25"/>
  <c r="AZ146" i="25"/>
  <c r="AX146" i="25"/>
  <c r="AW147" i="25"/>
  <c r="BA145" i="25"/>
  <c r="AU146" i="25"/>
  <c r="AT146" i="25"/>
  <c r="AS146" i="25"/>
  <c r="AR147" i="25"/>
  <c r="AV145" i="25"/>
  <c r="AM147" i="25"/>
  <c r="AN146" i="25"/>
  <c r="AO146" i="25"/>
  <c r="AP146" i="25"/>
  <c r="AQ145" i="25"/>
  <c r="AH147" i="25"/>
  <c r="AI146" i="25"/>
  <c r="AJ146" i="25"/>
  <c r="AK146" i="25"/>
  <c r="AL145" i="25"/>
  <c r="AE146" i="25"/>
  <c r="AC147" i="25"/>
  <c r="AD146" i="25"/>
  <c r="AF146" i="25"/>
  <c r="AG145" i="25"/>
  <c r="AB145" i="25"/>
  <c r="X147" i="25"/>
  <c r="Y146" i="25"/>
  <c r="Z146" i="25"/>
  <c r="AA146" i="25"/>
  <c r="W147" i="25"/>
  <c r="S149" i="25"/>
  <c r="T148" i="25"/>
  <c r="V148" i="25"/>
  <c r="U148" i="25"/>
  <c r="N195" i="36"/>
  <c r="M146" i="25" s="1"/>
  <c r="J197" i="36"/>
  <c r="I148" i="25" s="1"/>
  <c r="K196" i="36"/>
  <c r="J147" i="25" s="1"/>
  <c r="L196" i="36"/>
  <c r="K147" i="25" s="1"/>
  <c r="M196" i="36"/>
  <c r="L147" i="25" s="1"/>
  <c r="BD149" i="25" l="1"/>
  <c r="BB150" i="25"/>
  <c r="BC149" i="25"/>
  <c r="BE149" i="25"/>
  <c r="BF148" i="25"/>
  <c r="BA146" i="25"/>
  <c r="AW148" i="25"/>
  <c r="AX147" i="25"/>
  <c r="AY147" i="25"/>
  <c r="AZ147" i="25"/>
  <c r="AV146" i="25"/>
  <c r="AT147" i="25"/>
  <c r="AU147" i="25"/>
  <c r="AR148" i="25"/>
  <c r="AS147" i="25"/>
  <c r="AQ146" i="25"/>
  <c r="AP147" i="25"/>
  <c r="AM148" i="25"/>
  <c r="AN147" i="25"/>
  <c r="AO147" i="25"/>
  <c r="AL146" i="25"/>
  <c r="AK147" i="25"/>
  <c r="AI147" i="25"/>
  <c r="AH148" i="25"/>
  <c r="AJ147" i="25"/>
  <c r="AG146" i="25"/>
  <c r="AC148" i="25"/>
  <c r="AD147" i="25"/>
  <c r="AF147" i="25"/>
  <c r="AE147" i="25"/>
  <c r="AB146" i="25"/>
  <c r="AA147" i="25"/>
  <c r="Y147" i="25"/>
  <c r="X148" i="25"/>
  <c r="Z147" i="25"/>
  <c r="W148" i="25"/>
  <c r="V149" i="25"/>
  <c r="T149" i="25"/>
  <c r="S150" i="25"/>
  <c r="U149" i="25"/>
  <c r="L197" i="36"/>
  <c r="K148" i="25" s="1"/>
  <c r="J198" i="36"/>
  <c r="I149" i="25" s="1"/>
  <c r="K197" i="36"/>
  <c r="J148" i="25" s="1"/>
  <c r="M197" i="36"/>
  <c r="L148" i="25" s="1"/>
  <c r="N196" i="36"/>
  <c r="M147" i="25" s="1"/>
  <c r="N197" i="36" l="1"/>
  <c r="M148" i="25" s="1"/>
  <c r="BF149" i="25"/>
  <c r="BB151" i="25"/>
  <c r="BC150" i="25"/>
  <c r="BE150" i="25"/>
  <c r="BD150" i="25"/>
  <c r="BA147" i="25"/>
  <c r="AW149" i="25"/>
  <c r="AX148" i="25"/>
  <c r="AY148" i="25"/>
  <c r="AZ148" i="25"/>
  <c r="AV147" i="25"/>
  <c r="AR149" i="25"/>
  <c r="AS148" i="25"/>
  <c r="AT148" i="25"/>
  <c r="AU148" i="25"/>
  <c r="AO148" i="25"/>
  <c r="AP148" i="25"/>
  <c r="AN148" i="25"/>
  <c r="AM149" i="25"/>
  <c r="AQ147" i="25"/>
  <c r="AJ148" i="25"/>
  <c r="AK148" i="25"/>
  <c r="AI148" i="25"/>
  <c r="AH149" i="25"/>
  <c r="AL147" i="25"/>
  <c r="AE148" i="25"/>
  <c r="AF148" i="25"/>
  <c r="AD148" i="25"/>
  <c r="AC149" i="25"/>
  <c r="AG147" i="25"/>
  <c r="Z148" i="25"/>
  <c r="AA148" i="25"/>
  <c r="Y148" i="25"/>
  <c r="X149" i="25"/>
  <c r="AB147" i="25"/>
  <c r="V150" i="25"/>
  <c r="S151" i="25"/>
  <c r="T150" i="25"/>
  <c r="U150" i="25"/>
  <c r="W149" i="25"/>
  <c r="M198" i="36"/>
  <c r="L149" i="25" s="1"/>
  <c r="K198" i="36"/>
  <c r="J149" i="25" s="1"/>
  <c r="L198" i="36"/>
  <c r="K149" i="25" s="1"/>
  <c r="J199" i="36"/>
  <c r="I150" i="25" s="1"/>
  <c r="BD151" i="25" l="1"/>
  <c r="BE151" i="25"/>
  <c r="BC151" i="25"/>
  <c r="BB152" i="25"/>
  <c r="BF150" i="25"/>
  <c r="BA148" i="25"/>
  <c r="AZ149" i="25"/>
  <c r="AW150" i="25"/>
  <c r="AX149" i="25"/>
  <c r="AY149" i="25"/>
  <c r="AV148" i="25"/>
  <c r="AR150" i="25"/>
  <c r="AS149" i="25"/>
  <c r="AU149" i="25"/>
  <c r="AT149" i="25"/>
  <c r="AQ148" i="25"/>
  <c r="AM150" i="25"/>
  <c r="AN149" i="25"/>
  <c r="AO149" i="25"/>
  <c r="AP149" i="25"/>
  <c r="AL148" i="25"/>
  <c r="AH150" i="25"/>
  <c r="AI149" i="25"/>
  <c r="AJ149" i="25"/>
  <c r="AK149" i="25"/>
  <c r="AG148" i="25"/>
  <c r="AF149" i="25"/>
  <c r="AC150" i="25"/>
  <c r="AD149" i="25"/>
  <c r="AE149" i="25"/>
  <c r="AB148" i="25"/>
  <c r="X150" i="25"/>
  <c r="Y149" i="25"/>
  <c r="Z149" i="25"/>
  <c r="AA149" i="25"/>
  <c r="U151" i="25"/>
  <c r="S152" i="25"/>
  <c r="T151" i="25"/>
  <c r="V151" i="25"/>
  <c r="W150" i="25"/>
  <c r="N198" i="36"/>
  <c r="M149" i="25" s="1"/>
  <c r="L199" i="36"/>
  <c r="K150" i="25" s="1"/>
  <c r="M199" i="36"/>
  <c r="L150" i="25" s="1"/>
  <c r="J200" i="36"/>
  <c r="I151" i="25" s="1"/>
  <c r="K199" i="36"/>
  <c r="J150" i="25" s="1"/>
  <c r="BF151" i="25" l="1"/>
  <c r="BE152" i="25"/>
  <c r="BB153" i="25"/>
  <c r="BC152" i="25"/>
  <c r="BD152" i="25"/>
  <c r="AY150" i="25"/>
  <c r="AZ150" i="25"/>
  <c r="AW151" i="25"/>
  <c r="AX150" i="25"/>
  <c r="BA149" i="25"/>
  <c r="AU150" i="25"/>
  <c r="AT150" i="25"/>
  <c r="AR151" i="25"/>
  <c r="AS150" i="25"/>
  <c r="AV149" i="25"/>
  <c r="AM151" i="25"/>
  <c r="AN150" i="25"/>
  <c r="AO150" i="25"/>
  <c r="AP150" i="25"/>
  <c r="AQ149" i="25"/>
  <c r="AL149" i="25"/>
  <c r="AJ150" i="25"/>
  <c r="AH151" i="25"/>
  <c r="AI150" i="25"/>
  <c r="AK150" i="25"/>
  <c r="AE150" i="25"/>
  <c r="AC151" i="25"/>
  <c r="AD150" i="25"/>
  <c r="AF150" i="25"/>
  <c r="AG149" i="25"/>
  <c r="AB149" i="25"/>
  <c r="X151" i="25"/>
  <c r="Y150" i="25"/>
  <c r="Z150" i="25"/>
  <c r="AA150" i="25"/>
  <c r="W151" i="25"/>
  <c r="S153" i="25"/>
  <c r="T152" i="25"/>
  <c r="U152" i="25"/>
  <c r="V152" i="25"/>
  <c r="N199" i="36"/>
  <c r="M150" i="25" s="1"/>
  <c r="J201" i="36"/>
  <c r="I152" i="25" s="1"/>
  <c r="K200" i="36"/>
  <c r="J151" i="25" s="1"/>
  <c r="L200" i="36"/>
  <c r="K151" i="25" s="1"/>
  <c r="M200" i="36"/>
  <c r="L151" i="25" s="1"/>
  <c r="BD153" i="25" l="1"/>
  <c r="BB154" i="25"/>
  <c r="BC153" i="25"/>
  <c r="BE153" i="25"/>
  <c r="BF152" i="25"/>
  <c r="BA150" i="25"/>
  <c r="AW152" i="25"/>
  <c r="AX151" i="25"/>
  <c r="AY151" i="25"/>
  <c r="AZ151" i="25"/>
  <c r="AV150" i="25"/>
  <c r="AT151" i="25"/>
  <c r="AU151" i="25"/>
  <c r="AR152" i="25"/>
  <c r="AS151" i="25"/>
  <c r="AQ150" i="25"/>
  <c r="AP151" i="25"/>
  <c r="AM152" i="25"/>
  <c r="AN151" i="25"/>
  <c r="AO151" i="25"/>
  <c r="AL150" i="25"/>
  <c r="AK151" i="25"/>
  <c r="AH152" i="25"/>
  <c r="AI151" i="25"/>
  <c r="AJ151" i="25"/>
  <c r="AG150" i="25"/>
  <c r="AC152" i="25"/>
  <c r="AD151" i="25"/>
  <c r="AF151" i="25"/>
  <c r="AE151" i="25"/>
  <c r="AB150" i="25"/>
  <c r="AA151" i="25"/>
  <c r="X152" i="25"/>
  <c r="Y151" i="25"/>
  <c r="Z151" i="25"/>
  <c r="W152" i="25"/>
  <c r="S154" i="25"/>
  <c r="T153" i="25"/>
  <c r="U153" i="25"/>
  <c r="V153" i="25"/>
  <c r="N200" i="36"/>
  <c r="M151" i="25" s="1"/>
  <c r="J202" i="36"/>
  <c r="I153" i="25" s="1"/>
  <c r="K201" i="36"/>
  <c r="J152" i="25" s="1"/>
  <c r="M201" i="36"/>
  <c r="L152" i="25" s="1"/>
  <c r="L201" i="36"/>
  <c r="K152" i="25" s="1"/>
  <c r="BF153" i="25" l="1"/>
  <c r="BB155" i="25"/>
  <c r="BC154" i="25"/>
  <c r="BE154" i="25"/>
  <c r="BD154" i="25"/>
  <c r="BA151" i="25"/>
  <c r="AW153" i="25"/>
  <c r="AX152" i="25"/>
  <c r="AY152" i="25"/>
  <c r="AZ152" i="25"/>
  <c r="AV151" i="25"/>
  <c r="AR153" i="25"/>
  <c r="AS152" i="25"/>
  <c r="AT152" i="25"/>
  <c r="AU152" i="25"/>
  <c r="AO152" i="25"/>
  <c r="AP152" i="25"/>
  <c r="AN152" i="25"/>
  <c r="AM153" i="25"/>
  <c r="AQ151" i="25"/>
  <c r="AJ152" i="25"/>
  <c r="AK152" i="25"/>
  <c r="AH153" i="25"/>
  <c r="AI152" i="25"/>
  <c r="AL151" i="25"/>
  <c r="AE152" i="25"/>
  <c r="AF152" i="25"/>
  <c r="AC153" i="25"/>
  <c r="AD152" i="25"/>
  <c r="AG151" i="25"/>
  <c r="Z152" i="25"/>
  <c r="AA152" i="25"/>
  <c r="X153" i="25"/>
  <c r="Y152" i="25"/>
  <c r="AB151" i="25"/>
  <c r="W153" i="25"/>
  <c r="V154" i="25"/>
  <c r="S155" i="25"/>
  <c r="T154" i="25"/>
  <c r="U154" i="25"/>
  <c r="M202" i="36"/>
  <c r="L153" i="25" s="1"/>
  <c r="K202" i="36"/>
  <c r="J153" i="25" s="1"/>
  <c r="J203" i="36"/>
  <c r="I154" i="25" s="1"/>
  <c r="L202" i="36"/>
  <c r="K153" i="25" s="1"/>
  <c r="N201" i="36"/>
  <c r="M152" i="25" s="1"/>
  <c r="BD155" i="25" l="1"/>
  <c r="BE155" i="25"/>
  <c r="BC155" i="25"/>
  <c r="BB156" i="25"/>
  <c r="BF154" i="25"/>
  <c r="BA152" i="25"/>
  <c r="AZ153" i="25"/>
  <c r="AW154" i="25"/>
  <c r="AX153" i="25"/>
  <c r="AY153" i="25"/>
  <c r="AR154" i="25"/>
  <c r="AS153" i="25"/>
  <c r="AU153" i="25"/>
  <c r="AT153" i="25"/>
  <c r="AV152" i="25"/>
  <c r="AQ152" i="25"/>
  <c r="AM154" i="25"/>
  <c r="AN153" i="25"/>
  <c r="AO153" i="25"/>
  <c r="AP153" i="25"/>
  <c r="AL152" i="25"/>
  <c r="AH154" i="25"/>
  <c r="AI153" i="25"/>
  <c r="AK153" i="25"/>
  <c r="AJ153" i="25"/>
  <c r="AG152" i="25"/>
  <c r="AF153" i="25"/>
  <c r="AC154" i="25"/>
  <c r="AD153" i="25"/>
  <c r="AE153" i="25"/>
  <c r="AB152" i="25"/>
  <c r="X154" i="25"/>
  <c r="Y153" i="25"/>
  <c r="Z153" i="25"/>
  <c r="AA153" i="25"/>
  <c r="U155" i="25"/>
  <c r="S156" i="25"/>
  <c r="V155" i="25"/>
  <c r="T155" i="25"/>
  <c r="W154" i="25"/>
  <c r="L203" i="36"/>
  <c r="K154" i="25" s="1"/>
  <c r="M203" i="36"/>
  <c r="L154" i="25" s="1"/>
  <c r="J204" i="36"/>
  <c r="I155" i="25" s="1"/>
  <c r="K203" i="36"/>
  <c r="J154" i="25" s="1"/>
  <c r="N202" i="36"/>
  <c r="M153" i="25" s="1"/>
  <c r="BF155" i="25" l="1"/>
  <c r="BE156" i="25"/>
  <c r="BB157" i="25"/>
  <c r="BC156" i="25"/>
  <c r="BD156" i="25"/>
  <c r="AY154" i="25"/>
  <c r="AZ154" i="25"/>
  <c r="AW155" i="25"/>
  <c r="AX154" i="25"/>
  <c r="BA153" i="25"/>
  <c r="AU154" i="25"/>
  <c r="AT154" i="25"/>
  <c r="AS154" i="25"/>
  <c r="AR155" i="25"/>
  <c r="AV153" i="25"/>
  <c r="AM155" i="25"/>
  <c r="AN154" i="25"/>
  <c r="AO154" i="25"/>
  <c r="AP154" i="25"/>
  <c r="AQ153" i="25"/>
  <c r="AH155" i="25"/>
  <c r="AI154" i="25"/>
  <c r="AJ154" i="25"/>
  <c r="AK154" i="25"/>
  <c r="AL153" i="25"/>
  <c r="AE154" i="25"/>
  <c r="AC155" i="25"/>
  <c r="AD154" i="25"/>
  <c r="AF154" i="25"/>
  <c r="AG153" i="25"/>
  <c r="AB153" i="25"/>
  <c r="X155" i="25"/>
  <c r="Y154" i="25"/>
  <c r="Z154" i="25"/>
  <c r="AA154" i="25"/>
  <c r="W155" i="25"/>
  <c r="S157" i="25"/>
  <c r="T156" i="25"/>
  <c r="U156" i="25"/>
  <c r="V156" i="25"/>
  <c r="N203" i="36"/>
  <c r="M154" i="25" s="1"/>
  <c r="J205" i="36"/>
  <c r="I156" i="25" s="1"/>
  <c r="K204" i="36"/>
  <c r="J155" i="25" s="1"/>
  <c r="L204" i="36"/>
  <c r="K155" i="25" s="1"/>
  <c r="M204" i="36"/>
  <c r="L155" i="25" s="1"/>
  <c r="BD157" i="25" l="1"/>
  <c r="BB158" i="25"/>
  <c r="BC157" i="25"/>
  <c r="BE157" i="25"/>
  <c r="BF156" i="25"/>
  <c r="BA154" i="25"/>
  <c r="AW156" i="25"/>
  <c r="AX155" i="25"/>
  <c r="AY155" i="25"/>
  <c r="AZ155" i="25"/>
  <c r="AV154" i="25"/>
  <c r="AT155" i="25"/>
  <c r="AU155" i="25"/>
  <c r="AR156" i="25"/>
  <c r="AS155" i="25"/>
  <c r="AQ154" i="25"/>
  <c r="AP155" i="25"/>
  <c r="AM156" i="25"/>
  <c r="AN155" i="25"/>
  <c r="AO155" i="25"/>
  <c r="AL154" i="25"/>
  <c r="AK155" i="25"/>
  <c r="AI155" i="25"/>
  <c r="AH156" i="25"/>
  <c r="AJ155" i="25"/>
  <c r="AG154" i="25"/>
  <c r="AC156" i="25"/>
  <c r="AD155" i="25"/>
  <c r="AF155" i="25"/>
  <c r="AE155" i="25"/>
  <c r="AB154" i="25"/>
  <c r="AA155" i="25"/>
  <c r="Y155" i="25"/>
  <c r="Z155" i="25"/>
  <c r="X156" i="25"/>
  <c r="W156" i="25"/>
  <c r="T157" i="25"/>
  <c r="V157" i="25"/>
  <c r="U157" i="25"/>
  <c r="S158" i="25"/>
  <c r="J206" i="36"/>
  <c r="I157" i="25" s="1"/>
  <c r="K205" i="36"/>
  <c r="J156" i="25" s="1"/>
  <c r="L205" i="36"/>
  <c r="K156" i="25" s="1"/>
  <c r="M205" i="36"/>
  <c r="L156" i="25" s="1"/>
  <c r="N204" i="36"/>
  <c r="M155" i="25" s="1"/>
  <c r="BF157" i="25" l="1"/>
  <c r="BB159" i="25"/>
  <c r="BC158" i="25"/>
  <c r="BE158" i="25"/>
  <c r="BD158" i="25"/>
  <c r="BA155" i="25"/>
  <c r="AW157" i="25"/>
  <c r="AX156" i="25"/>
  <c r="AY156" i="25"/>
  <c r="AZ156" i="25"/>
  <c r="AV155" i="25"/>
  <c r="AR157" i="25"/>
  <c r="AS156" i="25"/>
  <c r="AT156" i="25"/>
  <c r="AU156" i="25"/>
  <c r="AO156" i="25"/>
  <c r="AP156" i="25"/>
  <c r="AN156" i="25"/>
  <c r="AM157" i="25"/>
  <c r="AQ155" i="25"/>
  <c r="AJ156" i="25"/>
  <c r="AK156" i="25"/>
  <c r="AH157" i="25"/>
  <c r="AI156" i="25"/>
  <c r="AL155" i="25"/>
  <c r="AE156" i="25"/>
  <c r="AF156" i="25"/>
  <c r="AD156" i="25"/>
  <c r="AC157" i="25"/>
  <c r="AG155" i="25"/>
  <c r="AB155" i="25"/>
  <c r="Z156" i="25"/>
  <c r="AA156" i="25"/>
  <c r="Y156" i="25"/>
  <c r="X157" i="25"/>
  <c r="W157" i="25"/>
  <c r="V158" i="25"/>
  <c r="T158" i="25"/>
  <c r="U158" i="25"/>
  <c r="S159" i="25"/>
  <c r="N205" i="36"/>
  <c r="M156" i="25" s="1"/>
  <c r="M206" i="36"/>
  <c r="L157" i="25" s="1"/>
  <c r="K206" i="36"/>
  <c r="J157" i="25" s="1"/>
  <c r="L206" i="36"/>
  <c r="K157" i="25" s="1"/>
  <c r="J207" i="36"/>
  <c r="I158" i="25" s="1"/>
  <c r="BD159" i="25" l="1"/>
  <c r="BE159" i="25"/>
  <c r="BB160" i="25"/>
  <c r="BC159" i="25"/>
  <c r="BF158" i="25"/>
  <c r="BA156" i="25"/>
  <c r="AZ157" i="25"/>
  <c r="AW158" i="25"/>
  <c r="AX157" i="25"/>
  <c r="AY157" i="25"/>
  <c r="AR158" i="25"/>
  <c r="AS157" i="25"/>
  <c r="AU157" i="25"/>
  <c r="AT157" i="25"/>
  <c r="AV156" i="25"/>
  <c r="AQ156" i="25"/>
  <c r="AM158" i="25"/>
  <c r="AN157" i="25"/>
  <c r="AO157" i="25"/>
  <c r="AP157" i="25"/>
  <c r="AL156" i="25"/>
  <c r="AH158" i="25"/>
  <c r="AI157" i="25"/>
  <c r="AJ157" i="25"/>
  <c r="AK157" i="25"/>
  <c r="AG156" i="25"/>
  <c r="AF157" i="25"/>
  <c r="AC158" i="25"/>
  <c r="AD157" i="25"/>
  <c r="AE157" i="25"/>
  <c r="AB156" i="25"/>
  <c r="X158" i="25"/>
  <c r="Y157" i="25"/>
  <c r="Z157" i="25"/>
  <c r="AA157" i="25"/>
  <c r="U159" i="25"/>
  <c r="T159" i="25"/>
  <c r="V159" i="25"/>
  <c r="S160" i="25"/>
  <c r="W158" i="25"/>
  <c r="N206" i="36"/>
  <c r="M157" i="25" s="1"/>
  <c r="L207" i="36"/>
  <c r="K158" i="25" s="1"/>
  <c r="M207" i="36"/>
  <c r="L158" i="25" s="1"/>
  <c r="J208" i="36"/>
  <c r="I159" i="25" s="1"/>
  <c r="K207" i="36"/>
  <c r="J158" i="25" s="1"/>
  <c r="BF159" i="25" l="1"/>
  <c r="BE160" i="25"/>
  <c r="BB161" i="25"/>
  <c r="BC160" i="25"/>
  <c r="BD160" i="25"/>
  <c r="AY158" i="25"/>
  <c r="AZ158" i="25"/>
  <c r="AX158" i="25"/>
  <c r="AW159" i="25"/>
  <c r="BA157" i="25"/>
  <c r="AU158" i="25"/>
  <c r="AT158" i="25"/>
  <c r="AS158" i="25"/>
  <c r="AR159" i="25"/>
  <c r="AV157" i="25"/>
  <c r="AQ157" i="25"/>
  <c r="AM159" i="25"/>
  <c r="AN158" i="25"/>
  <c r="AO158" i="25"/>
  <c r="AP158" i="25"/>
  <c r="AL157" i="25"/>
  <c r="AJ158" i="25"/>
  <c r="AH159" i="25"/>
  <c r="AI158" i="25"/>
  <c r="AK158" i="25"/>
  <c r="AE158" i="25"/>
  <c r="AC159" i="25"/>
  <c r="AD158" i="25"/>
  <c r="AF158" i="25"/>
  <c r="AG157" i="25"/>
  <c r="AB157" i="25"/>
  <c r="X159" i="25"/>
  <c r="Y158" i="25"/>
  <c r="Z158" i="25"/>
  <c r="AA158" i="25"/>
  <c r="W159" i="25"/>
  <c r="S161" i="25"/>
  <c r="T160" i="25"/>
  <c r="U160" i="25"/>
  <c r="V160" i="25"/>
  <c r="N207" i="36"/>
  <c r="M158" i="25" s="1"/>
  <c r="J209" i="36"/>
  <c r="I160" i="25" s="1"/>
  <c r="K208" i="36"/>
  <c r="J159" i="25" s="1"/>
  <c r="M208" i="36"/>
  <c r="L159" i="25" s="1"/>
  <c r="L208" i="36"/>
  <c r="K159" i="25" s="1"/>
  <c r="BB162" i="25" l="1"/>
  <c r="BD161" i="25"/>
  <c r="BC161" i="25"/>
  <c r="BE161" i="25"/>
  <c r="BF160" i="25"/>
  <c r="BA158" i="25"/>
  <c r="AW160" i="25"/>
  <c r="AX159" i="25"/>
  <c r="AY159" i="25"/>
  <c r="AZ159" i="25"/>
  <c r="AV158" i="25"/>
  <c r="AT159" i="25"/>
  <c r="AU159" i="25"/>
  <c r="AR160" i="25"/>
  <c r="AS159" i="25"/>
  <c r="AQ158" i="25"/>
  <c r="AP159" i="25"/>
  <c r="AM160" i="25"/>
  <c r="AN159" i="25"/>
  <c r="AO159" i="25"/>
  <c r="AL158" i="25"/>
  <c r="AK159" i="25"/>
  <c r="AH160" i="25"/>
  <c r="AI159" i="25"/>
  <c r="AJ159" i="25"/>
  <c r="AG158" i="25"/>
  <c r="AC160" i="25"/>
  <c r="AD159" i="25"/>
  <c r="AF159" i="25"/>
  <c r="AE159" i="25"/>
  <c r="AB158" i="25"/>
  <c r="AA159" i="25"/>
  <c r="X160" i="25"/>
  <c r="Z159" i="25"/>
  <c r="Y159" i="25"/>
  <c r="W160" i="25"/>
  <c r="U161" i="25"/>
  <c r="V161" i="25"/>
  <c r="S162" i="25"/>
  <c r="T161" i="25"/>
  <c r="J210" i="36"/>
  <c r="I161" i="25" s="1"/>
  <c r="K209" i="36"/>
  <c r="J160" i="25" s="1"/>
  <c r="M209" i="36"/>
  <c r="L160" i="25" s="1"/>
  <c r="L209" i="36"/>
  <c r="K160" i="25" s="1"/>
  <c r="N208" i="36"/>
  <c r="M159" i="25" s="1"/>
  <c r="BD162" i="25" l="1"/>
  <c r="BB163" i="25"/>
  <c r="BC162" i="25"/>
  <c r="BE162" i="25"/>
  <c r="BF161" i="25"/>
  <c r="BA159" i="25"/>
  <c r="AW161" i="25"/>
  <c r="AX160" i="25"/>
  <c r="AY160" i="25"/>
  <c r="AZ160" i="25"/>
  <c r="AV159" i="25"/>
  <c r="AR161" i="25"/>
  <c r="AS160" i="25"/>
  <c r="AT160" i="25"/>
  <c r="AU160" i="25"/>
  <c r="AO160" i="25"/>
  <c r="AP160" i="25"/>
  <c r="AM161" i="25"/>
  <c r="AN160" i="25"/>
  <c r="AQ159" i="25"/>
  <c r="AJ160" i="25"/>
  <c r="AK160" i="25"/>
  <c r="AI160" i="25"/>
  <c r="AH161" i="25"/>
  <c r="AL159" i="25"/>
  <c r="AE160" i="25"/>
  <c r="AF160" i="25"/>
  <c r="AC161" i="25"/>
  <c r="AD160" i="25"/>
  <c r="AG159" i="25"/>
  <c r="AB159" i="25"/>
  <c r="Z160" i="25"/>
  <c r="AA160" i="25"/>
  <c r="Y160" i="25"/>
  <c r="X161" i="25"/>
  <c r="W161" i="25"/>
  <c r="V162" i="25"/>
  <c r="U162" i="25"/>
  <c r="S163" i="25"/>
  <c r="T162" i="25"/>
  <c r="M210" i="36"/>
  <c r="L161" i="25" s="1"/>
  <c r="J211" i="36"/>
  <c r="I162" i="25" s="1"/>
  <c r="K210" i="36"/>
  <c r="J161" i="25" s="1"/>
  <c r="L210" i="36"/>
  <c r="K161" i="25" s="1"/>
  <c r="N209" i="36"/>
  <c r="M160" i="25" s="1"/>
  <c r="BF162" i="25" l="1"/>
  <c r="BE163" i="25"/>
  <c r="BD163" i="25"/>
  <c r="BB164" i="25"/>
  <c r="BC163" i="25"/>
  <c r="BA160" i="25"/>
  <c r="AZ161" i="25"/>
  <c r="AW162" i="25"/>
  <c r="AX161" i="25"/>
  <c r="AY161" i="25"/>
  <c r="AV160" i="25"/>
  <c r="AR162" i="25"/>
  <c r="AS161" i="25"/>
  <c r="AU161" i="25"/>
  <c r="AT161" i="25"/>
  <c r="AQ160" i="25"/>
  <c r="AM162" i="25"/>
  <c r="AN161" i="25"/>
  <c r="AO161" i="25"/>
  <c r="AP161" i="25"/>
  <c r="AL160" i="25"/>
  <c r="AH162" i="25"/>
  <c r="AI161" i="25"/>
  <c r="AK161" i="25"/>
  <c r="AJ161" i="25"/>
  <c r="AG160" i="25"/>
  <c r="AF161" i="25"/>
  <c r="AC162" i="25"/>
  <c r="AD161" i="25"/>
  <c r="AE161" i="25"/>
  <c r="AB160" i="25"/>
  <c r="X162" i="25"/>
  <c r="Y161" i="25"/>
  <c r="Z161" i="25"/>
  <c r="AA161" i="25"/>
  <c r="W162" i="25"/>
  <c r="U163" i="25"/>
  <c r="V163" i="25"/>
  <c r="S164" i="25"/>
  <c r="T163" i="25"/>
  <c r="L211" i="36"/>
  <c r="K162" i="25" s="1"/>
  <c r="M211" i="36"/>
  <c r="L162" i="25" s="1"/>
  <c r="J212" i="36"/>
  <c r="I163" i="25" s="1"/>
  <c r="K211" i="36"/>
  <c r="J162" i="25" s="1"/>
  <c r="N210" i="36"/>
  <c r="M161" i="25" s="1"/>
  <c r="BF163" i="25" l="1"/>
  <c r="BD164" i="25"/>
  <c r="BE164" i="25"/>
  <c r="BB165" i="25"/>
  <c r="BC164" i="25"/>
  <c r="AY162" i="25"/>
  <c r="AZ162" i="25"/>
  <c r="AX162" i="25"/>
  <c r="AW163" i="25"/>
  <c r="BA161" i="25"/>
  <c r="AU162" i="25"/>
  <c r="AT162" i="25"/>
  <c r="AR163" i="25"/>
  <c r="AS162" i="25"/>
  <c r="AV161" i="25"/>
  <c r="AM163" i="25"/>
  <c r="AN162" i="25"/>
  <c r="AO162" i="25"/>
  <c r="AP162" i="25"/>
  <c r="AQ161" i="25"/>
  <c r="AH163" i="25"/>
  <c r="AI162" i="25"/>
  <c r="AJ162" i="25"/>
  <c r="AK162" i="25"/>
  <c r="AL161" i="25"/>
  <c r="AE162" i="25"/>
  <c r="AC163" i="25"/>
  <c r="AD162" i="25"/>
  <c r="AF162" i="25"/>
  <c r="AG161" i="25"/>
  <c r="AB161" i="25"/>
  <c r="X163" i="25"/>
  <c r="Y162" i="25"/>
  <c r="AA162" i="25"/>
  <c r="Z162" i="25"/>
  <c r="W163" i="25"/>
  <c r="S165" i="25"/>
  <c r="T164" i="25"/>
  <c r="V164" i="25"/>
  <c r="U164" i="25"/>
  <c r="N211" i="36"/>
  <c r="M162" i="25" s="1"/>
  <c r="J213" i="36"/>
  <c r="I164" i="25" s="1"/>
  <c r="K212" i="36"/>
  <c r="J163" i="25" s="1"/>
  <c r="L212" i="36"/>
  <c r="K163" i="25" s="1"/>
  <c r="M212" i="36"/>
  <c r="L163" i="25" s="1"/>
  <c r="BF164" i="25" l="1"/>
  <c r="BB166" i="25"/>
  <c r="BC165" i="25"/>
  <c r="BE165" i="25"/>
  <c r="BD165" i="25"/>
  <c r="BA162" i="25"/>
  <c r="AW164" i="25"/>
  <c r="AX163" i="25"/>
  <c r="AY163" i="25"/>
  <c r="AZ163" i="25"/>
  <c r="AV162" i="25"/>
  <c r="AT163" i="25"/>
  <c r="AU163" i="25"/>
  <c r="AR164" i="25"/>
  <c r="AS163" i="25"/>
  <c r="AQ162" i="25"/>
  <c r="AP163" i="25"/>
  <c r="AM164" i="25"/>
  <c r="AN163" i="25"/>
  <c r="AO163" i="25"/>
  <c r="AL162" i="25"/>
  <c r="AK163" i="25"/>
  <c r="AI163" i="25"/>
  <c r="AH164" i="25"/>
  <c r="AJ163" i="25"/>
  <c r="AG162" i="25"/>
  <c r="AC164" i="25"/>
  <c r="AD163" i="25"/>
  <c r="AF163" i="25"/>
  <c r="AE163" i="25"/>
  <c r="AA163" i="25"/>
  <c r="Y163" i="25"/>
  <c r="X164" i="25"/>
  <c r="Z163" i="25"/>
  <c r="AB162" i="25"/>
  <c r="W164" i="25"/>
  <c r="V165" i="25"/>
  <c r="S166" i="25"/>
  <c r="T165" i="25"/>
  <c r="U165" i="25"/>
  <c r="N212" i="36"/>
  <c r="M163" i="25" s="1"/>
  <c r="L213" i="36"/>
  <c r="K164" i="25" s="1"/>
  <c r="J214" i="36"/>
  <c r="I165" i="25" s="1"/>
  <c r="K213" i="36"/>
  <c r="J164" i="25" s="1"/>
  <c r="M213" i="36"/>
  <c r="L164" i="25" s="1"/>
  <c r="BF165" i="25" l="1"/>
  <c r="BE166" i="25"/>
  <c r="BC166" i="25"/>
  <c r="BD166" i="25"/>
  <c r="BB167" i="25"/>
  <c r="BA163" i="25"/>
  <c r="AW165" i="25"/>
  <c r="AX164" i="25"/>
  <c r="AY164" i="25"/>
  <c r="AZ164" i="25"/>
  <c r="AV163" i="25"/>
  <c r="AR165" i="25"/>
  <c r="AS164" i="25"/>
  <c r="AT164" i="25"/>
  <c r="AU164" i="25"/>
  <c r="AO164" i="25"/>
  <c r="AP164" i="25"/>
  <c r="AN164" i="25"/>
  <c r="AM165" i="25"/>
  <c r="AQ163" i="25"/>
  <c r="AJ164" i="25"/>
  <c r="AK164" i="25"/>
  <c r="AI164" i="25"/>
  <c r="AH165" i="25"/>
  <c r="AL163" i="25"/>
  <c r="AE164" i="25"/>
  <c r="AF164" i="25"/>
  <c r="AD164" i="25"/>
  <c r="AC165" i="25"/>
  <c r="AG163" i="25"/>
  <c r="Z164" i="25"/>
  <c r="AA164" i="25"/>
  <c r="X165" i="25"/>
  <c r="Y164" i="25"/>
  <c r="AB163" i="25"/>
  <c r="V166" i="25"/>
  <c r="T166" i="25"/>
  <c r="S167" i="25"/>
  <c r="U166" i="25"/>
  <c r="W165" i="25"/>
  <c r="N213" i="36"/>
  <c r="M164" i="25" s="1"/>
  <c r="M214" i="36"/>
  <c r="L165" i="25" s="1"/>
  <c r="J215" i="36"/>
  <c r="I166" i="25" s="1"/>
  <c r="L214" i="36"/>
  <c r="K165" i="25" s="1"/>
  <c r="K214" i="36"/>
  <c r="J165" i="25" s="1"/>
  <c r="BF166" i="25" l="1"/>
  <c r="BE167" i="25"/>
  <c r="BC167" i="25"/>
  <c r="BD167" i="25"/>
  <c r="BB168" i="25"/>
  <c r="BA164" i="25"/>
  <c r="AZ165" i="25"/>
  <c r="AW166" i="25"/>
  <c r="AX165" i="25"/>
  <c r="AY165" i="25"/>
  <c r="AV164" i="25"/>
  <c r="AR166" i="25"/>
  <c r="AS165" i="25"/>
  <c r="AU165" i="25"/>
  <c r="AT165" i="25"/>
  <c r="AQ164" i="25"/>
  <c r="AM166" i="25"/>
  <c r="AN165" i="25"/>
  <c r="AO165" i="25"/>
  <c r="AP165" i="25"/>
  <c r="AL164" i="25"/>
  <c r="AH166" i="25"/>
  <c r="AI165" i="25"/>
  <c r="AJ165" i="25"/>
  <c r="AK165" i="25"/>
  <c r="AG164" i="25"/>
  <c r="AF165" i="25"/>
  <c r="AC166" i="25"/>
  <c r="AD165" i="25"/>
  <c r="AE165" i="25"/>
  <c r="AB164" i="25"/>
  <c r="X166" i="25"/>
  <c r="Y165" i="25"/>
  <c r="Z165" i="25"/>
  <c r="AA165" i="25"/>
  <c r="U167" i="25"/>
  <c r="S168" i="25"/>
  <c r="T167" i="25"/>
  <c r="V167" i="25"/>
  <c r="W166" i="25"/>
  <c r="N214" i="36"/>
  <c r="M165" i="25" s="1"/>
  <c r="L215" i="36"/>
  <c r="K166" i="25" s="1"/>
  <c r="M215" i="36"/>
  <c r="L166" i="25" s="1"/>
  <c r="J216" i="36"/>
  <c r="I167" i="25" s="1"/>
  <c r="K215" i="36"/>
  <c r="J166" i="25" s="1"/>
  <c r="BF167" i="25" l="1"/>
  <c r="BD168" i="25"/>
  <c r="BC168" i="25"/>
  <c r="BE168" i="25"/>
  <c r="BB169" i="25"/>
  <c r="AY166" i="25"/>
  <c r="AZ166" i="25"/>
  <c r="AW167" i="25"/>
  <c r="AX166" i="25"/>
  <c r="BA165" i="25"/>
  <c r="AU166" i="25"/>
  <c r="AT166" i="25"/>
  <c r="AR167" i="25"/>
  <c r="AS166" i="25"/>
  <c r="AV165" i="25"/>
  <c r="AM167" i="25"/>
  <c r="AN166" i="25"/>
  <c r="AO166" i="25"/>
  <c r="AP166" i="25"/>
  <c r="AQ165" i="25"/>
  <c r="AL165" i="25"/>
  <c r="AJ166" i="25"/>
  <c r="AH167" i="25"/>
  <c r="AI166" i="25"/>
  <c r="AK166" i="25"/>
  <c r="AE166" i="25"/>
  <c r="AC167" i="25"/>
  <c r="AD166" i="25"/>
  <c r="AF166" i="25"/>
  <c r="AG165" i="25"/>
  <c r="AB165" i="25"/>
  <c r="X167" i="25"/>
  <c r="Y166" i="25"/>
  <c r="Z166" i="25"/>
  <c r="AA166" i="25"/>
  <c r="W167" i="25"/>
  <c r="S169" i="25"/>
  <c r="T168" i="25"/>
  <c r="U168" i="25"/>
  <c r="V168" i="25"/>
  <c r="N215" i="36"/>
  <c r="M166" i="25" s="1"/>
  <c r="J217" i="36"/>
  <c r="I168" i="25" s="1"/>
  <c r="K216" i="36"/>
  <c r="J167" i="25" s="1"/>
  <c r="M216" i="36"/>
  <c r="L167" i="25" s="1"/>
  <c r="L216" i="36"/>
  <c r="K167" i="25" s="1"/>
  <c r="BF168" i="25" l="1"/>
  <c r="BB170" i="25"/>
  <c r="BC169" i="25"/>
  <c r="BD169" i="25"/>
  <c r="BE169" i="25"/>
  <c r="BA166" i="25"/>
  <c r="AW168" i="25"/>
  <c r="AX167" i="25"/>
  <c r="AY167" i="25"/>
  <c r="AZ167" i="25"/>
  <c r="AV166" i="25"/>
  <c r="AT167" i="25"/>
  <c r="AU167" i="25"/>
  <c r="AR168" i="25"/>
  <c r="AS167" i="25"/>
  <c r="AQ166" i="25"/>
  <c r="AP167" i="25"/>
  <c r="AM168" i="25"/>
  <c r="AN167" i="25"/>
  <c r="AO167" i="25"/>
  <c r="AL166" i="25"/>
  <c r="AK167" i="25"/>
  <c r="AH168" i="25"/>
  <c r="AI167" i="25"/>
  <c r="AJ167" i="25"/>
  <c r="AG166" i="25"/>
  <c r="AC168" i="25"/>
  <c r="AD167" i="25"/>
  <c r="AF167" i="25"/>
  <c r="AE167" i="25"/>
  <c r="AB166" i="25"/>
  <c r="AA167" i="25"/>
  <c r="X168" i="25"/>
  <c r="Y167" i="25"/>
  <c r="Z167" i="25"/>
  <c r="W168" i="25"/>
  <c r="S170" i="25"/>
  <c r="T169" i="25"/>
  <c r="U169" i="25"/>
  <c r="V169" i="25"/>
  <c r="N216" i="36"/>
  <c r="M167" i="25" s="1"/>
  <c r="J218" i="36"/>
  <c r="I169" i="25" s="1"/>
  <c r="K217" i="36"/>
  <c r="J168" i="25" s="1"/>
  <c r="M217" i="36"/>
  <c r="L168" i="25" s="1"/>
  <c r="L217" i="36"/>
  <c r="K168" i="25" s="1"/>
  <c r="BF169" i="25" l="1"/>
  <c r="BB171" i="25"/>
  <c r="BD170" i="25"/>
  <c r="BE170" i="25"/>
  <c r="BC170" i="25"/>
  <c r="BA167" i="25"/>
  <c r="AW169" i="25"/>
  <c r="AX168" i="25"/>
  <c r="AY168" i="25"/>
  <c r="AZ168" i="25"/>
  <c r="AV167" i="25"/>
  <c r="AR169" i="25"/>
  <c r="AS168" i="25"/>
  <c r="AT168" i="25"/>
  <c r="AU168" i="25"/>
  <c r="AO168" i="25"/>
  <c r="AP168" i="25"/>
  <c r="AN168" i="25"/>
  <c r="AM169" i="25"/>
  <c r="AQ167" i="25"/>
  <c r="AJ168" i="25"/>
  <c r="AK168" i="25"/>
  <c r="AI168" i="25"/>
  <c r="AH169" i="25"/>
  <c r="AL167" i="25"/>
  <c r="AG167" i="25"/>
  <c r="AE168" i="25"/>
  <c r="AF168" i="25"/>
  <c r="AC169" i="25"/>
  <c r="AD168" i="25"/>
  <c r="Z168" i="25"/>
  <c r="AA168" i="25"/>
  <c r="X169" i="25"/>
  <c r="Y168" i="25"/>
  <c r="AB167" i="25"/>
  <c r="W169" i="25"/>
  <c r="V170" i="25"/>
  <c r="S171" i="25"/>
  <c r="U170" i="25"/>
  <c r="T170" i="25"/>
  <c r="M218" i="36"/>
  <c r="L169" i="25" s="1"/>
  <c r="J219" i="36"/>
  <c r="I170" i="25" s="1"/>
  <c r="K218" i="36"/>
  <c r="J169" i="25" s="1"/>
  <c r="L218" i="36"/>
  <c r="K169" i="25" s="1"/>
  <c r="N217" i="36"/>
  <c r="M168" i="25" s="1"/>
  <c r="BE171" i="25" l="1"/>
  <c r="BB172" i="25"/>
  <c r="BD171" i="25"/>
  <c r="BC171" i="25"/>
  <c r="BF170" i="25"/>
  <c r="BA168" i="25"/>
  <c r="AZ169" i="25"/>
  <c r="AW170" i="25"/>
  <c r="AX169" i="25"/>
  <c r="AY169" i="25"/>
  <c r="AR170" i="25"/>
  <c r="AS169" i="25"/>
  <c r="AU169" i="25"/>
  <c r="AT169" i="25"/>
  <c r="AV168" i="25"/>
  <c r="AQ168" i="25"/>
  <c r="AM170" i="25"/>
  <c r="AN169" i="25"/>
  <c r="AO169" i="25"/>
  <c r="AP169" i="25"/>
  <c r="AL168" i="25"/>
  <c r="AH170" i="25"/>
  <c r="AI169" i="25"/>
  <c r="AK169" i="25"/>
  <c r="AJ169" i="25"/>
  <c r="AG168" i="25"/>
  <c r="AF169" i="25"/>
  <c r="AC170" i="25"/>
  <c r="AD169" i="25"/>
  <c r="AE169" i="25"/>
  <c r="AB168" i="25"/>
  <c r="X170" i="25"/>
  <c r="Y169" i="25"/>
  <c r="Z169" i="25"/>
  <c r="AA169" i="25"/>
  <c r="U171" i="25"/>
  <c r="S172" i="25"/>
  <c r="T171" i="25"/>
  <c r="V171" i="25"/>
  <c r="W170" i="25"/>
  <c r="L219" i="36"/>
  <c r="K170" i="25" s="1"/>
  <c r="M219" i="36"/>
  <c r="L170" i="25" s="1"/>
  <c r="J220" i="36"/>
  <c r="I171" i="25" s="1"/>
  <c r="K219" i="36"/>
  <c r="J170" i="25" s="1"/>
  <c r="N218" i="36"/>
  <c r="M169" i="25" s="1"/>
  <c r="BF171" i="25" l="1"/>
  <c r="BD172" i="25"/>
  <c r="BB173" i="25"/>
  <c r="BE172" i="25"/>
  <c r="BC172" i="25"/>
  <c r="AY170" i="25"/>
  <c r="AZ170" i="25"/>
  <c r="AW171" i="25"/>
  <c r="AX170" i="25"/>
  <c r="BA169" i="25"/>
  <c r="AT170" i="25"/>
  <c r="AR171" i="25"/>
  <c r="AU170" i="25"/>
  <c r="AS170" i="25"/>
  <c r="AV169" i="25"/>
  <c r="AM171" i="25"/>
  <c r="AN170" i="25"/>
  <c r="AO170" i="25"/>
  <c r="AP170" i="25"/>
  <c r="AQ169" i="25"/>
  <c r="AH171" i="25"/>
  <c r="AI170" i="25"/>
  <c r="AJ170" i="25"/>
  <c r="AK170" i="25"/>
  <c r="AL169" i="25"/>
  <c r="AE170" i="25"/>
  <c r="AC171" i="25"/>
  <c r="AD170" i="25"/>
  <c r="AF170" i="25"/>
  <c r="AG169" i="25"/>
  <c r="AB169" i="25"/>
  <c r="X171" i="25"/>
  <c r="Y170" i="25"/>
  <c r="Z170" i="25"/>
  <c r="AA170" i="25"/>
  <c r="W171" i="25"/>
  <c r="S173" i="25"/>
  <c r="T172" i="25"/>
  <c r="U172" i="25"/>
  <c r="V172" i="25"/>
  <c r="N219" i="36"/>
  <c r="M170" i="25" s="1"/>
  <c r="J221" i="36"/>
  <c r="I172" i="25" s="1"/>
  <c r="K220" i="36"/>
  <c r="J171" i="25" s="1"/>
  <c r="L220" i="36"/>
  <c r="K171" i="25" s="1"/>
  <c r="M220" i="36"/>
  <c r="L171" i="25" s="1"/>
  <c r="BF172" i="25" l="1"/>
  <c r="BB174" i="25"/>
  <c r="BC173" i="25"/>
  <c r="BE173" i="25"/>
  <c r="BD173" i="25"/>
  <c r="BA170" i="25"/>
  <c r="AW172" i="25"/>
  <c r="AX171" i="25"/>
  <c r="AY171" i="25"/>
  <c r="AZ171" i="25"/>
  <c r="AV170" i="25"/>
  <c r="AR172" i="25"/>
  <c r="AS171" i="25"/>
  <c r="AU171" i="25"/>
  <c r="AT171" i="25"/>
  <c r="AQ170" i="25"/>
  <c r="AP171" i="25"/>
  <c r="AM172" i="25"/>
  <c r="AN171" i="25"/>
  <c r="AO171" i="25"/>
  <c r="AL170" i="25"/>
  <c r="AK171" i="25"/>
  <c r="AI171" i="25"/>
  <c r="AH172" i="25"/>
  <c r="AJ171" i="25"/>
  <c r="AG170" i="25"/>
  <c r="AC172" i="25"/>
  <c r="AD171" i="25"/>
  <c r="AF171" i="25"/>
  <c r="AE171" i="25"/>
  <c r="AB170" i="25"/>
  <c r="AA171" i="25"/>
  <c r="Y171" i="25"/>
  <c r="X172" i="25"/>
  <c r="Z171" i="25"/>
  <c r="W172" i="25"/>
  <c r="T173" i="25"/>
  <c r="V173" i="25"/>
  <c r="U173" i="25"/>
  <c r="S174" i="25"/>
  <c r="L221" i="36"/>
  <c r="K172" i="25" s="1"/>
  <c r="J222" i="36"/>
  <c r="I173" i="25" s="1"/>
  <c r="K221" i="36"/>
  <c r="J172" i="25" s="1"/>
  <c r="M221" i="36"/>
  <c r="L172" i="25" s="1"/>
  <c r="N220" i="36"/>
  <c r="M171" i="25" s="1"/>
  <c r="BF173" i="25" l="1"/>
  <c r="BC174" i="25"/>
  <c r="BE174" i="25"/>
  <c r="BB175" i="25"/>
  <c r="BD174" i="25"/>
  <c r="BA171" i="25"/>
  <c r="AW173" i="25"/>
  <c r="AX172" i="25"/>
  <c r="AY172" i="25"/>
  <c r="AZ172" i="25"/>
  <c r="AV171" i="25"/>
  <c r="AR173" i="25"/>
  <c r="AS172" i="25"/>
  <c r="AU172" i="25"/>
  <c r="AT172" i="25"/>
  <c r="AO172" i="25"/>
  <c r="AP172" i="25"/>
  <c r="AM173" i="25"/>
  <c r="AN172" i="25"/>
  <c r="AQ171" i="25"/>
  <c r="AJ172" i="25"/>
  <c r="AK172" i="25"/>
  <c r="AH173" i="25"/>
  <c r="AI172" i="25"/>
  <c r="AL171" i="25"/>
  <c r="AG171" i="25"/>
  <c r="AE172" i="25"/>
  <c r="AF172" i="25"/>
  <c r="AD172" i="25"/>
  <c r="AC173" i="25"/>
  <c r="Z172" i="25"/>
  <c r="AA172" i="25"/>
  <c r="Y172" i="25"/>
  <c r="X173" i="25"/>
  <c r="AB171" i="25"/>
  <c r="W173" i="25"/>
  <c r="V174" i="25"/>
  <c r="T174" i="25"/>
  <c r="U174" i="25"/>
  <c r="S175" i="25"/>
  <c r="N221" i="36"/>
  <c r="M172" i="25" s="1"/>
  <c r="M222" i="36"/>
  <c r="L173" i="25" s="1"/>
  <c r="J223" i="36"/>
  <c r="I174" i="25" s="1"/>
  <c r="L222" i="36"/>
  <c r="K173" i="25" s="1"/>
  <c r="K222" i="36"/>
  <c r="J173" i="25" s="1"/>
  <c r="BF174" i="25" l="1"/>
  <c r="BE175" i="25"/>
  <c r="BC175" i="25"/>
  <c r="BB176" i="25"/>
  <c r="BD175" i="25"/>
  <c r="BA172" i="25"/>
  <c r="AZ173" i="25"/>
  <c r="AW174" i="25"/>
  <c r="AX173" i="25"/>
  <c r="AY173" i="25"/>
  <c r="AU173" i="25"/>
  <c r="AR174" i="25"/>
  <c r="AS173" i="25"/>
  <c r="AT173" i="25"/>
  <c r="AV172" i="25"/>
  <c r="AQ172" i="25"/>
  <c r="AM174" i="25"/>
  <c r="AN173" i="25"/>
  <c r="AO173" i="25"/>
  <c r="AP173" i="25"/>
  <c r="AL172" i="25"/>
  <c r="AH174" i="25"/>
  <c r="AI173" i="25"/>
  <c r="AJ173" i="25"/>
  <c r="AK173" i="25"/>
  <c r="AG172" i="25"/>
  <c r="AF173" i="25"/>
  <c r="AC174" i="25"/>
  <c r="AD173" i="25"/>
  <c r="AE173" i="25"/>
  <c r="AB172" i="25"/>
  <c r="X174" i="25"/>
  <c r="Y173" i="25"/>
  <c r="Z173" i="25"/>
  <c r="AA173" i="25"/>
  <c r="W174" i="25"/>
  <c r="U175" i="25"/>
  <c r="T175" i="25"/>
  <c r="V175" i="25"/>
  <c r="S176" i="25"/>
  <c r="N222" i="36"/>
  <c r="M173" i="25" s="1"/>
  <c r="L223" i="36"/>
  <c r="K174" i="25" s="1"/>
  <c r="M223" i="36"/>
  <c r="L174" i="25" s="1"/>
  <c r="J224" i="36"/>
  <c r="I175" i="25" s="1"/>
  <c r="K223" i="36"/>
  <c r="J174" i="25" s="1"/>
  <c r="N223" i="36" l="1"/>
  <c r="M174" i="25" s="1"/>
  <c r="BD176" i="25"/>
  <c r="BC176" i="25"/>
  <c r="BB177" i="25"/>
  <c r="BE176" i="25"/>
  <c r="BF175" i="25"/>
  <c r="AY174" i="25"/>
  <c r="AZ174" i="25"/>
  <c r="AX174" i="25"/>
  <c r="AW175" i="25"/>
  <c r="BA173" i="25"/>
  <c r="AT174" i="25"/>
  <c r="AR175" i="25"/>
  <c r="AS174" i="25"/>
  <c r="AU174" i="25"/>
  <c r="AV173" i="25"/>
  <c r="AM175" i="25"/>
  <c r="AN174" i="25"/>
  <c r="AO174" i="25"/>
  <c r="AP174" i="25"/>
  <c r="AQ173" i="25"/>
  <c r="AL173" i="25"/>
  <c r="AJ174" i="25"/>
  <c r="AH175" i="25"/>
  <c r="AI174" i="25"/>
  <c r="AK174" i="25"/>
  <c r="AE174" i="25"/>
  <c r="AC175" i="25"/>
  <c r="AD174" i="25"/>
  <c r="AF174" i="25"/>
  <c r="AG173" i="25"/>
  <c r="AB173" i="25"/>
  <c r="X175" i="25"/>
  <c r="Y174" i="25"/>
  <c r="Z174" i="25"/>
  <c r="AA174" i="25"/>
  <c r="W175" i="25"/>
  <c r="S177" i="25"/>
  <c r="T176" i="25"/>
  <c r="U176" i="25"/>
  <c r="V176" i="25"/>
  <c r="J225" i="36"/>
  <c r="I176" i="25" s="1"/>
  <c r="K224" i="36"/>
  <c r="J175" i="25" s="1"/>
  <c r="L224" i="36"/>
  <c r="K175" i="25" s="1"/>
  <c r="M224" i="36"/>
  <c r="L175" i="25" s="1"/>
  <c r="BF176" i="25" l="1"/>
  <c r="BB178" i="25"/>
  <c r="BC177" i="25"/>
  <c r="BD177" i="25"/>
  <c r="BE177" i="25"/>
  <c r="BA174" i="25"/>
  <c r="AW176" i="25"/>
  <c r="AX175" i="25"/>
  <c r="AY175" i="25"/>
  <c r="AZ175" i="25"/>
  <c r="AV174" i="25"/>
  <c r="AR176" i="25"/>
  <c r="AS175" i="25"/>
  <c r="AT175" i="25"/>
  <c r="AU175" i="25"/>
  <c r="AQ174" i="25"/>
  <c r="AP175" i="25"/>
  <c r="AM176" i="25"/>
  <c r="AN175" i="25"/>
  <c r="AO175" i="25"/>
  <c r="AK175" i="25"/>
  <c r="AH176" i="25"/>
  <c r="AI175" i="25"/>
  <c r="AJ175" i="25"/>
  <c r="AL174" i="25"/>
  <c r="AG174" i="25"/>
  <c r="AC176" i="25"/>
  <c r="AD175" i="25"/>
  <c r="AF175" i="25"/>
  <c r="AE175" i="25"/>
  <c r="AB174" i="25"/>
  <c r="AA175" i="25"/>
  <c r="X176" i="25"/>
  <c r="Y175" i="25"/>
  <c r="Z175" i="25"/>
  <c r="W176" i="25"/>
  <c r="U177" i="25"/>
  <c r="V177" i="25"/>
  <c r="S178" i="25"/>
  <c r="T177" i="25"/>
  <c r="N224" i="36"/>
  <c r="M175" i="25" s="1"/>
  <c r="J226" i="36"/>
  <c r="I177" i="25" s="1"/>
  <c r="K225" i="36"/>
  <c r="J176" i="25" s="1"/>
  <c r="L225" i="36"/>
  <c r="K176" i="25" s="1"/>
  <c r="M225" i="36"/>
  <c r="L176" i="25" s="1"/>
  <c r="BF177" i="25" l="1"/>
  <c r="BD178" i="25"/>
  <c r="BB179" i="25"/>
  <c r="BC178" i="25"/>
  <c r="BE178" i="25"/>
  <c r="BA175" i="25"/>
  <c r="AW177" i="25"/>
  <c r="AX176" i="25"/>
  <c r="AY176" i="25"/>
  <c r="AZ176" i="25"/>
  <c r="AV175" i="25"/>
  <c r="AS176" i="25"/>
  <c r="AT176" i="25"/>
  <c r="AR177" i="25"/>
  <c r="AU176" i="25"/>
  <c r="AO176" i="25"/>
  <c r="AP176" i="25"/>
  <c r="AM177" i="25"/>
  <c r="AN176" i="25"/>
  <c r="AQ175" i="25"/>
  <c r="AJ176" i="25"/>
  <c r="AK176" i="25"/>
  <c r="AI176" i="25"/>
  <c r="AH177" i="25"/>
  <c r="AL175" i="25"/>
  <c r="AG175" i="25"/>
  <c r="AE176" i="25"/>
  <c r="AF176" i="25"/>
  <c r="AC177" i="25"/>
  <c r="AD176" i="25"/>
  <c r="Z176" i="25"/>
  <c r="AA176" i="25"/>
  <c r="Y176" i="25"/>
  <c r="X177" i="25"/>
  <c r="AB175" i="25"/>
  <c r="W177" i="25"/>
  <c r="V178" i="25"/>
  <c r="U178" i="25"/>
  <c r="S179" i="25"/>
  <c r="T178" i="25"/>
  <c r="N225" i="36"/>
  <c r="M176" i="25" s="1"/>
  <c r="M226" i="36"/>
  <c r="L177" i="25" s="1"/>
  <c r="K226" i="36"/>
  <c r="J177" i="25" s="1"/>
  <c r="J227" i="36"/>
  <c r="I178" i="25" s="1"/>
  <c r="L226" i="36"/>
  <c r="K177" i="25" s="1"/>
  <c r="BF178" i="25" l="1"/>
  <c r="BE179" i="25"/>
  <c r="BD179" i="25"/>
  <c r="BB180" i="25"/>
  <c r="BC179" i="25"/>
  <c r="BA176" i="25"/>
  <c r="AZ177" i="25"/>
  <c r="AW178" i="25"/>
  <c r="AX177" i="25"/>
  <c r="AY177" i="25"/>
  <c r="AV176" i="25"/>
  <c r="AU177" i="25"/>
  <c r="AS177" i="25"/>
  <c r="AT177" i="25"/>
  <c r="AR178" i="25"/>
  <c r="AQ176" i="25"/>
  <c r="AM178" i="25"/>
  <c r="AN177" i="25"/>
  <c r="AO177" i="25"/>
  <c r="AP177" i="25"/>
  <c r="AL176" i="25"/>
  <c r="AH178" i="25"/>
  <c r="AI177" i="25"/>
  <c r="AJ177" i="25"/>
  <c r="AK177" i="25"/>
  <c r="AG176" i="25"/>
  <c r="AF177" i="25"/>
  <c r="AC178" i="25"/>
  <c r="AD177" i="25"/>
  <c r="AE177" i="25"/>
  <c r="AB176" i="25"/>
  <c r="X178" i="25"/>
  <c r="Y177" i="25"/>
  <c r="Z177" i="25"/>
  <c r="AA177" i="25"/>
  <c r="U179" i="25"/>
  <c r="V179" i="25"/>
  <c r="S180" i="25"/>
  <c r="T179" i="25"/>
  <c r="W178" i="25"/>
  <c r="L227" i="36"/>
  <c r="K178" i="25" s="1"/>
  <c r="M227" i="36"/>
  <c r="L178" i="25" s="1"/>
  <c r="J228" i="36"/>
  <c r="I179" i="25" s="1"/>
  <c r="K227" i="36"/>
  <c r="J178" i="25" s="1"/>
  <c r="N226" i="36"/>
  <c r="M177" i="25" s="1"/>
  <c r="BF179" i="25" l="1"/>
  <c r="BD180" i="25"/>
  <c r="BE180" i="25"/>
  <c r="BB181" i="25"/>
  <c r="BC180" i="25"/>
  <c r="AY178" i="25"/>
  <c r="AZ178" i="25"/>
  <c r="AX178" i="25"/>
  <c r="AW179" i="25"/>
  <c r="BA177" i="25"/>
  <c r="AV177" i="25"/>
  <c r="AT178" i="25"/>
  <c r="AS178" i="25"/>
  <c r="AU178" i="25"/>
  <c r="AR179" i="25"/>
  <c r="AM179" i="25"/>
  <c r="AN178" i="25"/>
  <c r="AO178" i="25"/>
  <c r="AP178" i="25"/>
  <c r="AQ177" i="25"/>
  <c r="AL177" i="25"/>
  <c r="AJ178" i="25"/>
  <c r="AH179" i="25"/>
  <c r="AI178" i="25"/>
  <c r="AK178" i="25"/>
  <c r="AE178" i="25"/>
  <c r="AC179" i="25"/>
  <c r="AD178" i="25"/>
  <c r="AF178" i="25"/>
  <c r="AG177" i="25"/>
  <c r="AB177" i="25"/>
  <c r="X179" i="25"/>
  <c r="Y178" i="25"/>
  <c r="AA178" i="25"/>
  <c r="Z178" i="25"/>
  <c r="W179" i="25"/>
  <c r="S181" i="25"/>
  <c r="T180" i="25"/>
  <c r="V180" i="25"/>
  <c r="U180" i="25"/>
  <c r="N227" i="36"/>
  <c r="M178" i="25" s="1"/>
  <c r="J229" i="36"/>
  <c r="I180" i="25" s="1"/>
  <c r="K228" i="36"/>
  <c r="J179" i="25" s="1"/>
  <c r="L228" i="36"/>
  <c r="K179" i="25" s="1"/>
  <c r="M228" i="36"/>
  <c r="L179" i="25" s="1"/>
  <c r="BF180" i="25" l="1"/>
  <c r="BB182" i="25"/>
  <c r="BC181" i="25"/>
  <c r="BE181" i="25"/>
  <c r="BD181" i="25"/>
  <c r="BA178" i="25"/>
  <c r="AW180" i="25"/>
  <c r="AX179" i="25"/>
  <c r="AY179" i="25"/>
  <c r="AZ179" i="25"/>
  <c r="AV178" i="25"/>
  <c r="AR180" i="25"/>
  <c r="AS179" i="25"/>
  <c r="AT179" i="25"/>
  <c r="AU179" i="25"/>
  <c r="AQ178" i="25"/>
  <c r="AP179" i="25"/>
  <c r="AM180" i="25"/>
  <c r="AN179" i="25"/>
  <c r="AO179" i="25"/>
  <c r="AL178" i="25"/>
  <c r="AK179" i="25"/>
  <c r="AH180" i="25"/>
  <c r="AI179" i="25"/>
  <c r="AJ179" i="25"/>
  <c r="AG178" i="25"/>
  <c r="AC180" i="25"/>
  <c r="AD179" i="25"/>
  <c r="AF179" i="25"/>
  <c r="AE179" i="25"/>
  <c r="AA179" i="25"/>
  <c r="Y179" i="25"/>
  <c r="X180" i="25"/>
  <c r="Z179" i="25"/>
  <c r="AB178" i="25"/>
  <c r="V181" i="25"/>
  <c r="T181" i="25"/>
  <c r="S182" i="25"/>
  <c r="U181" i="25"/>
  <c r="W180" i="25"/>
  <c r="J230" i="36"/>
  <c r="I181" i="25" s="1"/>
  <c r="K229" i="36"/>
  <c r="J180" i="25" s="1"/>
  <c r="L229" i="36"/>
  <c r="K180" i="25" s="1"/>
  <c r="M229" i="36"/>
  <c r="L180" i="25" s="1"/>
  <c r="N228" i="36"/>
  <c r="M179" i="25" s="1"/>
  <c r="BF181" i="25" l="1"/>
  <c r="BE182" i="25"/>
  <c r="BC182" i="25"/>
  <c r="BD182" i="25"/>
  <c r="BB183" i="25"/>
  <c r="BA179" i="25"/>
  <c r="AW181" i="25"/>
  <c r="AX180" i="25"/>
  <c r="AY180" i="25"/>
  <c r="AZ180" i="25"/>
  <c r="AV179" i="25"/>
  <c r="AT180" i="25"/>
  <c r="AU180" i="25"/>
  <c r="AS180" i="25"/>
  <c r="AR181" i="25"/>
  <c r="AO180" i="25"/>
  <c r="AP180" i="25"/>
  <c r="AN180" i="25"/>
  <c r="AM181" i="25"/>
  <c r="AQ179" i="25"/>
  <c r="AJ180" i="25"/>
  <c r="AK180" i="25"/>
  <c r="AI180" i="25"/>
  <c r="AH181" i="25"/>
  <c r="AL179" i="25"/>
  <c r="AG179" i="25"/>
  <c r="AE180" i="25"/>
  <c r="AF180" i="25"/>
  <c r="AD180" i="25"/>
  <c r="AC181" i="25"/>
  <c r="Z180" i="25"/>
  <c r="AA180" i="25"/>
  <c r="X181" i="25"/>
  <c r="Y180" i="25"/>
  <c r="AB179" i="25"/>
  <c r="V182" i="25"/>
  <c r="S183" i="25"/>
  <c r="T182" i="25"/>
  <c r="U182" i="25"/>
  <c r="W181" i="25"/>
  <c r="N229" i="36"/>
  <c r="M180" i="25" s="1"/>
  <c r="M230" i="36"/>
  <c r="L181" i="25" s="1"/>
  <c r="K230" i="36"/>
  <c r="J181" i="25" s="1"/>
  <c r="L230" i="36"/>
  <c r="K181" i="25" s="1"/>
  <c r="J231" i="36"/>
  <c r="I182" i="25" s="1"/>
  <c r="BE183" i="25" l="1"/>
  <c r="BC183" i="25"/>
  <c r="BD183" i="25"/>
  <c r="BB184" i="25"/>
  <c r="BF182" i="25"/>
  <c r="BA180" i="25"/>
  <c r="AZ181" i="25"/>
  <c r="AW182" i="25"/>
  <c r="AX181" i="25"/>
  <c r="AY181" i="25"/>
  <c r="AV180" i="25"/>
  <c r="AU181" i="25"/>
  <c r="AT181" i="25"/>
  <c r="AS181" i="25"/>
  <c r="AR182" i="25"/>
  <c r="AQ180" i="25"/>
  <c r="AM182" i="25"/>
  <c r="AN181" i="25"/>
  <c r="AO181" i="25"/>
  <c r="AP181" i="25"/>
  <c r="AL180" i="25"/>
  <c r="AH182" i="25"/>
  <c r="AI181" i="25"/>
  <c r="AK181" i="25"/>
  <c r="AJ181" i="25"/>
  <c r="AG180" i="25"/>
  <c r="AF181" i="25"/>
  <c r="AC182" i="25"/>
  <c r="AD181" i="25"/>
  <c r="AE181" i="25"/>
  <c r="AB180" i="25"/>
  <c r="X182" i="25"/>
  <c r="Y181" i="25"/>
  <c r="Z181" i="25"/>
  <c r="AA181" i="25"/>
  <c r="U183" i="25"/>
  <c r="T183" i="25"/>
  <c r="S184" i="25"/>
  <c r="V183" i="25"/>
  <c r="W182" i="25"/>
  <c r="N230" i="36"/>
  <c r="M181" i="25" s="1"/>
  <c r="L231" i="36"/>
  <c r="K182" i="25" s="1"/>
  <c r="M231" i="36"/>
  <c r="L182" i="25" s="1"/>
  <c r="J232" i="36"/>
  <c r="I183" i="25" s="1"/>
  <c r="K231" i="36"/>
  <c r="J182" i="25" s="1"/>
  <c r="BD184" i="25" l="1"/>
  <c r="BC184" i="25"/>
  <c r="BE184" i="25"/>
  <c r="BB185" i="25"/>
  <c r="BF183" i="25"/>
  <c r="AY182" i="25"/>
  <c r="AZ182" i="25"/>
  <c r="AW183" i="25"/>
  <c r="AX182" i="25"/>
  <c r="BA181" i="25"/>
  <c r="AT182" i="25"/>
  <c r="AU182" i="25"/>
  <c r="AS182" i="25"/>
  <c r="AR183" i="25"/>
  <c r="AV181" i="25"/>
  <c r="AM183" i="25"/>
  <c r="AN182" i="25"/>
  <c r="AO182" i="25"/>
  <c r="AP182" i="25"/>
  <c r="AQ181" i="25"/>
  <c r="AH183" i="25"/>
  <c r="AI182" i="25"/>
  <c r="AJ182" i="25"/>
  <c r="AK182" i="25"/>
  <c r="AL181" i="25"/>
  <c r="AE182" i="25"/>
  <c r="AC183" i="25"/>
  <c r="AD182" i="25"/>
  <c r="AF182" i="25"/>
  <c r="AG181" i="25"/>
  <c r="AB181" i="25"/>
  <c r="X183" i="25"/>
  <c r="Y182" i="25"/>
  <c r="Z182" i="25"/>
  <c r="AA182" i="25"/>
  <c r="W183" i="25"/>
  <c r="S185" i="25"/>
  <c r="T184" i="25"/>
  <c r="U184" i="25"/>
  <c r="V184" i="25"/>
  <c r="N231" i="36"/>
  <c r="M182" i="25" s="1"/>
  <c r="J233" i="36"/>
  <c r="I184" i="25" s="1"/>
  <c r="K232" i="36"/>
  <c r="J183" i="25" s="1"/>
  <c r="M232" i="36"/>
  <c r="L183" i="25" s="1"/>
  <c r="L232" i="36"/>
  <c r="K183" i="25" s="1"/>
  <c r="BF184" i="25" l="1"/>
  <c r="BB186" i="25"/>
  <c r="BC185" i="25"/>
  <c r="BD185" i="25"/>
  <c r="BE185" i="25"/>
  <c r="BA182" i="25"/>
  <c r="AW184" i="25"/>
  <c r="AX183" i="25"/>
  <c r="AY183" i="25"/>
  <c r="AZ183" i="25"/>
  <c r="AV182" i="25"/>
  <c r="AR184" i="25"/>
  <c r="AS183" i="25"/>
  <c r="AU183" i="25"/>
  <c r="AT183" i="25"/>
  <c r="AQ182" i="25"/>
  <c r="AP183" i="25"/>
  <c r="AM184" i="25"/>
  <c r="AN183" i="25"/>
  <c r="AO183" i="25"/>
  <c r="AL182" i="25"/>
  <c r="AK183" i="25"/>
  <c r="AI183" i="25"/>
  <c r="AH184" i="25"/>
  <c r="AJ183" i="25"/>
  <c r="AG182" i="25"/>
  <c r="AC184" i="25"/>
  <c r="AD183" i="25"/>
  <c r="AF183" i="25"/>
  <c r="AE183" i="25"/>
  <c r="AB182" i="25"/>
  <c r="AA183" i="25"/>
  <c r="X184" i="25"/>
  <c r="Y183" i="25"/>
  <c r="Z183" i="25"/>
  <c r="W184" i="25"/>
  <c r="S186" i="25"/>
  <c r="T185" i="25"/>
  <c r="U185" i="25"/>
  <c r="V185" i="25"/>
  <c r="N232" i="36"/>
  <c r="M183" i="25" s="1"/>
  <c r="J234" i="36"/>
  <c r="I185" i="25" s="1"/>
  <c r="K233" i="36"/>
  <c r="J184" i="25" s="1"/>
  <c r="M233" i="36"/>
  <c r="L184" i="25" s="1"/>
  <c r="L233" i="36"/>
  <c r="K184" i="25" s="1"/>
  <c r="BF185" i="25" l="1"/>
  <c r="BB187" i="25"/>
  <c r="BD186" i="25"/>
  <c r="BE186" i="25"/>
  <c r="BC186" i="25"/>
  <c r="BA183" i="25"/>
  <c r="AW185" i="25"/>
  <c r="AX184" i="25"/>
  <c r="AY184" i="25"/>
  <c r="AZ184" i="25"/>
  <c r="AV183" i="25"/>
  <c r="AU184" i="25"/>
  <c r="AR185" i="25"/>
  <c r="AT184" i="25"/>
  <c r="AS184" i="25"/>
  <c r="AO184" i="25"/>
  <c r="AP184" i="25"/>
  <c r="AN184" i="25"/>
  <c r="AM185" i="25"/>
  <c r="AQ183" i="25"/>
  <c r="AJ184" i="25"/>
  <c r="AK184" i="25"/>
  <c r="AI184" i="25"/>
  <c r="AH185" i="25"/>
  <c r="AL183" i="25"/>
  <c r="AE184" i="25"/>
  <c r="AF184" i="25"/>
  <c r="AC185" i="25"/>
  <c r="AD184" i="25"/>
  <c r="AG183" i="25"/>
  <c r="Z184" i="25"/>
  <c r="AA184" i="25"/>
  <c r="X185" i="25"/>
  <c r="Y184" i="25"/>
  <c r="AB183" i="25"/>
  <c r="W185" i="25"/>
  <c r="V186" i="25"/>
  <c r="S187" i="25"/>
  <c r="U186" i="25"/>
  <c r="T186" i="25"/>
  <c r="M234" i="36"/>
  <c r="L185" i="25" s="1"/>
  <c r="J235" i="36"/>
  <c r="I186" i="25" s="1"/>
  <c r="K234" i="36"/>
  <c r="J185" i="25" s="1"/>
  <c r="L234" i="36"/>
  <c r="K185" i="25" s="1"/>
  <c r="N233" i="36"/>
  <c r="M184" i="25" s="1"/>
  <c r="BF186" i="25" l="1"/>
  <c r="BE187" i="25"/>
  <c r="BB188" i="25"/>
  <c r="BD187" i="25"/>
  <c r="BC187" i="25"/>
  <c r="BA184" i="25"/>
  <c r="AZ185" i="25"/>
  <c r="AW186" i="25"/>
  <c r="AX185" i="25"/>
  <c r="AY185" i="25"/>
  <c r="AV184" i="25"/>
  <c r="AU185" i="25"/>
  <c r="AR186" i="25"/>
  <c r="AT185" i="25"/>
  <c r="AS185" i="25"/>
  <c r="AQ184" i="25"/>
  <c r="AM186" i="25"/>
  <c r="AN185" i="25"/>
  <c r="AO185" i="25"/>
  <c r="AP185" i="25"/>
  <c r="AL184" i="25"/>
  <c r="AH186" i="25"/>
  <c r="AI185" i="25"/>
  <c r="AJ185" i="25"/>
  <c r="AK185" i="25"/>
  <c r="AG184" i="25"/>
  <c r="AF185" i="25"/>
  <c r="AC186" i="25"/>
  <c r="AD185" i="25"/>
  <c r="AE185" i="25"/>
  <c r="AB184" i="25"/>
  <c r="X186" i="25"/>
  <c r="Y185" i="25"/>
  <c r="Z185" i="25"/>
  <c r="AA185" i="25"/>
  <c r="W186" i="25"/>
  <c r="U187" i="25"/>
  <c r="S188" i="25"/>
  <c r="T187" i="25"/>
  <c r="V187" i="25"/>
  <c r="L235" i="36"/>
  <c r="K186" i="25" s="1"/>
  <c r="M235" i="36"/>
  <c r="L186" i="25" s="1"/>
  <c r="J236" i="36"/>
  <c r="I187" i="25" s="1"/>
  <c r="K235" i="36"/>
  <c r="J186" i="25" s="1"/>
  <c r="N234" i="36"/>
  <c r="M185" i="25" s="1"/>
  <c r="BD188" i="25" l="1"/>
  <c r="BB189" i="25"/>
  <c r="BE188" i="25"/>
  <c r="BC188" i="25"/>
  <c r="BF187" i="25"/>
  <c r="AY186" i="25"/>
  <c r="AZ186" i="25"/>
  <c r="AW187" i="25"/>
  <c r="AX186" i="25"/>
  <c r="BA185" i="25"/>
  <c r="AT186" i="25"/>
  <c r="AR187" i="25"/>
  <c r="AU186" i="25"/>
  <c r="AS186" i="25"/>
  <c r="AV185" i="25"/>
  <c r="AM187" i="25"/>
  <c r="AN186" i="25"/>
  <c r="AO186" i="25"/>
  <c r="AP186" i="25"/>
  <c r="AQ185" i="25"/>
  <c r="AL185" i="25"/>
  <c r="AJ186" i="25"/>
  <c r="AH187" i="25"/>
  <c r="AI186" i="25"/>
  <c r="AK186" i="25"/>
  <c r="AE186" i="25"/>
  <c r="AC187" i="25"/>
  <c r="AD186" i="25"/>
  <c r="AF186" i="25"/>
  <c r="AG185" i="25"/>
  <c r="AB185" i="25"/>
  <c r="X187" i="25"/>
  <c r="Y186" i="25"/>
  <c r="Z186" i="25"/>
  <c r="AA186" i="25"/>
  <c r="W187" i="25"/>
  <c r="S189" i="25"/>
  <c r="T188" i="25"/>
  <c r="V188" i="25"/>
  <c r="U188" i="25"/>
  <c r="N235" i="36"/>
  <c r="M186" i="25" s="1"/>
  <c r="J237" i="36"/>
  <c r="I188" i="25" s="1"/>
  <c r="K236" i="36"/>
  <c r="J187" i="25" s="1"/>
  <c r="L236" i="36"/>
  <c r="K187" i="25" s="1"/>
  <c r="M236" i="36"/>
  <c r="L187" i="25" s="1"/>
  <c r="BF188" i="25" l="1"/>
  <c r="BB190" i="25"/>
  <c r="BC189" i="25"/>
  <c r="BE189" i="25"/>
  <c r="BD189" i="25"/>
  <c r="BA186" i="25"/>
  <c r="AW188" i="25"/>
  <c r="AX187" i="25"/>
  <c r="AY187" i="25"/>
  <c r="AZ187" i="25"/>
  <c r="AV186" i="25"/>
  <c r="AR188" i="25"/>
  <c r="AS187" i="25"/>
  <c r="AU187" i="25"/>
  <c r="AT187" i="25"/>
  <c r="AQ186" i="25"/>
  <c r="AP187" i="25"/>
  <c r="AM188" i="25"/>
  <c r="AN187" i="25"/>
  <c r="AO187" i="25"/>
  <c r="AK187" i="25"/>
  <c r="AH188" i="25"/>
  <c r="AI187" i="25"/>
  <c r="AJ187" i="25"/>
  <c r="AL186" i="25"/>
  <c r="AG186" i="25"/>
  <c r="AC188" i="25"/>
  <c r="AD187" i="25"/>
  <c r="AF187" i="25"/>
  <c r="AE187" i="25"/>
  <c r="AB186" i="25"/>
  <c r="AA187" i="25"/>
  <c r="Y187" i="25"/>
  <c r="X188" i="25"/>
  <c r="Z187" i="25"/>
  <c r="T189" i="25"/>
  <c r="U189" i="25"/>
  <c r="V189" i="25"/>
  <c r="S190" i="25"/>
  <c r="W188" i="25"/>
  <c r="N236" i="36"/>
  <c r="M187" i="25" s="1"/>
  <c r="L237" i="36"/>
  <c r="K188" i="25" s="1"/>
  <c r="J238" i="36"/>
  <c r="I189" i="25" s="1"/>
  <c r="K237" i="36"/>
  <c r="J188" i="25" s="1"/>
  <c r="M237" i="36"/>
  <c r="L188" i="25" s="1"/>
  <c r="BF189" i="25" l="1"/>
  <c r="BC190" i="25"/>
  <c r="BE190" i="25"/>
  <c r="BB191" i="25"/>
  <c r="BD190" i="25"/>
  <c r="BA187" i="25"/>
  <c r="AW189" i="25"/>
  <c r="AX188" i="25"/>
  <c r="AY188" i="25"/>
  <c r="AZ188" i="25"/>
  <c r="AV187" i="25"/>
  <c r="AR189" i="25"/>
  <c r="AS188" i="25"/>
  <c r="AU188" i="25"/>
  <c r="AT188" i="25"/>
  <c r="AO188" i="25"/>
  <c r="AP188" i="25"/>
  <c r="AN188" i="25"/>
  <c r="AM189" i="25"/>
  <c r="AQ187" i="25"/>
  <c r="AJ188" i="25"/>
  <c r="AK188" i="25"/>
  <c r="AH189" i="25"/>
  <c r="AI188" i="25"/>
  <c r="AL187" i="25"/>
  <c r="AG187" i="25"/>
  <c r="AE188" i="25"/>
  <c r="AF188" i="25"/>
  <c r="AD188" i="25"/>
  <c r="AC189" i="25"/>
  <c r="Z188" i="25"/>
  <c r="AA188" i="25"/>
  <c r="Y188" i="25"/>
  <c r="X189" i="25"/>
  <c r="AB187" i="25"/>
  <c r="W189" i="25"/>
  <c r="V190" i="25"/>
  <c r="T190" i="25"/>
  <c r="U190" i="25"/>
  <c r="S191" i="25"/>
  <c r="N237" i="36"/>
  <c r="M188" i="25" s="1"/>
  <c r="M238" i="36"/>
  <c r="L189" i="25" s="1"/>
  <c r="K238" i="36"/>
  <c r="J189" i="25" s="1"/>
  <c r="L238" i="36"/>
  <c r="K189" i="25" s="1"/>
  <c r="J239" i="36"/>
  <c r="I190" i="25" s="1"/>
  <c r="BE191" i="25" l="1"/>
  <c r="BC191" i="25"/>
  <c r="BB192" i="25"/>
  <c r="BD191" i="25"/>
  <c r="BF190" i="25"/>
  <c r="BA188" i="25"/>
  <c r="AZ189" i="25"/>
  <c r="AW190" i="25"/>
  <c r="AX189" i="25"/>
  <c r="AY189" i="25"/>
  <c r="AR190" i="25"/>
  <c r="AS189" i="25"/>
  <c r="AU189" i="25"/>
  <c r="AT189" i="25"/>
  <c r="AV188" i="25"/>
  <c r="AQ188" i="25"/>
  <c r="AM190" i="25"/>
  <c r="AN189" i="25"/>
  <c r="AO189" i="25"/>
  <c r="AP189" i="25"/>
  <c r="AL188" i="25"/>
  <c r="AH190" i="25"/>
  <c r="AI189" i="25"/>
  <c r="AK189" i="25"/>
  <c r="AJ189" i="25"/>
  <c r="AG188" i="25"/>
  <c r="AF189" i="25"/>
  <c r="AC190" i="25"/>
  <c r="AD189" i="25"/>
  <c r="AE189" i="25"/>
  <c r="AB188" i="25"/>
  <c r="X190" i="25"/>
  <c r="Y189" i="25"/>
  <c r="Z189" i="25"/>
  <c r="AA189" i="25"/>
  <c r="W190" i="25"/>
  <c r="U191" i="25"/>
  <c r="T191" i="25"/>
  <c r="V191" i="25"/>
  <c r="S192" i="25"/>
  <c r="N238" i="36"/>
  <c r="M189" i="25" s="1"/>
  <c r="L239" i="36"/>
  <c r="K190" i="25" s="1"/>
  <c r="M239" i="36"/>
  <c r="L190" i="25" s="1"/>
  <c r="J240" i="36"/>
  <c r="I191" i="25" s="1"/>
  <c r="K239" i="36"/>
  <c r="J190" i="25" s="1"/>
  <c r="BD192" i="25" l="1"/>
  <c r="BC192" i="25"/>
  <c r="BB193" i="25"/>
  <c r="BE192" i="25"/>
  <c r="BF191" i="25"/>
  <c r="AY190" i="25"/>
  <c r="AZ190" i="25"/>
  <c r="AX190" i="25"/>
  <c r="AW191" i="25"/>
  <c r="BA189" i="25"/>
  <c r="AT190" i="25"/>
  <c r="AU190" i="25"/>
  <c r="AS190" i="25"/>
  <c r="AR191" i="25"/>
  <c r="AV189" i="25"/>
  <c r="AM191" i="25"/>
  <c r="AN190" i="25"/>
  <c r="AO190" i="25"/>
  <c r="AP190" i="25"/>
  <c r="AQ189" i="25"/>
  <c r="AH191" i="25"/>
  <c r="AI190" i="25"/>
  <c r="AJ190" i="25"/>
  <c r="AK190" i="25"/>
  <c r="AL189" i="25"/>
  <c r="AE190" i="25"/>
  <c r="AC191" i="25"/>
  <c r="AD190" i="25"/>
  <c r="AF190" i="25"/>
  <c r="AG189" i="25"/>
  <c r="AB189" i="25"/>
  <c r="X191" i="25"/>
  <c r="Y190" i="25"/>
  <c r="Z190" i="25"/>
  <c r="AA190" i="25"/>
  <c r="W191" i="25"/>
  <c r="S193" i="25"/>
  <c r="T192" i="25"/>
  <c r="U192" i="25"/>
  <c r="V192" i="25"/>
  <c r="N239" i="36"/>
  <c r="M190" i="25" s="1"/>
  <c r="J241" i="36"/>
  <c r="I192" i="25" s="1"/>
  <c r="K240" i="36"/>
  <c r="J191" i="25" s="1"/>
  <c r="M240" i="36"/>
  <c r="L191" i="25" s="1"/>
  <c r="L240" i="36"/>
  <c r="K191" i="25" s="1"/>
  <c r="BF192" i="25" l="1"/>
  <c r="BB194" i="25"/>
  <c r="BC193" i="25"/>
  <c r="BD193" i="25"/>
  <c r="BE193" i="25"/>
  <c r="BA190" i="25"/>
  <c r="AW192" i="25"/>
  <c r="AX191" i="25"/>
  <c r="AY191" i="25"/>
  <c r="AZ191" i="25"/>
  <c r="AV190" i="25"/>
  <c r="AU191" i="25"/>
  <c r="AR192" i="25"/>
  <c r="AS191" i="25"/>
  <c r="AT191" i="25"/>
  <c r="AQ190" i="25"/>
  <c r="AP191" i="25"/>
  <c r="AM192" i="25"/>
  <c r="AN191" i="25"/>
  <c r="AO191" i="25"/>
  <c r="AL190" i="25"/>
  <c r="AK191" i="25"/>
  <c r="AI191" i="25"/>
  <c r="AH192" i="25"/>
  <c r="AJ191" i="25"/>
  <c r="AG190" i="25"/>
  <c r="AC192" i="25"/>
  <c r="AD191" i="25"/>
  <c r="AF191" i="25"/>
  <c r="AE191" i="25"/>
  <c r="AB190" i="25"/>
  <c r="AA191" i="25"/>
  <c r="X192" i="25"/>
  <c r="Y191" i="25"/>
  <c r="Z191" i="25"/>
  <c r="U193" i="25"/>
  <c r="V193" i="25"/>
  <c r="S194" i="25"/>
  <c r="T193" i="25"/>
  <c r="W192" i="25"/>
  <c r="N240" i="36"/>
  <c r="M191" i="25" s="1"/>
  <c r="J242" i="36"/>
  <c r="I193" i="25" s="1"/>
  <c r="K241" i="36"/>
  <c r="J192" i="25" s="1"/>
  <c r="M241" i="36"/>
  <c r="L192" i="25" s="1"/>
  <c r="L241" i="36"/>
  <c r="K192" i="25" s="1"/>
  <c r="BF193" i="25" l="1"/>
  <c r="BD194" i="25"/>
  <c r="BB195" i="25"/>
  <c r="BC194" i="25"/>
  <c r="BE194" i="25"/>
  <c r="BA191" i="25"/>
  <c r="AW193" i="25"/>
  <c r="AX192" i="25"/>
  <c r="AY192" i="25"/>
  <c r="AZ192" i="25"/>
  <c r="AT192" i="25"/>
  <c r="AR193" i="25"/>
  <c r="AS192" i="25"/>
  <c r="AU192" i="25"/>
  <c r="AV191" i="25"/>
  <c r="AO192" i="25"/>
  <c r="AP192" i="25"/>
  <c r="AM193" i="25"/>
  <c r="AN192" i="25"/>
  <c r="AQ191" i="25"/>
  <c r="AJ192" i="25"/>
  <c r="AK192" i="25"/>
  <c r="AI192" i="25"/>
  <c r="AH193" i="25"/>
  <c r="AL191" i="25"/>
  <c r="AE192" i="25"/>
  <c r="AF192" i="25"/>
  <c r="AC193" i="25"/>
  <c r="AD192" i="25"/>
  <c r="AG191" i="25"/>
  <c r="Z192" i="25"/>
  <c r="AA192" i="25"/>
  <c r="X193" i="25"/>
  <c r="Y192" i="25"/>
  <c r="AB191" i="25"/>
  <c r="W193" i="25"/>
  <c r="V194" i="25"/>
  <c r="U194" i="25"/>
  <c r="S195" i="25"/>
  <c r="T194" i="25"/>
  <c r="M242" i="36"/>
  <c r="L193" i="25" s="1"/>
  <c r="J243" i="36"/>
  <c r="I194" i="25" s="1"/>
  <c r="K242" i="36"/>
  <c r="J193" i="25" s="1"/>
  <c r="L242" i="36"/>
  <c r="K193" i="25" s="1"/>
  <c r="N241" i="36"/>
  <c r="M192" i="25" s="1"/>
  <c r="BF194" i="25" l="1"/>
  <c r="BE195" i="25"/>
  <c r="BD195" i="25"/>
  <c r="BB196" i="25"/>
  <c r="BC195" i="25"/>
  <c r="BA192" i="25"/>
  <c r="AZ193" i="25"/>
  <c r="AW194" i="25"/>
  <c r="AX193" i="25"/>
  <c r="AY193" i="25"/>
  <c r="AV192" i="25"/>
  <c r="AR194" i="25"/>
  <c r="AS193" i="25"/>
  <c r="AU193" i="25"/>
  <c r="AT193" i="25"/>
  <c r="AQ192" i="25"/>
  <c r="AM194" i="25"/>
  <c r="AN193" i="25"/>
  <c r="AO193" i="25"/>
  <c r="AP193" i="25"/>
  <c r="AL192" i="25"/>
  <c r="AH194" i="25"/>
  <c r="AI193" i="25"/>
  <c r="AJ193" i="25"/>
  <c r="AK193" i="25"/>
  <c r="AG192" i="25"/>
  <c r="AF193" i="25"/>
  <c r="AC194" i="25"/>
  <c r="AD193" i="25"/>
  <c r="AE193" i="25"/>
  <c r="AB192" i="25"/>
  <c r="X194" i="25"/>
  <c r="Y193" i="25"/>
  <c r="Z193" i="25"/>
  <c r="AA193" i="25"/>
  <c r="W194" i="25"/>
  <c r="U195" i="25"/>
  <c r="V195" i="25"/>
  <c r="S196" i="25"/>
  <c r="T195" i="25"/>
  <c r="L243" i="36"/>
  <c r="K194" i="25" s="1"/>
  <c r="M243" i="36"/>
  <c r="L194" i="25" s="1"/>
  <c r="J244" i="36"/>
  <c r="I195" i="25" s="1"/>
  <c r="K243" i="36"/>
  <c r="J194" i="25" s="1"/>
  <c r="N242" i="36"/>
  <c r="M193" i="25" s="1"/>
  <c r="BF195" i="25" l="1"/>
  <c r="BD196" i="25"/>
  <c r="BE196" i="25"/>
  <c r="BB197" i="25"/>
  <c r="BC196" i="25"/>
  <c r="AY194" i="25"/>
  <c r="AZ194" i="25"/>
  <c r="AX194" i="25"/>
  <c r="AW195" i="25"/>
  <c r="BA193" i="25"/>
  <c r="AV193" i="25"/>
  <c r="AT194" i="25"/>
  <c r="AU194" i="25"/>
  <c r="AR195" i="25"/>
  <c r="AS194" i="25"/>
  <c r="AQ193" i="25"/>
  <c r="AM195" i="25"/>
  <c r="AN194" i="25"/>
  <c r="AO194" i="25"/>
  <c r="AP194" i="25"/>
  <c r="AL193" i="25"/>
  <c r="AJ194" i="25"/>
  <c r="AH195" i="25"/>
  <c r="AI194" i="25"/>
  <c r="AK194" i="25"/>
  <c r="AE194" i="25"/>
  <c r="AC195" i="25"/>
  <c r="AD194" i="25"/>
  <c r="AF194" i="25"/>
  <c r="AG193" i="25"/>
  <c r="AB193" i="25"/>
  <c r="X195" i="25"/>
  <c r="Y194" i="25"/>
  <c r="Z194" i="25"/>
  <c r="AA194" i="25"/>
  <c r="W195" i="25"/>
  <c r="S197" i="25"/>
  <c r="T196" i="25"/>
  <c r="V196" i="25"/>
  <c r="U196" i="25"/>
  <c r="N243" i="36"/>
  <c r="M194" i="25" s="1"/>
  <c r="J245" i="36"/>
  <c r="I196" i="25" s="1"/>
  <c r="K244" i="36"/>
  <c r="J195" i="25" s="1"/>
  <c r="L244" i="36"/>
  <c r="K195" i="25" s="1"/>
  <c r="M244" i="36"/>
  <c r="L195" i="25" s="1"/>
  <c r="W196" i="25" l="1"/>
  <c r="BF196" i="25"/>
  <c r="BB198" i="25"/>
  <c r="BC197" i="25"/>
  <c r="BE197" i="25"/>
  <c r="BD197" i="25"/>
  <c r="BA194" i="25"/>
  <c r="AW196" i="25"/>
  <c r="AX195" i="25"/>
  <c r="AY195" i="25"/>
  <c r="AZ195" i="25"/>
  <c r="AV194" i="25"/>
  <c r="AU195" i="25"/>
  <c r="AR196" i="25"/>
  <c r="AS195" i="25"/>
  <c r="AT195" i="25"/>
  <c r="AQ194" i="25"/>
  <c r="AP195" i="25"/>
  <c r="AM196" i="25"/>
  <c r="AN195" i="25"/>
  <c r="AO195" i="25"/>
  <c r="AL194" i="25"/>
  <c r="AK195" i="25"/>
  <c r="AH196" i="25"/>
  <c r="AI195" i="25"/>
  <c r="AJ195" i="25"/>
  <c r="AG194" i="25"/>
  <c r="AC196" i="25"/>
  <c r="AD195" i="25"/>
  <c r="AF195" i="25"/>
  <c r="AE195" i="25"/>
  <c r="AB194" i="25"/>
  <c r="AA195" i="25"/>
  <c r="Y195" i="25"/>
  <c r="X196" i="25"/>
  <c r="Z195" i="25"/>
  <c r="V197" i="25"/>
  <c r="S198" i="25"/>
  <c r="T197" i="25"/>
  <c r="U197" i="25"/>
  <c r="N244" i="36"/>
  <c r="M195" i="25" s="1"/>
  <c r="L245" i="36"/>
  <c r="K196" i="25" s="1"/>
  <c r="J246" i="36"/>
  <c r="I197" i="25" s="1"/>
  <c r="K245" i="36"/>
  <c r="J196" i="25" s="1"/>
  <c r="M245" i="36"/>
  <c r="L196" i="25" s="1"/>
  <c r="BF197" i="25" l="1"/>
  <c r="BE198" i="25"/>
  <c r="BC198" i="25"/>
  <c r="BD198" i="25"/>
  <c r="BB199" i="25"/>
  <c r="BA195" i="25"/>
  <c r="AW197" i="25"/>
  <c r="AX196" i="25"/>
  <c r="AY196" i="25"/>
  <c r="AZ196" i="25"/>
  <c r="AT196" i="25"/>
  <c r="AR197" i="25"/>
  <c r="AS196" i="25"/>
  <c r="AU196" i="25"/>
  <c r="AV195" i="25"/>
  <c r="AO196" i="25"/>
  <c r="AP196" i="25"/>
  <c r="AN196" i="25"/>
  <c r="AM197" i="25"/>
  <c r="AQ195" i="25"/>
  <c r="AJ196" i="25"/>
  <c r="AK196" i="25"/>
  <c r="AI196" i="25"/>
  <c r="AH197" i="25"/>
  <c r="AL195" i="25"/>
  <c r="AE196" i="25"/>
  <c r="AF196" i="25"/>
  <c r="AD196" i="25"/>
  <c r="AC197" i="25"/>
  <c r="AG195" i="25"/>
  <c r="Z196" i="25"/>
  <c r="AA196" i="25"/>
  <c r="Y196" i="25"/>
  <c r="X197" i="25"/>
  <c r="AB195" i="25"/>
  <c r="V198" i="25"/>
  <c r="T198" i="25"/>
  <c r="S199" i="25"/>
  <c r="U198" i="25"/>
  <c r="W197" i="25"/>
  <c r="N245" i="36"/>
  <c r="M196" i="25" s="1"/>
  <c r="M246" i="36"/>
  <c r="L197" i="25" s="1"/>
  <c r="K246" i="36"/>
  <c r="J197" i="25" s="1"/>
  <c r="L246" i="36"/>
  <c r="K197" i="25" s="1"/>
  <c r="J247" i="36"/>
  <c r="I198" i="25" s="1"/>
  <c r="AV196" i="25" l="1"/>
  <c r="BE199" i="25"/>
  <c r="BC199" i="25"/>
  <c r="BD199" i="25"/>
  <c r="BB200" i="25"/>
  <c r="BF198" i="25"/>
  <c r="BA196" i="25"/>
  <c r="AZ197" i="25"/>
  <c r="AW198" i="25"/>
  <c r="AX197" i="25"/>
  <c r="AY197" i="25"/>
  <c r="AR198" i="25"/>
  <c r="AS197" i="25"/>
  <c r="AU197" i="25"/>
  <c r="AT197" i="25"/>
  <c r="AQ196" i="25"/>
  <c r="AM198" i="25"/>
  <c r="AN197" i="25"/>
  <c r="AO197" i="25"/>
  <c r="AP197" i="25"/>
  <c r="AL196" i="25"/>
  <c r="AH198" i="25"/>
  <c r="AI197" i="25"/>
  <c r="AK197" i="25"/>
  <c r="AJ197" i="25"/>
  <c r="AG196" i="25"/>
  <c r="AF197" i="25"/>
  <c r="AC198" i="25"/>
  <c r="AD197" i="25"/>
  <c r="AE197" i="25"/>
  <c r="AB196" i="25"/>
  <c r="X198" i="25"/>
  <c r="Y197" i="25"/>
  <c r="Z197" i="25"/>
  <c r="AA197" i="25"/>
  <c r="U199" i="25"/>
  <c r="S200" i="25"/>
  <c r="T199" i="25"/>
  <c r="V199" i="25"/>
  <c r="W198" i="25"/>
  <c r="N246" i="36"/>
  <c r="M197" i="25" s="1"/>
  <c r="L247" i="36"/>
  <c r="K198" i="25" s="1"/>
  <c r="M247" i="36"/>
  <c r="L198" i="25" s="1"/>
  <c r="J248" i="36"/>
  <c r="I199" i="25" s="1"/>
  <c r="K247" i="36"/>
  <c r="J198" i="25" s="1"/>
  <c r="BD200" i="25" l="1"/>
  <c r="BC200" i="25"/>
  <c r="BE200" i="25"/>
  <c r="BB201" i="25"/>
  <c r="BF199" i="25"/>
  <c r="AY198" i="25"/>
  <c r="AZ198" i="25"/>
  <c r="AW199" i="25"/>
  <c r="AX198" i="25"/>
  <c r="BA197" i="25"/>
  <c r="AV197" i="25"/>
  <c r="AT198" i="25"/>
  <c r="AU198" i="25"/>
  <c r="AR199" i="25"/>
  <c r="AS198" i="25"/>
  <c r="AM199" i="25"/>
  <c r="AN198" i="25"/>
  <c r="AO198" i="25"/>
  <c r="AP198" i="25"/>
  <c r="AQ197" i="25"/>
  <c r="AH199" i="25"/>
  <c r="AI198" i="25"/>
  <c r="AJ198" i="25"/>
  <c r="AK198" i="25"/>
  <c r="AL197" i="25"/>
  <c r="AE198" i="25"/>
  <c r="AC199" i="25"/>
  <c r="AD198" i="25"/>
  <c r="AF198" i="25"/>
  <c r="AG197" i="25"/>
  <c r="AB197" i="25"/>
  <c r="X199" i="25"/>
  <c r="Y198" i="25"/>
  <c r="Z198" i="25"/>
  <c r="AA198" i="25"/>
  <c r="W199" i="25"/>
  <c r="S201" i="25"/>
  <c r="T200" i="25"/>
  <c r="U200" i="25"/>
  <c r="V200" i="25"/>
  <c r="N247" i="36"/>
  <c r="M198" i="25" s="1"/>
  <c r="J249" i="36"/>
  <c r="I200" i="25" s="1"/>
  <c r="K248" i="36"/>
  <c r="J199" i="25" s="1"/>
  <c r="L248" i="36"/>
  <c r="K199" i="25" s="1"/>
  <c r="M248" i="36"/>
  <c r="L199" i="25" s="1"/>
  <c r="BF200" i="25" l="1"/>
  <c r="BB202" i="25"/>
  <c r="BC201" i="25"/>
  <c r="BD201" i="25"/>
  <c r="BE201" i="25"/>
  <c r="BA198" i="25"/>
  <c r="AW200" i="25"/>
  <c r="AX199" i="25"/>
  <c r="AY199" i="25"/>
  <c r="AZ199" i="25"/>
  <c r="AV198" i="25"/>
  <c r="AU199" i="25"/>
  <c r="AR200" i="25"/>
  <c r="AS199" i="25"/>
  <c r="AT199" i="25"/>
  <c r="AQ198" i="25"/>
  <c r="AP199" i="25"/>
  <c r="AM200" i="25"/>
  <c r="AN199" i="25"/>
  <c r="AO199" i="25"/>
  <c r="AL198" i="25"/>
  <c r="AK199" i="25"/>
  <c r="AI199" i="25"/>
  <c r="AH200" i="25"/>
  <c r="AJ199" i="25"/>
  <c r="AG198" i="25"/>
  <c r="AC200" i="25"/>
  <c r="AD199" i="25"/>
  <c r="AF199" i="25"/>
  <c r="AE199" i="25"/>
  <c r="AB198" i="25"/>
  <c r="AA199" i="25"/>
  <c r="X200" i="25"/>
  <c r="Y199" i="25"/>
  <c r="Z199" i="25"/>
  <c r="W200" i="25"/>
  <c r="S202" i="25"/>
  <c r="T201" i="25"/>
  <c r="U201" i="25"/>
  <c r="V201" i="25"/>
  <c r="N248" i="36"/>
  <c r="M199" i="25" s="1"/>
  <c r="J250" i="36"/>
  <c r="I201" i="25" s="1"/>
  <c r="K249" i="36"/>
  <c r="J200" i="25" s="1"/>
  <c r="M249" i="36"/>
  <c r="L200" i="25" s="1"/>
  <c r="L249" i="36"/>
  <c r="K200" i="25" s="1"/>
  <c r="BB203" i="25" l="1"/>
  <c r="BD202" i="25"/>
  <c r="BE202" i="25"/>
  <c r="BC202" i="25"/>
  <c r="BF201" i="25"/>
  <c r="BA199" i="25"/>
  <c r="AW201" i="25"/>
  <c r="AX200" i="25"/>
  <c r="AY200" i="25"/>
  <c r="AZ200" i="25"/>
  <c r="AT200" i="25"/>
  <c r="AR201" i="25"/>
  <c r="AS200" i="25"/>
  <c r="AU200" i="25"/>
  <c r="AV199" i="25"/>
  <c r="AO200" i="25"/>
  <c r="AP200" i="25"/>
  <c r="AN200" i="25"/>
  <c r="AM201" i="25"/>
  <c r="AQ199" i="25"/>
  <c r="AL199" i="25"/>
  <c r="AJ200" i="25"/>
  <c r="AK200" i="25"/>
  <c r="AH201" i="25"/>
  <c r="AI200" i="25"/>
  <c r="AE200" i="25"/>
  <c r="AF200" i="25"/>
  <c r="AC201" i="25"/>
  <c r="AD200" i="25"/>
  <c r="AG199" i="25"/>
  <c r="Z200" i="25"/>
  <c r="AA200" i="25"/>
  <c r="Y200" i="25"/>
  <c r="X201" i="25"/>
  <c r="AB199" i="25"/>
  <c r="W201" i="25"/>
  <c r="V202" i="25"/>
  <c r="S203" i="25"/>
  <c r="T202" i="25"/>
  <c r="U202" i="25"/>
  <c r="M250" i="36"/>
  <c r="L201" i="25" s="1"/>
  <c r="J251" i="36"/>
  <c r="I202" i="25" s="1"/>
  <c r="K250" i="36"/>
  <c r="J201" i="25" s="1"/>
  <c r="L250" i="36"/>
  <c r="K201" i="25" s="1"/>
  <c r="N249" i="36"/>
  <c r="M200" i="25" s="1"/>
  <c r="BE203" i="25" l="1"/>
  <c r="BB204" i="25"/>
  <c r="BD203" i="25"/>
  <c r="BC203" i="25"/>
  <c r="BF202" i="25"/>
  <c r="BA200" i="25"/>
  <c r="AZ201" i="25"/>
  <c r="AW202" i="25"/>
  <c r="AX201" i="25"/>
  <c r="AY201" i="25"/>
  <c r="AV200" i="25"/>
  <c r="AR202" i="25"/>
  <c r="AS201" i="25"/>
  <c r="AU201" i="25"/>
  <c r="AT201" i="25"/>
  <c r="AQ200" i="25"/>
  <c r="AM202" i="25"/>
  <c r="AN201" i="25"/>
  <c r="AO201" i="25"/>
  <c r="AP201" i="25"/>
  <c r="AL200" i="25"/>
  <c r="AH202" i="25"/>
  <c r="AI201" i="25"/>
  <c r="AJ201" i="25"/>
  <c r="AK201" i="25"/>
  <c r="AG200" i="25"/>
  <c r="AF201" i="25"/>
  <c r="AC202" i="25"/>
  <c r="AD201" i="25"/>
  <c r="AE201" i="25"/>
  <c r="AB200" i="25"/>
  <c r="X202" i="25"/>
  <c r="Y201" i="25"/>
  <c r="Z201" i="25"/>
  <c r="AA201" i="25"/>
  <c r="U203" i="25"/>
  <c r="S204" i="25"/>
  <c r="V203" i="25"/>
  <c r="T203" i="25"/>
  <c r="W202" i="25"/>
  <c r="L251" i="36"/>
  <c r="K202" i="25" s="1"/>
  <c r="M251" i="36"/>
  <c r="L202" i="25" s="1"/>
  <c r="J252" i="36"/>
  <c r="I203" i="25" s="1"/>
  <c r="K251" i="36"/>
  <c r="J202" i="25" s="1"/>
  <c r="N250" i="36"/>
  <c r="M201" i="25" s="1"/>
  <c r="BD204" i="25" l="1"/>
  <c r="BB205" i="25"/>
  <c r="BE204" i="25"/>
  <c r="BC204" i="25"/>
  <c r="BF203" i="25"/>
  <c r="AY202" i="25"/>
  <c r="AZ202" i="25"/>
  <c r="AW203" i="25"/>
  <c r="AX202" i="25"/>
  <c r="BA201" i="25"/>
  <c r="AT202" i="25"/>
  <c r="AU202" i="25"/>
  <c r="AS202" i="25"/>
  <c r="AR203" i="25"/>
  <c r="AV201" i="25"/>
  <c r="AQ201" i="25"/>
  <c r="AM203" i="25"/>
  <c r="AN202" i="25"/>
  <c r="AO202" i="25"/>
  <c r="AP202" i="25"/>
  <c r="AL201" i="25"/>
  <c r="AJ202" i="25"/>
  <c r="AH203" i="25"/>
  <c r="AI202" i="25"/>
  <c r="AK202" i="25"/>
  <c r="AG201" i="25"/>
  <c r="AE202" i="25"/>
  <c r="AC203" i="25"/>
  <c r="AD202" i="25"/>
  <c r="AF202" i="25"/>
  <c r="AB201" i="25"/>
  <c r="X203" i="25"/>
  <c r="Y202" i="25"/>
  <c r="AA202" i="25"/>
  <c r="Z202" i="25"/>
  <c r="W203" i="25"/>
  <c r="S205" i="25"/>
  <c r="T204" i="25"/>
  <c r="U204" i="25"/>
  <c r="V204" i="25"/>
  <c r="N251" i="36"/>
  <c r="M202" i="25" s="1"/>
  <c r="J253" i="36"/>
  <c r="I204" i="25" s="1"/>
  <c r="K252" i="36"/>
  <c r="J203" i="25" s="1"/>
  <c r="L252" i="36"/>
  <c r="K203" i="25" s="1"/>
  <c r="M252" i="36"/>
  <c r="L203" i="25" s="1"/>
  <c r="BB206" i="25" l="1"/>
  <c r="BC205" i="25"/>
  <c r="BE205" i="25"/>
  <c r="BD205" i="25"/>
  <c r="BF204" i="25"/>
  <c r="BA202" i="25"/>
  <c r="AW204" i="25"/>
  <c r="AX203" i="25"/>
  <c r="AY203" i="25"/>
  <c r="AZ203" i="25"/>
  <c r="AV202" i="25"/>
  <c r="AU203" i="25"/>
  <c r="AR204" i="25"/>
  <c r="AS203" i="25"/>
  <c r="AT203" i="25"/>
  <c r="AQ202" i="25"/>
  <c r="AP203" i="25"/>
  <c r="AM204" i="25"/>
  <c r="AN203" i="25"/>
  <c r="AO203" i="25"/>
  <c r="AL202" i="25"/>
  <c r="AK203" i="25"/>
  <c r="AH204" i="25"/>
  <c r="AI203" i="25"/>
  <c r="AJ203" i="25"/>
  <c r="AG202" i="25"/>
  <c r="AC204" i="25"/>
  <c r="AD203" i="25"/>
  <c r="AF203" i="25"/>
  <c r="AE203" i="25"/>
  <c r="AA203" i="25"/>
  <c r="Y203" i="25"/>
  <c r="X204" i="25"/>
  <c r="Z203" i="25"/>
  <c r="AB202" i="25"/>
  <c r="W204" i="25"/>
  <c r="T205" i="25"/>
  <c r="V205" i="25"/>
  <c r="U205" i="25"/>
  <c r="S206" i="25"/>
  <c r="L253" i="36"/>
  <c r="K204" i="25" s="1"/>
  <c r="J254" i="36"/>
  <c r="I205" i="25" s="1"/>
  <c r="K253" i="36"/>
  <c r="J204" i="25" s="1"/>
  <c r="M253" i="36"/>
  <c r="L204" i="25" s="1"/>
  <c r="N252" i="36"/>
  <c r="M203" i="25" s="1"/>
  <c r="BC206" i="25" l="1"/>
  <c r="BE206" i="25"/>
  <c r="BB207" i="25"/>
  <c r="BD206" i="25"/>
  <c r="BF205" i="25"/>
  <c r="BA203" i="25"/>
  <c r="AW205" i="25"/>
  <c r="AX204" i="25"/>
  <c r="AY204" i="25"/>
  <c r="AZ204" i="25"/>
  <c r="AT204" i="25"/>
  <c r="AR205" i="25"/>
  <c r="AS204" i="25"/>
  <c r="AU204" i="25"/>
  <c r="AV203" i="25"/>
  <c r="AO204" i="25"/>
  <c r="AP204" i="25"/>
  <c r="AN204" i="25"/>
  <c r="AM205" i="25"/>
  <c r="AQ203" i="25"/>
  <c r="AJ204" i="25"/>
  <c r="AK204" i="25"/>
  <c r="AH205" i="25"/>
  <c r="AI204" i="25"/>
  <c r="AL203" i="25"/>
  <c r="AE204" i="25"/>
  <c r="AF204" i="25"/>
  <c r="AD204" i="25"/>
  <c r="AC205" i="25"/>
  <c r="AG203" i="25"/>
  <c r="Z204" i="25"/>
  <c r="AA204" i="25"/>
  <c r="X205" i="25"/>
  <c r="Y204" i="25"/>
  <c r="AB203" i="25"/>
  <c r="W205" i="25"/>
  <c r="V206" i="25"/>
  <c r="T206" i="25"/>
  <c r="U206" i="25"/>
  <c r="S207" i="25"/>
  <c r="N253" i="36"/>
  <c r="M204" i="25" s="1"/>
  <c r="M254" i="36"/>
  <c r="L205" i="25" s="1"/>
  <c r="J255" i="36"/>
  <c r="I206" i="25" s="1"/>
  <c r="L254" i="36"/>
  <c r="K205" i="25" s="1"/>
  <c r="K254" i="36"/>
  <c r="J205" i="25" s="1"/>
  <c r="AV204" i="25" l="1"/>
  <c r="BE207" i="25"/>
  <c r="BC207" i="25"/>
  <c r="BB208" i="25"/>
  <c r="BD207" i="25"/>
  <c r="BA204" i="25"/>
  <c r="AZ205" i="25"/>
  <c r="AW206" i="25"/>
  <c r="AX205" i="25"/>
  <c r="AY205" i="25"/>
  <c r="AR206" i="25"/>
  <c r="AS205" i="25"/>
  <c r="AU205" i="25"/>
  <c r="AT205" i="25"/>
  <c r="AQ204" i="25"/>
  <c r="AM206" i="25"/>
  <c r="AN205" i="25"/>
  <c r="AO205" i="25"/>
  <c r="AP205" i="25"/>
  <c r="AL204" i="25"/>
  <c r="AH206" i="25"/>
  <c r="AI205" i="25"/>
  <c r="AK205" i="25"/>
  <c r="AJ205" i="25"/>
  <c r="AG204" i="25"/>
  <c r="AF205" i="25"/>
  <c r="AC206" i="25"/>
  <c r="AD205" i="25"/>
  <c r="AE205" i="25"/>
  <c r="AB204" i="25"/>
  <c r="X206" i="25"/>
  <c r="Y205" i="25"/>
  <c r="Z205" i="25"/>
  <c r="AA205" i="25"/>
  <c r="U207" i="25"/>
  <c r="T207" i="25"/>
  <c r="V207" i="25"/>
  <c r="S208" i="25"/>
  <c r="N254" i="36"/>
  <c r="M205" i="25" s="1"/>
  <c r="L255" i="36"/>
  <c r="K206" i="25" s="1"/>
  <c r="M255" i="36"/>
  <c r="L206" i="25" s="1"/>
  <c r="J256" i="36"/>
  <c r="I207" i="25" s="1"/>
  <c r="K255" i="36"/>
  <c r="J206" i="25" s="1"/>
  <c r="W206" i="25" l="1"/>
  <c r="BF206" i="25"/>
  <c r="BD208" i="25"/>
  <c r="BC208" i="25"/>
  <c r="BB209" i="25"/>
  <c r="BE208" i="25"/>
  <c r="BF207" i="25"/>
  <c r="AY206" i="25"/>
  <c r="AZ206" i="25"/>
  <c r="AX206" i="25"/>
  <c r="AW207" i="25"/>
  <c r="BA205" i="25"/>
  <c r="AT206" i="25"/>
  <c r="AU206" i="25"/>
  <c r="AS206" i="25"/>
  <c r="AR207" i="25"/>
  <c r="AV205" i="25"/>
  <c r="AM207" i="25"/>
  <c r="AN206" i="25"/>
  <c r="AO206" i="25"/>
  <c r="AP206" i="25"/>
  <c r="AQ205" i="25"/>
  <c r="AH207" i="25"/>
  <c r="AI206" i="25"/>
  <c r="AJ206" i="25"/>
  <c r="AK206" i="25"/>
  <c r="AL205" i="25"/>
  <c r="AE206" i="25"/>
  <c r="AC207" i="25"/>
  <c r="AD206" i="25"/>
  <c r="AF206" i="25"/>
  <c r="AG205" i="25"/>
  <c r="AB205" i="25"/>
  <c r="X207" i="25"/>
  <c r="Y206" i="25"/>
  <c r="Z206" i="25"/>
  <c r="AA206" i="25"/>
  <c r="W207" i="25"/>
  <c r="S209" i="25"/>
  <c r="T208" i="25"/>
  <c r="U208" i="25"/>
  <c r="V208" i="25"/>
  <c r="N255" i="36"/>
  <c r="M206" i="25" s="1"/>
  <c r="J257" i="36"/>
  <c r="I208" i="25" s="1"/>
  <c r="K256" i="36"/>
  <c r="J207" i="25" s="1"/>
  <c r="L256" i="36"/>
  <c r="K207" i="25" s="1"/>
  <c r="M256" i="36"/>
  <c r="L207" i="25" s="1"/>
  <c r="O53" i="36" l="1"/>
  <c r="BF208" i="25"/>
  <c r="BB210" i="25"/>
  <c r="BC209" i="25"/>
  <c r="BD209" i="25"/>
  <c r="BE209" i="25"/>
  <c r="AW208" i="25"/>
  <c r="AX207" i="25"/>
  <c r="AY207" i="25"/>
  <c r="AZ207" i="25"/>
  <c r="AU207" i="25"/>
  <c r="AR208" i="25"/>
  <c r="AS207" i="25"/>
  <c r="AT207" i="25"/>
  <c r="AP207" i="25"/>
  <c r="AM208" i="25"/>
  <c r="AN207" i="25"/>
  <c r="AO207" i="25"/>
  <c r="AK207" i="25"/>
  <c r="AH208" i="25"/>
  <c r="AI207" i="25"/>
  <c r="AJ207" i="25"/>
  <c r="AC208" i="25"/>
  <c r="AD207" i="25"/>
  <c r="AF207" i="25"/>
  <c r="AE207" i="25"/>
  <c r="AA207" i="25"/>
  <c r="Y207" i="25"/>
  <c r="X208" i="25"/>
  <c r="Z207" i="25"/>
  <c r="W208" i="25"/>
  <c r="U209" i="25"/>
  <c r="S210" i="25"/>
  <c r="V209" i="25"/>
  <c r="T209" i="25"/>
  <c r="N256" i="36"/>
  <c r="M207" i="25" s="1"/>
  <c r="J258" i="36"/>
  <c r="I209" i="25" s="1"/>
  <c r="K257" i="36"/>
  <c r="J208" i="25" s="1"/>
  <c r="L257" i="36"/>
  <c r="K208" i="25" s="1"/>
  <c r="M257" i="36"/>
  <c r="L208" i="25" s="1"/>
  <c r="AB206" i="25" l="1"/>
  <c r="AQ206" i="25"/>
  <c r="BA206" i="25"/>
  <c r="AL206" i="25"/>
  <c r="AV206" i="25"/>
  <c r="AG206" i="25"/>
  <c r="BF209" i="25"/>
  <c r="BD210" i="25"/>
  <c r="BB211" i="25"/>
  <c r="BC210" i="25"/>
  <c r="BE210" i="25"/>
  <c r="BA207" i="25"/>
  <c r="AW209" i="25"/>
  <c r="AX208" i="25"/>
  <c r="AY208" i="25"/>
  <c r="AZ208" i="25"/>
  <c r="AT208" i="25"/>
  <c r="AR209" i="25"/>
  <c r="AS208" i="25"/>
  <c r="AU208" i="25"/>
  <c r="AV207" i="25"/>
  <c r="AO208" i="25"/>
  <c r="AP208" i="25"/>
  <c r="AM209" i="25"/>
  <c r="AN208" i="25"/>
  <c r="AQ207" i="25"/>
  <c r="AJ208" i="25"/>
  <c r="AK208" i="25"/>
  <c r="AI208" i="25"/>
  <c r="AH209" i="25"/>
  <c r="AL207" i="25"/>
  <c r="AG207" i="25"/>
  <c r="AE208" i="25"/>
  <c r="AF208" i="25"/>
  <c r="AC209" i="25"/>
  <c r="AD208" i="25"/>
  <c r="Z208" i="25"/>
  <c r="AA208" i="25"/>
  <c r="X209" i="25"/>
  <c r="Y208" i="25"/>
  <c r="AB207" i="25"/>
  <c r="W209" i="25"/>
  <c r="U210" i="25"/>
  <c r="V210" i="25"/>
  <c r="S211" i="25"/>
  <c r="T210" i="25"/>
  <c r="M258" i="36"/>
  <c r="L209" i="25" s="1"/>
  <c r="K258" i="36"/>
  <c r="J209" i="25" s="1"/>
  <c r="J259" i="36"/>
  <c r="I210" i="25" s="1"/>
  <c r="L258" i="36"/>
  <c r="K209" i="25" s="1"/>
  <c r="N257" i="36"/>
  <c r="M208" i="25" s="1"/>
  <c r="AV208" i="25" l="1"/>
  <c r="BF210" i="25"/>
  <c r="BE211" i="25"/>
  <c r="BD211" i="25"/>
  <c r="BB212" i="25"/>
  <c r="BC211" i="25"/>
  <c r="BA208" i="25"/>
  <c r="AZ209" i="25"/>
  <c r="AW210" i="25"/>
  <c r="AX209" i="25"/>
  <c r="AY209" i="25"/>
  <c r="AR210" i="25"/>
  <c r="AS209" i="25"/>
  <c r="AU209" i="25"/>
  <c r="AT209" i="25"/>
  <c r="AQ208" i="25"/>
  <c r="AM210" i="25"/>
  <c r="AN209" i="25"/>
  <c r="AO209" i="25"/>
  <c r="AP209" i="25"/>
  <c r="AL208" i="25"/>
  <c r="AH210" i="25"/>
  <c r="AI209" i="25"/>
  <c r="AK209" i="25"/>
  <c r="AJ209" i="25"/>
  <c r="AG208" i="25"/>
  <c r="AF209" i="25"/>
  <c r="AC210" i="25"/>
  <c r="AD209" i="25"/>
  <c r="AE209" i="25"/>
  <c r="AB208" i="25"/>
  <c r="X210" i="25"/>
  <c r="Y209" i="25"/>
  <c r="Z209" i="25"/>
  <c r="AA209" i="25"/>
  <c r="W210" i="25"/>
  <c r="S212" i="25"/>
  <c r="T211" i="25"/>
  <c r="U211" i="25"/>
  <c r="V211" i="25"/>
  <c r="L259" i="36"/>
  <c r="K210" i="25" s="1"/>
  <c r="M259" i="36"/>
  <c r="L210" i="25" s="1"/>
  <c r="J260" i="36"/>
  <c r="I211" i="25" s="1"/>
  <c r="K259" i="36"/>
  <c r="J210" i="25" s="1"/>
  <c r="N258" i="36"/>
  <c r="M209" i="25" s="1"/>
  <c r="BD212" i="25" l="1"/>
  <c r="BE212" i="25"/>
  <c r="BB213" i="25"/>
  <c r="BC212" i="25"/>
  <c r="BF211" i="25"/>
  <c r="AY210" i="25"/>
  <c r="AZ210" i="25"/>
  <c r="AX210" i="25"/>
  <c r="AW211" i="25"/>
  <c r="BA209" i="25"/>
  <c r="AT210" i="25"/>
  <c r="AU210" i="25"/>
  <c r="AR211" i="25"/>
  <c r="AS210" i="25"/>
  <c r="AV209" i="25"/>
  <c r="AQ209" i="25"/>
  <c r="AM211" i="25"/>
  <c r="AN210" i="25"/>
  <c r="AO210" i="25"/>
  <c r="AP210" i="25"/>
  <c r="AH211" i="25"/>
  <c r="AI210" i="25"/>
  <c r="AJ210" i="25"/>
  <c r="AK210" i="25"/>
  <c r="AL209" i="25"/>
  <c r="AE210" i="25"/>
  <c r="AC211" i="25"/>
  <c r="AD210" i="25"/>
  <c r="AF210" i="25"/>
  <c r="AG209" i="25"/>
  <c r="AB209" i="25"/>
  <c r="Z210" i="25"/>
  <c r="X211" i="25"/>
  <c r="Y210" i="25"/>
  <c r="AA210" i="25"/>
  <c r="W211" i="25"/>
  <c r="S213" i="25"/>
  <c r="T212" i="25"/>
  <c r="U212" i="25"/>
  <c r="V212" i="25"/>
  <c r="N259" i="36"/>
  <c r="M210" i="25" s="1"/>
  <c r="J261" i="36"/>
  <c r="I212" i="25" s="1"/>
  <c r="K260" i="36"/>
  <c r="J211" i="25" s="1"/>
  <c r="L260" i="36"/>
  <c r="K211" i="25" s="1"/>
  <c r="M260" i="36"/>
  <c r="L211" i="25" s="1"/>
  <c r="AG210" i="25" l="1"/>
  <c r="BF212" i="25"/>
  <c r="BB214" i="25"/>
  <c r="BC213" i="25"/>
  <c r="BE213" i="25"/>
  <c r="BD213" i="25"/>
  <c r="BA210" i="25"/>
  <c r="AW212" i="25"/>
  <c r="AX211" i="25"/>
  <c r="AY211" i="25"/>
  <c r="AZ211" i="25"/>
  <c r="AV210" i="25"/>
  <c r="AU211" i="25"/>
  <c r="AR212" i="25"/>
  <c r="AS211" i="25"/>
  <c r="AT211" i="25"/>
  <c r="AQ210" i="25"/>
  <c r="AP211" i="25"/>
  <c r="AM212" i="25"/>
  <c r="AN211" i="25"/>
  <c r="AO211" i="25"/>
  <c r="AK211" i="25"/>
  <c r="AI211" i="25"/>
  <c r="AH212" i="25"/>
  <c r="AJ211" i="25"/>
  <c r="AL210" i="25"/>
  <c r="AC212" i="25"/>
  <c r="AD211" i="25"/>
  <c r="AF211" i="25"/>
  <c r="AE211" i="25"/>
  <c r="AB210" i="25"/>
  <c r="AA211" i="25"/>
  <c r="X212" i="25"/>
  <c r="Y211" i="25"/>
  <c r="Z211" i="25"/>
  <c r="W212" i="25"/>
  <c r="V213" i="25"/>
  <c r="S214" i="25"/>
  <c r="T213" i="25"/>
  <c r="U213" i="25"/>
  <c r="J262" i="36"/>
  <c r="I213" i="25" s="1"/>
  <c r="K261" i="36"/>
  <c r="J212" i="25" s="1"/>
  <c r="L261" i="36"/>
  <c r="K212" i="25" s="1"/>
  <c r="M261" i="36"/>
  <c r="L212" i="25" s="1"/>
  <c r="N260" i="36"/>
  <c r="M211" i="25" s="1"/>
  <c r="BE214" i="25" l="1"/>
  <c r="BC214" i="25"/>
  <c r="BD214" i="25"/>
  <c r="BB215" i="25"/>
  <c r="BF213" i="25"/>
  <c r="BA211" i="25"/>
  <c r="AW213" i="25"/>
  <c r="AX212" i="25"/>
  <c r="AY212" i="25"/>
  <c r="AZ212" i="25"/>
  <c r="AT212" i="25"/>
  <c r="AR213" i="25"/>
  <c r="AS212" i="25"/>
  <c r="AU212" i="25"/>
  <c r="AV211" i="25"/>
  <c r="AO212" i="25"/>
  <c r="AP212" i="25"/>
  <c r="AN212" i="25"/>
  <c r="AM213" i="25"/>
  <c r="AQ211" i="25"/>
  <c r="AJ212" i="25"/>
  <c r="AK212" i="25"/>
  <c r="AI212" i="25"/>
  <c r="AH213" i="25"/>
  <c r="AL211" i="25"/>
  <c r="AE212" i="25"/>
  <c r="AF212" i="25"/>
  <c r="AD212" i="25"/>
  <c r="AC213" i="25"/>
  <c r="AG211" i="25"/>
  <c r="Z212" i="25"/>
  <c r="AA212" i="25"/>
  <c r="Y212" i="25"/>
  <c r="X213" i="25"/>
  <c r="AB211" i="25"/>
  <c r="U214" i="25"/>
  <c r="V214" i="25"/>
  <c r="T214" i="25"/>
  <c r="S215" i="25"/>
  <c r="W213" i="25"/>
  <c r="N261" i="36"/>
  <c r="M212" i="25" s="1"/>
  <c r="M262" i="36"/>
  <c r="L213" i="25" s="1"/>
  <c r="K262" i="36"/>
  <c r="J213" i="25" s="1"/>
  <c r="L262" i="36"/>
  <c r="K213" i="25" s="1"/>
  <c r="J263" i="36"/>
  <c r="I214" i="25" s="1"/>
  <c r="BF214" i="25" l="1"/>
  <c r="BE215" i="25"/>
  <c r="BC215" i="25"/>
  <c r="BD215" i="25"/>
  <c r="BB216" i="25"/>
  <c r="BA212" i="25"/>
  <c r="AZ213" i="25"/>
  <c r="AW214" i="25"/>
  <c r="AX213" i="25"/>
  <c r="AY213" i="25"/>
  <c r="AV212" i="25"/>
  <c r="AR214" i="25"/>
  <c r="AS213" i="25"/>
  <c r="AU213" i="25"/>
  <c r="AT213" i="25"/>
  <c r="AQ212" i="25"/>
  <c r="AM214" i="25"/>
  <c r="AN213" i="25"/>
  <c r="AO213" i="25"/>
  <c r="AP213" i="25"/>
  <c r="AL212" i="25"/>
  <c r="AH214" i="25"/>
  <c r="AI213" i="25"/>
  <c r="AJ213" i="25"/>
  <c r="AK213" i="25"/>
  <c r="AG212" i="25"/>
  <c r="AF213" i="25"/>
  <c r="AC214" i="25"/>
  <c r="AD213" i="25"/>
  <c r="AE213" i="25"/>
  <c r="AB212" i="25"/>
  <c r="X214" i="25"/>
  <c r="Y213" i="25"/>
  <c r="AA213" i="25"/>
  <c r="Z213" i="25"/>
  <c r="W214" i="25"/>
  <c r="S216" i="25"/>
  <c r="T215" i="25"/>
  <c r="U215" i="25"/>
  <c r="V215" i="25"/>
  <c r="N262" i="36"/>
  <c r="M213" i="25" s="1"/>
  <c r="L263" i="36"/>
  <c r="K214" i="25" s="1"/>
  <c r="M263" i="36"/>
  <c r="L214" i="25" s="1"/>
  <c r="J264" i="36"/>
  <c r="I215" i="25" s="1"/>
  <c r="K263" i="36"/>
  <c r="J214" i="25" s="1"/>
  <c r="BF215" i="25" l="1"/>
  <c r="BD216" i="25"/>
  <c r="BC216" i="25"/>
  <c r="BE216" i="25"/>
  <c r="BB217" i="25"/>
  <c r="AY214" i="25"/>
  <c r="AZ214" i="25"/>
  <c r="AW215" i="25"/>
  <c r="AX214" i="25"/>
  <c r="BA213" i="25"/>
  <c r="AT214" i="25"/>
  <c r="AU214" i="25"/>
  <c r="AR215" i="25"/>
  <c r="AS214" i="25"/>
  <c r="AV213" i="25"/>
  <c r="AM215" i="25"/>
  <c r="AN214" i="25"/>
  <c r="AO214" i="25"/>
  <c r="AP214" i="25"/>
  <c r="AQ213" i="25"/>
  <c r="AL213" i="25"/>
  <c r="AJ214" i="25"/>
  <c r="AH215" i="25"/>
  <c r="AI214" i="25"/>
  <c r="AK214" i="25"/>
  <c r="AE214" i="25"/>
  <c r="AC215" i="25"/>
  <c r="AD214" i="25"/>
  <c r="AF214" i="25"/>
  <c r="AG213" i="25"/>
  <c r="X215" i="25"/>
  <c r="Y214" i="25"/>
  <c r="Z214" i="25"/>
  <c r="AA214" i="25"/>
  <c r="AB213" i="25"/>
  <c r="W215" i="25"/>
  <c r="S217" i="25"/>
  <c r="T216" i="25"/>
  <c r="U216" i="25"/>
  <c r="V216" i="25"/>
  <c r="N263" i="36"/>
  <c r="M214" i="25" s="1"/>
  <c r="J265" i="36"/>
  <c r="I216" i="25" s="1"/>
  <c r="K264" i="36"/>
  <c r="J215" i="25" s="1"/>
  <c r="M264" i="36"/>
  <c r="L215" i="25" s="1"/>
  <c r="L264" i="36"/>
  <c r="K215" i="25" s="1"/>
  <c r="BF216" i="25" l="1"/>
  <c r="BB218" i="25"/>
  <c r="BC217" i="25"/>
  <c r="BD217" i="25"/>
  <c r="BE217" i="25"/>
  <c r="BA214" i="25"/>
  <c r="AW216" i="25"/>
  <c r="AX215" i="25"/>
  <c r="AY215" i="25"/>
  <c r="AZ215" i="25"/>
  <c r="AV214" i="25"/>
  <c r="AU215" i="25"/>
  <c r="AR216" i="25"/>
  <c r="AS215" i="25"/>
  <c r="AT215" i="25"/>
  <c r="AQ214" i="25"/>
  <c r="AP215" i="25"/>
  <c r="AM216" i="25"/>
  <c r="AN215" i="25"/>
  <c r="AO215" i="25"/>
  <c r="AL214" i="25"/>
  <c r="AK215" i="25"/>
  <c r="AH216" i="25"/>
  <c r="AI215" i="25"/>
  <c r="AJ215" i="25"/>
  <c r="AG214" i="25"/>
  <c r="AC216" i="25"/>
  <c r="AD215" i="25"/>
  <c r="AF215" i="25"/>
  <c r="AE215" i="25"/>
  <c r="AB214" i="25"/>
  <c r="AA215" i="25"/>
  <c r="Y215" i="25"/>
  <c r="X216" i="25"/>
  <c r="Z215" i="25"/>
  <c r="W216" i="25"/>
  <c r="V217" i="25"/>
  <c r="T217" i="25"/>
  <c r="U217" i="25"/>
  <c r="S218" i="25"/>
  <c r="J266" i="36"/>
  <c r="I217" i="25" s="1"/>
  <c r="K265" i="36"/>
  <c r="J216" i="25" s="1"/>
  <c r="M265" i="36"/>
  <c r="L216" i="25" s="1"/>
  <c r="L265" i="36"/>
  <c r="K216" i="25" s="1"/>
  <c r="N264" i="36"/>
  <c r="M215" i="25" s="1"/>
  <c r="BF217" i="25" l="1"/>
  <c r="BB219" i="25"/>
  <c r="BD218" i="25"/>
  <c r="BE218" i="25"/>
  <c r="BC218" i="25"/>
  <c r="BA215" i="25"/>
  <c r="AW217" i="25"/>
  <c r="AX216" i="25"/>
  <c r="AY216" i="25"/>
  <c r="AZ216" i="25"/>
  <c r="AT216" i="25"/>
  <c r="AR217" i="25"/>
  <c r="AS216" i="25"/>
  <c r="AU216" i="25"/>
  <c r="AV215" i="25"/>
  <c r="AO216" i="25"/>
  <c r="AP216" i="25"/>
  <c r="AN216" i="25"/>
  <c r="AM217" i="25"/>
  <c r="AQ215" i="25"/>
  <c r="AJ216" i="25"/>
  <c r="AK216" i="25"/>
  <c r="AI216" i="25"/>
  <c r="AH217" i="25"/>
  <c r="AL215" i="25"/>
  <c r="AE216" i="25"/>
  <c r="AF216" i="25"/>
  <c r="AC217" i="25"/>
  <c r="AD216" i="25"/>
  <c r="AG215" i="25"/>
  <c r="Z216" i="25"/>
  <c r="AA216" i="25"/>
  <c r="Y216" i="25"/>
  <c r="X217" i="25"/>
  <c r="AB215" i="25"/>
  <c r="W217" i="25"/>
  <c r="U218" i="25"/>
  <c r="V218" i="25"/>
  <c r="S219" i="25"/>
  <c r="T218" i="25"/>
  <c r="M266" i="36"/>
  <c r="L217" i="25" s="1"/>
  <c r="J267" i="36"/>
  <c r="I218" i="25" s="1"/>
  <c r="K266" i="36"/>
  <c r="J217" i="25" s="1"/>
  <c r="L266" i="36"/>
  <c r="K217" i="25" s="1"/>
  <c r="N265" i="36"/>
  <c r="M216" i="25" s="1"/>
  <c r="AV216" i="25" l="1"/>
  <c r="BF218" i="25"/>
  <c r="BE219" i="25"/>
  <c r="BB220" i="25"/>
  <c r="BD219" i="25"/>
  <c r="BC219" i="25"/>
  <c r="BA216" i="25"/>
  <c r="AZ217" i="25"/>
  <c r="AW218" i="25"/>
  <c r="AX217" i="25"/>
  <c r="AY217" i="25"/>
  <c r="AR218" i="25"/>
  <c r="AS217" i="25"/>
  <c r="AU217" i="25"/>
  <c r="AT217" i="25"/>
  <c r="AQ216" i="25"/>
  <c r="AM218" i="25"/>
  <c r="AN217" i="25"/>
  <c r="AO217" i="25"/>
  <c r="AP217" i="25"/>
  <c r="AL216" i="25"/>
  <c r="AH218" i="25"/>
  <c r="AI217" i="25"/>
  <c r="AJ217" i="25"/>
  <c r="AK217" i="25"/>
  <c r="AG216" i="25"/>
  <c r="AF217" i="25"/>
  <c r="AC218" i="25"/>
  <c r="AD217" i="25"/>
  <c r="AE217" i="25"/>
  <c r="AB216" i="25"/>
  <c r="X218" i="25"/>
  <c r="Y217" i="25"/>
  <c r="Z217" i="25"/>
  <c r="AA217" i="25"/>
  <c r="W218" i="25"/>
  <c r="S220" i="25"/>
  <c r="T219" i="25"/>
  <c r="U219" i="25"/>
  <c r="V219" i="25"/>
  <c r="L267" i="36"/>
  <c r="K218" i="25" s="1"/>
  <c r="M267" i="36"/>
  <c r="L218" i="25" s="1"/>
  <c r="J268" i="36"/>
  <c r="I219" i="25" s="1"/>
  <c r="K267" i="36"/>
  <c r="J218" i="25" s="1"/>
  <c r="N266" i="36"/>
  <c r="M217" i="25" s="1"/>
  <c r="BF219" i="25" l="1"/>
  <c r="BD220" i="25"/>
  <c r="BB221" i="25"/>
  <c r="BE220" i="25"/>
  <c r="BC220" i="25"/>
  <c r="AY218" i="25"/>
  <c r="AZ218" i="25"/>
  <c r="AW219" i="25"/>
  <c r="AX218" i="25"/>
  <c r="BA217" i="25"/>
  <c r="AV217" i="25"/>
  <c r="AT218" i="25"/>
  <c r="AU218" i="25"/>
  <c r="AS218" i="25"/>
  <c r="AR219" i="25"/>
  <c r="AM219" i="25"/>
  <c r="AN218" i="25"/>
  <c r="AO218" i="25"/>
  <c r="AP218" i="25"/>
  <c r="AQ217" i="25"/>
  <c r="AL217" i="25"/>
  <c r="AJ218" i="25"/>
  <c r="AH219" i="25"/>
  <c r="AI218" i="25"/>
  <c r="AK218" i="25"/>
  <c r="AE218" i="25"/>
  <c r="AC219" i="25"/>
  <c r="AD218" i="25"/>
  <c r="AF218" i="25"/>
  <c r="AG217" i="25"/>
  <c r="AB217" i="25"/>
  <c r="Z218" i="25"/>
  <c r="X219" i="25"/>
  <c r="Y218" i="25"/>
  <c r="AA218" i="25"/>
  <c r="W219" i="25"/>
  <c r="S221" i="25"/>
  <c r="T220" i="25"/>
  <c r="U220" i="25"/>
  <c r="V220" i="25"/>
  <c r="N267" i="36"/>
  <c r="M218" i="25" s="1"/>
  <c r="J269" i="36"/>
  <c r="I220" i="25" s="1"/>
  <c r="K268" i="36"/>
  <c r="J219" i="25" s="1"/>
  <c r="L268" i="36"/>
  <c r="K219" i="25" s="1"/>
  <c r="M268" i="36"/>
  <c r="L219" i="25" s="1"/>
  <c r="BF220" i="25" l="1"/>
  <c r="BB222" i="25"/>
  <c r="BC221" i="25"/>
  <c r="BE221" i="25"/>
  <c r="BD221" i="25"/>
  <c r="BA218" i="25"/>
  <c r="AW220" i="25"/>
  <c r="AX219" i="25"/>
  <c r="AY219" i="25"/>
  <c r="AZ219" i="25"/>
  <c r="AV218" i="25"/>
  <c r="AU219" i="25"/>
  <c r="AR220" i="25"/>
  <c r="AS219" i="25"/>
  <c r="AT219" i="25"/>
  <c r="AQ218" i="25"/>
  <c r="AP219" i="25"/>
  <c r="AM220" i="25"/>
  <c r="AN219" i="25"/>
  <c r="AO219" i="25"/>
  <c r="AL218" i="25"/>
  <c r="AK219" i="25"/>
  <c r="AH220" i="25"/>
  <c r="AI219" i="25"/>
  <c r="AJ219" i="25"/>
  <c r="AG218" i="25"/>
  <c r="AC220" i="25"/>
  <c r="AD219" i="25"/>
  <c r="AF219" i="25"/>
  <c r="AE219" i="25"/>
  <c r="AB218" i="25"/>
  <c r="AA219" i="25"/>
  <c r="X220" i="25"/>
  <c r="Y219" i="25"/>
  <c r="Z219" i="25"/>
  <c r="W220" i="25"/>
  <c r="V221" i="25"/>
  <c r="S222" i="25"/>
  <c r="T221" i="25"/>
  <c r="U221" i="25"/>
  <c r="L269" i="36"/>
  <c r="K220" i="25" s="1"/>
  <c r="J270" i="36"/>
  <c r="I221" i="25" s="1"/>
  <c r="K269" i="36"/>
  <c r="J220" i="25" s="1"/>
  <c r="M269" i="36"/>
  <c r="L220" i="25" s="1"/>
  <c r="N268" i="36"/>
  <c r="M219" i="25" s="1"/>
  <c r="BC222" i="25" l="1"/>
  <c r="BE222" i="25"/>
  <c r="BB223" i="25"/>
  <c r="BD222" i="25"/>
  <c r="BF221" i="25"/>
  <c r="BA219" i="25"/>
  <c r="AW221" i="25"/>
  <c r="AX220" i="25"/>
  <c r="AY220" i="25"/>
  <c r="AZ220" i="25"/>
  <c r="AT220" i="25"/>
  <c r="AR221" i="25"/>
  <c r="AS220" i="25"/>
  <c r="AU220" i="25"/>
  <c r="AV219" i="25"/>
  <c r="AO220" i="25"/>
  <c r="AP220" i="25"/>
  <c r="AM221" i="25"/>
  <c r="AN220" i="25"/>
  <c r="AQ219" i="25"/>
  <c r="AJ220" i="25"/>
  <c r="AK220" i="25"/>
  <c r="AH221" i="25"/>
  <c r="AI220" i="25"/>
  <c r="AL219" i="25"/>
  <c r="AE220" i="25"/>
  <c r="AF220" i="25"/>
  <c r="AD220" i="25"/>
  <c r="AC221" i="25"/>
  <c r="AG219" i="25"/>
  <c r="Z220" i="25"/>
  <c r="AA220" i="25"/>
  <c r="Y220" i="25"/>
  <c r="X221" i="25"/>
  <c r="AB219" i="25"/>
  <c r="U222" i="25"/>
  <c r="V222" i="25"/>
  <c r="T222" i="25"/>
  <c r="S223" i="25"/>
  <c r="W221" i="25"/>
  <c r="N269" i="36"/>
  <c r="M220" i="25" s="1"/>
  <c r="M270" i="36"/>
  <c r="L221" i="25" s="1"/>
  <c r="K270" i="36"/>
  <c r="J221" i="25" s="1"/>
  <c r="L270" i="36"/>
  <c r="K221" i="25" s="1"/>
  <c r="J271" i="36"/>
  <c r="I222" i="25" s="1"/>
  <c r="BF222" i="25" l="1"/>
  <c r="BE223" i="25"/>
  <c r="BC223" i="25"/>
  <c r="BB224" i="25"/>
  <c r="BD223" i="25"/>
  <c r="BA220" i="25"/>
  <c r="AZ221" i="25"/>
  <c r="AW222" i="25"/>
  <c r="AX221" i="25"/>
  <c r="AY221" i="25"/>
  <c r="AV220" i="25"/>
  <c r="AR222" i="25"/>
  <c r="AS221" i="25"/>
  <c r="AU221" i="25"/>
  <c r="AT221" i="25"/>
  <c r="AQ220" i="25"/>
  <c r="AM222" i="25"/>
  <c r="AN221" i="25"/>
  <c r="AO221" i="25"/>
  <c r="AP221" i="25"/>
  <c r="AL220" i="25"/>
  <c r="AH222" i="25"/>
  <c r="AI221" i="25"/>
  <c r="AK221" i="25"/>
  <c r="AJ221" i="25"/>
  <c r="AG220" i="25"/>
  <c r="AF221" i="25"/>
  <c r="AC222" i="25"/>
  <c r="AD221" i="25"/>
  <c r="AE221" i="25"/>
  <c r="AB220" i="25"/>
  <c r="X222" i="25"/>
  <c r="Y221" i="25"/>
  <c r="AA221" i="25"/>
  <c r="Z221" i="25"/>
  <c r="W222" i="25"/>
  <c r="S224" i="25"/>
  <c r="T223" i="25"/>
  <c r="U223" i="25"/>
  <c r="V223" i="25"/>
  <c r="N270" i="36"/>
  <c r="M221" i="25" s="1"/>
  <c r="L271" i="36"/>
  <c r="K222" i="25" s="1"/>
  <c r="M271" i="36"/>
  <c r="L222" i="25" s="1"/>
  <c r="J272" i="36"/>
  <c r="I223" i="25" s="1"/>
  <c r="K271" i="36"/>
  <c r="J222" i="25" s="1"/>
  <c r="BD224" i="25" l="1"/>
  <c r="BC224" i="25"/>
  <c r="BB225" i="25"/>
  <c r="BE224" i="25"/>
  <c r="BF223" i="25"/>
  <c r="AY222" i="25"/>
  <c r="AZ222" i="25"/>
  <c r="AX222" i="25"/>
  <c r="AW223" i="25"/>
  <c r="BA221" i="25"/>
  <c r="AT222" i="25"/>
  <c r="AU222" i="25"/>
  <c r="AS222" i="25"/>
  <c r="AR223" i="25"/>
  <c r="AV221" i="25"/>
  <c r="AQ221" i="25"/>
  <c r="AM223" i="25"/>
  <c r="AN222" i="25"/>
  <c r="AO222" i="25"/>
  <c r="AP222" i="25"/>
  <c r="AH223" i="25"/>
  <c r="AI222" i="25"/>
  <c r="AJ222" i="25"/>
  <c r="AK222" i="25"/>
  <c r="AL221" i="25"/>
  <c r="AE222" i="25"/>
  <c r="AC223" i="25"/>
  <c r="AD222" i="25"/>
  <c r="AF222" i="25"/>
  <c r="AG221" i="25"/>
  <c r="X223" i="25"/>
  <c r="Y222" i="25"/>
  <c r="Z222" i="25"/>
  <c r="AA222" i="25"/>
  <c r="AB221" i="25"/>
  <c r="W223" i="25"/>
  <c r="S225" i="25"/>
  <c r="T224" i="25"/>
  <c r="V224" i="25"/>
  <c r="U224" i="25"/>
  <c r="N271" i="36"/>
  <c r="M222" i="25" s="1"/>
  <c r="J273" i="36"/>
  <c r="I224" i="25" s="1"/>
  <c r="K272" i="36"/>
  <c r="J223" i="25" s="1"/>
  <c r="M272" i="36"/>
  <c r="L223" i="25" s="1"/>
  <c r="L272" i="36"/>
  <c r="K223" i="25" s="1"/>
  <c r="AG222" i="25" l="1"/>
  <c r="BF224" i="25"/>
  <c r="BB226" i="25"/>
  <c r="BC225" i="25"/>
  <c r="BD225" i="25"/>
  <c r="BE225" i="25"/>
  <c r="BA222" i="25"/>
  <c r="AW224" i="25"/>
  <c r="AX223" i="25"/>
  <c r="AY223" i="25"/>
  <c r="AZ223" i="25"/>
  <c r="AV222" i="25"/>
  <c r="AU223" i="25"/>
  <c r="AR224" i="25"/>
  <c r="AS223" i="25"/>
  <c r="AT223" i="25"/>
  <c r="AQ222" i="25"/>
  <c r="AP223" i="25"/>
  <c r="AM224" i="25"/>
  <c r="AN223" i="25"/>
  <c r="AO223" i="25"/>
  <c r="AL222" i="25"/>
  <c r="AK223" i="25"/>
  <c r="AI223" i="25"/>
  <c r="AH224" i="25"/>
  <c r="AJ223" i="25"/>
  <c r="AC224" i="25"/>
  <c r="AD223" i="25"/>
  <c r="AF223" i="25"/>
  <c r="AE223" i="25"/>
  <c r="AB222" i="25"/>
  <c r="AA223" i="25"/>
  <c r="X224" i="25"/>
  <c r="Y223" i="25"/>
  <c r="Z223" i="25"/>
  <c r="W224" i="25"/>
  <c r="V225" i="25"/>
  <c r="T225" i="25"/>
  <c r="U225" i="25"/>
  <c r="S226" i="25"/>
  <c r="J274" i="36"/>
  <c r="I225" i="25" s="1"/>
  <c r="K273" i="36"/>
  <c r="J224" i="25" s="1"/>
  <c r="M273" i="36"/>
  <c r="L224" i="25" s="1"/>
  <c r="L273" i="36"/>
  <c r="K224" i="25" s="1"/>
  <c r="N272" i="36"/>
  <c r="M223" i="25" s="1"/>
  <c r="BF225" i="25" l="1"/>
  <c r="BD226" i="25"/>
  <c r="BB227" i="25"/>
  <c r="BC226" i="25"/>
  <c r="BE226" i="25"/>
  <c r="BA223" i="25"/>
  <c r="AW225" i="25"/>
  <c r="AX224" i="25"/>
  <c r="AY224" i="25"/>
  <c r="AZ224" i="25"/>
  <c r="AT224" i="25"/>
  <c r="AR225" i="25"/>
  <c r="AS224" i="25"/>
  <c r="AU224" i="25"/>
  <c r="AV223" i="25"/>
  <c r="AO224" i="25"/>
  <c r="AP224" i="25"/>
  <c r="AM225" i="25"/>
  <c r="AN224" i="25"/>
  <c r="AQ223" i="25"/>
  <c r="AJ224" i="25"/>
  <c r="AK224" i="25"/>
  <c r="AI224" i="25"/>
  <c r="AH225" i="25"/>
  <c r="AL223" i="25"/>
  <c r="AE224" i="25"/>
  <c r="AF224" i="25"/>
  <c r="AC225" i="25"/>
  <c r="AD224" i="25"/>
  <c r="AG223" i="25"/>
  <c r="Z224" i="25"/>
  <c r="AA224" i="25"/>
  <c r="X225" i="25"/>
  <c r="Y224" i="25"/>
  <c r="AB223" i="25"/>
  <c r="W225" i="25"/>
  <c r="U226" i="25"/>
  <c r="V226" i="25"/>
  <c r="S227" i="25"/>
  <c r="T226" i="25"/>
  <c r="M274" i="36"/>
  <c r="L225" i="25" s="1"/>
  <c r="J275" i="36"/>
  <c r="I226" i="25" s="1"/>
  <c r="K274" i="36"/>
  <c r="J225" i="25" s="1"/>
  <c r="L274" i="36"/>
  <c r="K225" i="25" s="1"/>
  <c r="N273" i="36"/>
  <c r="M224" i="25" s="1"/>
  <c r="AV224" i="25" l="1"/>
  <c r="BF226" i="25"/>
  <c r="BE227" i="25"/>
  <c r="BD227" i="25"/>
  <c r="BB228" i="25"/>
  <c r="BC227" i="25"/>
  <c r="BA224" i="25"/>
  <c r="AZ225" i="25"/>
  <c r="AW226" i="25"/>
  <c r="AX225" i="25"/>
  <c r="AY225" i="25"/>
  <c r="AR226" i="25"/>
  <c r="AS225" i="25"/>
  <c r="AU225" i="25"/>
  <c r="AT225" i="25"/>
  <c r="AQ224" i="25"/>
  <c r="AM226" i="25"/>
  <c r="AN225" i="25"/>
  <c r="AO225" i="25"/>
  <c r="AP225" i="25"/>
  <c r="AL224" i="25"/>
  <c r="AH226" i="25"/>
  <c r="AI225" i="25"/>
  <c r="AJ225" i="25"/>
  <c r="AK225" i="25"/>
  <c r="AG224" i="25"/>
  <c r="AF225" i="25"/>
  <c r="AC226" i="25"/>
  <c r="AD225" i="25"/>
  <c r="AE225" i="25"/>
  <c r="AB224" i="25"/>
  <c r="X226" i="25"/>
  <c r="Y225" i="25"/>
  <c r="AA225" i="25"/>
  <c r="Z225" i="25"/>
  <c r="W226" i="25"/>
  <c r="S228" i="25"/>
  <c r="T227" i="25"/>
  <c r="U227" i="25"/>
  <c r="V227" i="25"/>
  <c r="L275" i="36"/>
  <c r="K226" i="25" s="1"/>
  <c r="M275" i="36"/>
  <c r="L226" i="25" s="1"/>
  <c r="J276" i="36"/>
  <c r="I227" i="25" s="1"/>
  <c r="K275" i="36"/>
  <c r="J226" i="25" s="1"/>
  <c r="N274" i="36"/>
  <c r="M225" i="25" s="1"/>
  <c r="BF227" i="25" l="1"/>
  <c r="BD228" i="25"/>
  <c r="BE228" i="25"/>
  <c r="BB229" i="25"/>
  <c r="BC228" i="25"/>
  <c r="AY226" i="25"/>
  <c r="AZ226" i="25"/>
  <c r="AX226" i="25"/>
  <c r="AW227" i="25"/>
  <c r="BA225" i="25"/>
  <c r="AT226" i="25"/>
  <c r="AU226" i="25"/>
  <c r="AR227" i="25"/>
  <c r="AS226" i="25"/>
  <c r="AV225" i="25"/>
  <c r="AQ225" i="25"/>
  <c r="AM227" i="25"/>
  <c r="AN226" i="25"/>
  <c r="AO226" i="25"/>
  <c r="AP226" i="25"/>
  <c r="AL225" i="25"/>
  <c r="AJ226" i="25"/>
  <c r="AH227" i="25"/>
  <c r="AI226" i="25"/>
  <c r="AK226" i="25"/>
  <c r="AG225" i="25"/>
  <c r="AE226" i="25"/>
  <c r="AC227" i="25"/>
  <c r="AD226" i="25"/>
  <c r="AF226" i="25"/>
  <c r="X227" i="25"/>
  <c r="Y226" i="25"/>
  <c r="Z226" i="25"/>
  <c r="AA226" i="25"/>
  <c r="AB225" i="25"/>
  <c r="W227" i="25"/>
  <c r="S229" i="25"/>
  <c r="T228" i="25"/>
  <c r="U228" i="25"/>
  <c r="V228" i="25"/>
  <c r="N275" i="36"/>
  <c r="M226" i="25" s="1"/>
  <c r="J277" i="36"/>
  <c r="I228" i="25" s="1"/>
  <c r="K276" i="36"/>
  <c r="J227" i="25" s="1"/>
  <c r="L276" i="36"/>
  <c r="K227" i="25" s="1"/>
  <c r="M276" i="36"/>
  <c r="L227" i="25" s="1"/>
  <c r="BF228" i="25" l="1"/>
  <c r="BB230" i="25"/>
  <c r="BC229" i="25"/>
  <c r="BE229" i="25"/>
  <c r="BD229" i="25"/>
  <c r="BA226" i="25"/>
  <c r="AW228" i="25"/>
  <c r="AX227" i="25"/>
  <c r="AY227" i="25"/>
  <c r="AZ227" i="25"/>
  <c r="AV226" i="25"/>
  <c r="AU227" i="25"/>
  <c r="AR228" i="25"/>
  <c r="AS227" i="25"/>
  <c r="AT227" i="25"/>
  <c r="AQ226" i="25"/>
  <c r="AP227" i="25"/>
  <c r="AM228" i="25"/>
  <c r="AN227" i="25"/>
  <c r="AO227" i="25"/>
  <c r="AL226" i="25"/>
  <c r="AK227" i="25"/>
  <c r="AH228" i="25"/>
  <c r="AI227" i="25"/>
  <c r="AJ227" i="25"/>
  <c r="AG226" i="25"/>
  <c r="AC228" i="25"/>
  <c r="AD227" i="25"/>
  <c r="AF227" i="25"/>
  <c r="AE227" i="25"/>
  <c r="AB226" i="25"/>
  <c r="AA227" i="25"/>
  <c r="Y227" i="25"/>
  <c r="X228" i="25"/>
  <c r="Z227" i="25"/>
  <c r="W228" i="25"/>
  <c r="V229" i="25"/>
  <c r="S230" i="25"/>
  <c r="T229" i="25"/>
  <c r="U229" i="25"/>
  <c r="N276" i="36"/>
  <c r="M227" i="25" s="1"/>
  <c r="L277" i="36"/>
  <c r="K228" i="25" s="1"/>
  <c r="J278" i="36"/>
  <c r="I229" i="25" s="1"/>
  <c r="K277" i="36"/>
  <c r="J228" i="25" s="1"/>
  <c r="M277" i="36"/>
  <c r="L228" i="25" s="1"/>
  <c r="BF229" i="25" l="1"/>
  <c r="BE230" i="25"/>
  <c r="BC230" i="25"/>
  <c r="BD230" i="25"/>
  <c r="BB231" i="25"/>
  <c r="BA227" i="25"/>
  <c r="AW229" i="25"/>
  <c r="AX228" i="25"/>
  <c r="AY228" i="25"/>
  <c r="AZ228" i="25"/>
  <c r="AT228" i="25"/>
  <c r="AR229" i="25"/>
  <c r="AS228" i="25"/>
  <c r="AU228" i="25"/>
  <c r="AV227" i="25"/>
  <c r="AO228" i="25"/>
  <c r="AP228" i="25"/>
  <c r="AN228" i="25"/>
  <c r="AM229" i="25"/>
  <c r="AQ227" i="25"/>
  <c r="AL227" i="25"/>
  <c r="AJ228" i="25"/>
  <c r="AK228" i="25"/>
  <c r="AH229" i="25"/>
  <c r="AI228" i="25"/>
  <c r="AE228" i="25"/>
  <c r="AF228" i="25"/>
  <c r="AD228" i="25"/>
  <c r="AC229" i="25"/>
  <c r="AG227" i="25"/>
  <c r="Z228" i="25"/>
  <c r="AA228" i="25"/>
  <c r="Y228" i="25"/>
  <c r="X229" i="25"/>
  <c r="AB227" i="25"/>
  <c r="U230" i="25"/>
  <c r="V230" i="25"/>
  <c r="T230" i="25"/>
  <c r="S231" i="25"/>
  <c r="W229" i="25"/>
  <c r="N277" i="36"/>
  <c r="M228" i="25" s="1"/>
  <c r="M278" i="36"/>
  <c r="L229" i="25" s="1"/>
  <c r="J279" i="36"/>
  <c r="I230" i="25" s="1"/>
  <c r="K278" i="36"/>
  <c r="J229" i="25" s="1"/>
  <c r="L278" i="36"/>
  <c r="K229" i="25" s="1"/>
  <c r="AV228" i="25" l="1"/>
  <c r="BF230" i="25"/>
  <c r="BE231" i="25"/>
  <c r="BC231" i="25"/>
  <c r="BD231" i="25"/>
  <c r="BB232" i="25"/>
  <c r="BA228" i="25"/>
  <c r="AZ229" i="25"/>
  <c r="AW230" i="25"/>
  <c r="AX229" i="25"/>
  <c r="AY229" i="25"/>
  <c r="AR230" i="25"/>
  <c r="AS229" i="25"/>
  <c r="AU229" i="25"/>
  <c r="AT229" i="25"/>
  <c r="AQ228" i="25"/>
  <c r="AM230" i="25"/>
  <c r="AN229" i="25"/>
  <c r="AO229" i="25"/>
  <c r="AP229" i="25"/>
  <c r="AL228" i="25"/>
  <c r="AH230" i="25"/>
  <c r="AI229" i="25"/>
  <c r="AK229" i="25"/>
  <c r="AJ229" i="25"/>
  <c r="AG228" i="25"/>
  <c r="AF229" i="25"/>
  <c r="AC230" i="25"/>
  <c r="AD229" i="25"/>
  <c r="AE229" i="25"/>
  <c r="AB228" i="25"/>
  <c r="X230" i="25"/>
  <c r="Y229" i="25"/>
  <c r="Z229" i="25"/>
  <c r="AA229" i="25"/>
  <c r="W230" i="25"/>
  <c r="S232" i="25"/>
  <c r="T231" i="25"/>
  <c r="U231" i="25"/>
  <c r="V231" i="25"/>
  <c r="N278" i="36"/>
  <c r="M229" i="25" s="1"/>
  <c r="L279" i="36"/>
  <c r="K230" i="25" s="1"/>
  <c r="M279" i="36"/>
  <c r="L230" i="25" s="1"/>
  <c r="J280" i="36"/>
  <c r="I231" i="25" s="1"/>
  <c r="K279" i="36"/>
  <c r="J230" i="25" s="1"/>
  <c r="BF231" i="25" l="1"/>
  <c r="BD232" i="25"/>
  <c r="BC232" i="25"/>
  <c r="BE232" i="25"/>
  <c r="BB233" i="25"/>
  <c r="AY230" i="25"/>
  <c r="AZ230" i="25"/>
  <c r="AW231" i="25"/>
  <c r="AX230" i="25"/>
  <c r="BA229" i="25"/>
  <c r="AV229" i="25"/>
  <c r="AT230" i="25"/>
  <c r="AU230" i="25"/>
  <c r="AR231" i="25"/>
  <c r="AS230" i="25"/>
  <c r="AQ229" i="25"/>
  <c r="AM231" i="25"/>
  <c r="AN230" i="25"/>
  <c r="AO230" i="25"/>
  <c r="AP230" i="25"/>
  <c r="AH231" i="25"/>
  <c r="AI230" i="25"/>
  <c r="AJ230" i="25"/>
  <c r="AK230" i="25"/>
  <c r="AL229" i="25"/>
  <c r="AE230" i="25"/>
  <c r="AC231" i="25"/>
  <c r="AD230" i="25"/>
  <c r="AF230" i="25"/>
  <c r="AG229" i="25"/>
  <c r="AB229" i="25"/>
  <c r="Z230" i="25"/>
  <c r="X231" i="25"/>
  <c r="Y230" i="25"/>
  <c r="AA230" i="25"/>
  <c r="S233" i="25"/>
  <c r="T232" i="25"/>
  <c r="V232" i="25"/>
  <c r="U232" i="25"/>
  <c r="W231" i="25"/>
  <c r="N279" i="36"/>
  <c r="M230" i="25" s="1"/>
  <c r="J281" i="36"/>
  <c r="I232" i="25" s="1"/>
  <c r="K280" i="36"/>
  <c r="J231" i="25" s="1"/>
  <c r="L280" i="36"/>
  <c r="K231" i="25" s="1"/>
  <c r="M280" i="36"/>
  <c r="L231" i="25" s="1"/>
  <c r="BF232" i="25" l="1"/>
  <c r="BB234" i="25"/>
  <c r="BC233" i="25"/>
  <c r="BD233" i="25"/>
  <c r="BE233" i="25"/>
  <c r="BA230" i="25"/>
  <c r="AW232" i="25"/>
  <c r="AX231" i="25"/>
  <c r="AY231" i="25"/>
  <c r="AZ231" i="25"/>
  <c r="AV230" i="25"/>
  <c r="AU231" i="25"/>
  <c r="AR232" i="25"/>
  <c r="AS231" i="25"/>
  <c r="AT231" i="25"/>
  <c r="AQ230" i="25"/>
  <c r="AP231" i="25"/>
  <c r="AM232" i="25"/>
  <c r="AN231" i="25"/>
  <c r="AO231" i="25"/>
  <c r="AL230" i="25"/>
  <c r="AK231" i="25"/>
  <c r="AI231" i="25"/>
  <c r="AH232" i="25"/>
  <c r="AJ231" i="25"/>
  <c r="AG230" i="25"/>
  <c r="AC232" i="25"/>
  <c r="AD231" i="25"/>
  <c r="AF231" i="25"/>
  <c r="AE231" i="25"/>
  <c r="AB230" i="25"/>
  <c r="AA231" i="25"/>
  <c r="Y231" i="25"/>
  <c r="X232" i="25"/>
  <c r="Z231" i="25"/>
  <c r="V233" i="25"/>
  <c r="T233" i="25"/>
  <c r="U233" i="25"/>
  <c r="S234" i="25"/>
  <c r="W232" i="25"/>
  <c r="L281" i="36"/>
  <c r="K232" i="25" s="1"/>
  <c r="J282" i="36"/>
  <c r="I233" i="25" s="1"/>
  <c r="K281" i="36"/>
  <c r="J232" i="25" s="1"/>
  <c r="M281" i="36"/>
  <c r="L232" i="25" s="1"/>
  <c r="N280" i="36"/>
  <c r="M231" i="25" s="1"/>
  <c r="BF233" i="25" l="1"/>
  <c r="BB235" i="25"/>
  <c r="BD234" i="25"/>
  <c r="BE234" i="25"/>
  <c r="BC234" i="25"/>
  <c r="BA231" i="25"/>
  <c r="AW233" i="25"/>
  <c r="AX232" i="25"/>
  <c r="AY232" i="25"/>
  <c r="AZ232" i="25"/>
  <c r="AT232" i="25"/>
  <c r="AR233" i="25"/>
  <c r="AS232" i="25"/>
  <c r="AU232" i="25"/>
  <c r="AV231" i="25"/>
  <c r="AO232" i="25"/>
  <c r="AP232" i="25"/>
  <c r="AN232" i="25"/>
  <c r="AM233" i="25"/>
  <c r="AQ231" i="25"/>
  <c r="AJ232" i="25"/>
  <c r="AK232" i="25"/>
  <c r="AH233" i="25"/>
  <c r="AI232" i="25"/>
  <c r="AL231" i="25"/>
  <c r="AE232" i="25"/>
  <c r="AF232" i="25"/>
  <c r="AC233" i="25"/>
  <c r="AD232" i="25"/>
  <c r="AG231" i="25"/>
  <c r="Z232" i="25"/>
  <c r="AA232" i="25"/>
  <c r="Y232" i="25"/>
  <c r="X233" i="25"/>
  <c r="AB231" i="25"/>
  <c r="W233" i="25"/>
  <c r="U234" i="25"/>
  <c r="V234" i="25"/>
  <c r="S235" i="25"/>
  <c r="T234" i="25"/>
  <c r="N281" i="36"/>
  <c r="M232" i="25" s="1"/>
  <c r="M282" i="36"/>
  <c r="L233" i="25" s="1"/>
  <c r="K282" i="36"/>
  <c r="J233" i="25" s="1"/>
  <c r="L282" i="36"/>
  <c r="K233" i="25" s="1"/>
  <c r="J283" i="36"/>
  <c r="I234" i="25" s="1"/>
  <c r="AV232" i="25" l="1"/>
  <c r="BF234" i="25"/>
  <c r="BE235" i="25"/>
  <c r="BB236" i="25"/>
  <c r="BD235" i="25"/>
  <c r="BC235" i="25"/>
  <c r="BA232" i="25"/>
  <c r="AZ233" i="25"/>
  <c r="AW234" i="25"/>
  <c r="AX233" i="25"/>
  <c r="AY233" i="25"/>
  <c r="AR234" i="25"/>
  <c r="AS233" i="25"/>
  <c r="AU233" i="25"/>
  <c r="AT233" i="25"/>
  <c r="AQ232" i="25"/>
  <c r="AM234" i="25"/>
  <c r="AN233" i="25"/>
  <c r="AO233" i="25"/>
  <c r="AP233" i="25"/>
  <c r="AL232" i="25"/>
  <c r="AH234" i="25"/>
  <c r="AI233" i="25"/>
  <c r="AJ233" i="25"/>
  <c r="AK233" i="25"/>
  <c r="AG232" i="25"/>
  <c r="AF233" i="25"/>
  <c r="AC234" i="25"/>
  <c r="AD233" i="25"/>
  <c r="AE233" i="25"/>
  <c r="AB232" i="25"/>
  <c r="X234" i="25"/>
  <c r="Y233" i="25"/>
  <c r="Z233" i="25"/>
  <c r="AA233" i="25"/>
  <c r="W234" i="25"/>
  <c r="S236" i="25"/>
  <c r="T235" i="25"/>
  <c r="U235" i="25"/>
  <c r="V235" i="25"/>
  <c r="N282" i="36"/>
  <c r="M233" i="25" s="1"/>
  <c r="L283" i="36"/>
  <c r="K234" i="25" s="1"/>
  <c r="M283" i="36"/>
  <c r="L234" i="25" s="1"/>
  <c r="J284" i="36"/>
  <c r="I235" i="25" s="1"/>
  <c r="K283" i="36"/>
  <c r="J234" i="25" s="1"/>
  <c r="BD236" i="25" l="1"/>
  <c r="BB237" i="25"/>
  <c r="BE236" i="25"/>
  <c r="BC236" i="25"/>
  <c r="BF235" i="25"/>
  <c r="AY234" i="25"/>
  <c r="AZ234" i="25"/>
  <c r="AW235" i="25"/>
  <c r="AX234" i="25"/>
  <c r="BA233" i="25"/>
  <c r="AT234" i="25"/>
  <c r="AU234" i="25"/>
  <c r="AS234" i="25"/>
  <c r="AR235" i="25"/>
  <c r="AV233" i="25"/>
  <c r="AM235" i="25"/>
  <c r="AN234" i="25"/>
  <c r="AO234" i="25"/>
  <c r="AP234" i="25"/>
  <c r="AQ233" i="25"/>
  <c r="AL233" i="25"/>
  <c r="AJ234" i="25"/>
  <c r="AH235" i="25"/>
  <c r="AI234" i="25"/>
  <c r="AK234" i="25"/>
  <c r="AE234" i="25"/>
  <c r="AC235" i="25"/>
  <c r="AD234" i="25"/>
  <c r="AF234" i="25"/>
  <c r="AG233" i="25"/>
  <c r="AB233" i="25"/>
  <c r="Z234" i="25"/>
  <c r="X235" i="25"/>
  <c r="Y234" i="25"/>
  <c r="AA234" i="25"/>
  <c r="W235" i="25"/>
  <c r="S237" i="25"/>
  <c r="T236" i="25"/>
  <c r="U236" i="25"/>
  <c r="V236" i="25"/>
  <c r="N283" i="36"/>
  <c r="M234" i="25" s="1"/>
  <c r="J285" i="36"/>
  <c r="I236" i="25" s="1"/>
  <c r="K284" i="36"/>
  <c r="J235" i="25" s="1"/>
  <c r="L284" i="36"/>
  <c r="K235" i="25" s="1"/>
  <c r="M284" i="36"/>
  <c r="L235" i="25" s="1"/>
  <c r="BF236" i="25" l="1"/>
  <c r="BE237" i="25"/>
  <c r="BB238" i="25"/>
  <c r="BC237" i="25"/>
  <c r="BD237" i="25"/>
  <c r="BA234" i="25"/>
  <c r="AW236" i="25"/>
  <c r="AX235" i="25"/>
  <c r="AY235" i="25"/>
  <c r="AZ235" i="25"/>
  <c r="AV234" i="25"/>
  <c r="AU235" i="25"/>
  <c r="AR236" i="25"/>
  <c r="AS235" i="25"/>
  <c r="AT235" i="25"/>
  <c r="AQ234" i="25"/>
  <c r="AP235" i="25"/>
  <c r="AM236" i="25"/>
  <c r="AN235" i="25"/>
  <c r="AO235" i="25"/>
  <c r="AL234" i="25"/>
  <c r="AK235" i="25"/>
  <c r="AH236" i="25"/>
  <c r="AI235" i="25"/>
  <c r="AJ235" i="25"/>
  <c r="AG234" i="25"/>
  <c r="AC236" i="25"/>
  <c r="AD235" i="25"/>
  <c r="AF235" i="25"/>
  <c r="AE235" i="25"/>
  <c r="AB234" i="25"/>
  <c r="AA235" i="25"/>
  <c r="X236" i="25"/>
  <c r="Y235" i="25"/>
  <c r="Z235" i="25"/>
  <c r="W236" i="25"/>
  <c r="V237" i="25"/>
  <c r="S238" i="25"/>
  <c r="U237" i="25"/>
  <c r="T237" i="25"/>
  <c r="J286" i="36"/>
  <c r="I237" i="25" s="1"/>
  <c r="K285" i="36"/>
  <c r="J236" i="25" s="1"/>
  <c r="M285" i="36"/>
  <c r="L236" i="25" s="1"/>
  <c r="L285" i="36"/>
  <c r="K236" i="25" s="1"/>
  <c r="N284" i="36"/>
  <c r="M235" i="25" s="1"/>
  <c r="BD238" i="25" l="1"/>
  <c r="BE238" i="25"/>
  <c r="BC238" i="25"/>
  <c r="BB239" i="25"/>
  <c r="BF237" i="25"/>
  <c r="BA235" i="25"/>
  <c r="AW237" i="25"/>
  <c r="AX236" i="25"/>
  <c r="AY236" i="25"/>
  <c r="AZ236" i="25"/>
  <c r="AT236" i="25"/>
  <c r="AR237" i="25"/>
  <c r="AS236" i="25"/>
  <c r="AU236" i="25"/>
  <c r="AV235" i="25"/>
  <c r="AO236" i="25"/>
  <c r="AP236" i="25"/>
  <c r="AN236" i="25"/>
  <c r="AM237" i="25"/>
  <c r="AQ235" i="25"/>
  <c r="AJ236" i="25"/>
  <c r="AK236" i="25"/>
  <c r="AH237" i="25"/>
  <c r="AI236" i="25"/>
  <c r="AL235" i="25"/>
  <c r="AG235" i="25"/>
  <c r="AE236" i="25"/>
  <c r="AF236" i="25"/>
  <c r="AD236" i="25"/>
  <c r="AC237" i="25"/>
  <c r="Z236" i="25"/>
  <c r="AA236" i="25"/>
  <c r="Y236" i="25"/>
  <c r="X237" i="25"/>
  <c r="AB235" i="25"/>
  <c r="U238" i="25"/>
  <c r="V238" i="25"/>
  <c r="T238" i="25"/>
  <c r="S239" i="25"/>
  <c r="W237" i="25"/>
  <c r="M286" i="36"/>
  <c r="L237" i="25" s="1"/>
  <c r="J287" i="36"/>
  <c r="I238" i="25" s="1"/>
  <c r="K286" i="36"/>
  <c r="J237" i="25" s="1"/>
  <c r="L286" i="36"/>
  <c r="K237" i="25" s="1"/>
  <c r="N285" i="36"/>
  <c r="M236" i="25" s="1"/>
  <c r="BF238" i="25" l="1"/>
  <c r="BB240" i="25"/>
  <c r="BC239" i="25"/>
  <c r="BE239" i="25"/>
  <c r="BD239" i="25"/>
  <c r="BA236" i="25"/>
  <c r="AZ237" i="25"/>
  <c r="AW238" i="25"/>
  <c r="AX237" i="25"/>
  <c r="AY237" i="25"/>
  <c r="AV236" i="25"/>
  <c r="AR238" i="25"/>
  <c r="AS237" i="25"/>
  <c r="AU237" i="25"/>
  <c r="AT237" i="25"/>
  <c r="AQ236" i="25"/>
  <c r="AM238" i="25"/>
  <c r="AN237" i="25"/>
  <c r="AO237" i="25"/>
  <c r="AP237" i="25"/>
  <c r="AL236" i="25"/>
  <c r="AH238" i="25"/>
  <c r="AI237" i="25"/>
  <c r="AK237" i="25"/>
  <c r="AJ237" i="25"/>
  <c r="AG236" i="25"/>
  <c r="AF237" i="25"/>
  <c r="AC238" i="25"/>
  <c r="AD237" i="25"/>
  <c r="AE237" i="25"/>
  <c r="AB236" i="25"/>
  <c r="X238" i="25"/>
  <c r="Y237" i="25"/>
  <c r="AA237" i="25"/>
  <c r="Z237" i="25"/>
  <c r="W238" i="25"/>
  <c r="S240" i="25"/>
  <c r="T239" i="25"/>
  <c r="U239" i="25"/>
  <c r="V239" i="25"/>
  <c r="L287" i="36"/>
  <c r="K238" i="25" s="1"/>
  <c r="M287" i="36"/>
  <c r="L238" i="25" s="1"/>
  <c r="J288" i="36"/>
  <c r="I239" i="25" s="1"/>
  <c r="K287" i="36"/>
  <c r="J238" i="25" s="1"/>
  <c r="N286" i="36"/>
  <c r="M237" i="25" s="1"/>
  <c r="BD240" i="25" l="1"/>
  <c r="BC240" i="25"/>
  <c r="BB241" i="25"/>
  <c r="BE240" i="25"/>
  <c r="BF239" i="25"/>
  <c r="AY238" i="25"/>
  <c r="AZ238" i="25"/>
  <c r="AX238" i="25"/>
  <c r="AW239" i="25"/>
  <c r="BA237" i="25"/>
  <c r="AV237" i="25"/>
  <c r="AT238" i="25"/>
  <c r="AU238" i="25"/>
  <c r="AS238" i="25"/>
  <c r="AR239" i="25"/>
  <c r="AQ237" i="25"/>
  <c r="AM239" i="25"/>
  <c r="AN238" i="25"/>
  <c r="AO238" i="25"/>
  <c r="AP238" i="25"/>
  <c r="AH239" i="25"/>
  <c r="AI238" i="25"/>
  <c r="AJ238" i="25"/>
  <c r="AK238" i="25"/>
  <c r="AL237" i="25"/>
  <c r="AE238" i="25"/>
  <c r="AC239" i="25"/>
  <c r="AD238" i="25"/>
  <c r="AF238" i="25"/>
  <c r="AG237" i="25"/>
  <c r="X239" i="25"/>
  <c r="Y238" i="25"/>
  <c r="Z238" i="25"/>
  <c r="AA238" i="25"/>
  <c r="AB237" i="25"/>
  <c r="W239" i="25"/>
  <c r="S241" i="25"/>
  <c r="T240" i="25"/>
  <c r="V240" i="25"/>
  <c r="U240" i="25"/>
  <c r="N287" i="36"/>
  <c r="M238" i="25" s="1"/>
  <c r="J289" i="36"/>
  <c r="I240" i="25" s="1"/>
  <c r="K288" i="36"/>
  <c r="J239" i="25" s="1"/>
  <c r="L288" i="36"/>
  <c r="K239" i="25" s="1"/>
  <c r="M288" i="36"/>
  <c r="L239" i="25" s="1"/>
  <c r="BF240" i="25" l="1"/>
  <c r="BE241" i="25"/>
  <c r="BB242" i="25"/>
  <c r="BC241" i="25"/>
  <c r="BD241" i="25"/>
  <c r="BA238" i="25"/>
  <c r="AW240" i="25"/>
  <c r="AX239" i="25"/>
  <c r="AY239" i="25"/>
  <c r="AZ239" i="25"/>
  <c r="AV238" i="25"/>
  <c r="AU239" i="25"/>
  <c r="AR240" i="25"/>
  <c r="AS239" i="25"/>
  <c r="AT239" i="25"/>
  <c r="AQ238" i="25"/>
  <c r="AP239" i="25"/>
  <c r="AM240" i="25"/>
  <c r="AN239" i="25"/>
  <c r="AO239" i="25"/>
  <c r="AK239" i="25"/>
  <c r="AI239" i="25"/>
  <c r="AH240" i="25"/>
  <c r="AJ239" i="25"/>
  <c r="AL238" i="25"/>
  <c r="AG238" i="25"/>
  <c r="AC240" i="25"/>
  <c r="AD239" i="25"/>
  <c r="AF239" i="25"/>
  <c r="AE239" i="25"/>
  <c r="AB238" i="25"/>
  <c r="AA239" i="25"/>
  <c r="Y239" i="25"/>
  <c r="X240" i="25"/>
  <c r="Z239" i="25"/>
  <c r="W240" i="25"/>
  <c r="V241" i="25"/>
  <c r="T241" i="25"/>
  <c r="U241" i="25"/>
  <c r="S242" i="25"/>
  <c r="L289" i="36"/>
  <c r="K240" i="25" s="1"/>
  <c r="J290" i="36"/>
  <c r="I241" i="25" s="1"/>
  <c r="K289" i="36"/>
  <c r="J240" i="25" s="1"/>
  <c r="M289" i="36"/>
  <c r="L240" i="25" s="1"/>
  <c r="N288" i="36"/>
  <c r="M239" i="25" s="1"/>
  <c r="BD242" i="25" l="1"/>
  <c r="BE242" i="25"/>
  <c r="BB243" i="25"/>
  <c r="BC242" i="25"/>
  <c r="BF241" i="25"/>
  <c r="BA239" i="25"/>
  <c r="AW241" i="25"/>
  <c r="AX240" i="25"/>
  <c r="AY240" i="25"/>
  <c r="AZ240" i="25"/>
  <c r="AT240" i="25"/>
  <c r="AR241" i="25"/>
  <c r="AS240" i="25"/>
  <c r="AU240" i="25"/>
  <c r="AV239" i="25"/>
  <c r="AO240" i="25"/>
  <c r="AP240" i="25"/>
  <c r="AM241" i="25"/>
  <c r="AN240" i="25"/>
  <c r="AQ239" i="25"/>
  <c r="AJ240" i="25"/>
  <c r="AK240" i="25"/>
  <c r="AI240" i="25"/>
  <c r="AH241" i="25"/>
  <c r="AL239" i="25"/>
  <c r="AG239" i="25"/>
  <c r="AE240" i="25"/>
  <c r="AF240" i="25"/>
  <c r="AC241" i="25"/>
  <c r="AD240" i="25"/>
  <c r="Z240" i="25"/>
  <c r="AA240" i="25"/>
  <c r="X241" i="25"/>
  <c r="Y240" i="25"/>
  <c r="AB239" i="25"/>
  <c r="W241" i="25"/>
  <c r="U242" i="25"/>
  <c r="V242" i="25"/>
  <c r="S243" i="25"/>
  <c r="T242" i="25"/>
  <c r="N289" i="36"/>
  <c r="M240" i="25" s="1"/>
  <c r="M290" i="36"/>
  <c r="L241" i="25" s="1"/>
  <c r="J291" i="36"/>
  <c r="I242" i="25" s="1"/>
  <c r="L290" i="36"/>
  <c r="K241" i="25" s="1"/>
  <c r="K290" i="36"/>
  <c r="J241" i="25" s="1"/>
  <c r="AV240" i="25" l="1"/>
  <c r="BF242" i="25"/>
  <c r="BB244" i="25"/>
  <c r="BC243" i="25"/>
  <c r="BE243" i="25"/>
  <c r="BD243" i="25"/>
  <c r="BA240" i="25"/>
  <c r="AZ241" i="25"/>
  <c r="AW242" i="25"/>
  <c r="AX241" i="25"/>
  <c r="AY241" i="25"/>
  <c r="AR242" i="25"/>
  <c r="AS241" i="25"/>
  <c r="AU241" i="25"/>
  <c r="AT241" i="25"/>
  <c r="AQ240" i="25"/>
  <c r="AM242" i="25"/>
  <c r="AN241" i="25"/>
  <c r="AO241" i="25"/>
  <c r="AP241" i="25"/>
  <c r="AL240" i="25"/>
  <c r="AH242" i="25"/>
  <c r="AI241" i="25"/>
  <c r="AJ241" i="25"/>
  <c r="AK241" i="25"/>
  <c r="AG240" i="25"/>
  <c r="AF241" i="25"/>
  <c r="AC242" i="25"/>
  <c r="AD241" i="25"/>
  <c r="AE241" i="25"/>
  <c r="AB240" i="25"/>
  <c r="X242" i="25"/>
  <c r="Y241" i="25"/>
  <c r="Z241" i="25"/>
  <c r="AA241" i="25"/>
  <c r="W242" i="25"/>
  <c r="S244" i="25"/>
  <c r="T243" i="25"/>
  <c r="U243" i="25"/>
  <c r="V243" i="25"/>
  <c r="N290" i="36"/>
  <c r="M241" i="25" s="1"/>
  <c r="L291" i="36"/>
  <c r="K242" i="25" s="1"/>
  <c r="M291" i="36"/>
  <c r="L242" i="25" s="1"/>
  <c r="J292" i="36"/>
  <c r="I243" i="25" s="1"/>
  <c r="K291" i="36"/>
  <c r="J242" i="25" s="1"/>
  <c r="BD244" i="25" l="1"/>
  <c r="BB245" i="25"/>
  <c r="BC244" i="25"/>
  <c r="BE244" i="25"/>
  <c r="BF243" i="25"/>
  <c r="AY242" i="25"/>
  <c r="AZ242" i="25"/>
  <c r="AX242" i="25"/>
  <c r="AW243" i="25"/>
  <c r="BA241" i="25"/>
  <c r="AT242" i="25"/>
  <c r="AU242" i="25"/>
  <c r="AR243" i="25"/>
  <c r="AS242" i="25"/>
  <c r="AV241" i="25"/>
  <c r="AM243" i="25"/>
  <c r="AN242" i="25"/>
  <c r="AO242" i="25"/>
  <c r="AP242" i="25"/>
  <c r="AQ241" i="25"/>
  <c r="AL241" i="25"/>
  <c r="AJ242" i="25"/>
  <c r="AH243" i="25"/>
  <c r="AI242" i="25"/>
  <c r="AK242" i="25"/>
  <c r="AE242" i="25"/>
  <c r="AC243" i="25"/>
  <c r="AD242" i="25"/>
  <c r="AF242" i="25"/>
  <c r="AG241" i="25"/>
  <c r="AB241" i="25"/>
  <c r="Z242" i="25"/>
  <c r="X243" i="25"/>
  <c r="Y242" i="25"/>
  <c r="AA242" i="25"/>
  <c r="W243" i="25"/>
  <c r="S245" i="25"/>
  <c r="T244" i="25"/>
  <c r="U244" i="25"/>
  <c r="V244" i="25"/>
  <c r="N291" i="36"/>
  <c r="M242" i="25" s="1"/>
  <c r="J293" i="36"/>
  <c r="I244" i="25" s="1"/>
  <c r="K292" i="36"/>
  <c r="J243" i="25" s="1"/>
  <c r="L292" i="36"/>
  <c r="K243" i="25" s="1"/>
  <c r="M292" i="36"/>
  <c r="L243" i="25" s="1"/>
  <c r="BF244" i="25" l="1"/>
  <c r="BE245" i="25"/>
  <c r="BB246" i="25"/>
  <c r="BC245" i="25"/>
  <c r="BD245" i="25"/>
  <c r="BA242" i="25"/>
  <c r="AW244" i="25"/>
  <c r="AX243" i="25"/>
  <c r="AY243" i="25"/>
  <c r="AZ243" i="25"/>
  <c r="AV242" i="25"/>
  <c r="AU243" i="25"/>
  <c r="AR244" i="25"/>
  <c r="AS243" i="25"/>
  <c r="AT243" i="25"/>
  <c r="AQ242" i="25"/>
  <c r="AP243" i="25"/>
  <c r="AM244" i="25"/>
  <c r="AN243" i="25"/>
  <c r="AO243" i="25"/>
  <c r="AL242" i="25"/>
  <c r="AK243" i="25"/>
  <c r="AH244" i="25"/>
  <c r="AI243" i="25"/>
  <c r="AJ243" i="25"/>
  <c r="AG242" i="25"/>
  <c r="AC244" i="25"/>
  <c r="AD243" i="25"/>
  <c r="AF243" i="25"/>
  <c r="AE243" i="25"/>
  <c r="AB242" i="25"/>
  <c r="AA243" i="25"/>
  <c r="X244" i="25"/>
  <c r="Y243" i="25"/>
  <c r="Z243" i="25"/>
  <c r="W244" i="25"/>
  <c r="V245" i="25"/>
  <c r="S246" i="25"/>
  <c r="T245" i="25"/>
  <c r="U245" i="25"/>
  <c r="N292" i="36"/>
  <c r="M243" i="25" s="1"/>
  <c r="J294" i="36"/>
  <c r="I245" i="25" s="1"/>
  <c r="K293" i="36"/>
  <c r="J244" i="25" s="1"/>
  <c r="L293" i="36"/>
  <c r="K244" i="25" s="1"/>
  <c r="M293" i="36"/>
  <c r="L244" i="25" s="1"/>
  <c r="BD246" i="25" l="1"/>
  <c r="BE246" i="25"/>
  <c r="BC246" i="25"/>
  <c r="BB247" i="25"/>
  <c r="BF245" i="25"/>
  <c r="BA243" i="25"/>
  <c r="AW245" i="25"/>
  <c r="AX244" i="25"/>
  <c r="AY244" i="25"/>
  <c r="AZ244" i="25"/>
  <c r="AT244" i="25"/>
  <c r="AR245" i="25"/>
  <c r="AS244" i="25"/>
  <c r="AU244" i="25"/>
  <c r="AV243" i="25"/>
  <c r="AO244" i="25"/>
  <c r="AP244" i="25"/>
  <c r="AN244" i="25"/>
  <c r="AM245" i="25"/>
  <c r="AQ243" i="25"/>
  <c r="AJ244" i="25"/>
  <c r="AK244" i="25"/>
  <c r="AI244" i="25"/>
  <c r="AH245" i="25"/>
  <c r="AL243" i="25"/>
  <c r="AG243" i="25"/>
  <c r="AE244" i="25"/>
  <c r="AF244" i="25"/>
  <c r="AD244" i="25"/>
  <c r="AC245" i="25"/>
  <c r="Z244" i="25"/>
  <c r="AA244" i="25"/>
  <c r="Y244" i="25"/>
  <c r="X245" i="25"/>
  <c r="AB243" i="25"/>
  <c r="U246" i="25"/>
  <c r="V246" i="25"/>
  <c r="S247" i="25"/>
  <c r="T246" i="25"/>
  <c r="W245" i="25"/>
  <c r="N293" i="36"/>
  <c r="M244" i="25" s="1"/>
  <c r="M294" i="36"/>
  <c r="L245" i="25" s="1"/>
  <c r="K294" i="36"/>
  <c r="J245" i="25" s="1"/>
  <c r="L294" i="36"/>
  <c r="K245" i="25" s="1"/>
  <c r="J295" i="36"/>
  <c r="I246" i="25" s="1"/>
  <c r="BF246" i="25" l="1"/>
  <c r="BB248" i="25"/>
  <c r="BC247" i="25"/>
  <c r="BE247" i="25"/>
  <c r="BD247" i="25"/>
  <c r="BA244" i="25"/>
  <c r="AZ245" i="25"/>
  <c r="AW246" i="25"/>
  <c r="AX245" i="25"/>
  <c r="AY245" i="25"/>
  <c r="AV244" i="25"/>
  <c r="AR246" i="25"/>
  <c r="AS245" i="25"/>
  <c r="AU245" i="25"/>
  <c r="AT245" i="25"/>
  <c r="AQ244" i="25"/>
  <c r="AM246" i="25"/>
  <c r="AN245" i="25"/>
  <c r="AO245" i="25"/>
  <c r="AP245" i="25"/>
  <c r="AL244" i="25"/>
  <c r="AH246" i="25"/>
  <c r="AI245" i="25"/>
  <c r="AK245" i="25"/>
  <c r="AJ245" i="25"/>
  <c r="AG244" i="25"/>
  <c r="AF245" i="25"/>
  <c r="AC246" i="25"/>
  <c r="AD245" i="25"/>
  <c r="AE245" i="25"/>
  <c r="AB244" i="25"/>
  <c r="X246" i="25"/>
  <c r="Y245" i="25"/>
  <c r="AA245" i="25"/>
  <c r="Z245" i="25"/>
  <c r="W246" i="25"/>
  <c r="S248" i="25"/>
  <c r="T247" i="25"/>
  <c r="U247" i="25"/>
  <c r="V247" i="25"/>
  <c r="N294" i="36"/>
  <c r="M245" i="25" s="1"/>
  <c r="L295" i="36"/>
  <c r="K246" i="25" s="1"/>
  <c r="M295" i="36"/>
  <c r="L246" i="25" s="1"/>
  <c r="J296" i="36"/>
  <c r="I247" i="25" s="1"/>
  <c r="K295" i="36"/>
  <c r="J246" i="25" s="1"/>
  <c r="N295" i="36" l="1"/>
  <c r="M246" i="25" s="1"/>
  <c r="BD248" i="25"/>
  <c r="BC248" i="25"/>
  <c r="BB249" i="25"/>
  <c r="BE248" i="25"/>
  <c r="BF247" i="25"/>
  <c r="AY246" i="25"/>
  <c r="AZ246" i="25"/>
  <c r="AX246" i="25"/>
  <c r="AW247" i="25"/>
  <c r="BA245" i="25"/>
  <c r="AT246" i="25"/>
  <c r="AU246" i="25"/>
  <c r="AR247" i="25"/>
  <c r="AS246" i="25"/>
  <c r="AV245" i="25"/>
  <c r="AQ245" i="25"/>
  <c r="AM247" i="25"/>
  <c r="AN246" i="25"/>
  <c r="AO246" i="25"/>
  <c r="AP246" i="25"/>
  <c r="AH247" i="25"/>
  <c r="AI246" i="25"/>
  <c r="AJ246" i="25"/>
  <c r="AK246" i="25"/>
  <c r="AL245" i="25"/>
  <c r="AE246" i="25"/>
  <c r="AC247" i="25"/>
  <c r="AD246" i="25"/>
  <c r="AF246" i="25"/>
  <c r="AG245" i="25"/>
  <c r="X247" i="25"/>
  <c r="Y246" i="25"/>
  <c r="Z246" i="25"/>
  <c r="AA246" i="25"/>
  <c r="AB245" i="25"/>
  <c r="W247" i="25"/>
  <c r="S249" i="25"/>
  <c r="T248" i="25"/>
  <c r="U248" i="25"/>
  <c r="V248" i="25"/>
  <c r="J297" i="36"/>
  <c r="I248" i="25" s="1"/>
  <c r="K296" i="36"/>
  <c r="J247" i="25" s="1"/>
  <c r="L296" i="36"/>
  <c r="K247" i="25" s="1"/>
  <c r="M296" i="36"/>
  <c r="L247" i="25" s="1"/>
  <c r="BF248" i="25" l="1"/>
  <c r="BE249" i="25"/>
  <c r="BB250" i="25"/>
  <c r="BC249" i="25"/>
  <c r="BD249" i="25"/>
  <c r="BA246" i="25"/>
  <c r="AW248" i="25"/>
  <c r="AX247" i="25"/>
  <c r="AY247" i="25"/>
  <c r="AZ247" i="25"/>
  <c r="AV246" i="25"/>
  <c r="AU247" i="25"/>
  <c r="AR248" i="25"/>
  <c r="AS247" i="25"/>
  <c r="AT247" i="25"/>
  <c r="AQ246" i="25"/>
  <c r="AP247" i="25"/>
  <c r="AM248" i="25"/>
  <c r="AN247" i="25"/>
  <c r="AO247" i="25"/>
  <c r="AL246" i="25"/>
  <c r="AK247" i="25"/>
  <c r="AH248" i="25"/>
  <c r="AI247" i="25"/>
  <c r="AJ247" i="25"/>
  <c r="AG246" i="25"/>
  <c r="AC248" i="25"/>
  <c r="AD247" i="25"/>
  <c r="AF247" i="25"/>
  <c r="AE247" i="25"/>
  <c r="AB246" i="25"/>
  <c r="AA247" i="25"/>
  <c r="Y247" i="25"/>
  <c r="X248" i="25"/>
  <c r="Z247" i="25"/>
  <c r="W248" i="25"/>
  <c r="V249" i="25"/>
  <c r="T249" i="25"/>
  <c r="U249" i="25"/>
  <c r="S250" i="25"/>
  <c r="N296" i="36"/>
  <c r="M247" i="25" s="1"/>
  <c r="J298" i="36"/>
  <c r="I249" i="25" s="1"/>
  <c r="K297" i="36"/>
  <c r="J248" i="25" s="1"/>
  <c r="M297" i="36"/>
  <c r="L248" i="25" s="1"/>
  <c r="L297" i="36"/>
  <c r="K248" i="25" s="1"/>
  <c r="BD250" i="25" l="1"/>
  <c r="BE250" i="25"/>
  <c r="BB251" i="25"/>
  <c r="BC250" i="25"/>
  <c r="BF249" i="25"/>
  <c r="BA247" i="25"/>
  <c r="AW249" i="25"/>
  <c r="AX248" i="25"/>
  <c r="AY248" i="25"/>
  <c r="AZ248" i="25"/>
  <c r="AT248" i="25"/>
  <c r="AR249" i="25"/>
  <c r="AS248" i="25"/>
  <c r="AU248" i="25"/>
  <c r="AV247" i="25"/>
  <c r="AO248" i="25"/>
  <c r="AP248" i="25"/>
  <c r="AN248" i="25"/>
  <c r="AM249" i="25"/>
  <c r="AQ247" i="25"/>
  <c r="AJ248" i="25"/>
  <c r="AK248" i="25"/>
  <c r="AI248" i="25"/>
  <c r="AH249" i="25"/>
  <c r="AL247" i="25"/>
  <c r="AE248" i="25"/>
  <c r="AF248" i="25"/>
  <c r="AC249" i="25"/>
  <c r="AD248" i="25"/>
  <c r="AG247" i="25"/>
  <c r="Z248" i="25"/>
  <c r="AA248" i="25"/>
  <c r="X249" i="25"/>
  <c r="Y248" i="25"/>
  <c r="AB247" i="25"/>
  <c r="W249" i="25"/>
  <c r="U250" i="25"/>
  <c r="V250" i="25"/>
  <c r="S251" i="25"/>
  <c r="T250" i="25"/>
  <c r="M298" i="36"/>
  <c r="L249" i="25" s="1"/>
  <c r="J299" i="36"/>
  <c r="I250" i="25" s="1"/>
  <c r="K298" i="36"/>
  <c r="J249" i="25" s="1"/>
  <c r="L298" i="36"/>
  <c r="K249" i="25" s="1"/>
  <c r="N297" i="36"/>
  <c r="M248" i="25" s="1"/>
  <c r="AV248" i="25" l="1"/>
  <c r="BF250" i="25"/>
  <c r="BB252" i="25"/>
  <c r="BC251" i="25"/>
  <c r="BE251" i="25"/>
  <c r="BD251" i="25"/>
  <c r="BA248" i="25"/>
  <c r="AZ249" i="25"/>
  <c r="AW250" i="25"/>
  <c r="AX249" i="25"/>
  <c r="AY249" i="25"/>
  <c r="AR250" i="25"/>
  <c r="AS249" i="25"/>
  <c r="AU249" i="25"/>
  <c r="AT249" i="25"/>
  <c r="AQ248" i="25"/>
  <c r="AM250" i="25"/>
  <c r="AN249" i="25"/>
  <c r="AO249" i="25"/>
  <c r="AP249" i="25"/>
  <c r="AL248" i="25"/>
  <c r="AH250" i="25"/>
  <c r="AI249" i="25"/>
  <c r="AK249" i="25"/>
  <c r="AJ249" i="25"/>
  <c r="AG248" i="25"/>
  <c r="AF249" i="25"/>
  <c r="AC250" i="25"/>
  <c r="AD249" i="25"/>
  <c r="AE249" i="25"/>
  <c r="AB248" i="25"/>
  <c r="X250" i="25"/>
  <c r="Y249" i="25"/>
  <c r="Z249" i="25"/>
  <c r="AA249" i="25"/>
  <c r="W250" i="25"/>
  <c r="S252" i="25"/>
  <c r="T251" i="25"/>
  <c r="U251" i="25"/>
  <c r="V251" i="25"/>
  <c r="L299" i="36"/>
  <c r="K250" i="25" s="1"/>
  <c r="M299" i="36"/>
  <c r="L250" i="25" s="1"/>
  <c r="J300" i="36"/>
  <c r="I251" i="25" s="1"/>
  <c r="K299" i="36"/>
  <c r="J250" i="25" s="1"/>
  <c r="N298" i="36"/>
  <c r="M249" i="25" s="1"/>
  <c r="BD252" i="25" l="1"/>
  <c r="BB253" i="25"/>
  <c r="BC252" i="25"/>
  <c r="BE252" i="25"/>
  <c r="BF251" i="25"/>
  <c r="AY250" i="25"/>
  <c r="AZ250" i="25"/>
  <c r="AW251" i="25"/>
  <c r="AX250" i="25"/>
  <c r="BA249" i="25"/>
  <c r="AV249" i="25"/>
  <c r="AT250" i="25"/>
  <c r="AU250" i="25"/>
  <c r="AS250" i="25"/>
  <c r="AR251" i="25"/>
  <c r="AQ249" i="25"/>
  <c r="AM251" i="25"/>
  <c r="AN250" i="25"/>
  <c r="AO250" i="25"/>
  <c r="AP250" i="25"/>
  <c r="AH251" i="25"/>
  <c r="AI250" i="25"/>
  <c r="AJ250" i="25"/>
  <c r="AK250" i="25"/>
  <c r="AL249" i="25"/>
  <c r="AE250" i="25"/>
  <c r="AC251" i="25"/>
  <c r="AD250" i="25"/>
  <c r="AF250" i="25"/>
  <c r="AG249" i="25"/>
  <c r="AB249" i="25"/>
  <c r="Z250" i="25"/>
  <c r="X251" i="25"/>
  <c r="Y250" i="25"/>
  <c r="AA250" i="25"/>
  <c r="W251" i="25"/>
  <c r="S253" i="25"/>
  <c r="T252" i="25"/>
  <c r="U252" i="25"/>
  <c r="V252" i="25"/>
  <c r="N299" i="36"/>
  <c r="M250" i="25" s="1"/>
  <c r="J301" i="36"/>
  <c r="I252" i="25" s="1"/>
  <c r="K300" i="36"/>
  <c r="J251" i="25" s="1"/>
  <c r="L300" i="36"/>
  <c r="K251" i="25" s="1"/>
  <c r="M300" i="36"/>
  <c r="L251" i="25" s="1"/>
  <c r="BF252" i="25" l="1"/>
  <c r="BE253" i="25"/>
  <c r="BB254" i="25"/>
  <c r="BC253" i="25"/>
  <c r="BD253" i="25"/>
  <c r="BA250" i="25"/>
  <c r="AW252" i="25"/>
  <c r="AX251" i="25"/>
  <c r="AY251" i="25"/>
  <c r="AZ251" i="25"/>
  <c r="AV250" i="25"/>
  <c r="AU251" i="25"/>
  <c r="AR252" i="25"/>
  <c r="AS251" i="25"/>
  <c r="AT251" i="25"/>
  <c r="AQ250" i="25"/>
  <c r="AP251" i="25"/>
  <c r="AM252" i="25"/>
  <c r="AN251" i="25"/>
  <c r="AO251" i="25"/>
  <c r="AK251" i="25"/>
  <c r="AI251" i="25"/>
  <c r="AH252" i="25"/>
  <c r="AJ251" i="25"/>
  <c r="AL250" i="25"/>
  <c r="AG250" i="25"/>
  <c r="AC252" i="25"/>
  <c r="AD251" i="25"/>
  <c r="AF251" i="25"/>
  <c r="AE251" i="25"/>
  <c r="AB250" i="25"/>
  <c r="AA251" i="25"/>
  <c r="X252" i="25"/>
  <c r="Y251" i="25"/>
  <c r="Z251" i="25"/>
  <c r="W252" i="25"/>
  <c r="V253" i="25"/>
  <c r="S254" i="25"/>
  <c r="T253" i="25"/>
  <c r="U253" i="25"/>
  <c r="N300" i="36"/>
  <c r="M251" i="25" s="1"/>
  <c r="L301" i="36"/>
  <c r="K252" i="25" s="1"/>
  <c r="J302" i="36"/>
  <c r="I253" i="25" s="1"/>
  <c r="K301" i="36"/>
  <c r="J252" i="25" s="1"/>
  <c r="M301" i="36"/>
  <c r="L252" i="25" s="1"/>
  <c r="BD254" i="25" l="1"/>
  <c r="BE254" i="25"/>
  <c r="BC254" i="25"/>
  <c r="BB255" i="25"/>
  <c r="BF253" i="25"/>
  <c r="BA251" i="25"/>
  <c r="AW253" i="25"/>
  <c r="AX252" i="25"/>
  <c r="AY252" i="25"/>
  <c r="AZ252" i="25"/>
  <c r="AT252" i="25"/>
  <c r="AR253" i="25"/>
  <c r="AS252" i="25"/>
  <c r="AU252" i="25"/>
  <c r="AV251" i="25"/>
  <c r="AO252" i="25"/>
  <c r="AP252" i="25"/>
  <c r="AM253" i="25"/>
  <c r="AN252" i="25"/>
  <c r="AQ251" i="25"/>
  <c r="AJ252" i="25"/>
  <c r="AK252" i="25"/>
  <c r="AH253" i="25"/>
  <c r="AI252" i="25"/>
  <c r="AL251" i="25"/>
  <c r="AE252" i="25"/>
  <c r="AF252" i="25"/>
  <c r="AD252" i="25"/>
  <c r="AC253" i="25"/>
  <c r="AG251" i="25"/>
  <c r="Z252" i="25"/>
  <c r="AA252" i="25"/>
  <c r="X253" i="25"/>
  <c r="Y252" i="25"/>
  <c r="AB251" i="25"/>
  <c r="U254" i="25"/>
  <c r="V254" i="25"/>
  <c r="T254" i="25"/>
  <c r="S255" i="25"/>
  <c r="W253" i="25"/>
  <c r="N301" i="36"/>
  <c r="M252" i="25" s="1"/>
  <c r="M302" i="36"/>
  <c r="L253" i="25" s="1"/>
  <c r="J303" i="36"/>
  <c r="I254" i="25" s="1"/>
  <c r="L302" i="36"/>
  <c r="K253" i="25" s="1"/>
  <c r="K302" i="36"/>
  <c r="J253" i="25" s="1"/>
  <c r="AV252" i="25" l="1"/>
  <c r="BF254" i="25"/>
  <c r="BB256" i="25"/>
  <c r="BC255" i="25"/>
  <c r="BE255" i="25"/>
  <c r="BD255" i="25"/>
  <c r="BA252" i="25"/>
  <c r="AZ253" i="25"/>
  <c r="AW254" i="25"/>
  <c r="AX253" i="25"/>
  <c r="AY253" i="25"/>
  <c r="AR254" i="25"/>
  <c r="AS253" i="25"/>
  <c r="AU253" i="25"/>
  <c r="AT253" i="25"/>
  <c r="AQ252" i="25"/>
  <c r="AM254" i="25"/>
  <c r="AN253" i="25"/>
  <c r="AO253" i="25"/>
  <c r="AP253" i="25"/>
  <c r="AL252" i="25"/>
  <c r="AH254" i="25"/>
  <c r="AI253" i="25"/>
  <c r="AJ253" i="25"/>
  <c r="AK253" i="25"/>
  <c r="AG252" i="25"/>
  <c r="AF253" i="25"/>
  <c r="AC254" i="25"/>
  <c r="AD253" i="25"/>
  <c r="AE253" i="25"/>
  <c r="AB252" i="25"/>
  <c r="X254" i="25"/>
  <c r="Y253" i="25"/>
  <c r="AA253" i="25"/>
  <c r="Z253" i="25"/>
  <c r="W254" i="25"/>
  <c r="S256" i="25"/>
  <c r="T255" i="25"/>
  <c r="U255" i="25"/>
  <c r="V255" i="25"/>
  <c r="L303" i="36"/>
  <c r="K254" i="25" s="1"/>
  <c r="M303" i="36"/>
  <c r="L254" i="25" s="1"/>
  <c r="J304" i="36"/>
  <c r="I255" i="25" s="1"/>
  <c r="K303" i="36"/>
  <c r="J254" i="25" s="1"/>
  <c r="N302" i="36"/>
  <c r="M253" i="25" s="1"/>
  <c r="BD256" i="25" l="1"/>
  <c r="BC256" i="25"/>
  <c r="BB257" i="25"/>
  <c r="BE256" i="25"/>
  <c r="BF255" i="25"/>
  <c r="AY254" i="25"/>
  <c r="AZ254" i="25"/>
  <c r="AX254" i="25"/>
  <c r="AW255" i="25"/>
  <c r="BA253" i="25"/>
  <c r="AT254" i="25"/>
  <c r="AU254" i="25"/>
  <c r="AS254" i="25"/>
  <c r="AR255" i="25"/>
  <c r="AV253" i="25"/>
  <c r="AQ253" i="25"/>
  <c r="AM255" i="25"/>
  <c r="AN254" i="25"/>
  <c r="AO254" i="25"/>
  <c r="AP254" i="25"/>
  <c r="AL253" i="25"/>
  <c r="AJ254" i="25"/>
  <c r="AH255" i="25"/>
  <c r="AI254" i="25"/>
  <c r="AK254" i="25"/>
  <c r="AE254" i="25"/>
  <c r="AC255" i="25"/>
  <c r="AD254" i="25"/>
  <c r="AF254" i="25"/>
  <c r="AG253" i="25"/>
  <c r="X255" i="25"/>
  <c r="Y254" i="25"/>
  <c r="Z254" i="25"/>
  <c r="AA254" i="25"/>
  <c r="AB253" i="25"/>
  <c r="W255" i="25"/>
  <c r="S257" i="25"/>
  <c r="T256" i="25"/>
  <c r="U256" i="25"/>
  <c r="V256" i="25"/>
  <c r="N303" i="36"/>
  <c r="M254" i="25" s="1"/>
  <c r="J305" i="36"/>
  <c r="I256" i="25" s="1"/>
  <c r="K304" i="36"/>
  <c r="J255" i="25" s="1"/>
  <c r="L304" i="36"/>
  <c r="K255" i="25" s="1"/>
  <c r="M304" i="36"/>
  <c r="L255" i="25" s="1"/>
  <c r="BF256" i="25" l="1"/>
  <c r="BE257" i="25"/>
  <c r="BB258" i="25"/>
  <c r="BC257" i="25"/>
  <c r="BD257" i="25"/>
  <c r="BA254" i="25"/>
  <c r="AW256" i="25"/>
  <c r="AX255" i="25"/>
  <c r="AY255" i="25"/>
  <c r="AZ255" i="25"/>
  <c r="AV254" i="25"/>
  <c r="AU255" i="25"/>
  <c r="AR256" i="25"/>
  <c r="AS255" i="25"/>
  <c r="AT255" i="25"/>
  <c r="AQ254" i="25"/>
  <c r="AP255" i="25"/>
  <c r="AM256" i="25"/>
  <c r="AN255" i="25"/>
  <c r="AO255" i="25"/>
  <c r="AL254" i="25"/>
  <c r="AK255" i="25"/>
  <c r="AH256" i="25"/>
  <c r="AI255" i="25"/>
  <c r="AJ255" i="25"/>
  <c r="AG254" i="25"/>
  <c r="AC256" i="25"/>
  <c r="AD255" i="25"/>
  <c r="AF255" i="25"/>
  <c r="AE255" i="25"/>
  <c r="AB254" i="25"/>
  <c r="AA255" i="25"/>
  <c r="Y255" i="25"/>
  <c r="X256" i="25"/>
  <c r="Z255" i="25"/>
  <c r="W256" i="25"/>
  <c r="V257" i="25"/>
  <c r="T257" i="25"/>
  <c r="U257" i="25"/>
  <c r="S258" i="25"/>
  <c r="N304" i="36"/>
  <c r="M255" i="25" s="1"/>
  <c r="J306" i="36"/>
  <c r="I257" i="25" s="1"/>
  <c r="K305" i="36"/>
  <c r="J256" i="25" s="1"/>
  <c r="L305" i="36"/>
  <c r="K256" i="25" s="1"/>
  <c r="M305" i="36"/>
  <c r="L256" i="25" s="1"/>
  <c r="BD258" i="25" l="1"/>
  <c r="BE258" i="25"/>
  <c r="BB259" i="25"/>
  <c r="BC258" i="25"/>
  <c r="BF257" i="25"/>
  <c r="BA255" i="25"/>
  <c r="AW257" i="25"/>
  <c r="AX256" i="25"/>
  <c r="AY256" i="25"/>
  <c r="AZ256" i="25"/>
  <c r="AT256" i="25"/>
  <c r="AR257" i="25"/>
  <c r="AS256" i="25"/>
  <c r="AU256" i="25"/>
  <c r="AV255" i="25"/>
  <c r="AO256" i="25"/>
  <c r="AP256" i="25"/>
  <c r="AM257" i="25"/>
  <c r="AN256" i="25"/>
  <c r="AQ255" i="25"/>
  <c r="AJ256" i="25"/>
  <c r="AK256" i="25"/>
  <c r="AI256" i="25"/>
  <c r="AH257" i="25"/>
  <c r="AL255" i="25"/>
  <c r="AG255" i="25"/>
  <c r="AE256" i="25"/>
  <c r="AF256" i="25"/>
  <c r="AC257" i="25"/>
  <c r="AD256" i="25"/>
  <c r="Z256" i="25"/>
  <c r="AA256" i="25"/>
  <c r="X257" i="25"/>
  <c r="Y256" i="25"/>
  <c r="AB255" i="25"/>
  <c r="W257" i="25"/>
  <c r="U258" i="25"/>
  <c r="V258" i="25"/>
  <c r="S259" i="25"/>
  <c r="T258" i="25"/>
  <c r="N305" i="36"/>
  <c r="M256" i="25" s="1"/>
  <c r="M306" i="36"/>
  <c r="L257" i="25" s="1"/>
  <c r="K306" i="36"/>
  <c r="J257" i="25" s="1"/>
  <c r="J307" i="36"/>
  <c r="I258" i="25" s="1"/>
  <c r="L306" i="36"/>
  <c r="K257" i="25" s="1"/>
  <c r="AV256" i="25" l="1"/>
  <c r="BF258" i="25"/>
  <c r="BB260" i="25"/>
  <c r="BC259" i="25"/>
  <c r="BE259" i="25"/>
  <c r="BD259" i="25"/>
  <c r="BA256" i="25"/>
  <c r="AZ257" i="25"/>
  <c r="AW258" i="25"/>
  <c r="AX257" i="25"/>
  <c r="AY257" i="25"/>
  <c r="AR258" i="25"/>
  <c r="AS257" i="25"/>
  <c r="AU257" i="25"/>
  <c r="AT257" i="25"/>
  <c r="AQ256" i="25"/>
  <c r="AM258" i="25"/>
  <c r="AN257" i="25"/>
  <c r="AO257" i="25"/>
  <c r="AP257" i="25"/>
  <c r="AL256" i="25"/>
  <c r="AH258" i="25"/>
  <c r="AI257" i="25"/>
  <c r="AK257" i="25"/>
  <c r="AJ257" i="25"/>
  <c r="AG256" i="25"/>
  <c r="AF257" i="25"/>
  <c r="AC258" i="25"/>
  <c r="AD257" i="25"/>
  <c r="AE257" i="25"/>
  <c r="AB256" i="25"/>
  <c r="X258" i="25"/>
  <c r="Y257" i="25"/>
  <c r="Z257" i="25"/>
  <c r="AA257" i="25"/>
  <c r="W258" i="25"/>
  <c r="S260" i="25"/>
  <c r="T259" i="25"/>
  <c r="U259" i="25"/>
  <c r="V259" i="25"/>
  <c r="L307" i="36"/>
  <c r="K258" i="25" s="1"/>
  <c r="M307" i="36"/>
  <c r="L258" i="25" s="1"/>
  <c r="J308" i="36"/>
  <c r="I259" i="25" s="1"/>
  <c r="K307" i="36"/>
  <c r="J258" i="25" s="1"/>
  <c r="N306" i="36"/>
  <c r="M257" i="25" s="1"/>
  <c r="BD260" i="25" l="1"/>
  <c r="BB261" i="25"/>
  <c r="BC260" i="25"/>
  <c r="BE260" i="25"/>
  <c r="BF259" i="25"/>
  <c r="AY258" i="25"/>
  <c r="AZ258" i="25"/>
  <c r="AX258" i="25"/>
  <c r="AW259" i="25"/>
  <c r="BA257" i="25"/>
  <c r="AV257" i="25"/>
  <c r="AT258" i="25"/>
  <c r="AU258" i="25"/>
  <c r="AR259" i="25"/>
  <c r="AS258" i="25"/>
  <c r="AQ257" i="25"/>
  <c r="AM259" i="25"/>
  <c r="AN258" i="25"/>
  <c r="AO258" i="25"/>
  <c r="AP258" i="25"/>
  <c r="AH259" i="25"/>
  <c r="AI258" i="25"/>
  <c r="AJ258" i="25"/>
  <c r="AK258" i="25"/>
  <c r="AL257" i="25"/>
  <c r="AE258" i="25"/>
  <c r="AC259" i="25"/>
  <c r="AD258" i="25"/>
  <c r="AF258" i="25"/>
  <c r="AG257" i="25"/>
  <c r="AB257" i="25"/>
  <c r="Z258" i="25"/>
  <c r="X259" i="25"/>
  <c r="Y258" i="25"/>
  <c r="AA258" i="25"/>
  <c r="W259" i="25"/>
  <c r="S261" i="25"/>
  <c r="T260" i="25"/>
  <c r="U260" i="25"/>
  <c r="V260" i="25"/>
  <c r="N307" i="36"/>
  <c r="M258" i="25" s="1"/>
  <c r="J309" i="36"/>
  <c r="I260" i="25" s="1"/>
  <c r="K308" i="36"/>
  <c r="J259" i="25" s="1"/>
  <c r="L308" i="36"/>
  <c r="K259" i="25" s="1"/>
  <c r="M308" i="36"/>
  <c r="L259" i="25" s="1"/>
  <c r="BF260" i="25" l="1"/>
  <c r="BE261" i="25"/>
  <c r="BB262" i="25"/>
  <c r="BC261" i="25"/>
  <c r="BD261" i="25"/>
  <c r="BA258" i="25"/>
  <c r="AW260" i="25"/>
  <c r="AX259" i="25"/>
  <c r="AY259" i="25"/>
  <c r="AZ259" i="25"/>
  <c r="AV258" i="25"/>
  <c r="AU259" i="25"/>
  <c r="AR260" i="25"/>
  <c r="AS259" i="25"/>
  <c r="AT259" i="25"/>
  <c r="AQ258" i="25"/>
  <c r="AP259" i="25"/>
  <c r="AM260" i="25"/>
  <c r="AN259" i="25"/>
  <c r="AO259" i="25"/>
  <c r="AL258" i="25"/>
  <c r="AK259" i="25"/>
  <c r="AI259" i="25"/>
  <c r="AH260" i="25"/>
  <c r="AJ259" i="25"/>
  <c r="AG258" i="25"/>
  <c r="AC260" i="25"/>
  <c r="AD259" i="25"/>
  <c r="AF259" i="25"/>
  <c r="AE259" i="25"/>
  <c r="AB258" i="25"/>
  <c r="AA259" i="25"/>
  <c r="X260" i="25"/>
  <c r="Y259" i="25"/>
  <c r="Z259" i="25"/>
  <c r="W260" i="25"/>
  <c r="V261" i="25"/>
  <c r="S262" i="25"/>
  <c r="T261" i="25"/>
  <c r="U261" i="25"/>
  <c r="N308" i="36"/>
  <c r="M259" i="25" s="1"/>
  <c r="J310" i="36"/>
  <c r="I261" i="25" s="1"/>
  <c r="K309" i="36"/>
  <c r="J260" i="25" s="1"/>
  <c r="L309" i="36"/>
  <c r="K260" i="25" s="1"/>
  <c r="M309" i="36"/>
  <c r="L260" i="25" s="1"/>
  <c r="BD262" i="25" l="1"/>
  <c r="BE262" i="25"/>
  <c r="BC262" i="25"/>
  <c r="BB263" i="25"/>
  <c r="BF261" i="25"/>
  <c r="BA259" i="25"/>
  <c r="AW261" i="25"/>
  <c r="AX260" i="25"/>
  <c r="AY260" i="25"/>
  <c r="AZ260" i="25"/>
  <c r="AT260" i="25"/>
  <c r="AR261" i="25"/>
  <c r="AS260" i="25"/>
  <c r="AU260" i="25"/>
  <c r="AV259" i="25"/>
  <c r="AO260" i="25"/>
  <c r="AP260" i="25"/>
  <c r="AN260" i="25"/>
  <c r="AM261" i="25"/>
  <c r="AQ259" i="25"/>
  <c r="AJ260" i="25"/>
  <c r="AK260" i="25"/>
  <c r="AI260" i="25"/>
  <c r="AH261" i="25"/>
  <c r="AL259" i="25"/>
  <c r="AE260" i="25"/>
  <c r="AF260" i="25"/>
  <c r="AD260" i="25"/>
  <c r="AC261" i="25"/>
  <c r="AG259" i="25"/>
  <c r="Z260" i="25"/>
  <c r="AA260" i="25"/>
  <c r="Y260" i="25"/>
  <c r="X261" i="25"/>
  <c r="AB259" i="25"/>
  <c r="U262" i="25"/>
  <c r="V262" i="25"/>
  <c r="T262" i="25"/>
  <c r="S263" i="25"/>
  <c r="W261" i="25"/>
  <c r="M310" i="36"/>
  <c r="L261" i="25" s="1"/>
  <c r="K310" i="36"/>
  <c r="J261" i="25" s="1"/>
  <c r="L310" i="36"/>
  <c r="K261" i="25" s="1"/>
  <c r="J311" i="36"/>
  <c r="I262" i="25" s="1"/>
  <c r="N309" i="36"/>
  <c r="M260" i="25" s="1"/>
  <c r="AV260" i="25" l="1"/>
  <c r="BF262" i="25"/>
  <c r="BB264" i="25"/>
  <c r="BC263" i="25"/>
  <c r="BE263" i="25"/>
  <c r="BD263" i="25"/>
  <c r="BA260" i="25"/>
  <c r="AZ261" i="25"/>
  <c r="AW262" i="25"/>
  <c r="AX261" i="25"/>
  <c r="AY261" i="25"/>
  <c r="AR262" i="25"/>
  <c r="AS261" i="25"/>
  <c r="AU261" i="25"/>
  <c r="AT261" i="25"/>
  <c r="AQ260" i="25"/>
  <c r="AM262" i="25"/>
  <c r="AN261" i="25"/>
  <c r="AO261" i="25"/>
  <c r="AP261" i="25"/>
  <c r="AL260" i="25"/>
  <c r="AH262" i="25"/>
  <c r="AI261" i="25"/>
  <c r="AJ261" i="25"/>
  <c r="AK261" i="25"/>
  <c r="AG260" i="25"/>
  <c r="AF261" i="25"/>
  <c r="AC262" i="25"/>
  <c r="AD261" i="25"/>
  <c r="AE261" i="25"/>
  <c r="AB260" i="25"/>
  <c r="X262" i="25"/>
  <c r="Y261" i="25"/>
  <c r="AA261" i="25"/>
  <c r="Z261" i="25"/>
  <c r="W262" i="25"/>
  <c r="S264" i="25"/>
  <c r="T263" i="25"/>
  <c r="U263" i="25"/>
  <c r="V263" i="25"/>
  <c r="N310" i="36"/>
  <c r="M261" i="25" s="1"/>
  <c r="L311" i="36"/>
  <c r="K262" i="25" s="1"/>
  <c r="M311" i="36"/>
  <c r="L262" i="25" s="1"/>
  <c r="J312" i="36"/>
  <c r="I263" i="25" s="1"/>
  <c r="K311" i="36"/>
  <c r="J262" i="25" s="1"/>
  <c r="BD264" i="25" l="1"/>
  <c r="BC264" i="25"/>
  <c r="BB265" i="25"/>
  <c r="BE264" i="25"/>
  <c r="BF263" i="25"/>
  <c r="AY262" i="25"/>
  <c r="AZ262" i="25"/>
  <c r="AW263" i="25"/>
  <c r="AX262" i="25"/>
  <c r="BA261" i="25"/>
  <c r="AT262" i="25"/>
  <c r="AU262" i="25"/>
  <c r="AR263" i="25"/>
  <c r="AS262" i="25"/>
  <c r="AV261" i="25"/>
  <c r="AQ261" i="25"/>
  <c r="AM263" i="25"/>
  <c r="AN262" i="25"/>
  <c r="AO262" i="25"/>
  <c r="AP262" i="25"/>
  <c r="AL261" i="25"/>
  <c r="AJ262" i="25"/>
  <c r="AH263" i="25"/>
  <c r="AI262" i="25"/>
  <c r="AK262" i="25"/>
  <c r="AE262" i="25"/>
  <c r="AC263" i="25"/>
  <c r="AD262" i="25"/>
  <c r="AF262" i="25"/>
  <c r="AG261" i="25"/>
  <c r="X263" i="25"/>
  <c r="Y262" i="25"/>
  <c r="Z262" i="25"/>
  <c r="AA262" i="25"/>
  <c r="AB261" i="25"/>
  <c r="W263" i="25"/>
  <c r="S265" i="25"/>
  <c r="T264" i="25"/>
  <c r="V264" i="25"/>
  <c r="U264" i="25"/>
  <c r="N311" i="36"/>
  <c r="M262" i="25" s="1"/>
  <c r="J313" i="36"/>
  <c r="I264" i="25" s="1"/>
  <c r="K312" i="36"/>
  <c r="J263" i="25" s="1"/>
  <c r="M312" i="36"/>
  <c r="L263" i="25" s="1"/>
  <c r="L312" i="36"/>
  <c r="K263" i="25" s="1"/>
  <c r="BF264" i="25" l="1"/>
  <c r="BE265" i="25"/>
  <c r="BB266" i="25"/>
  <c r="BC265" i="25"/>
  <c r="BD265" i="25"/>
  <c r="BA262" i="25"/>
  <c r="AW264" i="25"/>
  <c r="AX263" i="25"/>
  <c r="AY263" i="25"/>
  <c r="AZ263" i="25"/>
  <c r="AV262" i="25"/>
  <c r="AU263" i="25"/>
  <c r="AR264" i="25"/>
  <c r="AS263" i="25"/>
  <c r="AT263" i="25"/>
  <c r="AQ262" i="25"/>
  <c r="AP263" i="25"/>
  <c r="AM264" i="25"/>
  <c r="AN263" i="25"/>
  <c r="AO263" i="25"/>
  <c r="AK263" i="25"/>
  <c r="AH264" i="25"/>
  <c r="AI263" i="25"/>
  <c r="AJ263" i="25"/>
  <c r="AL262" i="25"/>
  <c r="AG262" i="25"/>
  <c r="AC264" i="25"/>
  <c r="AD263" i="25"/>
  <c r="AF263" i="25"/>
  <c r="AE263" i="25"/>
  <c r="AB262" i="25"/>
  <c r="AA263" i="25"/>
  <c r="X264" i="25"/>
  <c r="Y263" i="25"/>
  <c r="Z263" i="25"/>
  <c r="V265" i="25"/>
  <c r="T265" i="25"/>
  <c r="S266" i="25"/>
  <c r="U265" i="25"/>
  <c r="W264" i="25"/>
  <c r="N312" i="36"/>
  <c r="M263" i="25" s="1"/>
  <c r="J314" i="36"/>
  <c r="I265" i="25" s="1"/>
  <c r="K313" i="36"/>
  <c r="J264" i="25" s="1"/>
  <c r="M313" i="36"/>
  <c r="L264" i="25" s="1"/>
  <c r="L313" i="36"/>
  <c r="K264" i="25" s="1"/>
  <c r="BD266" i="25" l="1"/>
  <c r="BE266" i="25"/>
  <c r="BB267" i="25"/>
  <c r="BC266" i="25"/>
  <c r="BF265" i="25"/>
  <c r="BA263" i="25"/>
  <c r="AW265" i="25"/>
  <c r="AX264" i="25"/>
  <c r="AY264" i="25"/>
  <c r="AZ264" i="25"/>
  <c r="AT264" i="25"/>
  <c r="AR265" i="25"/>
  <c r="AS264" i="25"/>
  <c r="AU264" i="25"/>
  <c r="AV263" i="25"/>
  <c r="AO264" i="25"/>
  <c r="AP264" i="25"/>
  <c r="AN264" i="25"/>
  <c r="AM265" i="25"/>
  <c r="AQ263" i="25"/>
  <c r="AJ264" i="25"/>
  <c r="AK264" i="25"/>
  <c r="AI264" i="25"/>
  <c r="AH265" i="25"/>
  <c r="AL263" i="25"/>
  <c r="AG263" i="25"/>
  <c r="AE264" i="25"/>
  <c r="AF264" i="25"/>
  <c r="AD264" i="25"/>
  <c r="AC265" i="25"/>
  <c r="Z264" i="25"/>
  <c r="AA264" i="25"/>
  <c r="Y264" i="25"/>
  <c r="X265" i="25"/>
  <c r="AB263" i="25"/>
  <c r="U266" i="25"/>
  <c r="V266" i="25"/>
  <c r="S267" i="25"/>
  <c r="T266" i="25"/>
  <c r="W265" i="25"/>
  <c r="M314" i="36"/>
  <c r="L265" i="25" s="1"/>
  <c r="J315" i="36"/>
  <c r="I266" i="25" s="1"/>
  <c r="K314" i="36"/>
  <c r="J265" i="25" s="1"/>
  <c r="L314" i="36"/>
  <c r="K265" i="25" s="1"/>
  <c r="N313" i="36"/>
  <c r="M264" i="25" s="1"/>
  <c r="BF266" i="25" l="1"/>
  <c r="BB268" i="25"/>
  <c r="BC267" i="25"/>
  <c r="BE267" i="25"/>
  <c r="BD267" i="25"/>
  <c r="BA264" i="25"/>
  <c r="AZ265" i="25"/>
  <c r="AW266" i="25"/>
  <c r="AX265" i="25"/>
  <c r="AY265" i="25"/>
  <c r="AV264" i="25"/>
  <c r="AR266" i="25"/>
  <c r="AS265" i="25"/>
  <c r="AU265" i="25"/>
  <c r="AT265" i="25"/>
  <c r="AQ264" i="25"/>
  <c r="AM266" i="25"/>
  <c r="AN265" i="25"/>
  <c r="AO265" i="25"/>
  <c r="AP265" i="25"/>
  <c r="AL264" i="25"/>
  <c r="AH266" i="25"/>
  <c r="AI265" i="25"/>
  <c r="AK265" i="25"/>
  <c r="AJ265" i="25"/>
  <c r="AG264" i="25"/>
  <c r="AF265" i="25"/>
  <c r="AC266" i="25"/>
  <c r="AD265" i="25"/>
  <c r="AE265" i="25"/>
  <c r="AB264" i="25"/>
  <c r="X266" i="25"/>
  <c r="Y265" i="25"/>
  <c r="AA265" i="25"/>
  <c r="Z265" i="25"/>
  <c r="W266" i="25"/>
  <c r="S268" i="25"/>
  <c r="T267" i="25"/>
  <c r="U267" i="25"/>
  <c r="V267" i="25"/>
  <c r="L315" i="36"/>
  <c r="K266" i="25" s="1"/>
  <c r="M315" i="36"/>
  <c r="L266" i="25" s="1"/>
  <c r="J316" i="36"/>
  <c r="I267" i="25" s="1"/>
  <c r="K315" i="36"/>
  <c r="J266" i="25" s="1"/>
  <c r="N314" i="36"/>
  <c r="M265" i="25" s="1"/>
  <c r="BD268" i="25" l="1"/>
  <c r="BB269" i="25"/>
  <c r="BC268" i="25"/>
  <c r="BE268" i="25"/>
  <c r="BF267" i="25"/>
  <c r="AY266" i="25"/>
  <c r="AZ266" i="25"/>
  <c r="AW267" i="25"/>
  <c r="AX266" i="25"/>
  <c r="BA265" i="25"/>
  <c r="AT266" i="25"/>
  <c r="AU266" i="25"/>
  <c r="AS266" i="25"/>
  <c r="AR267" i="25"/>
  <c r="AV265" i="25"/>
  <c r="AQ265" i="25"/>
  <c r="AM267" i="25"/>
  <c r="AN266" i="25"/>
  <c r="AO266" i="25"/>
  <c r="AP266" i="25"/>
  <c r="AH267" i="25"/>
  <c r="AI266" i="25"/>
  <c r="AJ266" i="25"/>
  <c r="AK266" i="25"/>
  <c r="AL265" i="25"/>
  <c r="AE266" i="25"/>
  <c r="AC267" i="25"/>
  <c r="AD266" i="25"/>
  <c r="AF266" i="25"/>
  <c r="AG265" i="25"/>
  <c r="X267" i="25"/>
  <c r="Y266" i="25"/>
  <c r="Z266" i="25"/>
  <c r="AA266" i="25"/>
  <c r="AB265" i="25"/>
  <c r="W267" i="25"/>
  <c r="S269" i="25"/>
  <c r="T268" i="25"/>
  <c r="U268" i="25"/>
  <c r="V268" i="25"/>
  <c r="N315" i="36"/>
  <c r="M266" i="25" s="1"/>
  <c r="J317" i="36"/>
  <c r="I268" i="25" s="1"/>
  <c r="K316" i="36"/>
  <c r="J267" i="25" s="1"/>
  <c r="L316" i="36"/>
  <c r="K267" i="25" s="1"/>
  <c r="M316" i="36"/>
  <c r="L267" i="25" s="1"/>
  <c r="BF268" i="25" l="1"/>
  <c r="BE269" i="25"/>
  <c r="BB270" i="25"/>
  <c r="BC269" i="25"/>
  <c r="BD269" i="25"/>
  <c r="BA266" i="25"/>
  <c r="AW268" i="25"/>
  <c r="AX267" i="25"/>
  <c r="AY267" i="25"/>
  <c r="AZ267" i="25"/>
  <c r="AV266" i="25"/>
  <c r="AU267" i="25"/>
  <c r="AR268" i="25"/>
  <c r="AS267" i="25"/>
  <c r="AT267" i="25"/>
  <c r="AQ266" i="25"/>
  <c r="AP267" i="25"/>
  <c r="AM268" i="25"/>
  <c r="AN267" i="25"/>
  <c r="AO267" i="25"/>
  <c r="AL266" i="25"/>
  <c r="AK267" i="25"/>
  <c r="AI267" i="25"/>
  <c r="AH268" i="25"/>
  <c r="AJ267" i="25"/>
  <c r="AG266" i="25"/>
  <c r="AC268" i="25"/>
  <c r="AD267" i="25"/>
  <c r="AF267" i="25"/>
  <c r="AE267" i="25"/>
  <c r="AB266" i="25"/>
  <c r="AA267" i="25"/>
  <c r="Y267" i="25"/>
  <c r="X268" i="25"/>
  <c r="Z267" i="25"/>
  <c r="W268" i="25"/>
  <c r="V269" i="25"/>
  <c r="S270" i="25"/>
  <c r="T269" i="25"/>
  <c r="U269" i="25"/>
  <c r="L317" i="36"/>
  <c r="K268" i="25" s="1"/>
  <c r="J318" i="36"/>
  <c r="I269" i="25" s="1"/>
  <c r="K317" i="36"/>
  <c r="J268" i="25" s="1"/>
  <c r="M317" i="36"/>
  <c r="L268" i="25" s="1"/>
  <c r="N316" i="36"/>
  <c r="M267" i="25" s="1"/>
  <c r="BD270" i="25" l="1"/>
  <c r="BE270" i="25"/>
  <c r="BC270" i="25"/>
  <c r="BB271" i="25"/>
  <c r="BF269" i="25"/>
  <c r="BA267" i="25"/>
  <c r="AW269" i="25"/>
  <c r="AX268" i="25"/>
  <c r="AY268" i="25"/>
  <c r="AZ268" i="25"/>
  <c r="AT268" i="25"/>
  <c r="AR269" i="25"/>
  <c r="AS268" i="25"/>
  <c r="AU268" i="25"/>
  <c r="AV267" i="25"/>
  <c r="AO268" i="25"/>
  <c r="AP268" i="25"/>
  <c r="AN268" i="25"/>
  <c r="AM269" i="25"/>
  <c r="AQ267" i="25"/>
  <c r="AJ268" i="25"/>
  <c r="AK268" i="25"/>
  <c r="AH269" i="25"/>
  <c r="AI268" i="25"/>
  <c r="AL267" i="25"/>
  <c r="AE268" i="25"/>
  <c r="AF268" i="25"/>
  <c r="AD268" i="25"/>
  <c r="AC269" i="25"/>
  <c r="AG267" i="25"/>
  <c r="Z268" i="25"/>
  <c r="AA268" i="25"/>
  <c r="Y268" i="25"/>
  <c r="X269" i="25"/>
  <c r="AB267" i="25"/>
  <c r="U270" i="25"/>
  <c r="V270" i="25"/>
  <c r="T270" i="25"/>
  <c r="S271" i="25"/>
  <c r="W269" i="25"/>
  <c r="N317" i="36"/>
  <c r="M268" i="25" s="1"/>
  <c r="M318" i="36"/>
  <c r="L269" i="25" s="1"/>
  <c r="K318" i="36"/>
  <c r="J269" i="25" s="1"/>
  <c r="L318" i="36"/>
  <c r="K269" i="25" s="1"/>
  <c r="J319" i="36"/>
  <c r="I270" i="25" s="1"/>
  <c r="AV268" i="25" l="1"/>
  <c r="BF270" i="25"/>
  <c r="BB272" i="25"/>
  <c r="BC271" i="25"/>
  <c r="BE271" i="25"/>
  <c r="BD271" i="25"/>
  <c r="BA268" i="25"/>
  <c r="AZ269" i="25"/>
  <c r="AW270" i="25"/>
  <c r="AX269" i="25"/>
  <c r="AY269" i="25"/>
  <c r="AR270" i="25"/>
  <c r="AS269" i="25"/>
  <c r="AU269" i="25"/>
  <c r="AT269" i="25"/>
  <c r="AQ268" i="25"/>
  <c r="AM270" i="25"/>
  <c r="AN269" i="25"/>
  <c r="AO269" i="25"/>
  <c r="AP269" i="25"/>
  <c r="AL268" i="25"/>
  <c r="AH270" i="25"/>
  <c r="AI269" i="25"/>
  <c r="AJ269" i="25"/>
  <c r="AK269" i="25"/>
  <c r="AG268" i="25"/>
  <c r="AF269" i="25"/>
  <c r="AC270" i="25"/>
  <c r="AD269" i="25"/>
  <c r="AE269" i="25"/>
  <c r="AB268" i="25"/>
  <c r="X270" i="25"/>
  <c r="Y269" i="25"/>
  <c r="Z269" i="25"/>
  <c r="AA269" i="25"/>
  <c r="W270" i="25"/>
  <c r="S272" i="25"/>
  <c r="T271" i="25"/>
  <c r="U271" i="25"/>
  <c r="V271" i="25"/>
  <c r="N318" i="36"/>
  <c r="M269" i="25" s="1"/>
  <c r="L319" i="36"/>
  <c r="K270" i="25" s="1"/>
  <c r="M319" i="36"/>
  <c r="L270" i="25" s="1"/>
  <c r="J320" i="36"/>
  <c r="I271" i="25" s="1"/>
  <c r="K319" i="36"/>
  <c r="J270" i="25" s="1"/>
  <c r="BD272" i="25" l="1"/>
  <c r="BC272" i="25"/>
  <c r="BB273" i="25"/>
  <c r="BE272" i="25"/>
  <c r="BF271" i="25"/>
  <c r="AY270" i="25"/>
  <c r="AZ270" i="25"/>
  <c r="AX270" i="25"/>
  <c r="AW271" i="25"/>
  <c r="BA269" i="25"/>
  <c r="AV269" i="25"/>
  <c r="AT270" i="25"/>
  <c r="AU270" i="25"/>
  <c r="AS270" i="25"/>
  <c r="AR271" i="25"/>
  <c r="AQ269" i="25"/>
  <c r="AM271" i="25"/>
  <c r="AN270" i="25"/>
  <c r="AO270" i="25"/>
  <c r="AP270" i="25"/>
  <c r="AL269" i="25"/>
  <c r="AJ270" i="25"/>
  <c r="AH271" i="25"/>
  <c r="AI270" i="25"/>
  <c r="AK270" i="25"/>
  <c r="AE270" i="25"/>
  <c r="AC271" i="25"/>
  <c r="AD270" i="25"/>
  <c r="AF270" i="25"/>
  <c r="AG269" i="25"/>
  <c r="AB269" i="25"/>
  <c r="Z270" i="25"/>
  <c r="X271" i="25"/>
  <c r="Y270" i="25"/>
  <c r="AA270" i="25"/>
  <c r="W271" i="25"/>
  <c r="S273" i="25"/>
  <c r="T272" i="25"/>
  <c r="V272" i="25"/>
  <c r="U272" i="25"/>
  <c r="N319" i="36"/>
  <c r="M270" i="25" s="1"/>
  <c r="J321" i="36"/>
  <c r="I272" i="25" s="1"/>
  <c r="K320" i="36"/>
  <c r="J271" i="25" s="1"/>
  <c r="L320" i="36"/>
  <c r="K271" i="25" s="1"/>
  <c r="M320" i="36"/>
  <c r="L271" i="25" s="1"/>
  <c r="W272" i="25" l="1"/>
  <c r="BF272" i="25"/>
  <c r="BE273" i="25"/>
  <c r="BB274" i="25"/>
  <c r="BC273" i="25"/>
  <c r="BD273" i="25"/>
  <c r="BA270" i="25"/>
  <c r="AW272" i="25"/>
  <c r="AX271" i="25"/>
  <c r="AY271" i="25"/>
  <c r="AZ271" i="25"/>
  <c r="AV270" i="25"/>
  <c r="AU271" i="25"/>
  <c r="AR272" i="25"/>
  <c r="AS271" i="25"/>
  <c r="AT271" i="25"/>
  <c r="AQ270" i="25"/>
  <c r="AP271" i="25"/>
  <c r="AM272" i="25"/>
  <c r="AN271" i="25"/>
  <c r="AO271" i="25"/>
  <c r="AL270" i="25"/>
  <c r="AK271" i="25"/>
  <c r="AH272" i="25"/>
  <c r="AI271" i="25"/>
  <c r="AJ271" i="25"/>
  <c r="AG270" i="25"/>
  <c r="AC272" i="25"/>
  <c r="AD271" i="25"/>
  <c r="AF271" i="25"/>
  <c r="AE271" i="25"/>
  <c r="AB270" i="25"/>
  <c r="AA271" i="25"/>
  <c r="X272" i="25"/>
  <c r="Y271" i="25"/>
  <c r="Z271" i="25"/>
  <c r="V273" i="25"/>
  <c r="T273" i="25"/>
  <c r="U273" i="25"/>
  <c r="S274" i="25"/>
  <c r="N320" i="36"/>
  <c r="M271" i="25" s="1"/>
  <c r="J322" i="36"/>
  <c r="I273" i="25" s="1"/>
  <c r="K321" i="36"/>
  <c r="J272" i="25" s="1"/>
  <c r="M321" i="36"/>
  <c r="L272" i="25" s="1"/>
  <c r="L321" i="36"/>
  <c r="K272" i="25" s="1"/>
  <c r="BD274" i="25" l="1"/>
  <c r="BE274" i="25"/>
  <c r="BB275" i="25"/>
  <c r="BC274" i="25"/>
  <c r="BF273" i="25"/>
  <c r="BA271" i="25"/>
  <c r="AW273" i="25"/>
  <c r="AX272" i="25"/>
  <c r="AY272" i="25"/>
  <c r="AZ272" i="25"/>
  <c r="AT272" i="25"/>
  <c r="AR273" i="25"/>
  <c r="AS272" i="25"/>
  <c r="AU272" i="25"/>
  <c r="AV271" i="25"/>
  <c r="AO272" i="25"/>
  <c r="AP272" i="25"/>
  <c r="AM273" i="25"/>
  <c r="AN272" i="25"/>
  <c r="AQ271" i="25"/>
  <c r="AJ272" i="25"/>
  <c r="AK272" i="25"/>
  <c r="AI272" i="25"/>
  <c r="AH273" i="25"/>
  <c r="AL271" i="25"/>
  <c r="AE272" i="25"/>
  <c r="AF272" i="25"/>
  <c r="AC273" i="25"/>
  <c r="AD272" i="25"/>
  <c r="AG271" i="25"/>
  <c r="Z272" i="25"/>
  <c r="AA272" i="25"/>
  <c r="X273" i="25"/>
  <c r="Y272" i="25"/>
  <c r="AB271" i="25"/>
  <c r="W273" i="25"/>
  <c r="U274" i="25"/>
  <c r="V274" i="25"/>
  <c r="S275" i="25"/>
  <c r="T274" i="25"/>
  <c r="M322" i="36"/>
  <c r="L273" i="25" s="1"/>
  <c r="J323" i="36"/>
  <c r="I274" i="25" s="1"/>
  <c r="K322" i="36"/>
  <c r="J273" i="25" s="1"/>
  <c r="L322" i="36"/>
  <c r="K273" i="25" s="1"/>
  <c r="N321" i="36"/>
  <c r="M272" i="25" s="1"/>
  <c r="BF274" i="25" l="1"/>
  <c r="BB276" i="25"/>
  <c r="BC275" i="25"/>
  <c r="BE275" i="25"/>
  <c r="BD275" i="25"/>
  <c r="BA272" i="25"/>
  <c r="AZ273" i="25"/>
  <c r="AW274" i="25"/>
  <c r="AX273" i="25"/>
  <c r="AY273" i="25"/>
  <c r="AR274" i="25"/>
  <c r="AS273" i="25"/>
  <c r="AU273" i="25"/>
  <c r="AT273" i="25"/>
  <c r="AV272" i="25"/>
  <c r="AQ272" i="25"/>
  <c r="AM274" i="25"/>
  <c r="AN273" i="25"/>
  <c r="AO273" i="25"/>
  <c r="AP273" i="25"/>
  <c r="AL272" i="25"/>
  <c r="AH274" i="25"/>
  <c r="AI273" i="25"/>
  <c r="AK273" i="25"/>
  <c r="AJ273" i="25"/>
  <c r="AG272" i="25"/>
  <c r="AF273" i="25"/>
  <c r="AC274" i="25"/>
  <c r="AD273" i="25"/>
  <c r="AE273" i="25"/>
  <c r="AB272" i="25"/>
  <c r="X274" i="25"/>
  <c r="Y273" i="25"/>
  <c r="AA273" i="25"/>
  <c r="Z273" i="25"/>
  <c r="W274" i="25"/>
  <c r="S276" i="25"/>
  <c r="T275" i="25"/>
  <c r="U275" i="25"/>
  <c r="V275" i="25"/>
  <c r="L323" i="36"/>
  <c r="K274" i="25" s="1"/>
  <c r="M323" i="36"/>
  <c r="L274" i="25" s="1"/>
  <c r="J324" i="36"/>
  <c r="I275" i="25" s="1"/>
  <c r="K323" i="36"/>
  <c r="J274" i="25" s="1"/>
  <c r="N322" i="36"/>
  <c r="M273" i="25" s="1"/>
  <c r="BD276" i="25" l="1"/>
  <c r="BB277" i="25"/>
  <c r="BC276" i="25"/>
  <c r="BE276" i="25"/>
  <c r="BF275" i="25"/>
  <c r="AY274" i="25"/>
  <c r="AZ274" i="25"/>
  <c r="AX274" i="25"/>
  <c r="AW275" i="25"/>
  <c r="BA273" i="25"/>
  <c r="AT274" i="25"/>
  <c r="AU274" i="25"/>
  <c r="AR275" i="25"/>
  <c r="AS274" i="25"/>
  <c r="AV273" i="25"/>
  <c r="AM275" i="25"/>
  <c r="AN274" i="25"/>
  <c r="AO274" i="25"/>
  <c r="AP274" i="25"/>
  <c r="AQ273" i="25"/>
  <c r="AH275" i="25"/>
  <c r="AI274" i="25"/>
  <c r="AJ274" i="25"/>
  <c r="AK274" i="25"/>
  <c r="AL273" i="25"/>
  <c r="AE274" i="25"/>
  <c r="AC275" i="25"/>
  <c r="AD274" i="25"/>
  <c r="AF274" i="25"/>
  <c r="AG273" i="25"/>
  <c r="X275" i="25"/>
  <c r="Y274" i="25"/>
  <c r="Z274" i="25"/>
  <c r="AA274" i="25"/>
  <c r="AB273" i="25"/>
  <c r="S277" i="25"/>
  <c r="T276" i="25"/>
  <c r="U276" i="25"/>
  <c r="V276" i="25"/>
  <c r="W275" i="25"/>
  <c r="N323" i="36"/>
  <c r="M274" i="25" s="1"/>
  <c r="J325" i="36"/>
  <c r="I276" i="25" s="1"/>
  <c r="K324" i="36"/>
  <c r="J275" i="25" s="1"/>
  <c r="L324" i="36"/>
  <c r="K275" i="25" s="1"/>
  <c r="M324" i="36"/>
  <c r="L275" i="25" s="1"/>
  <c r="BF276" i="25" l="1"/>
  <c r="BE277" i="25"/>
  <c r="BB278" i="25"/>
  <c r="BC277" i="25"/>
  <c r="BD277" i="25"/>
  <c r="BA274" i="25"/>
  <c r="AW276" i="25"/>
  <c r="AX275" i="25"/>
  <c r="AY275" i="25"/>
  <c r="AZ275" i="25"/>
  <c r="AV274" i="25"/>
  <c r="AU275" i="25"/>
  <c r="AR276" i="25"/>
  <c r="AS275" i="25"/>
  <c r="AT275" i="25"/>
  <c r="AQ274" i="25"/>
  <c r="AP275" i="25"/>
  <c r="AM276" i="25"/>
  <c r="AN275" i="25"/>
  <c r="AO275" i="25"/>
  <c r="AK275" i="25"/>
  <c r="AI275" i="25"/>
  <c r="AH276" i="25"/>
  <c r="AJ275" i="25"/>
  <c r="AL274" i="25"/>
  <c r="AG274" i="25"/>
  <c r="AC276" i="25"/>
  <c r="AD275" i="25"/>
  <c r="AF275" i="25"/>
  <c r="AE275" i="25"/>
  <c r="AB274" i="25"/>
  <c r="AA275" i="25"/>
  <c r="Y275" i="25"/>
  <c r="X276" i="25"/>
  <c r="Z275" i="25"/>
  <c r="W276" i="25"/>
  <c r="V277" i="25"/>
  <c r="S278" i="25"/>
  <c r="T277" i="25"/>
  <c r="U277" i="25"/>
  <c r="N324" i="36"/>
  <c r="M275" i="25" s="1"/>
  <c r="L325" i="36"/>
  <c r="K276" i="25" s="1"/>
  <c r="J326" i="36"/>
  <c r="I277" i="25" s="1"/>
  <c r="K325" i="36"/>
  <c r="J276" i="25" s="1"/>
  <c r="M325" i="36"/>
  <c r="L276" i="25" s="1"/>
  <c r="BD278" i="25" l="1"/>
  <c r="BE278" i="25"/>
  <c r="BC278" i="25"/>
  <c r="BB279" i="25"/>
  <c r="BF277" i="25"/>
  <c r="BA275" i="25"/>
  <c r="AW277" i="25"/>
  <c r="AX276" i="25"/>
  <c r="AY276" i="25"/>
  <c r="AZ276" i="25"/>
  <c r="AT276" i="25"/>
  <c r="AR277" i="25"/>
  <c r="AS276" i="25"/>
  <c r="AU276" i="25"/>
  <c r="AV275" i="25"/>
  <c r="AO276" i="25"/>
  <c r="AP276" i="25"/>
  <c r="AN276" i="25"/>
  <c r="AM277" i="25"/>
  <c r="AQ275" i="25"/>
  <c r="AJ276" i="25"/>
  <c r="AK276" i="25"/>
  <c r="AH277" i="25"/>
  <c r="AI276" i="25"/>
  <c r="AL275" i="25"/>
  <c r="AE276" i="25"/>
  <c r="AF276" i="25"/>
  <c r="AD276" i="25"/>
  <c r="AC277" i="25"/>
  <c r="AG275" i="25"/>
  <c r="Z276" i="25"/>
  <c r="AA276" i="25"/>
  <c r="Y276" i="25"/>
  <c r="X277" i="25"/>
  <c r="AB275" i="25"/>
  <c r="U278" i="25"/>
  <c r="V278" i="25"/>
  <c r="S279" i="25"/>
  <c r="T278" i="25"/>
  <c r="W277" i="25"/>
  <c r="N325" i="36"/>
  <c r="M276" i="25" s="1"/>
  <c r="M326" i="36"/>
  <c r="L277" i="25" s="1"/>
  <c r="J327" i="36"/>
  <c r="I278" i="25" s="1"/>
  <c r="L326" i="36"/>
  <c r="K277" i="25" s="1"/>
  <c r="K326" i="36"/>
  <c r="J277" i="25" s="1"/>
  <c r="BF278" i="25" l="1"/>
  <c r="BB280" i="25"/>
  <c r="BC279" i="25"/>
  <c r="BE279" i="25"/>
  <c r="BD279" i="25"/>
  <c r="BA276" i="25"/>
  <c r="AZ277" i="25"/>
  <c r="AW278" i="25"/>
  <c r="AX277" i="25"/>
  <c r="AY277" i="25"/>
  <c r="AV276" i="25"/>
  <c r="AR278" i="25"/>
  <c r="AS277" i="25"/>
  <c r="AU277" i="25"/>
  <c r="AT277" i="25"/>
  <c r="AQ276" i="25"/>
  <c r="AM278" i="25"/>
  <c r="AN277" i="25"/>
  <c r="AO277" i="25"/>
  <c r="AP277" i="25"/>
  <c r="AL276" i="25"/>
  <c r="AH278" i="25"/>
  <c r="AI277" i="25"/>
  <c r="AJ277" i="25"/>
  <c r="AK277" i="25"/>
  <c r="AG276" i="25"/>
  <c r="AF277" i="25"/>
  <c r="AC278" i="25"/>
  <c r="AD277" i="25"/>
  <c r="AE277" i="25"/>
  <c r="AB276" i="25"/>
  <c r="X278" i="25"/>
  <c r="Y277" i="25"/>
  <c r="Z277" i="25"/>
  <c r="AA277" i="25"/>
  <c r="W278" i="25"/>
  <c r="S280" i="25"/>
  <c r="T279" i="25"/>
  <c r="U279" i="25"/>
  <c r="V279" i="25"/>
  <c r="N326" i="36"/>
  <c r="M277" i="25" s="1"/>
  <c r="L327" i="36"/>
  <c r="K278" i="25" s="1"/>
  <c r="M327" i="36"/>
  <c r="L278" i="25" s="1"/>
  <c r="J328" i="36"/>
  <c r="I279" i="25" s="1"/>
  <c r="K327" i="36"/>
  <c r="J278" i="25" s="1"/>
  <c r="BD280" i="25" l="1"/>
  <c r="BC280" i="25"/>
  <c r="BB281" i="25"/>
  <c r="BE280" i="25"/>
  <c r="BF279" i="25"/>
  <c r="AY278" i="25"/>
  <c r="AZ278" i="25"/>
  <c r="AW279" i="25"/>
  <c r="AX278" i="25"/>
  <c r="BA277" i="25"/>
  <c r="AT278" i="25"/>
  <c r="AU278" i="25"/>
  <c r="AR279" i="25"/>
  <c r="AS278" i="25"/>
  <c r="AV277" i="25"/>
  <c r="AM279" i="25"/>
  <c r="AN278" i="25"/>
  <c r="AO278" i="25"/>
  <c r="AP278" i="25"/>
  <c r="AQ277" i="25"/>
  <c r="AL277" i="25"/>
  <c r="AJ278" i="25"/>
  <c r="AH279" i="25"/>
  <c r="AI278" i="25"/>
  <c r="AK278" i="25"/>
  <c r="AE278" i="25"/>
  <c r="AC279" i="25"/>
  <c r="AD278" i="25"/>
  <c r="AF278" i="25"/>
  <c r="AG277" i="25"/>
  <c r="AB277" i="25"/>
  <c r="Z278" i="25"/>
  <c r="X279" i="25"/>
  <c r="Y278" i="25"/>
  <c r="AA278" i="25"/>
  <c r="W279" i="25"/>
  <c r="S281" i="25"/>
  <c r="T280" i="25"/>
  <c r="U280" i="25"/>
  <c r="V280" i="25"/>
  <c r="N327" i="36"/>
  <c r="M278" i="25" s="1"/>
  <c r="J329" i="36"/>
  <c r="I280" i="25" s="1"/>
  <c r="K328" i="36"/>
  <c r="J279" i="25" s="1"/>
  <c r="L328" i="36"/>
  <c r="K279" i="25" s="1"/>
  <c r="M328" i="36"/>
  <c r="L279" i="25" s="1"/>
  <c r="BF280" i="25" l="1"/>
  <c r="BE281" i="25"/>
  <c r="BB282" i="25"/>
  <c r="BC281" i="25"/>
  <c r="BD281" i="25"/>
  <c r="BA278" i="25"/>
  <c r="AW280" i="25"/>
  <c r="AX279" i="25"/>
  <c r="AY279" i="25"/>
  <c r="AZ279" i="25"/>
  <c r="AV278" i="25"/>
  <c r="AU279" i="25"/>
  <c r="AR280" i="25"/>
  <c r="AS279" i="25"/>
  <c r="AT279" i="25"/>
  <c r="AQ278" i="25"/>
  <c r="AP279" i="25"/>
  <c r="AM280" i="25"/>
  <c r="AN279" i="25"/>
  <c r="AO279" i="25"/>
  <c r="AL278" i="25"/>
  <c r="AK279" i="25"/>
  <c r="AH280" i="25"/>
  <c r="AI279" i="25"/>
  <c r="AJ279" i="25"/>
  <c r="AG278" i="25"/>
  <c r="AC280" i="25"/>
  <c r="AD279" i="25"/>
  <c r="AF279" i="25"/>
  <c r="AE279" i="25"/>
  <c r="AB278" i="25"/>
  <c r="AA279" i="25"/>
  <c r="X280" i="25"/>
  <c r="Y279" i="25"/>
  <c r="Z279" i="25"/>
  <c r="W280" i="25"/>
  <c r="V281" i="25"/>
  <c r="T281" i="25"/>
  <c r="U281" i="25"/>
  <c r="S282" i="25"/>
  <c r="N328" i="36"/>
  <c r="M279" i="25" s="1"/>
  <c r="J330" i="36"/>
  <c r="I281" i="25" s="1"/>
  <c r="K329" i="36"/>
  <c r="J280" i="25" s="1"/>
  <c r="L329" i="36"/>
  <c r="K280" i="25" s="1"/>
  <c r="M329" i="36"/>
  <c r="L280" i="25" s="1"/>
  <c r="BD282" i="25" l="1"/>
  <c r="BE282" i="25"/>
  <c r="BB283" i="25"/>
  <c r="BC282" i="25"/>
  <c r="BF281" i="25"/>
  <c r="BA279" i="25"/>
  <c r="AW281" i="25"/>
  <c r="AX280" i="25"/>
  <c r="AY280" i="25"/>
  <c r="AZ280" i="25"/>
  <c r="AT280" i="25"/>
  <c r="AR281" i="25"/>
  <c r="AS280" i="25"/>
  <c r="AU280" i="25"/>
  <c r="AV279" i="25"/>
  <c r="AO280" i="25"/>
  <c r="AP280" i="25"/>
  <c r="AN280" i="25"/>
  <c r="AM281" i="25"/>
  <c r="AQ279" i="25"/>
  <c r="AJ280" i="25"/>
  <c r="AK280" i="25"/>
  <c r="AI280" i="25"/>
  <c r="AH281" i="25"/>
  <c r="AL279" i="25"/>
  <c r="AE280" i="25"/>
  <c r="AF280" i="25"/>
  <c r="AD280" i="25"/>
  <c r="AC281" i="25"/>
  <c r="AG279" i="25"/>
  <c r="Z280" i="25"/>
  <c r="AA280" i="25"/>
  <c r="X281" i="25"/>
  <c r="Y280" i="25"/>
  <c r="AB279" i="25"/>
  <c r="W281" i="25"/>
  <c r="U282" i="25"/>
  <c r="V282" i="25"/>
  <c r="S283" i="25"/>
  <c r="T282" i="25"/>
  <c r="N329" i="36"/>
  <c r="M280" i="25" s="1"/>
  <c r="M330" i="36"/>
  <c r="L281" i="25" s="1"/>
  <c r="K330" i="36"/>
  <c r="J281" i="25" s="1"/>
  <c r="L330" i="36"/>
  <c r="K281" i="25" s="1"/>
  <c r="J331" i="36"/>
  <c r="I282" i="25" s="1"/>
  <c r="AV280" i="25" l="1"/>
  <c r="BF282" i="25"/>
  <c r="BB284" i="25"/>
  <c r="BC283" i="25"/>
  <c r="BE283" i="25"/>
  <c r="BD283" i="25"/>
  <c r="BA280" i="25"/>
  <c r="AZ281" i="25"/>
  <c r="AW282" i="25"/>
  <c r="AX281" i="25"/>
  <c r="AY281" i="25"/>
  <c r="AR282" i="25"/>
  <c r="AS281" i="25"/>
  <c r="AU281" i="25"/>
  <c r="AT281" i="25"/>
  <c r="AQ280" i="25"/>
  <c r="AM282" i="25"/>
  <c r="AN281" i="25"/>
  <c r="AO281" i="25"/>
  <c r="AP281" i="25"/>
  <c r="AL280" i="25"/>
  <c r="AH282" i="25"/>
  <c r="AI281" i="25"/>
  <c r="AK281" i="25"/>
  <c r="AJ281" i="25"/>
  <c r="AG280" i="25"/>
  <c r="AF281" i="25"/>
  <c r="AC282" i="25"/>
  <c r="AD281" i="25"/>
  <c r="AE281" i="25"/>
  <c r="AB280" i="25"/>
  <c r="X282" i="25"/>
  <c r="Y281" i="25"/>
  <c r="AA281" i="25"/>
  <c r="Z281" i="25"/>
  <c r="W282" i="25"/>
  <c r="S284" i="25"/>
  <c r="T283" i="25"/>
  <c r="U283" i="25"/>
  <c r="V283" i="25"/>
  <c r="N330" i="36"/>
  <c r="M281" i="25" s="1"/>
  <c r="L331" i="36"/>
  <c r="K282" i="25" s="1"/>
  <c r="M331" i="36"/>
  <c r="L282" i="25" s="1"/>
  <c r="J332" i="36"/>
  <c r="I283" i="25" s="1"/>
  <c r="K331" i="36"/>
  <c r="J282" i="25" s="1"/>
  <c r="BD284" i="25" l="1"/>
  <c r="BB285" i="25"/>
  <c r="BC284" i="25"/>
  <c r="BE284" i="25"/>
  <c r="BF283" i="25"/>
  <c r="AY282" i="25"/>
  <c r="AZ282" i="25"/>
  <c r="AW283" i="25"/>
  <c r="AX282" i="25"/>
  <c r="BA281" i="25"/>
  <c r="AT282" i="25"/>
  <c r="AU282" i="25"/>
  <c r="AS282" i="25"/>
  <c r="AR283" i="25"/>
  <c r="AV281" i="25"/>
  <c r="AQ281" i="25"/>
  <c r="AM283" i="25"/>
  <c r="AN282" i="25"/>
  <c r="AO282" i="25"/>
  <c r="AP282" i="25"/>
  <c r="AH283" i="25"/>
  <c r="AI282" i="25"/>
  <c r="AJ282" i="25"/>
  <c r="AK282" i="25"/>
  <c r="AL281" i="25"/>
  <c r="AE282" i="25"/>
  <c r="AC283" i="25"/>
  <c r="AD282" i="25"/>
  <c r="AF282" i="25"/>
  <c r="AG281" i="25"/>
  <c r="X283" i="25"/>
  <c r="Y282" i="25"/>
  <c r="Z282" i="25"/>
  <c r="AA282" i="25"/>
  <c r="AB281" i="25"/>
  <c r="W283" i="25"/>
  <c r="S285" i="25"/>
  <c r="T284" i="25"/>
  <c r="U284" i="25"/>
  <c r="V284" i="25"/>
  <c r="N331" i="36"/>
  <c r="M282" i="25" s="1"/>
  <c r="J333" i="36"/>
  <c r="I284" i="25" s="1"/>
  <c r="K332" i="36"/>
  <c r="J283" i="25" s="1"/>
  <c r="M332" i="36"/>
  <c r="L283" i="25" s="1"/>
  <c r="L332" i="36"/>
  <c r="K283" i="25" s="1"/>
  <c r="BF284" i="25" l="1"/>
  <c r="BE285" i="25"/>
  <c r="BB286" i="25"/>
  <c r="BC285" i="25"/>
  <c r="BD285" i="25"/>
  <c r="BA282" i="25"/>
  <c r="AW284" i="25"/>
  <c r="AX283" i="25"/>
  <c r="AY283" i="25"/>
  <c r="AZ283" i="25"/>
  <c r="AV282" i="25"/>
  <c r="AU283" i="25"/>
  <c r="AR284" i="25"/>
  <c r="AS283" i="25"/>
  <c r="AT283" i="25"/>
  <c r="AQ282" i="25"/>
  <c r="AP283" i="25"/>
  <c r="AM284" i="25"/>
  <c r="AN283" i="25"/>
  <c r="AO283" i="25"/>
  <c r="AL282" i="25"/>
  <c r="AK283" i="25"/>
  <c r="AI283" i="25"/>
  <c r="AH284" i="25"/>
  <c r="AJ283" i="25"/>
  <c r="AG282" i="25"/>
  <c r="AC284" i="25"/>
  <c r="AD283" i="25"/>
  <c r="AF283" i="25"/>
  <c r="AE283" i="25"/>
  <c r="AB282" i="25"/>
  <c r="AA283" i="25"/>
  <c r="Y283" i="25"/>
  <c r="X284" i="25"/>
  <c r="Z283" i="25"/>
  <c r="W284" i="25"/>
  <c r="V285" i="25"/>
  <c r="S286" i="25"/>
  <c r="T285" i="25"/>
  <c r="U285" i="25"/>
  <c r="J334" i="36"/>
  <c r="I285" i="25" s="1"/>
  <c r="K333" i="36"/>
  <c r="J284" i="25" s="1"/>
  <c r="M333" i="36"/>
  <c r="L284" i="25" s="1"/>
  <c r="L333" i="36"/>
  <c r="K284" i="25" s="1"/>
  <c r="N332" i="36"/>
  <c r="M283" i="25" s="1"/>
  <c r="BD286" i="25" l="1"/>
  <c r="BE286" i="25"/>
  <c r="BC286" i="25"/>
  <c r="BB287" i="25"/>
  <c r="BF285" i="25"/>
  <c r="BA283" i="25"/>
  <c r="AW285" i="25"/>
  <c r="AX284" i="25"/>
  <c r="AY284" i="25"/>
  <c r="AZ284" i="25"/>
  <c r="AT284" i="25"/>
  <c r="AR285" i="25"/>
  <c r="AS284" i="25"/>
  <c r="AU284" i="25"/>
  <c r="AV283" i="25"/>
  <c r="AO284" i="25"/>
  <c r="AP284" i="25"/>
  <c r="AM285" i="25"/>
  <c r="AN284" i="25"/>
  <c r="AQ283" i="25"/>
  <c r="AJ284" i="25"/>
  <c r="AK284" i="25"/>
  <c r="AH285" i="25"/>
  <c r="AI284" i="25"/>
  <c r="AL283" i="25"/>
  <c r="AE284" i="25"/>
  <c r="AF284" i="25"/>
  <c r="AD284" i="25"/>
  <c r="AC285" i="25"/>
  <c r="AG283" i="25"/>
  <c r="Z284" i="25"/>
  <c r="AA284" i="25"/>
  <c r="X285" i="25"/>
  <c r="Y284" i="25"/>
  <c r="AB283" i="25"/>
  <c r="U286" i="25"/>
  <c r="V286" i="25"/>
  <c r="T286" i="25"/>
  <c r="S287" i="25"/>
  <c r="W285" i="25"/>
  <c r="M334" i="36"/>
  <c r="L285" i="25" s="1"/>
  <c r="J335" i="36"/>
  <c r="I286" i="25" s="1"/>
  <c r="K334" i="36"/>
  <c r="J285" i="25" s="1"/>
  <c r="L334" i="36"/>
  <c r="K285" i="25" s="1"/>
  <c r="N333" i="36"/>
  <c r="M284" i="25" s="1"/>
  <c r="AV284" i="25" l="1"/>
  <c r="BF286" i="25"/>
  <c r="BB288" i="25"/>
  <c r="BC287" i="25"/>
  <c r="BE287" i="25"/>
  <c r="BD287" i="25"/>
  <c r="BA284" i="25"/>
  <c r="AZ285" i="25"/>
  <c r="AW286" i="25"/>
  <c r="AX285" i="25"/>
  <c r="AY285" i="25"/>
  <c r="AR286" i="25"/>
  <c r="AS285" i="25"/>
  <c r="AU285" i="25"/>
  <c r="AT285" i="25"/>
  <c r="AQ284" i="25"/>
  <c r="AM286" i="25"/>
  <c r="AN285" i="25"/>
  <c r="AO285" i="25"/>
  <c r="AP285" i="25"/>
  <c r="AL284" i="25"/>
  <c r="AH286" i="25"/>
  <c r="AI285" i="25"/>
  <c r="AK285" i="25"/>
  <c r="AJ285" i="25"/>
  <c r="AG284" i="25"/>
  <c r="AF285" i="25"/>
  <c r="AC286" i="25"/>
  <c r="AD285" i="25"/>
  <c r="AE285" i="25"/>
  <c r="AB284" i="25"/>
  <c r="X286" i="25"/>
  <c r="Y285" i="25"/>
  <c r="Z285" i="25"/>
  <c r="AA285" i="25"/>
  <c r="W286" i="25"/>
  <c r="S288" i="25"/>
  <c r="T287" i="25"/>
  <c r="U287" i="25"/>
  <c r="V287" i="25"/>
  <c r="L335" i="36"/>
  <c r="K286" i="25" s="1"/>
  <c r="M335" i="36"/>
  <c r="L286" i="25" s="1"/>
  <c r="J336" i="36"/>
  <c r="I287" i="25" s="1"/>
  <c r="K335" i="36"/>
  <c r="J286" i="25" s="1"/>
  <c r="N334" i="36"/>
  <c r="M285" i="25" s="1"/>
  <c r="BD288" i="25" l="1"/>
  <c r="BC288" i="25"/>
  <c r="BB289" i="25"/>
  <c r="BE288" i="25"/>
  <c r="BF287" i="25"/>
  <c r="AY286" i="25"/>
  <c r="AZ286" i="25"/>
  <c r="AX286" i="25"/>
  <c r="AW287" i="25"/>
  <c r="BA285" i="25"/>
  <c r="AT286" i="25"/>
  <c r="AU286" i="25"/>
  <c r="AS286" i="25"/>
  <c r="AR287" i="25"/>
  <c r="AV285" i="25"/>
  <c r="AM287" i="25"/>
  <c r="AN286" i="25"/>
  <c r="AO286" i="25"/>
  <c r="AP286" i="25"/>
  <c r="AQ285" i="25"/>
  <c r="AH287" i="25"/>
  <c r="AI286" i="25"/>
  <c r="AJ286" i="25"/>
  <c r="AK286" i="25"/>
  <c r="AL285" i="25"/>
  <c r="AE286" i="25"/>
  <c r="AC287" i="25"/>
  <c r="AD286" i="25"/>
  <c r="AF286" i="25"/>
  <c r="AG285" i="25"/>
  <c r="AB285" i="25"/>
  <c r="Z286" i="25"/>
  <c r="X287" i="25"/>
  <c r="Y286" i="25"/>
  <c r="AA286" i="25"/>
  <c r="W287" i="25"/>
  <c r="S289" i="25"/>
  <c r="T288" i="25"/>
  <c r="V288" i="25"/>
  <c r="U288" i="25"/>
  <c r="N335" i="36"/>
  <c r="M286" i="25" s="1"/>
  <c r="J337" i="36"/>
  <c r="I288" i="25" s="1"/>
  <c r="K336" i="36"/>
  <c r="J287" i="25" s="1"/>
  <c r="L336" i="36"/>
  <c r="K287" i="25" s="1"/>
  <c r="M336" i="36"/>
  <c r="L287" i="25" s="1"/>
  <c r="BF288" i="25" l="1"/>
  <c r="BE289" i="25"/>
  <c r="BB290" i="25"/>
  <c r="BC289" i="25"/>
  <c r="BD289" i="25"/>
  <c r="BA286" i="25"/>
  <c r="AW288" i="25"/>
  <c r="AX287" i="25"/>
  <c r="AY287" i="25"/>
  <c r="AZ287" i="25"/>
  <c r="AV286" i="25"/>
  <c r="AU287" i="25"/>
  <c r="AR288" i="25"/>
  <c r="AS287" i="25"/>
  <c r="AT287" i="25"/>
  <c r="AQ286" i="25"/>
  <c r="AP287" i="25"/>
  <c r="AM288" i="25"/>
  <c r="AN287" i="25"/>
  <c r="AO287" i="25"/>
  <c r="AL286" i="25"/>
  <c r="AK287" i="25"/>
  <c r="AH288" i="25"/>
  <c r="AJ287" i="25"/>
  <c r="AI287" i="25"/>
  <c r="AG286" i="25"/>
  <c r="AC288" i="25"/>
  <c r="AD287" i="25"/>
  <c r="AF287" i="25"/>
  <c r="AE287" i="25"/>
  <c r="AB286" i="25"/>
  <c r="AA287" i="25"/>
  <c r="X288" i="25"/>
  <c r="Y287" i="25"/>
  <c r="Z287" i="25"/>
  <c r="V289" i="25"/>
  <c r="T289" i="25"/>
  <c r="U289" i="25"/>
  <c r="S290" i="25"/>
  <c r="W288" i="25"/>
  <c r="L337" i="36"/>
  <c r="K288" i="25" s="1"/>
  <c r="J338" i="36"/>
  <c r="I289" i="25" s="1"/>
  <c r="K337" i="36"/>
  <c r="J288" i="25" s="1"/>
  <c r="M337" i="36"/>
  <c r="L288" i="25" s="1"/>
  <c r="N336" i="36"/>
  <c r="M287" i="25" s="1"/>
  <c r="BD290" i="25" l="1"/>
  <c r="BE290" i="25"/>
  <c r="BB291" i="25"/>
  <c r="BC290" i="25"/>
  <c r="BF289" i="25"/>
  <c r="BA287" i="25"/>
  <c r="AW289" i="25"/>
  <c r="AX288" i="25"/>
  <c r="AY288" i="25"/>
  <c r="AZ288" i="25"/>
  <c r="AT288" i="25"/>
  <c r="AR289" i="25"/>
  <c r="AS288" i="25"/>
  <c r="AU288" i="25"/>
  <c r="AV287" i="25"/>
  <c r="AO288" i="25"/>
  <c r="AP288" i="25"/>
  <c r="AM289" i="25"/>
  <c r="AN288" i="25"/>
  <c r="AQ287" i="25"/>
  <c r="AL287" i="25"/>
  <c r="AJ288" i="25"/>
  <c r="AH289" i="25"/>
  <c r="AI288" i="25"/>
  <c r="AK288" i="25"/>
  <c r="AG287" i="25"/>
  <c r="AE288" i="25"/>
  <c r="AF288" i="25"/>
  <c r="AC289" i="25"/>
  <c r="AD288" i="25"/>
  <c r="Z288" i="25"/>
  <c r="AA288" i="25"/>
  <c r="X289" i="25"/>
  <c r="Y288" i="25"/>
  <c r="AB287" i="25"/>
  <c r="W289" i="25"/>
  <c r="U290" i="25"/>
  <c r="V290" i="25"/>
  <c r="S291" i="25"/>
  <c r="T290" i="25"/>
  <c r="N337" i="36"/>
  <c r="M288" i="25" s="1"/>
  <c r="M338" i="36"/>
  <c r="L289" i="25" s="1"/>
  <c r="K338" i="36"/>
  <c r="J289" i="25" s="1"/>
  <c r="L338" i="36"/>
  <c r="K289" i="25" s="1"/>
  <c r="J339" i="36"/>
  <c r="I290" i="25" s="1"/>
  <c r="BF290" i="25" l="1"/>
  <c r="BB292" i="25"/>
  <c r="BC291" i="25"/>
  <c r="BE291" i="25"/>
  <c r="BD291" i="25"/>
  <c r="BA288" i="25"/>
  <c r="AZ289" i="25"/>
  <c r="AW290" i="25"/>
  <c r="AX289" i="25"/>
  <c r="AY289" i="25"/>
  <c r="AV288" i="25"/>
  <c r="AR290" i="25"/>
  <c r="AS289" i="25"/>
  <c r="AU289" i="25"/>
  <c r="AT289" i="25"/>
  <c r="AQ288" i="25"/>
  <c r="AN289" i="25"/>
  <c r="AP289" i="25"/>
  <c r="AM290" i="25"/>
  <c r="AH290" i="25"/>
  <c r="AI289" i="25"/>
  <c r="AK289" i="25"/>
  <c r="AJ289" i="25"/>
  <c r="AL288" i="25"/>
  <c r="AG288" i="25"/>
  <c r="AF289" i="25"/>
  <c r="AC290" i="25"/>
  <c r="AD289" i="25"/>
  <c r="AE289" i="25"/>
  <c r="AB288" i="25"/>
  <c r="X290" i="25"/>
  <c r="Y289" i="25"/>
  <c r="AA289" i="25"/>
  <c r="Z289" i="25"/>
  <c r="W290" i="25"/>
  <c r="S292" i="25"/>
  <c r="T291" i="25"/>
  <c r="U291" i="25"/>
  <c r="V291" i="25"/>
  <c r="N338" i="36"/>
  <c r="M289" i="25" s="1"/>
  <c r="L339" i="36"/>
  <c r="K290" i="25" s="1"/>
  <c r="M339" i="36"/>
  <c r="L290" i="25" s="1"/>
  <c r="J340" i="36"/>
  <c r="I291" i="25" s="1"/>
  <c r="K339" i="36"/>
  <c r="J290" i="25" s="1"/>
  <c r="AQ289" i="25" l="1"/>
  <c r="AO289" i="25"/>
  <c r="BD292" i="25"/>
  <c r="BB293" i="25"/>
  <c r="BC292" i="25"/>
  <c r="BE292" i="25"/>
  <c r="BF291" i="25"/>
  <c r="AY290" i="25"/>
  <c r="AZ290" i="25"/>
  <c r="AX290" i="25"/>
  <c r="AW291" i="25"/>
  <c r="BA289" i="25"/>
  <c r="AT290" i="25"/>
  <c r="AU290" i="25"/>
  <c r="AR291" i="25"/>
  <c r="AS290" i="25"/>
  <c r="AV289" i="25"/>
  <c r="AM291" i="25"/>
  <c r="AN290" i="25"/>
  <c r="AO290" i="25"/>
  <c r="AP290" i="25"/>
  <c r="AL289" i="25"/>
  <c r="AK290" i="25"/>
  <c r="AI290" i="25"/>
  <c r="AJ290" i="25"/>
  <c r="AH291" i="25"/>
  <c r="AE290" i="25"/>
  <c r="AC291" i="25"/>
  <c r="AD290" i="25"/>
  <c r="AF290" i="25"/>
  <c r="AG289" i="25"/>
  <c r="X291" i="25"/>
  <c r="Y290" i="25"/>
  <c r="Z290" i="25"/>
  <c r="AA290" i="25"/>
  <c r="AB289" i="25"/>
  <c r="W291" i="25"/>
  <c r="S293" i="25"/>
  <c r="T292" i="25"/>
  <c r="U292" i="25"/>
  <c r="V292" i="25"/>
  <c r="N339" i="36"/>
  <c r="M290" i="25" s="1"/>
  <c r="J341" i="36"/>
  <c r="I292" i="25" s="1"/>
  <c r="K340" i="36"/>
  <c r="J291" i="25" s="1"/>
  <c r="L340" i="36"/>
  <c r="K291" i="25" s="1"/>
  <c r="M340" i="36"/>
  <c r="L291" i="25" s="1"/>
  <c r="BF292" i="25" l="1"/>
  <c r="BE293" i="25"/>
  <c r="BB294" i="25"/>
  <c r="BC293" i="25"/>
  <c r="BD293" i="25"/>
  <c r="BA290" i="25"/>
  <c r="AW292" i="25"/>
  <c r="AX291" i="25"/>
  <c r="AY291" i="25"/>
  <c r="AZ291" i="25"/>
  <c r="AV290" i="25"/>
  <c r="AU291" i="25"/>
  <c r="AR292" i="25"/>
  <c r="AS291" i="25"/>
  <c r="AT291" i="25"/>
  <c r="AQ290" i="25"/>
  <c r="AO291" i="25"/>
  <c r="AP291" i="25"/>
  <c r="AM292" i="25"/>
  <c r="AN291" i="25"/>
  <c r="AL290" i="25"/>
  <c r="AJ291" i="25"/>
  <c r="AK291" i="25"/>
  <c r="AH292" i="25"/>
  <c r="AI291" i="25"/>
  <c r="AG290" i="25"/>
  <c r="AC292" i="25"/>
  <c r="AD291" i="25"/>
  <c r="AF291" i="25"/>
  <c r="AE291" i="25"/>
  <c r="AB290" i="25"/>
  <c r="AA291" i="25"/>
  <c r="Y291" i="25"/>
  <c r="X292" i="25"/>
  <c r="Z291" i="25"/>
  <c r="W292" i="25"/>
  <c r="V293" i="25"/>
  <c r="S294" i="25"/>
  <c r="T293" i="25"/>
  <c r="U293" i="25"/>
  <c r="N340" i="36"/>
  <c r="M291" i="25" s="1"/>
  <c r="J342" i="36"/>
  <c r="I293" i="25" s="1"/>
  <c r="K341" i="36"/>
  <c r="J292" i="25" s="1"/>
  <c r="M341" i="36"/>
  <c r="L292" i="25" s="1"/>
  <c r="L341" i="36"/>
  <c r="K292" i="25" s="1"/>
  <c r="BD294" i="25" l="1"/>
  <c r="BE294" i="25"/>
  <c r="BC294" i="25"/>
  <c r="BB295" i="25"/>
  <c r="BF293" i="25"/>
  <c r="BA291" i="25"/>
  <c r="AW293" i="25"/>
  <c r="AX292" i="25"/>
  <c r="AY292" i="25"/>
  <c r="AZ292" i="25"/>
  <c r="AT292" i="25"/>
  <c r="AR293" i="25"/>
  <c r="AS292" i="25"/>
  <c r="AU292" i="25"/>
  <c r="AV291" i="25"/>
  <c r="AQ291" i="25"/>
  <c r="AP292" i="25"/>
  <c r="AO292" i="25"/>
  <c r="AM293" i="25"/>
  <c r="AN292" i="25"/>
  <c r="AL291" i="25"/>
  <c r="AH293" i="25"/>
  <c r="AI292" i="25"/>
  <c r="AJ292" i="25"/>
  <c r="AK292" i="25"/>
  <c r="AE292" i="25"/>
  <c r="AF292" i="25"/>
  <c r="AD292" i="25"/>
  <c r="AC293" i="25"/>
  <c r="AG291" i="25"/>
  <c r="Z292" i="25"/>
  <c r="AA292" i="25"/>
  <c r="Y292" i="25"/>
  <c r="X293" i="25"/>
  <c r="AB291" i="25"/>
  <c r="U294" i="25"/>
  <c r="V294" i="25"/>
  <c r="T294" i="25"/>
  <c r="S295" i="25"/>
  <c r="W293" i="25"/>
  <c r="M342" i="36"/>
  <c r="L293" i="25" s="1"/>
  <c r="K342" i="36"/>
  <c r="J293" i="25" s="1"/>
  <c r="J343" i="36"/>
  <c r="I294" i="25" s="1"/>
  <c r="L342" i="36"/>
  <c r="K293" i="25" s="1"/>
  <c r="N341" i="36"/>
  <c r="M292" i="25" s="1"/>
  <c r="AV292" i="25" l="1"/>
  <c r="BF294" i="25"/>
  <c r="BB296" i="25"/>
  <c r="BC295" i="25"/>
  <c r="BE295" i="25"/>
  <c r="BD295" i="25"/>
  <c r="BA292" i="25"/>
  <c r="AZ293" i="25"/>
  <c r="AW294" i="25"/>
  <c r="AX293" i="25"/>
  <c r="AY293" i="25"/>
  <c r="AR294" i="25"/>
  <c r="AS293" i="25"/>
  <c r="AU293" i="25"/>
  <c r="AT293" i="25"/>
  <c r="AQ292" i="25"/>
  <c r="AO293" i="25"/>
  <c r="AP293" i="25"/>
  <c r="AM294" i="25"/>
  <c r="AN293" i="25"/>
  <c r="AL292" i="25"/>
  <c r="AH294" i="25"/>
  <c r="AI293" i="25"/>
  <c r="AJ293" i="25"/>
  <c r="AK293" i="25"/>
  <c r="AG292" i="25"/>
  <c r="AF293" i="25"/>
  <c r="AC294" i="25"/>
  <c r="AD293" i="25"/>
  <c r="AE293" i="25"/>
  <c r="AB292" i="25"/>
  <c r="X294" i="25"/>
  <c r="Y293" i="25"/>
  <c r="Z293" i="25"/>
  <c r="AA293" i="25"/>
  <c r="W294" i="25"/>
  <c r="S296" i="25"/>
  <c r="T295" i="25"/>
  <c r="U295" i="25"/>
  <c r="V295" i="25"/>
  <c r="L343" i="36"/>
  <c r="K294" i="25" s="1"/>
  <c r="M343" i="36"/>
  <c r="L294" i="25" s="1"/>
  <c r="J344" i="36"/>
  <c r="I295" i="25" s="1"/>
  <c r="K343" i="36"/>
  <c r="J294" i="25" s="1"/>
  <c r="N342" i="36"/>
  <c r="M293" i="25" s="1"/>
  <c r="BD296" i="25" l="1"/>
  <c r="BC296" i="25"/>
  <c r="BB297" i="25"/>
  <c r="BE296" i="25"/>
  <c r="BF295" i="25"/>
  <c r="AY294" i="25"/>
  <c r="AZ294" i="25"/>
  <c r="AW295" i="25"/>
  <c r="AX294" i="25"/>
  <c r="BA293" i="25"/>
  <c r="AT294" i="25"/>
  <c r="AU294" i="25"/>
  <c r="AR295" i="25"/>
  <c r="AS294" i="25"/>
  <c r="AV293" i="25"/>
  <c r="AQ293" i="25"/>
  <c r="AM295" i="25"/>
  <c r="AN294" i="25"/>
  <c r="AP294" i="25"/>
  <c r="AO294" i="25"/>
  <c r="AL293" i="25"/>
  <c r="AK294" i="25"/>
  <c r="AH295" i="25"/>
  <c r="AI294" i="25"/>
  <c r="AJ294" i="25"/>
  <c r="AE294" i="25"/>
  <c r="AC295" i="25"/>
  <c r="AD294" i="25"/>
  <c r="AF294" i="25"/>
  <c r="AG293" i="25"/>
  <c r="AB293" i="25"/>
  <c r="Z294" i="25"/>
  <c r="X295" i="25"/>
  <c r="Y294" i="25"/>
  <c r="AA294" i="25"/>
  <c r="W295" i="25"/>
  <c r="S297" i="25"/>
  <c r="T296" i="25"/>
  <c r="V296" i="25"/>
  <c r="U296" i="25"/>
  <c r="N343" i="36"/>
  <c r="M294" i="25" s="1"/>
  <c r="J345" i="36"/>
  <c r="I296" i="25" s="1"/>
  <c r="K344" i="36"/>
  <c r="J295" i="25" s="1"/>
  <c r="L344" i="36"/>
  <c r="K295" i="25" s="1"/>
  <c r="M344" i="36"/>
  <c r="L295" i="25" s="1"/>
  <c r="BF296" i="25" l="1"/>
  <c r="BE297" i="25"/>
  <c r="BB298" i="25"/>
  <c r="BC297" i="25"/>
  <c r="BD297" i="25"/>
  <c r="AW296" i="25"/>
  <c r="AX295" i="25"/>
  <c r="AY295" i="25"/>
  <c r="AZ295" i="25"/>
  <c r="BA294" i="25"/>
  <c r="AV294" i="25"/>
  <c r="AU295" i="25"/>
  <c r="AR296" i="25"/>
  <c r="AS295" i="25"/>
  <c r="AT295" i="25"/>
  <c r="AP295" i="25"/>
  <c r="AM296" i="25"/>
  <c r="AN295" i="25"/>
  <c r="AO295" i="25"/>
  <c r="AQ294" i="25"/>
  <c r="AJ295" i="25"/>
  <c r="AK295" i="25"/>
  <c r="AI295" i="25"/>
  <c r="AH296" i="25"/>
  <c r="AL294" i="25"/>
  <c r="AG294" i="25"/>
  <c r="AC296" i="25"/>
  <c r="AD295" i="25"/>
  <c r="AF295" i="25"/>
  <c r="AE295" i="25"/>
  <c r="AB294" i="25"/>
  <c r="AA295" i="25"/>
  <c r="X296" i="25"/>
  <c r="Y295" i="25"/>
  <c r="Z295" i="25"/>
  <c r="V297" i="25"/>
  <c r="T297" i="25"/>
  <c r="U297" i="25"/>
  <c r="S298" i="25"/>
  <c r="W296" i="25"/>
  <c r="J346" i="36"/>
  <c r="I297" i="25" s="1"/>
  <c r="K345" i="36"/>
  <c r="J296" i="25" s="1"/>
  <c r="L345" i="36"/>
  <c r="K296" i="25" s="1"/>
  <c r="M345" i="36"/>
  <c r="L296" i="25" s="1"/>
  <c r="N344" i="36"/>
  <c r="M295" i="25" s="1"/>
  <c r="BD298" i="25" l="1"/>
  <c r="BE298" i="25"/>
  <c r="BB299" i="25"/>
  <c r="BC298" i="25"/>
  <c r="BF297" i="25"/>
  <c r="BA295" i="25"/>
  <c r="AW297" i="25"/>
  <c r="AX296" i="25"/>
  <c r="AY296" i="25"/>
  <c r="AZ296" i="25"/>
  <c r="AT296" i="25"/>
  <c r="AR297" i="25"/>
  <c r="AS296" i="25"/>
  <c r="AU296" i="25"/>
  <c r="AV295" i="25"/>
  <c r="AP296" i="25"/>
  <c r="AM297" i="25"/>
  <c r="AN296" i="25"/>
  <c r="AO296" i="25"/>
  <c r="AQ295" i="25"/>
  <c r="AL295" i="25"/>
  <c r="AH297" i="25"/>
  <c r="AI296" i="25"/>
  <c r="AJ296" i="25"/>
  <c r="AK296" i="25"/>
  <c r="AF296" i="25"/>
  <c r="AC297" i="25"/>
  <c r="AE296" i="25"/>
  <c r="AD296" i="25"/>
  <c r="AG295" i="25"/>
  <c r="Z296" i="25"/>
  <c r="AA296" i="25"/>
  <c r="Y296" i="25"/>
  <c r="X297" i="25"/>
  <c r="AB295" i="25"/>
  <c r="W297" i="25"/>
  <c r="U298" i="25"/>
  <c r="V298" i="25"/>
  <c r="S299" i="25"/>
  <c r="T298" i="25"/>
  <c r="M346" i="36"/>
  <c r="L297" i="25" s="1"/>
  <c r="K346" i="36"/>
  <c r="J297" i="25" s="1"/>
  <c r="L346" i="36"/>
  <c r="K297" i="25" s="1"/>
  <c r="J347" i="36"/>
  <c r="I298" i="25" s="1"/>
  <c r="N345" i="36"/>
  <c r="M296" i="25" s="1"/>
  <c r="AV296" i="25" l="1"/>
  <c r="BF298" i="25"/>
  <c r="BB300" i="25"/>
  <c r="BC299" i="25"/>
  <c r="BE299" i="25"/>
  <c r="BD299" i="25"/>
  <c r="BA296" i="25"/>
  <c r="AZ297" i="25"/>
  <c r="AW298" i="25"/>
  <c r="AX297" i="25"/>
  <c r="AY297" i="25"/>
  <c r="AR298" i="25"/>
  <c r="AS297" i="25"/>
  <c r="AU297" i="25"/>
  <c r="AT297" i="25"/>
  <c r="AO297" i="25"/>
  <c r="AM298" i="25"/>
  <c r="AN297" i="25"/>
  <c r="AP297" i="25"/>
  <c r="AQ296" i="25"/>
  <c r="AL296" i="25"/>
  <c r="AH298" i="25"/>
  <c r="AI297" i="25"/>
  <c r="AJ297" i="25"/>
  <c r="AK297" i="25"/>
  <c r="AE297" i="25"/>
  <c r="AC298" i="25"/>
  <c r="AF297" i="25"/>
  <c r="AD297" i="25"/>
  <c r="AG296" i="25"/>
  <c r="AB296" i="25"/>
  <c r="X298" i="25"/>
  <c r="Y297" i="25"/>
  <c r="AA297" i="25"/>
  <c r="Z297" i="25"/>
  <c r="W298" i="25"/>
  <c r="S300" i="25"/>
  <c r="T299" i="25"/>
  <c r="U299" i="25"/>
  <c r="V299" i="25"/>
  <c r="N346" i="36"/>
  <c r="M297" i="25" s="1"/>
  <c r="L347" i="36"/>
  <c r="K298" i="25" s="1"/>
  <c r="M347" i="36"/>
  <c r="L298" i="25" s="1"/>
  <c r="J348" i="36"/>
  <c r="I299" i="25" s="1"/>
  <c r="K347" i="36"/>
  <c r="J298" i="25" s="1"/>
  <c r="BD300" i="25" l="1"/>
  <c r="BB301" i="25"/>
  <c r="BC300" i="25"/>
  <c r="BE300" i="25"/>
  <c r="BF299" i="25"/>
  <c r="AY298" i="25"/>
  <c r="AZ298" i="25"/>
  <c r="AW299" i="25"/>
  <c r="AX298" i="25"/>
  <c r="BA297" i="25"/>
  <c r="AT298" i="25"/>
  <c r="AU298" i="25"/>
  <c r="AS298" i="25"/>
  <c r="AR299" i="25"/>
  <c r="AV297" i="25"/>
  <c r="AQ297" i="25"/>
  <c r="AM299" i="25"/>
  <c r="AN298" i="25"/>
  <c r="AO298" i="25"/>
  <c r="AP298" i="25"/>
  <c r="AL297" i="25"/>
  <c r="AK298" i="25"/>
  <c r="AI298" i="25"/>
  <c r="AH299" i="25"/>
  <c r="AJ298" i="25"/>
  <c r="AG297" i="25"/>
  <c r="AC299" i="25"/>
  <c r="AD298" i="25"/>
  <c r="AF298" i="25"/>
  <c r="AE298" i="25"/>
  <c r="X299" i="25"/>
  <c r="Y298" i="25"/>
  <c r="Z298" i="25"/>
  <c r="AA298" i="25"/>
  <c r="AB297" i="25"/>
  <c r="W299" i="25"/>
  <c r="S301" i="25"/>
  <c r="T300" i="25"/>
  <c r="U300" i="25"/>
  <c r="V300" i="25"/>
  <c r="N347" i="36"/>
  <c r="M298" i="25" s="1"/>
  <c r="J349" i="36"/>
  <c r="I300" i="25" s="1"/>
  <c r="K348" i="36"/>
  <c r="J299" i="25" s="1"/>
  <c r="M348" i="36"/>
  <c r="L299" i="25" s="1"/>
  <c r="L348" i="36"/>
  <c r="K299" i="25" s="1"/>
  <c r="BF300" i="25" l="1"/>
  <c r="BE301" i="25"/>
  <c r="BB302" i="25"/>
  <c r="BC301" i="25"/>
  <c r="BD301" i="25"/>
  <c r="BA298" i="25"/>
  <c r="AW300" i="25"/>
  <c r="AX299" i="25"/>
  <c r="AY299" i="25"/>
  <c r="AZ299" i="25"/>
  <c r="AV298" i="25"/>
  <c r="AU299" i="25"/>
  <c r="AR300" i="25"/>
  <c r="AS299" i="25"/>
  <c r="AT299" i="25"/>
  <c r="AQ298" i="25"/>
  <c r="AM300" i="25"/>
  <c r="AN299" i="25"/>
  <c r="AO299" i="25"/>
  <c r="AP299" i="25"/>
  <c r="AJ299" i="25"/>
  <c r="AK299" i="25"/>
  <c r="AH300" i="25"/>
  <c r="AI299" i="25"/>
  <c r="AL298" i="25"/>
  <c r="AG298" i="25"/>
  <c r="AD299" i="25"/>
  <c r="AF299" i="25"/>
  <c r="AC300" i="25"/>
  <c r="AE299" i="25"/>
  <c r="AB298" i="25"/>
  <c r="AA299" i="25"/>
  <c r="Y299" i="25"/>
  <c r="X300" i="25"/>
  <c r="Z299" i="25"/>
  <c r="W300" i="25"/>
  <c r="V301" i="25"/>
  <c r="S302" i="25"/>
  <c r="T301" i="25"/>
  <c r="U301" i="25"/>
  <c r="J350" i="36"/>
  <c r="I301" i="25" s="1"/>
  <c r="K349" i="36"/>
  <c r="J300" i="25" s="1"/>
  <c r="M349" i="36"/>
  <c r="L300" i="25" s="1"/>
  <c r="L349" i="36"/>
  <c r="K300" i="25" s="1"/>
  <c r="N348" i="36"/>
  <c r="M299" i="25" s="1"/>
  <c r="BD302" i="25" l="1"/>
  <c r="BE302" i="25"/>
  <c r="BC302" i="25"/>
  <c r="BB303" i="25"/>
  <c r="BF301" i="25"/>
  <c r="BA299" i="25"/>
  <c r="AW301" i="25"/>
  <c r="AX300" i="25"/>
  <c r="AY300" i="25"/>
  <c r="AZ300" i="25"/>
  <c r="AT300" i="25"/>
  <c r="AR301" i="25"/>
  <c r="AS300" i="25"/>
  <c r="AU300" i="25"/>
  <c r="AV299" i="25"/>
  <c r="AQ299" i="25"/>
  <c r="AP300" i="25"/>
  <c r="AM301" i="25"/>
  <c r="AN300" i="25"/>
  <c r="AO300" i="25"/>
  <c r="AL299" i="25"/>
  <c r="AH301" i="25"/>
  <c r="AI300" i="25"/>
  <c r="AJ300" i="25"/>
  <c r="AK300" i="25"/>
  <c r="AF300" i="25"/>
  <c r="AD300" i="25"/>
  <c r="AC301" i="25"/>
  <c r="AE300" i="25"/>
  <c r="AG299" i="25"/>
  <c r="Z300" i="25"/>
  <c r="AA300" i="25"/>
  <c r="Y300" i="25"/>
  <c r="X301" i="25"/>
  <c r="AB299" i="25"/>
  <c r="U302" i="25"/>
  <c r="V302" i="25"/>
  <c r="T302" i="25"/>
  <c r="S303" i="25"/>
  <c r="W301" i="25"/>
  <c r="M350" i="36"/>
  <c r="L301" i="25" s="1"/>
  <c r="J351" i="36"/>
  <c r="I302" i="25" s="1"/>
  <c r="K350" i="36"/>
  <c r="J301" i="25" s="1"/>
  <c r="L350" i="36"/>
  <c r="K301" i="25" s="1"/>
  <c r="N349" i="36"/>
  <c r="M300" i="25" s="1"/>
  <c r="BF302" i="25" l="1"/>
  <c r="BB304" i="25"/>
  <c r="BC303" i="25"/>
  <c r="BE303" i="25"/>
  <c r="BD303" i="25"/>
  <c r="BA300" i="25"/>
  <c r="AZ301" i="25"/>
  <c r="AW302" i="25"/>
  <c r="AX301" i="25"/>
  <c r="AY301" i="25"/>
  <c r="AV300" i="25"/>
  <c r="AR302" i="25"/>
  <c r="AS301" i="25"/>
  <c r="AU301" i="25"/>
  <c r="AT301" i="25"/>
  <c r="AO301" i="25"/>
  <c r="AM302" i="25"/>
  <c r="AN301" i="25"/>
  <c r="AP301" i="25"/>
  <c r="AQ300" i="25"/>
  <c r="AL300" i="25"/>
  <c r="AH302" i="25"/>
  <c r="AI301" i="25"/>
  <c r="AJ301" i="25"/>
  <c r="AK301" i="25"/>
  <c r="AE301" i="25"/>
  <c r="AD301" i="25"/>
  <c r="AC302" i="25"/>
  <c r="AF301" i="25"/>
  <c r="AG300" i="25"/>
  <c r="AB300" i="25"/>
  <c r="X302" i="25"/>
  <c r="Y301" i="25"/>
  <c r="Z301" i="25"/>
  <c r="AA301" i="25"/>
  <c r="W302" i="25"/>
  <c r="S304" i="25"/>
  <c r="T303" i="25"/>
  <c r="U303" i="25"/>
  <c r="V303" i="25"/>
  <c r="L351" i="36"/>
  <c r="K302" i="25" s="1"/>
  <c r="M351" i="36"/>
  <c r="L302" i="25" s="1"/>
  <c r="J352" i="36"/>
  <c r="I303" i="25" s="1"/>
  <c r="K351" i="36"/>
  <c r="J302" i="25" s="1"/>
  <c r="N350" i="36"/>
  <c r="M301" i="25" s="1"/>
  <c r="AQ301" i="25" l="1"/>
  <c r="BD304" i="25"/>
  <c r="BC304" i="25"/>
  <c r="BB305" i="25"/>
  <c r="BE304" i="25"/>
  <c r="BF303" i="25"/>
  <c r="AY302" i="25"/>
  <c r="AZ302" i="25"/>
  <c r="AX302" i="25"/>
  <c r="AW303" i="25"/>
  <c r="BA301" i="25"/>
  <c r="AV301" i="25"/>
  <c r="AT302" i="25"/>
  <c r="AU302" i="25"/>
  <c r="AS302" i="25"/>
  <c r="AR303" i="25"/>
  <c r="AM303" i="25"/>
  <c r="AN302" i="25"/>
  <c r="AO302" i="25"/>
  <c r="AP302" i="25"/>
  <c r="AL301" i="25"/>
  <c r="AK302" i="25"/>
  <c r="AH303" i="25"/>
  <c r="AI302" i="25"/>
  <c r="AJ302" i="25"/>
  <c r="AG301" i="25"/>
  <c r="AC303" i="25"/>
  <c r="AD302" i="25"/>
  <c r="AE302" i="25"/>
  <c r="AF302" i="25"/>
  <c r="AB301" i="25"/>
  <c r="Z302" i="25"/>
  <c r="X303" i="25"/>
  <c r="Y302" i="25"/>
  <c r="AA302" i="25"/>
  <c r="W303" i="25"/>
  <c r="S305" i="25"/>
  <c r="T304" i="25"/>
  <c r="V304" i="25"/>
  <c r="U304" i="25"/>
  <c r="N351" i="36"/>
  <c r="M302" i="25" s="1"/>
  <c r="J353" i="36"/>
  <c r="I304" i="25" s="1"/>
  <c r="K352" i="36"/>
  <c r="J303" i="25" s="1"/>
  <c r="L352" i="36"/>
  <c r="K303" i="25" s="1"/>
  <c r="M352" i="36"/>
  <c r="L303" i="25" s="1"/>
  <c r="BF304" i="25" l="1"/>
  <c r="BE305" i="25"/>
  <c r="BB306" i="25"/>
  <c r="BC305" i="25"/>
  <c r="BD305" i="25"/>
  <c r="BA302" i="25"/>
  <c r="AW304" i="25"/>
  <c r="AX303" i="25"/>
  <c r="AY303" i="25"/>
  <c r="AZ303" i="25"/>
  <c r="AV302" i="25"/>
  <c r="AU303" i="25"/>
  <c r="AR304" i="25"/>
  <c r="AS303" i="25"/>
  <c r="AT303" i="25"/>
  <c r="AQ302" i="25"/>
  <c r="AN303" i="25"/>
  <c r="AO303" i="25"/>
  <c r="AP303" i="25"/>
  <c r="AM304" i="25"/>
  <c r="AJ303" i="25"/>
  <c r="AK303" i="25"/>
  <c r="AI303" i="25"/>
  <c r="AH304" i="25"/>
  <c r="AL302" i="25"/>
  <c r="AG302" i="25"/>
  <c r="AE303" i="25"/>
  <c r="AC304" i="25"/>
  <c r="AD303" i="25"/>
  <c r="AF303" i="25"/>
  <c r="AB302" i="25"/>
  <c r="AA303" i="25"/>
  <c r="X304" i="25"/>
  <c r="Y303" i="25"/>
  <c r="Z303" i="25"/>
  <c r="W304" i="25"/>
  <c r="V305" i="25"/>
  <c r="T305" i="25"/>
  <c r="U305" i="25"/>
  <c r="S306" i="25"/>
  <c r="L353" i="36"/>
  <c r="K304" i="25" s="1"/>
  <c r="J354" i="36"/>
  <c r="I305" i="25" s="1"/>
  <c r="K353" i="36"/>
  <c r="J304" i="25" s="1"/>
  <c r="M353" i="36"/>
  <c r="L304" i="25" s="1"/>
  <c r="N352" i="36"/>
  <c r="M303" i="25" s="1"/>
  <c r="BD306" i="25" l="1"/>
  <c r="BE306" i="25"/>
  <c r="BB307" i="25"/>
  <c r="BC306" i="25"/>
  <c r="BF305" i="25"/>
  <c r="BA303" i="25"/>
  <c r="AW305" i="25"/>
  <c r="AX304" i="25"/>
  <c r="AY304" i="25"/>
  <c r="AZ304" i="25"/>
  <c r="AT304" i="25"/>
  <c r="AR305" i="25"/>
  <c r="AS304" i="25"/>
  <c r="AU304" i="25"/>
  <c r="AV303" i="25"/>
  <c r="AQ303" i="25"/>
  <c r="AP304" i="25"/>
  <c r="AN304" i="25"/>
  <c r="AO304" i="25"/>
  <c r="AM305" i="25"/>
  <c r="AL303" i="25"/>
  <c r="AH305" i="25"/>
  <c r="AI304" i="25"/>
  <c r="AJ304" i="25"/>
  <c r="AK304" i="25"/>
  <c r="AG303" i="25"/>
  <c r="AF304" i="25"/>
  <c r="AE304" i="25"/>
  <c r="AC305" i="25"/>
  <c r="AD304" i="25"/>
  <c r="Z304" i="25"/>
  <c r="AA304" i="25"/>
  <c r="X305" i="25"/>
  <c r="Y304" i="25"/>
  <c r="AB303" i="25"/>
  <c r="W305" i="25"/>
  <c r="U306" i="25"/>
  <c r="V306" i="25"/>
  <c r="S307" i="25"/>
  <c r="T306" i="25"/>
  <c r="N353" i="36"/>
  <c r="M304" i="25" s="1"/>
  <c r="M354" i="36"/>
  <c r="L305" i="25" s="1"/>
  <c r="K354" i="36"/>
  <c r="J305" i="25" s="1"/>
  <c r="L354" i="36"/>
  <c r="K305" i="25" s="1"/>
  <c r="J355" i="36"/>
  <c r="I306" i="25" s="1"/>
  <c r="BF306" i="25" l="1"/>
  <c r="BB308" i="25"/>
  <c r="BC307" i="25"/>
  <c r="BE307" i="25"/>
  <c r="BD307" i="25"/>
  <c r="BA304" i="25"/>
  <c r="AZ305" i="25"/>
  <c r="AW306" i="25"/>
  <c r="AX305" i="25"/>
  <c r="AY305" i="25"/>
  <c r="AV304" i="25"/>
  <c r="AR306" i="25"/>
  <c r="AS305" i="25"/>
  <c r="AU305" i="25"/>
  <c r="AT305" i="25"/>
  <c r="AO305" i="25"/>
  <c r="AN305" i="25"/>
  <c r="AP305" i="25"/>
  <c r="AM306" i="25"/>
  <c r="AQ304" i="25"/>
  <c r="AL304" i="25"/>
  <c r="AH306" i="25"/>
  <c r="AI305" i="25"/>
  <c r="AJ305" i="25"/>
  <c r="AK305" i="25"/>
  <c r="AG304" i="25"/>
  <c r="AE305" i="25"/>
  <c r="AF305" i="25"/>
  <c r="AC306" i="25"/>
  <c r="AD305" i="25"/>
  <c r="AB304" i="25"/>
  <c r="X306" i="25"/>
  <c r="Y305" i="25"/>
  <c r="AA305" i="25"/>
  <c r="Z305" i="25"/>
  <c r="W306" i="25"/>
  <c r="S308" i="25"/>
  <c r="T307" i="25"/>
  <c r="U307" i="25"/>
  <c r="V307" i="25"/>
  <c r="N354" i="36"/>
  <c r="M305" i="25" s="1"/>
  <c r="L355" i="36"/>
  <c r="K306" i="25" s="1"/>
  <c r="M355" i="36"/>
  <c r="L306" i="25" s="1"/>
  <c r="J356" i="36"/>
  <c r="I307" i="25" s="1"/>
  <c r="K355" i="36"/>
  <c r="J306" i="25" s="1"/>
  <c r="AQ305" i="25" l="1"/>
  <c r="BD308" i="25"/>
  <c r="BB309" i="25"/>
  <c r="BC308" i="25"/>
  <c r="BE308" i="25"/>
  <c r="BF307" i="25"/>
  <c r="AY306" i="25"/>
  <c r="AZ306" i="25"/>
  <c r="AX306" i="25"/>
  <c r="AW307" i="25"/>
  <c r="BA305" i="25"/>
  <c r="AT306" i="25"/>
  <c r="AU306" i="25"/>
  <c r="AR307" i="25"/>
  <c r="AS306" i="25"/>
  <c r="AV305" i="25"/>
  <c r="AM307" i="25"/>
  <c r="AN306" i="25"/>
  <c r="AO306" i="25"/>
  <c r="AP306" i="25"/>
  <c r="AL305" i="25"/>
  <c r="AK306" i="25"/>
  <c r="AI306" i="25"/>
  <c r="AJ306" i="25"/>
  <c r="AH307" i="25"/>
  <c r="AG305" i="25"/>
  <c r="AC307" i="25"/>
  <c r="AD306" i="25"/>
  <c r="AF306" i="25"/>
  <c r="AE306" i="25"/>
  <c r="X307" i="25"/>
  <c r="Y306" i="25"/>
  <c r="Z306" i="25"/>
  <c r="AA306" i="25"/>
  <c r="AB305" i="25"/>
  <c r="W307" i="25"/>
  <c r="S309" i="25"/>
  <c r="T308" i="25"/>
  <c r="U308" i="25"/>
  <c r="V308" i="25"/>
  <c r="N355" i="36"/>
  <c r="M306" i="25" s="1"/>
  <c r="J357" i="36"/>
  <c r="I308" i="25" s="1"/>
  <c r="K356" i="36"/>
  <c r="J307" i="25" s="1"/>
  <c r="M356" i="36"/>
  <c r="L307" i="25" s="1"/>
  <c r="L356" i="36"/>
  <c r="K307" i="25" s="1"/>
  <c r="BF308" i="25" l="1"/>
  <c r="BE309" i="25"/>
  <c r="BB310" i="25"/>
  <c r="BC309" i="25"/>
  <c r="BD309" i="25"/>
  <c r="BA306" i="25"/>
  <c r="AW308" i="25"/>
  <c r="AX307" i="25"/>
  <c r="AY307" i="25"/>
  <c r="AZ307" i="25"/>
  <c r="AV306" i="25"/>
  <c r="AU307" i="25"/>
  <c r="AR308" i="25"/>
  <c r="AS307" i="25"/>
  <c r="AT307" i="25"/>
  <c r="AQ306" i="25"/>
  <c r="AO307" i="25"/>
  <c r="AP307" i="25"/>
  <c r="AM308" i="25"/>
  <c r="AN307" i="25"/>
  <c r="AL306" i="25"/>
  <c r="AJ307" i="25"/>
  <c r="AK307" i="25"/>
  <c r="AH308" i="25"/>
  <c r="AI307" i="25"/>
  <c r="AF307" i="25"/>
  <c r="AD307" i="25"/>
  <c r="AE307" i="25"/>
  <c r="AC308" i="25"/>
  <c r="AG306" i="25"/>
  <c r="AB306" i="25"/>
  <c r="AA307" i="25"/>
  <c r="Y307" i="25"/>
  <c r="X308" i="25"/>
  <c r="Z307" i="25"/>
  <c r="W308" i="25"/>
  <c r="V309" i="25"/>
  <c r="S310" i="25"/>
  <c r="T309" i="25"/>
  <c r="U309" i="25"/>
  <c r="J358" i="36"/>
  <c r="I309" i="25" s="1"/>
  <c r="K357" i="36"/>
  <c r="J308" i="25" s="1"/>
  <c r="M357" i="36"/>
  <c r="L308" i="25" s="1"/>
  <c r="L357" i="36"/>
  <c r="K308" i="25" s="1"/>
  <c r="N356" i="36"/>
  <c r="M307" i="25" s="1"/>
  <c r="BD310" i="25" l="1"/>
  <c r="BE310" i="25"/>
  <c r="BC310" i="25"/>
  <c r="BB311" i="25"/>
  <c r="BF309" i="25"/>
  <c r="BA307" i="25"/>
  <c r="AW309" i="25"/>
  <c r="AX308" i="25"/>
  <c r="AY308" i="25"/>
  <c r="AZ308" i="25"/>
  <c r="AT308" i="25"/>
  <c r="AR309" i="25"/>
  <c r="AS308" i="25"/>
  <c r="AU308" i="25"/>
  <c r="AV307" i="25"/>
  <c r="AQ307" i="25"/>
  <c r="AP308" i="25"/>
  <c r="AO308" i="25"/>
  <c r="AM309" i="25"/>
  <c r="AN308" i="25"/>
  <c r="AL307" i="25"/>
  <c r="AH309" i="25"/>
  <c r="AI308" i="25"/>
  <c r="AJ308" i="25"/>
  <c r="AK308" i="25"/>
  <c r="AG307" i="25"/>
  <c r="AF308" i="25"/>
  <c r="AD308" i="25"/>
  <c r="AE308" i="25"/>
  <c r="AC309" i="25"/>
  <c r="Z308" i="25"/>
  <c r="AA308" i="25"/>
  <c r="Y308" i="25"/>
  <c r="X309" i="25"/>
  <c r="AB307" i="25"/>
  <c r="U310" i="25"/>
  <c r="V310" i="25"/>
  <c r="T310" i="25"/>
  <c r="S311" i="25"/>
  <c r="W309" i="25"/>
  <c r="N357" i="36"/>
  <c r="M308" i="25" s="1"/>
  <c r="M358" i="36"/>
  <c r="L309" i="25" s="1"/>
  <c r="J359" i="36"/>
  <c r="I310" i="25" s="1"/>
  <c r="K358" i="36"/>
  <c r="J309" i="25" s="1"/>
  <c r="L358" i="36"/>
  <c r="K309" i="25" s="1"/>
  <c r="AV308" i="25" l="1"/>
  <c r="BF310" i="25"/>
  <c r="BB312" i="25"/>
  <c r="BC311" i="25"/>
  <c r="BE311" i="25"/>
  <c r="BD311" i="25"/>
  <c r="BA308" i="25"/>
  <c r="AZ309" i="25"/>
  <c r="AW310" i="25"/>
  <c r="AX309" i="25"/>
  <c r="AY309" i="25"/>
  <c r="AR310" i="25"/>
  <c r="AS309" i="25"/>
  <c r="AU309" i="25"/>
  <c r="AT309" i="25"/>
  <c r="AQ308" i="25"/>
  <c r="AO309" i="25"/>
  <c r="AP309" i="25"/>
  <c r="AM310" i="25"/>
  <c r="AN309" i="25"/>
  <c r="AL308" i="25"/>
  <c r="AH310" i="25"/>
  <c r="AI309" i="25"/>
  <c r="AJ309" i="25"/>
  <c r="AK309" i="25"/>
  <c r="AG308" i="25"/>
  <c r="AE309" i="25"/>
  <c r="AD309" i="25"/>
  <c r="AF309" i="25"/>
  <c r="AC310" i="25"/>
  <c r="AB308" i="25"/>
  <c r="X310" i="25"/>
  <c r="Y309" i="25"/>
  <c r="Z309" i="25"/>
  <c r="AA309" i="25"/>
  <c r="W310" i="25"/>
  <c r="S312" i="25"/>
  <c r="T311" i="25"/>
  <c r="U311" i="25"/>
  <c r="V311" i="25"/>
  <c r="L359" i="36"/>
  <c r="K310" i="25" s="1"/>
  <c r="M359" i="36"/>
  <c r="L310" i="25" s="1"/>
  <c r="J360" i="36"/>
  <c r="I311" i="25" s="1"/>
  <c r="K359" i="36"/>
  <c r="J310" i="25" s="1"/>
  <c r="N358" i="36"/>
  <c r="M309" i="25" s="1"/>
  <c r="BD312" i="25" l="1"/>
  <c r="BC312" i="25"/>
  <c r="BB313" i="25"/>
  <c r="BE312" i="25"/>
  <c r="BF311" i="25"/>
  <c r="AY310" i="25"/>
  <c r="AZ310" i="25"/>
  <c r="AX310" i="25"/>
  <c r="AW311" i="25"/>
  <c r="BA309" i="25"/>
  <c r="AT310" i="25"/>
  <c r="AU310" i="25"/>
  <c r="AR311" i="25"/>
  <c r="AS310" i="25"/>
  <c r="AV309" i="25"/>
  <c r="AQ309" i="25"/>
  <c r="AM311" i="25"/>
  <c r="AN310" i="25"/>
  <c r="AP310" i="25"/>
  <c r="AO310" i="25"/>
  <c r="AL309" i="25"/>
  <c r="AK310" i="25"/>
  <c r="AH311" i="25"/>
  <c r="AI310" i="25"/>
  <c r="AJ310" i="25"/>
  <c r="AG309" i="25"/>
  <c r="AC311" i="25"/>
  <c r="AD310" i="25"/>
  <c r="AE310" i="25"/>
  <c r="AF310" i="25"/>
  <c r="AB309" i="25"/>
  <c r="Z310" i="25"/>
  <c r="X311" i="25"/>
  <c r="Y310" i="25"/>
  <c r="AA310" i="25"/>
  <c r="W311" i="25"/>
  <c r="S313" i="25"/>
  <c r="T312" i="25"/>
  <c r="V312" i="25"/>
  <c r="U312" i="25"/>
  <c r="N359" i="36"/>
  <c r="M310" i="25" s="1"/>
  <c r="J361" i="36"/>
  <c r="I312" i="25" s="1"/>
  <c r="K360" i="36"/>
  <c r="J311" i="25" s="1"/>
  <c r="L360" i="36"/>
  <c r="K311" i="25" s="1"/>
  <c r="M360" i="36"/>
  <c r="L311" i="25" s="1"/>
  <c r="AQ310" i="25" l="1"/>
  <c r="BF312" i="25"/>
  <c r="BE313" i="25"/>
  <c r="BB314" i="25"/>
  <c r="BC313" i="25"/>
  <c r="BD313" i="25"/>
  <c r="BA310" i="25"/>
  <c r="AW312" i="25"/>
  <c r="AX311" i="25"/>
  <c r="AY311" i="25"/>
  <c r="AZ311" i="25"/>
  <c r="AV310" i="25"/>
  <c r="AU311" i="25"/>
  <c r="AR312" i="25"/>
  <c r="AS311" i="25"/>
  <c r="AT311" i="25"/>
  <c r="AP311" i="25"/>
  <c r="AM312" i="25"/>
  <c r="AN311" i="25"/>
  <c r="AO311" i="25"/>
  <c r="AJ311" i="25"/>
  <c r="AK311" i="25"/>
  <c r="AI311" i="25"/>
  <c r="AH312" i="25"/>
  <c r="AL310" i="25"/>
  <c r="AG310" i="25"/>
  <c r="AC312" i="25"/>
  <c r="AE311" i="25"/>
  <c r="AF311" i="25"/>
  <c r="AD311" i="25"/>
  <c r="AB310" i="25"/>
  <c r="AA311" i="25"/>
  <c r="X312" i="25"/>
  <c r="Y311" i="25"/>
  <c r="Z311" i="25"/>
  <c r="W312" i="25"/>
  <c r="V313" i="25"/>
  <c r="T313" i="25"/>
  <c r="S314" i="25"/>
  <c r="U313" i="25"/>
  <c r="N360" i="36"/>
  <c r="M311" i="25" s="1"/>
  <c r="L361" i="36"/>
  <c r="K312" i="25" s="1"/>
  <c r="J362" i="36"/>
  <c r="I313" i="25" s="1"/>
  <c r="K361" i="36"/>
  <c r="J312" i="25" s="1"/>
  <c r="M361" i="36"/>
  <c r="L312" i="25" s="1"/>
  <c r="BD314" i="25" l="1"/>
  <c r="BE314" i="25"/>
  <c r="BB315" i="25"/>
  <c r="BC314" i="25"/>
  <c r="BF313" i="25"/>
  <c r="BA311" i="25"/>
  <c r="AW313" i="25"/>
  <c r="AX312" i="25"/>
  <c r="AY312" i="25"/>
  <c r="AZ312" i="25"/>
  <c r="AT312" i="25"/>
  <c r="AR313" i="25"/>
  <c r="AS312" i="25"/>
  <c r="AU312" i="25"/>
  <c r="AV311" i="25"/>
  <c r="AP312" i="25"/>
  <c r="AM313" i="25"/>
  <c r="AN312" i="25"/>
  <c r="AO312" i="25"/>
  <c r="AQ311" i="25"/>
  <c r="AL311" i="25"/>
  <c r="AH313" i="25"/>
  <c r="AI312" i="25"/>
  <c r="AJ312" i="25"/>
  <c r="AK312" i="25"/>
  <c r="AG311" i="25"/>
  <c r="AF312" i="25"/>
  <c r="AC313" i="25"/>
  <c r="AE312" i="25"/>
  <c r="AD312" i="25"/>
  <c r="Z312" i="25"/>
  <c r="AA312" i="25"/>
  <c r="X313" i="25"/>
  <c r="Y312" i="25"/>
  <c r="AB311" i="25"/>
  <c r="U314" i="25"/>
  <c r="V314" i="25"/>
  <c r="S315" i="25"/>
  <c r="T314" i="25"/>
  <c r="W313" i="25"/>
  <c r="N361" i="36"/>
  <c r="M312" i="25" s="1"/>
  <c r="M362" i="36"/>
  <c r="L313" i="25" s="1"/>
  <c r="K362" i="36"/>
  <c r="J313" i="25" s="1"/>
  <c r="L362" i="36"/>
  <c r="K313" i="25" s="1"/>
  <c r="J363" i="36"/>
  <c r="I314" i="25" s="1"/>
  <c r="AV312" i="25" l="1"/>
  <c r="BF314" i="25"/>
  <c r="BB316" i="25"/>
  <c r="BC315" i="25"/>
  <c r="BE315" i="25"/>
  <c r="BD315" i="25"/>
  <c r="BA312" i="25"/>
  <c r="AZ313" i="25"/>
  <c r="AW314" i="25"/>
  <c r="AX313" i="25"/>
  <c r="AY313" i="25"/>
  <c r="AR314" i="25"/>
  <c r="AS313" i="25"/>
  <c r="AU313" i="25"/>
  <c r="AT313" i="25"/>
  <c r="AO313" i="25"/>
  <c r="AM314" i="25"/>
  <c r="AN313" i="25"/>
  <c r="AP313" i="25"/>
  <c r="AQ312" i="25"/>
  <c r="AL312" i="25"/>
  <c r="AH314" i="25"/>
  <c r="AI313" i="25"/>
  <c r="AJ313" i="25"/>
  <c r="AK313" i="25"/>
  <c r="AE313" i="25"/>
  <c r="AC314" i="25"/>
  <c r="AF313" i="25"/>
  <c r="AD313" i="25"/>
  <c r="AG312" i="25"/>
  <c r="AB312" i="25"/>
  <c r="X314" i="25"/>
  <c r="Y313" i="25"/>
  <c r="AA313" i="25"/>
  <c r="Z313" i="25"/>
  <c r="W314" i="25"/>
  <c r="S316" i="25"/>
  <c r="T315" i="25"/>
  <c r="U315" i="25"/>
  <c r="V315" i="25"/>
  <c r="N362" i="36"/>
  <c r="M313" i="25" s="1"/>
  <c r="L363" i="36"/>
  <c r="K314" i="25" s="1"/>
  <c r="M363" i="36"/>
  <c r="L314" i="25" s="1"/>
  <c r="J364" i="36"/>
  <c r="I315" i="25" s="1"/>
  <c r="K363" i="36"/>
  <c r="J314" i="25" s="1"/>
  <c r="AQ313" i="25" l="1"/>
  <c r="BD316" i="25"/>
  <c r="BB317" i="25"/>
  <c r="BC316" i="25"/>
  <c r="BE316" i="25"/>
  <c r="BF315" i="25"/>
  <c r="AY314" i="25"/>
  <c r="AZ314" i="25"/>
  <c r="AW315" i="25"/>
  <c r="AX314" i="25"/>
  <c r="BA313" i="25"/>
  <c r="AT314" i="25"/>
  <c r="AU314" i="25"/>
  <c r="AS314" i="25"/>
  <c r="AR315" i="25"/>
  <c r="AV313" i="25"/>
  <c r="AM315" i="25"/>
  <c r="AN314" i="25"/>
  <c r="AO314" i="25"/>
  <c r="AP314" i="25"/>
  <c r="AL313" i="25"/>
  <c r="AK314" i="25"/>
  <c r="AI314" i="25"/>
  <c r="AJ314" i="25"/>
  <c r="AH315" i="25"/>
  <c r="AG313" i="25"/>
  <c r="AC315" i="25"/>
  <c r="AD314" i="25"/>
  <c r="AF314" i="25"/>
  <c r="AE314" i="25"/>
  <c r="X315" i="25"/>
  <c r="Y314" i="25"/>
  <c r="Z314" i="25"/>
  <c r="AA314" i="25"/>
  <c r="AB313" i="25"/>
  <c r="W315" i="25"/>
  <c r="S317" i="25"/>
  <c r="T316" i="25"/>
  <c r="U316" i="25"/>
  <c r="V316" i="25"/>
  <c r="N363" i="36"/>
  <c r="M314" i="25" s="1"/>
  <c r="J365" i="36"/>
  <c r="I316" i="25" s="1"/>
  <c r="K364" i="36"/>
  <c r="J315" i="25" s="1"/>
  <c r="M364" i="36"/>
  <c r="L315" i="25" s="1"/>
  <c r="L364" i="36"/>
  <c r="K315" i="25" s="1"/>
  <c r="BF316" i="25" l="1"/>
  <c r="BE317" i="25"/>
  <c r="BB318" i="25"/>
  <c r="BC317" i="25"/>
  <c r="BD317" i="25"/>
  <c r="BA314" i="25"/>
  <c r="AW316" i="25"/>
  <c r="AX315" i="25"/>
  <c r="AY315" i="25"/>
  <c r="AZ315" i="25"/>
  <c r="AV314" i="25"/>
  <c r="AU315" i="25"/>
  <c r="AR316" i="25"/>
  <c r="AS315" i="25"/>
  <c r="AT315" i="25"/>
  <c r="AQ314" i="25"/>
  <c r="AM316" i="25"/>
  <c r="AN315" i="25"/>
  <c r="AO315" i="25"/>
  <c r="AP315" i="25"/>
  <c r="AL314" i="25"/>
  <c r="AJ315" i="25"/>
  <c r="AK315" i="25"/>
  <c r="AH316" i="25"/>
  <c r="AI315" i="25"/>
  <c r="AG314" i="25"/>
  <c r="AD315" i="25"/>
  <c r="AF315" i="25"/>
  <c r="AC316" i="25"/>
  <c r="AE315" i="25"/>
  <c r="AB314" i="25"/>
  <c r="AA315" i="25"/>
  <c r="Y315" i="25"/>
  <c r="X316" i="25"/>
  <c r="Z315" i="25"/>
  <c r="W316" i="25"/>
  <c r="V317" i="25"/>
  <c r="S318" i="25"/>
  <c r="U317" i="25"/>
  <c r="T317" i="25"/>
  <c r="J366" i="36"/>
  <c r="I317" i="25" s="1"/>
  <c r="K365" i="36"/>
  <c r="J316" i="25" s="1"/>
  <c r="M365" i="36"/>
  <c r="L316" i="25" s="1"/>
  <c r="L365" i="36"/>
  <c r="K316" i="25" s="1"/>
  <c r="N364" i="36"/>
  <c r="M315" i="25" s="1"/>
  <c r="BD318" i="25" l="1"/>
  <c r="BE318" i="25"/>
  <c r="BC318" i="25"/>
  <c r="BB319" i="25"/>
  <c r="BF317" i="25"/>
  <c r="BA315" i="25"/>
  <c r="AW317" i="25"/>
  <c r="AX316" i="25"/>
  <c r="AY316" i="25"/>
  <c r="AZ316" i="25"/>
  <c r="AT316" i="25"/>
  <c r="AR317" i="25"/>
  <c r="AS316" i="25"/>
  <c r="AU316" i="25"/>
  <c r="AV315" i="25"/>
  <c r="AQ315" i="25"/>
  <c r="AP316" i="25"/>
  <c r="AM317" i="25"/>
  <c r="AN316" i="25"/>
  <c r="AO316" i="25"/>
  <c r="AL315" i="25"/>
  <c r="AH317" i="25"/>
  <c r="AI316" i="25"/>
  <c r="AJ316" i="25"/>
  <c r="AK316" i="25"/>
  <c r="AF316" i="25"/>
  <c r="AD316" i="25"/>
  <c r="AC317" i="25"/>
  <c r="AE316" i="25"/>
  <c r="AG315" i="25"/>
  <c r="Z316" i="25"/>
  <c r="AA316" i="25"/>
  <c r="Y316" i="25"/>
  <c r="X317" i="25"/>
  <c r="AB315" i="25"/>
  <c r="W317" i="25"/>
  <c r="U318" i="25"/>
  <c r="V318" i="25"/>
  <c r="T318" i="25"/>
  <c r="S319" i="25"/>
  <c r="N365" i="36"/>
  <c r="M316" i="25" s="1"/>
  <c r="M366" i="36"/>
  <c r="L317" i="25" s="1"/>
  <c r="J367" i="36"/>
  <c r="I318" i="25" s="1"/>
  <c r="K366" i="36"/>
  <c r="J317" i="25" s="1"/>
  <c r="L366" i="36"/>
  <c r="K317" i="25" s="1"/>
  <c r="AV316" i="25" l="1"/>
  <c r="BF318" i="25"/>
  <c r="BB320" i="25"/>
  <c r="BC319" i="25"/>
  <c r="BE319" i="25"/>
  <c r="BD319" i="25"/>
  <c r="BA316" i="25"/>
  <c r="AZ317" i="25"/>
  <c r="AW318" i="25"/>
  <c r="AX317" i="25"/>
  <c r="AY317" i="25"/>
  <c r="AR318" i="25"/>
  <c r="AS317" i="25"/>
  <c r="AU317" i="25"/>
  <c r="AT317" i="25"/>
  <c r="AO317" i="25"/>
  <c r="AM318" i="25"/>
  <c r="AN317" i="25"/>
  <c r="AP317" i="25"/>
  <c r="AQ316" i="25"/>
  <c r="AL316" i="25"/>
  <c r="AH318" i="25"/>
  <c r="AI317" i="25"/>
  <c r="AJ317" i="25"/>
  <c r="AK317" i="25"/>
  <c r="AE317" i="25"/>
  <c r="AD317" i="25"/>
  <c r="AC318" i="25"/>
  <c r="AF317" i="25"/>
  <c r="AG316" i="25"/>
  <c r="AB316" i="25"/>
  <c r="X318" i="25"/>
  <c r="Y317" i="25"/>
  <c r="Z317" i="25"/>
  <c r="AA317" i="25"/>
  <c r="W318" i="25"/>
  <c r="S320" i="25"/>
  <c r="T319" i="25"/>
  <c r="U319" i="25"/>
  <c r="V319" i="25"/>
  <c r="L367" i="36"/>
  <c r="K318" i="25" s="1"/>
  <c r="M367" i="36"/>
  <c r="L318" i="25" s="1"/>
  <c r="J368" i="36"/>
  <c r="I319" i="25" s="1"/>
  <c r="K367" i="36"/>
  <c r="J318" i="25" s="1"/>
  <c r="N366" i="36"/>
  <c r="M317" i="25" s="1"/>
  <c r="BD320" i="25" l="1"/>
  <c r="BC320" i="25"/>
  <c r="BB321" i="25"/>
  <c r="BE320" i="25"/>
  <c r="BF319" i="25"/>
  <c r="AY318" i="25"/>
  <c r="AZ318" i="25"/>
  <c r="AX318" i="25"/>
  <c r="AW319" i="25"/>
  <c r="BA317" i="25"/>
  <c r="AT318" i="25"/>
  <c r="AU318" i="25"/>
  <c r="AS318" i="25"/>
  <c r="AR319" i="25"/>
  <c r="AV317" i="25"/>
  <c r="AQ317" i="25"/>
  <c r="AM319" i="25"/>
  <c r="AN318" i="25"/>
  <c r="AO318" i="25"/>
  <c r="AP318" i="25"/>
  <c r="AL317" i="25"/>
  <c r="AK318" i="25"/>
  <c r="AH319" i="25"/>
  <c r="AI318" i="25"/>
  <c r="AJ318" i="25"/>
  <c r="AG317" i="25"/>
  <c r="AC319" i="25"/>
  <c r="AD318" i="25"/>
  <c r="AE318" i="25"/>
  <c r="AF318" i="25"/>
  <c r="AB317" i="25"/>
  <c r="Z318" i="25"/>
  <c r="X319" i="25"/>
  <c r="Y318" i="25"/>
  <c r="AA318" i="25"/>
  <c r="W319" i="25"/>
  <c r="S321" i="25"/>
  <c r="T320" i="25"/>
  <c r="V320" i="25"/>
  <c r="U320" i="25"/>
  <c r="N367" i="36"/>
  <c r="M318" i="25" s="1"/>
  <c r="J369" i="36"/>
  <c r="I320" i="25" s="1"/>
  <c r="K368" i="36"/>
  <c r="J319" i="25" s="1"/>
  <c r="L368" i="36"/>
  <c r="K319" i="25" s="1"/>
  <c r="M368" i="36"/>
  <c r="L319" i="25" s="1"/>
  <c r="BF320" i="25" l="1"/>
  <c r="BE321" i="25"/>
  <c r="BB322" i="25"/>
  <c r="BC321" i="25"/>
  <c r="BD321" i="25"/>
  <c r="BA318" i="25"/>
  <c r="AW320" i="25"/>
  <c r="AX319" i="25"/>
  <c r="AY319" i="25"/>
  <c r="AZ319" i="25"/>
  <c r="AV318" i="25"/>
  <c r="AU319" i="25"/>
  <c r="AR320" i="25"/>
  <c r="AS319" i="25"/>
  <c r="AT319" i="25"/>
  <c r="AQ318" i="25"/>
  <c r="AN319" i="25"/>
  <c r="AO319" i="25"/>
  <c r="AP319" i="25"/>
  <c r="AM320" i="25"/>
  <c r="AJ319" i="25"/>
  <c r="AK319" i="25"/>
  <c r="AI319" i="25"/>
  <c r="AH320" i="25"/>
  <c r="AL318" i="25"/>
  <c r="AG318" i="25"/>
  <c r="AE319" i="25"/>
  <c r="AC320" i="25"/>
  <c r="AD319" i="25"/>
  <c r="AF319" i="25"/>
  <c r="AB318" i="25"/>
  <c r="AA319" i="25"/>
  <c r="X320" i="25"/>
  <c r="Y319" i="25"/>
  <c r="Z319" i="25"/>
  <c r="V321" i="25"/>
  <c r="T321" i="25"/>
  <c r="U321" i="25"/>
  <c r="S322" i="25"/>
  <c r="W320" i="25"/>
  <c r="L369" i="36"/>
  <c r="K320" i="25" s="1"/>
  <c r="J370" i="36"/>
  <c r="I321" i="25" s="1"/>
  <c r="K369" i="36"/>
  <c r="J320" i="25" s="1"/>
  <c r="M369" i="36"/>
  <c r="L320" i="25" s="1"/>
  <c r="N368" i="36"/>
  <c r="M319" i="25" s="1"/>
  <c r="N369" i="36" l="1"/>
  <c r="M320" i="25" s="1"/>
  <c r="BD322" i="25"/>
  <c r="BE322" i="25"/>
  <c r="BB323" i="25"/>
  <c r="BC322" i="25"/>
  <c r="BF321" i="25"/>
  <c r="BA319" i="25"/>
  <c r="AW321" i="25"/>
  <c r="AX320" i="25"/>
  <c r="AY320" i="25"/>
  <c r="AZ320" i="25"/>
  <c r="AT320" i="25"/>
  <c r="AR321" i="25"/>
  <c r="AS320" i="25"/>
  <c r="AU320" i="25"/>
  <c r="AV319" i="25"/>
  <c r="AQ319" i="25"/>
  <c r="AP320" i="25"/>
  <c r="AN320" i="25"/>
  <c r="AO320" i="25"/>
  <c r="AM321" i="25"/>
  <c r="AL319" i="25"/>
  <c r="AH321" i="25"/>
  <c r="AI320" i="25"/>
  <c r="AJ320" i="25"/>
  <c r="AK320" i="25"/>
  <c r="AG319" i="25"/>
  <c r="AF320" i="25"/>
  <c r="AE320" i="25"/>
  <c r="AC321" i="25"/>
  <c r="AD320" i="25"/>
  <c r="Z320" i="25"/>
  <c r="AA320" i="25"/>
  <c r="X321" i="25"/>
  <c r="Y320" i="25"/>
  <c r="AB319" i="25"/>
  <c r="W321" i="25"/>
  <c r="U322" i="25"/>
  <c r="V322" i="25"/>
  <c r="S323" i="25"/>
  <c r="T322" i="25"/>
  <c r="M370" i="36"/>
  <c r="L321" i="25" s="1"/>
  <c r="J371" i="36"/>
  <c r="I322" i="25" s="1"/>
  <c r="L370" i="36"/>
  <c r="K321" i="25" s="1"/>
  <c r="K370" i="36"/>
  <c r="J321" i="25" s="1"/>
  <c r="BF322" i="25" l="1"/>
  <c r="BB324" i="25"/>
  <c r="BC323" i="25"/>
  <c r="BE323" i="25"/>
  <c r="BD323" i="25"/>
  <c r="BA320" i="25"/>
  <c r="AZ321" i="25"/>
  <c r="AW322" i="25"/>
  <c r="AX321" i="25"/>
  <c r="AY321" i="25"/>
  <c r="AV320" i="25"/>
  <c r="AR322" i="25"/>
  <c r="AS321" i="25"/>
  <c r="AU321" i="25"/>
  <c r="AT321" i="25"/>
  <c r="AQ320" i="25"/>
  <c r="AO321" i="25"/>
  <c r="AN321" i="25"/>
  <c r="AP321" i="25"/>
  <c r="AM322" i="25"/>
  <c r="AL320" i="25"/>
  <c r="AH322" i="25"/>
  <c r="AI321" i="25"/>
  <c r="AJ321" i="25"/>
  <c r="AK321" i="25"/>
  <c r="AG320" i="25"/>
  <c r="AE321" i="25"/>
  <c r="AF321" i="25"/>
  <c r="AC322" i="25"/>
  <c r="AD321" i="25"/>
  <c r="AB320" i="25"/>
  <c r="X322" i="25"/>
  <c r="Y321" i="25"/>
  <c r="AA321" i="25"/>
  <c r="Z321" i="25"/>
  <c r="W322" i="25"/>
  <c r="S324" i="25"/>
  <c r="T323" i="25"/>
  <c r="U323" i="25"/>
  <c r="V323" i="25"/>
  <c r="L371" i="36"/>
  <c r="K322" i="25" s="1"/>
  <c r="M371" i="36"/>
  <c r="L322" i="25" s="1"/>
  <c r="J372" i="36"/>
  <c r="I323" i="25" s="1"/>
  <c r="K371" i="36"/>
  <c r="J322" i="25" s="1"/>
  <c r="N370" i="36"/>
  <c r="M321" i="25" s="1"/>
  <c r="BD324" i="25" l="1"/>
  <c r="BB325" i="25"/>
  <c r="BC324" i="25"/>
  <c r="BE324" i="25"/>
  <c r="BF323" i="25"/>
  <c r="AY322" i="25"/>
  <c r="AZ322" i="25"/>
  <c r="AX322" i="25"/>
  <c r="AW323" i="25"/>
  <c r="BA321" i="25"/>
  <c r="AT322" i="25"/>
  <c r="AU322" i="25"/>
  <c r="AR323" i="25"/>
  <c r="AS322" i="25"/>
  <c r="AV321" i="25"/>
  <c r="AQ321" i="25"/>
  <c r="AM323" i="25"/>
  <c r="AN322" i="25"/>
  <c r="AO322" i="25"/>
  <c r="AP322" i="25"/>
  <c r="AL321" i="25"/>
  <c r="AK322" i="25"/>
  <c r="AI322" i="25"/>
  <c r="AH323" i="25"/>
  <c r="AJ322" i="25"/>
  <c r="AG321" i="25"/>
  <c r="AC323" i="25"/>
  <c r="AD322" i="25"/>
  <c r="AF322" i="25"/>
  <c r="AE322" i="25"/>
  <c r="X323" i="25"/>
  <c r="Y322" i="25"/>
  <c r="Z322" i="25"/>
  <c r="AA322" i="25"/>
  <c r="AB321" i="25"/>
  <c r="W323" i="25"/>
  <c r="S325" i="25"/>
  <c r="T324" i="25"/>
  <c r="U324" i="25"/>
  <c r="V324" i="25"/>
  <c r="N371" i="36"/>
  <c r="M322" i="25" s="1"/>
  <c r="J373" i="36"/>
  <c r="I324" i="25" s="1"/>
  <c r="K372" i="36"/>
  <c r="J323" i="25" s="1"/>
  <c r="L372" i="36"/>
  <c r="K323" i="25" s="1"/>
  <c r="M372" i="36"/>
  <c r="L323" i="25" s="1"/>
  <c r="BF324" i="25" l="1"/>
  <c r="BE325" i="25"/>
  <c r="BB326" i="25"/>
  <c r="BC325" i="25"/>
  <c r="BD325" i="25"/>
  <c r="BA322" i="25"/>
  <c r="AW324" i="25"/>
  <c r="AX323" i="25"/>
  <c r="AY323" i="25"/>
  <c r="AZ323" i="25"/>
  <c r="AV322" i="25"/>
  <c r="AU323" i="25"/>
  <c r="AR324" i="25"/>
  <c r="AS323" i="25"/>
  <c r="AT323" i="25"/>
  <c r="AQ322" i="25"/>
  <c r="AO323" i="25"/>
  <c r="AP323" i="25"/>
  <c r="AM324" i="25"/>
  <c r="AN323" i="25"/>
  <c r="AJ323" i="25"/>
  <c r="AK323" i="25"/>
  <c r="AH324" i="25"/>
  <c r="AI323" i="25"/>
  <c r="AL322" i="25"/>
  <c r="AG322" i="25"/>
  <c r="AF323" i="25"/>
  <c r="AD323" i="25"/>
  <c r="AE323" i="25"/>
  <c r="AC324" i="25"/>
  <c r="AB322" i="25"/>
  <c r="AA323" i="25"/>
  <c r="Y323" i="25"/>
  <c r="X324" i="25"/>
  <c r="Z323" i="25"/>
  <c r="W324" i="25"/>
  <c r="V325" i="25"/>
  <c r="S326" i="25"/>
  <c r="T325" i="25"/>
  <c r="U325" i="25"/>
  <c r="N372" i="36"/>
  <c r="M323" i="25" s="1"/>
  <c r="J374" i="36"/>
  <c r="I325" i="25" s="1"/>
  <c r="K373" i="36"/>
  <c r="J324" i="25" s="1"/>
  <c r="L373" i="36"/>
  <c r="K324" i="25" s="1"/>
  <c r="M373" i="36"/>
  <c r="L324" i="25" s="1"/>
  <c r="BD326" i="25" l="1"/>
  <c r="BE326" i="25"/>
  <c r="BC326" i="25"/>
  <c r="BB327" i="25"/>
  <c r="BF325" i="25"/>
  <c r="BA323" i="25"/>
  <c r="AY324" i="25"/>
  <c r="AW325" i="25"/>
  <c r="AX324" i="25"/>
  <c r="AZ324" i="25"/>
  <c r="AT324" i="25"/>
  <c r="AR325" i="25"/>
  <c r="AS324" i="25"/>
  <c r="AU324" i="25"/>
  <c r="AV323" i="25"/>
  <c r="AQ323" i="25"/>
  <c r="AP324" i="25"/>
  <c r="AO324" i="25"/>
  <c r="AM325" i="25"/>
  <c r="AN324" i="25"/>
  <c r="AL323" i="25"/>
  <c r="AH325" i="25"/>
  <c r="AI324" i="25"/>
  <c r="AJ324" i="25"/>
  <c r="AK324" i="25"/>
  <c r="AG323" i="25"/>
  <c r="AF324" i="25"/>
  <c r="AD324" i="25"/>
  <c r="AE324" i="25"/>
  <c r="AC325" i="25"/>
  <c r="Z324" i="25"/>
  <c r="AA324" i="25"/>
  <c r="Y324" i="25"/>
  <c r="X325" i="25"/>
  <c r="AB323" i="25"/>
  <c r="U326" i="25"/>
  <c r="V326" i="25"/>
  <c r="S327" i="25"/>
  <c r="T326" i="25"/>
  <c r="W325" i="25"/>
  <c r="M374" i="36"/>
  <c r="L325" i="25" s="1"/>
  <c r="K374" i="36"/>
  <c r="J325" i="25" s="1"/>
  <c r="L374" i="36"/>
  <c r="K325" i="25" s="1"/>
  <c r="J375" i="36"/>
  <c r="I326" i="25" s="1"/>
  <c r="N373" i="36"/>
  <c r="M324" i="25" s="1"/>
  <c r="AV324" i="25" l="1"/>
  <c r="BF326" i="25"/>
  <c r="BB328" i="25"/>
  <c r="BC327" i="25"/>
  <c r="BE327" i="25"/>
  <c r="BD327" i="25"/>
  <c r="BA324" i="25"/>
  <c r="AW326" i="25"/>
  <c r="AX325" i="25"/>
  <c r="AY325" i="25"/>
  <c r="AZ325" i="25"/>
  <c r="AR326" i="25"/>
  <c r="AS325" i="25"/>
  <c r="AU325" i="25"/>
  <c r="AT325" i="25"/>
  <c r="AQ324" i="25"/>
  <c r="AO325" i="25"/>
  <c r="AP325" i="25"/>
  <c r="AM326" i="25"/>
  <c r="AN325" i="25"/>
  <c r="AL324" i="25"/>
  <c r="AH326" i="25"/>
  <c r="AI325" i="25"/>
  <c r="AJ325" i="25"/>
  <c r="AK325" i="25"/>
  <c r="AE325" i="25"/>
  <c r="AD325" i="25"/>
  <c r="AF325" i="25"/>
  <c r="AC326" i="25"/>
  <c r="AG324" i="25"/>
  <c r="AB324" i="25"/>
  <c r="X326" i="25"/>
  <c r="Y325" i="25"/>
  <c r="Z325" i="25"/>
  <c r="AA325" i="25"/>
  <c r="W326" i="25"/>
  <c r="S328" i="25"/>
  <c r="T327" i="25"/>
  <c r="U327" i="25"/>
  <c r="V327" i="25"/>
  <c r="N374" i="36"/>
  <c r="M325" i="25" s="1"/>
  <c r="L375" i="36"/>
  <c r="K326" i="25" s="1"/>
  <c r="M375" i="36"/>
  <c r="L326" i="25" s="1"/>
  <c r="J376" i="36"/>
  <c r="I327" i="25" s="1"/>
  <c r="K375" i="36"/>
  <c r="J326" i="25" s="1"/>
  <c r="BD328" i="25" l="1"/>
  <c r="BC328" i="25"/>
  <c r="BB329" i="25"/>
  <c r="BE328" i="25"/>
  <c r="BF327" i="25"/>
  <c r="BA325" i="25"/>
  <c r="AX326" i="25"/>
  <c r="AY326" i="25"/>
  <c r="AZ326" i="25"/>
  <c r="AW327" i="25"/>
  <c r="AT326" i="25"/>
  <c r="AU326" i="25"/>
  <c r="AR327" i="25"/>
  <c r="AS326" i="25"/>
  <c r="AV325" i="25"/>
  <c r="AQ325" i="25"/>
  <c r="AM327" i="25"/>
  <c r="AN326" i="25"/>
  <c r="AP326" i="25"/>
  <c r="AO326" i="25"/>
  <c r="AL325" i="25"/>
  <c r="AK326" i="25"/>
  <c r="AH327" i="25"/>
  <c r="AI326" i="25"/>
  <c r="AJ326" i="25"/>
  <c r="AG325" i="25"/>
  <c r="AC327" i="25"/>
  <c r="AD326" i="25"/>
  <c r="AE326" i="25"/>
  <c r="AF326" i="25"/>
  <c r="AB325" i="25"/>
  <c r="Z326" i="25"/>
  <c r="X327" i="25"/>
  <c r="Y326" i="25"/>
  <c r="AA326" i="25"/>
  <c r="W327" i="25"/>
  <c r="S329" i="25"/>
  <c r="T328" i="25"/>
  <c r="U328" i="25"/>
  <c r="V328" i="25"/>
  <c r="N375" i="36"/>
  <c r="M326" i="25" s="1"/>
  <c r="J377" i="36"/>
  <c r="I328" i="25" s="1"/>
  <c r="K376" i="36"/>
  <c r="J327" i="25" s="1"/>
  <c r="M376" i="36"/>
  <c r="L327" i="25" s="1"/>
  <c r="L376" i="36"/>
  <c r="K327" i="25" s="1"/>
  <c r="BF328" i="25" l="1"/>
  <c r="BE329" i="25"/>
  <c r="BB330" i="25"/>
  <c r="BC329" i="25"/>
  <c r="BD329" i="25"/>
  <c r="BA326" i="25"/>
  <c r="AZ327" i="25"/>
  <c r="AX327" i="25"/>
  <c r="AY327" i="25"/>
  <c r="AW328" i="25"/>
  <c r="AV326" i="25"/>
  <c r="AU327" i="25"/>
  <c r="AR328" i="25"/>
  <c r="AS327" i="25"/>
  <c r="AT327" i="25"/>
  <c r="AP327" i="25"/>
  <c r="AM328" i="25"/>
  <c r="AN327" i="25"/>
  <c r="AO327" i="25"/>
  <c r="AQ326" i="25"/>
  <c r="AJ327" i="25"/>
  <c r="AK327" i="25"/>
  <c r="AI327" i="25"/>
  <c r="AH328" i="25"/>
  <c r="AL326" i="25"/>
  <c r="AG326" i="25"/>
  <c r="AC328" i="25"/>
  <c r="AE327" i="25"/>
  <c r="AF327" i="25"/>
  <c r="AD327" i="25"/>
  <c r="AB326" i="25"/>
  <c r="AA327" i="25"/>
  <c r="X328" i="25"/>
  <c r="Y327" i="25"/>
  <c r="Z327" i="25"/>
  <c r="W328" i="25"/>
  <c r="V329" i="25"/>
  <c r="T329" i="25"/>
  <c r="U329" i="25"/>
  <c r="S330" i="25"/>
  <c r="J378" i="36"/>
  <c r="I329" i="25" s="1"/>
  <c r="K377" i="36"/>
  <c r="J328" i="25" s="1"/>
  <c r="M377" i="36"/>
  <c r="L328" i="25" s="1"/>
  <c r="L377" i="36"/>
  <c r="K328" i="25" s="1"/>
  <c r="N376" i="36"/>
  <c r="M327" i="25" s="1"/>
  <c r="BD330" i="25" l="1"/>
  <c r="BE330" i="25"/>
  <c r="BB331" i="25"/>
  <c r="BC330" i="25"/>
  <c r="BF329" i="25"/>
  <c r="BA327" i="25"/>
  <c r="AY328" i="25"/>
  <c r="AX328" i="25"/>
  <c r="AZ328" i="25"/>
  <c r="AW329" i="25"/>
  <c r="AT328" i="25"/>
  <c r="AR329" i="25"/>
  <c r="AS328" i="25"/>
  <c r="AU328" i="25"/>
  <c r="AV327" i="25"/>
  <c r="AP328" i="25"/>
  <c r="AM329" i="25"/>
  <c r="AN328" i="25"/>
  <c r="AO328" i="25"/>
  <c r="AQ327" i="25"/>
  <c r="AL327" i="25"/>
  <c r="AH329" i="25"/>
  <c r="AI328" i="25"/>
  <c r="AJ328" i="25"/>
  <c r="AK328" i="25"/>
  <c r="AG327" i="25"/>
  <c r="AF328" i="25"/>
  <c r="AC329" i="25"/>
  <c r="AE328" i="25"/>
  <c r="AD328" i="25"/>
  <c r="Z328" i="25"/>
  <c r="AA328" i="25"/>
  <c r="Y328" i="25"/>
  <c r="X329" i="25"/>
  <c r="AB327" i="25"/>
  <c r="W329" i="25"/>
  <c r="U330" i="25"/>
  <c r="V330" i="25"/>
  <c r="S331" i="25"/>
  <c r="T330" i="25"/>
  <c r="M378" i="36"/>
  <c r="L329" i="25" s="1"/>
  <c r="K378" i="36"/>
  <c r="J329" i="25" s="1"/>
  <c r="J379" i="36"/>
  <c r="I330" i="25" s="1"/>
  <c r="L378" i="36"/>
  <c r="K329" i="25" s="1"/>
  <c r="N377" i="36"/>
  <c r="M328" i="25" s="1"/>
  <c r="AV328" i="25" l="1"/>
  <c r="BF330" i="25"/>
  <c r="BB332" i="25"/>
  <c r="BC331" i="25"/>
  <c r="BE331" i="25"/>
  <c r="BD331" i="25"/>
  <c r="BA328" i="25"/>
  <c r="AW330" i="25"/>
  <c r="AX329" i="25"/>
  <c r="AY329" i="25"/>
  <c r="AZ329" i="25"/>
  <c r="AR330" i="25"/>
  <c r="AS329" i="25"/>
  <c r="AU329" i="25"/>
  <c r="AT329" i="25"/>
  <c r="AO329" i="25"/>
  <c r="AM330" i="25"/>
  <c r="AN329" i="25"/>
  <c r="AP329" i="25"/>
  <c r="AQ328" i="25"/>
  <c r="AL328" i="25"/>
  <c r="AH330" i="25"/>
  <c r="AI329" i="25"/>
  <c r="AJ329" i="25"/>
  <c r="AK329" i="25"/>
  <c r="AE329" i="25"/>
  <c r="AC330" i="25"/>
  <c r="AF329" i="25"/>
  <c r="AD329" i="25"/>
  <c r="AG328" i="25"/>
  <c r="AB328" i="25"/>
  <c r="X330" i="25"/>
  <c r="Y329" i="25"/>
  <c r="AA329" i="25"/>
  <c r="Z329" i="25"/>
  <c r="W330" i="25"/>
  <c r="S332" i="25"/>
  <c r="T331" i="25"/>
  <c r="U331" i="25"/>
  <c r="V331" i="25"/>
  <c r="L379" i="36"/>
  <c r="K330" i="25" s="1"/>
  <c r="M379" i="36"/>
  <c r="L330" i="25" s="1"/>
  <c r="J380" i="36"/>
  <c r="I331" i="25" s="1"/>
  <c r="K379" i="36"/>
  <c r="J330" i="25" s="1"/>
  <c r="N378" i="36"/>
  <c r="M329" i="25" s="1"/>
  <c r="BD332" i="25" l="1"/>
  <c r="BB333" i="25"/>
  <c r="BC332" i="25"/>
  <c r="BE332" i="25"/>
  <c r="BF331" i="25"/>
  <c r="AY330" i="25"/>
  <c r="AZ330" i="25"/>
  <c r="AW331" i="25"/>
  <c r="AX330" i="25"/>
  <c r="BA329" i="25"/>
  <c r="AV329" i="25"/>
  <c r="AT330" i="25"/>
  <c r="AU330" i="25"/>
  <c r="AS330" i="25"/>
  <c r="AR331" i="25"/>
  <c r="AQ329" i="25"/>
  <c r="AM331" i="25"/>
  <c r="AN330" i="25"/>
  <c r="AO330" i="25"/>
  <c r="AP330" i="25"/>
  <c r="AL329" i="25"/>
  <c r="AK330" i="25"/>
  <c r="AI330" i="25"/>
  <c r="AJ330" i="25"/>
  <c r="AH331" i="25"/>
  <c r="AG329" i="25"/>
  <c r="AC331" i="25"/>
  <c r="AD330" i="25"/>
  <c r="AF330" i="25"/>
  <c r="AE330" i="25"/>
  <c r="X331" i="25"/>
  <c r="Y330" i="25"/>
  <c r="Z330" i="25"/>
  <c r="AA330" i="25"/>
  <c r="AB329" i="25"/>
  <c r="W331" i="25"/>
  <c r="S333" i="25"/>
  <c r="T332" i="25"/>
  <c r="U332" i="25"/>
  <c r="V332" i="25"/>
  <c r="N379" i="36"/>
  <c r="M330" i="25" s="1"/>
  <c r="J381" i="36"/>
  <c r="I332" i="25" s="1"/>
  <c r="K380" i="36"/>
  <c r="J331" i="25" s="1"/>
  <c r="M380" i="36"/>
  <c r="L331" i="25" s="1"/>
  <c r="L380" i="36"/>
  <c r="K331" i="25" s="1"/>
  <c r="BF332" i="25" l="1"/>
  <c r="BE333" i="25"/>
  <c r="BB334" i="25"/>
  <c r="BC333" i="25"/>
  <c r="BD333" i="25"/>
  <c r="BA330" i="25"/>
  <c r="AZ331" i="25"/>
  <c r="AY331" i="25"/>
  <c r="AW332" i="25"/>
  <c r="AX331" i="25"/>
  <c r="AV330" i="25"/>
  <c r="AU331" i="25"/>
  <c r="AR332" i="25"/>
  <c r="AS331" i="25"/>
  <c r="AT331" i="25"/>
  <c r="AQ330" i="25"/>
  <c r="AM332" i="25"/>
  <c r="AN331" i="25"/>
  <c r="AO331" i="25"/>
  <c r="AP331" i="25"/>
  <c r="AL330" i="25"/>
  <c r="AJ331" i="25"/>
  <c r="AK331" i="25"/>
  <c r="AH332" i="25"/>
  <c r="AI331" i="25"/>
  <c r="AG330" i="25"/>
  <c r="AD331" i="25"/>
  <c r="AF331" i="25"/>
  <c r="AC332" i="25"/>
  <c r="AE331" i="25"/>
  <c r="AB330" i="25"/>
  <c r="AA331" i="25"/>
  <c r="Y331" i="25"/>
  <c r="X332" i="25"/>
  <c r="Z331" i="25"/>
  <c r="W332" i="25"/>
  <c r="V333" i="25"/>
  <c r="S334" i="25"/>
  <c r="T333" i="25"/>
  <c r="U333" i="25"/>
  <c r="N380" i="36"/>
  <c r="M331" i="25" s="1"/>
  <c r="J382" i="36"/>
  <c r="I333" i="25" s="1"/>
  <c r="K381" i="36"/>
  <c r="J332" i="25" s="1"/>
  <c r="L381" i="36"/>
  <c r="K332" i="25" s="1"/>
  <c r="M381" i="36"/>
  <c r="L332" i="25" s="1"/>
  <c r="BD334" i="25" l="1"/>
  <c r="BE334" i="25"/>
  <c r="BC334" i="25"/>
  <c r="BB335" i="25"/>
  <c r="BF333" i="25"/>
  <c r="BA331" i="25"/>
  <c r="AY332" i="25"/>
  <c r="AZ332" i="25"/>
  <c r="AW333" i="25"/>
  <c r="AX332" i="25"/>
  <c r="AT332" i="25"/>
  <c r="AR333" i="25"/>
  <c r="AS332" i="25"/>
  <c r="AU332" i="25"/>
  <c r="AV331" i="25"/>
  <c r="AQ331" i="25"/>
  <c r="AP332" i="25"/>
  <c r="AM333" i="25"/>
  <c r="AN332" i="25"/>
  <c r="AO332" i="25"/>
  <c r="AL331" i="25"/>
  <c r="AH333" i="25"/>
  <c r="AI332" i="25"/>
  <c r="AJ332" i="25"/>
  <c r="AK332" i="25"/>
  <c r="AF332" i="25"/>
  <c r="AD332" i="25"/>
  <c r="AC333" i="25"/>
  <c r="AE332" i="25"/>
  <c r="AG331" i="25"/>
  <c r="Z332" i="25"/>
  <c r="AA332" i="25"/>
  <c r="Y332" i="25"/>
  <c r="X333" i="25"/>
  <c r="AB331" i="25"/>
  <c r="U334" i="25"/>
  <c r="V334" i="25"/>
  <c r="T334" i="25"/>
  <c r="S335" i="25"/>
  <c r="W333" i="25"/>
  <c r="N381" i="36"/>
  <c r="M332" i="25" s="1"/>
  <c r="M382" i="36"/>
  <c r="L333" i="25" s="1"/>
  <c r="J383" i="36"/>
  <c r="I334" i="25" s="1"/>
  <c r="L382" i="36"/>
  <c r="K333" i="25" s="1"/>
  <c r="K382" i="36"/>
  <c r="J333" i="25" s="1"/>
  <c r="AV332" i="25" l="1"/>
  <c r="BF334" i="25"/>
  <c r="BB336" i="25"/>
  <c r="BC335" i="25"/>
  <c r="BE335" i="25"/>
  <c r="BD335" i="25"/>
  <c r="BA332" i="25"/>
  <c r="AW334" i="25"/>
  <c r="AX333" i="25"/>
  <c r="AZ333" i="25"/>
  <c r="AY333" i="25"/>
  <c r="AR334" i="25"/>
  <c r="AS333" i="25"/>
  <c r="AU333" i="25"/>
  <c r="AT333" i="25"/>
  <c r="AO333" i="25"/>
  <c r="AM334" i="25"/>
  <c r="AN333" i="25"/>
  <c r="AP333" i="25"/>
  <c r="AQ332" i="25"/>
  <c r="AL332" i="25"/>
  <c r="AH334" i="25"/>
  <c r="AI333" i="25"/>
  <c r="AJ333" i="25"/>
  <c r="AK333" i="25"/>
  <c r="AE333" i="25"/>
  <c r="AD333" i="25"/>
  <c r="AC334" i="25"/>
  <c r="AF333" i="25"/>
  <c r="AG332" i="25"/>
  <c r="AB332" i="25"/>
  <c r="X334" i="25"/>
  <c r="Y333" i="25"/>
  <c r="Z333" i="25"/>
  <c r="AA333" i="25"/>
  <c r="W334" i="25"/>
  <c r="S336" i="25"/>
  <c r="T335" i="25"/>
  <c r="U335" i="25"/>
  <c r="V335" i="25"/>
  <c r="N382" i="36"/>
  <c r="M333" i="25" s="1"/>
  <c r="L383" i="36"/>
  <c r="K334" i="25" s="1"/>
  <c r="M383" i="36"/>
  <c r="L334" i="25" s="1"/>
  <c r="J384" i="36"/>
  <c r="I335" i="25" s="1"/>
  <c r="K383" i="36"/>
  <c r="J334" i="25" s="1"/>
  <c r="BD336" i="25" l="1"/>
  <c r="BC336" i="25"/>
  <c r="BB337" i="25"/>
  <c r="BE336" i="25"/>
  <c r="BF335" i="25"/>
  <c r="BA333" i="25"/>
  <c r="AZ334" i="25"/>
  <c r="AW335" i="25"/>
  <c r="AX334" i="25"/>
  <c r="AY334" i="25"/>
  <c r="AT334" i="25"/>
  <c r="AU334" i="25"/>
  <c r="AS334" i="25"/>
  <c r="AR335" i="25"/>
  <c r="AV333" i="25"/>
  <c r="AQ333" i="25"/>
  <c r="AM335" i="25"/>
  <c r="AN334" i="25"/>
  <c r="AO334" i="25"/>
  <c r="AP334" i="25"/>
  <c r="AL333" i="25"/>
  <c r="AK334" i="25"/>
  <c r="AH335" i="25"/>
  <c r="AI334" i="25"/>
  <c r="AJ334" i="25"/>
  <c r="AG333" i="25"/>
  <c r="AC335" i="25"/>
  <c r="AD334" i="25"/>
  <c r="AE334" i="25"/>
  <c r="AF334" i="25"/>
  <c r="AB333" i="25"/>
  <c r="Z334" i="25"/>
  <c r="X335" i="25"/>
  <c r="Y334" i="25"/>
  <c r="AA334" i="25"/>
  <c r="S337" i="25"/>
  <c r="T336" i="25"/>
  <c r="V336" i="25"/>
  <c r="U336" i="25"/>
  <c r="W335" i="25"/>
  <c r="J385" i="36"/>
  <c r="I336" i="25" s="1"/>
  <c r="K384" i="36"/>
  <c r="J335" i="25" s="1"/>
  <c r="L384" i="36"/>
  <c r="K335" i="25" s="1"/>
  <c r="M384" i="36"/>
  <c r="L335" i="25" s="1"/>
  <c r="N383" i="36"/>
  <c r="M334" i="25" s="1"/>
  <c r="BF336" i="25" l="1"/>
  <c r="BE337" i="25"/>
  <c r="BB338" i="25"/>
  <c r="BC337" i="25"/>
  <c r="BD337" i="25"/>
  <c r="AZ335" i="25"/>
  <c r="AW336" i="25"/>
  <c r="AX335" i="25"/>
  <c r="AY335" i="25"/>
  <c r="BA334" i="25"/>
  <c r="AV334" i="25"/>
  <c r="AU335" i="25"/>
  <c r="AR336" i="25"/>
  <c r="AS335" i="25"/>
  <c r="AT335" i="25"/>
  <c r="AQ334" i="25"/>
  <c r="AN335" i="25"/>
  <c r="AO335" i="25"/>
  <c r="AP335" i="25"/>
  <c r="AM336" i="25"/>
  <c r="AJ335" i="25"/>
  <c r="AK335" i="25"/>
  <c r="AI335" i="25"/>
  <c r="AH336" i="25"/>
  <c r="AL334" i="25"/>
  <c r="AG334" i="25"/>
  <c r="AE335" i="25"/>
  <c r="AC336" i="25"/>
  <c r="AD335" i="25"/>
  <c r="AF335" i="25"/>
  <c r="AB334" i="25"/>
  <c r="AA335" i="25"/>
  <c r="X336" i="25"/>
  <c r="Y335" i="25"/>
  <c r="Z335" i="25"/>
  <c r="V337" i="25"/>
  <c r="T337" i="25"/>
  <c r="S338" i="25"/>
  <c r="U337" i="25"/>
  <c r="W336" i="25"/>
  <c r="N384" i="36"/>
  <c r="M335" i="25" s="1"/>
  <c r="L385" i="36"/>
  <c r="K336" i="25" s="1"/>
  <c r="J386" i="36"/>
  <c r="I337" i="25" s="1"/>
  <c r="K385" i="36"/>
  <c r="J336" i="25" s="1"/>
  <c r="M385" i="36"/>
  <c r="L336" i="25" s="1"/>
  <c r="BD338" i="25" l="1"/>
  <c r="BE338" i="25"/>
  <c r="BB339" i="25"/>
  <c r="BC338" i="25"/>
  <c r="BF337" i="25"/>
  <c r="AY336" i="25"/>
  <c r="AW337" i="25"/>
  <c r="AX336" i="25"/>
  <c r="AZ336" i="25"/>
  <c r="BA335" i="25"/>
  <c r="AT336" i="25"/>
  <c r="AR337" i="25"/>
  <c r="AS336" i="25"/>
  <c r="AU336" i="25"/>
  <c r="AV335" i="25"/>
  <c r="AQ335" i="25"/>
  <c r="AP336" i="25"/>
  <c r="AN336" i="25"/>
  <c r="AO336" i="25"/>
  <c r="AM337" i="25"/>
  <c r="AL335" i="25"/>
  <c r="AH337" i="25"/>
  <c r="AI336" i="25"/>
  <c r="AJ336" i="25"/>
  <c r="AK336" i="25"/>
  <c r="AG335" i="25"/>
  <c r="AF336" i="25"/>
  <c r="AE336" i="25"/>
  <c r="AC337" i="25"/>
  <c r="AD336" i="25"/>
  <c r="Z336" i="25"/>
  <c r="AA336" i="25"/>
  <c r="X337" i="25"/>
  <c r="Y336" i="25"/>
  <c r="AB335" i="25"/>
  <c r="U338" i="25"/>
  <c r="V338" i="25"/>
  <c r="S339" i="25"/>
  <c r="T338" i="25"/>
  <c r="W337" i="25"/>
  <c r="N385" i="36"/>
  <c r="M336" i="25" s="1"/>
  <c r="M386" i="36"/>
  <c r="L337" i="25" s="1"/>
  <c r="J387" i="36"/>
  <c r="I338" i="25" s="1"/>
  <c r="K386" i="36"/>
  <c r="J337" i="25" s="1"/>
  <c r="L386" i="36"/>
  <c r="K337" i="25" s="1"/>
  <c r="AV336" i="25" l="1"/>
  <c r="BF338" i="25"/>
  <c r="BB340" i="25"/>
  <c r="BC339" i="25"/>
  <c r="BE339" i="25"/>
  <c r="BD339" i="25"/>
  <c r="BA336" i="25"/>
  <c r="AW338" i="25"/>
  <c r="AX337" i="25"/>
  <c r="AY337" i="25"/>
  <c r="AZ337" i="25"/>
  <c r="AR338" i="25"/>
  <c r="AS337" i="25"/>
  <c r="AU337" i="25"/>
  <c r="AT337" i="25"/>
  <c r="AQ336" i="25"/>
  <c r="AO337" i="25"/>
  <c r="AN337" i="25"/>
  <c r="AP337" i="25"/>
  <c r="AM338" i="25"/>
  <c r="AL336" i="25"/>
  <c r="AH338" i="25"/>
  <c r="AI337" i="25"/>
  <c r="AJ337" i="25"/>
  <c r="AK337" i="25"/>
  <c r="AG336" i="25"/>
  <c r="AE337" i="25"/>
  <c r="AC338" i="25"/>
  <c r="AF337" i="25"/>
  <c r="AD337" i="25"/>
  <c r="AB336" i="25"/>
  <c r="X338" i="25"/>
  <c r="Y337" i="25"/>
  <c r="AA337" i="25"/>
  <c r="Z337" i="25"/>
  <c r="W338" i="25"/>
  <c r="S340" i="25"/>
  <c r="T339" i="25"/>
  <c r="U339" i="25"/>
  <c r="V339" i="25"/>
  <c r="N386" i="36"/>
  <c r="M337" i="25" s="1"/>
  <c r="L387" i="36"/>
  <c r="K338" i="25" s="1"/>
  <c r="M387" i="36"/>
  <c r="L338" i="25" s="1"/>
  <c r="J388" i="36"/>
  <c r="I339" i="25" s="1"/>
  <c r="K387" i="36"/>
  <c r="J338" i="25" s="1"/>
  <c r="BD340" i="25" l="1"/>
  <c r="BB341" i="25"/>
  <c r="BC340" i="25"/>
  <c r="BE340" i="25"/>
  <c r="BF339" i="25"/>
  <c r="BA337" i="25"/>
  <c r="AW339" i="25"/>
  <c r="AX338" i="25"/>
  <c r="AY338" i="25"/>
  <c r="AZ338" i="25"/>
  <c r="AV337" i="25"/>
  <c r="AT338" i="25"/>
  <c r="AU338" i="25"/>
  <c r="AR339" i="25"/>
  <c r="AS338" i="25"/>
  <c r="AQ337" i="25"/>
  <c r="AM339" i="25"/>
  <c r="AN338" i="25"/>
  <c r="AO338" i="25"/>
  <c r="AP338" i="25"/>
  <c r="AL337" i="25"/>
  <c r="AK338" i="25"/>
  <c r="AI338" i="25"/>
  <c r="AJ338" i="25"/>
  <c r="AH339" i="25"/>
  <c r="AG337" i="25"/>
  <c r="AC339" i="25"/>
  <c r="AD338" i="25"/>
  <c r="AE338" i="25"/>
  <c r="AF338" i="25"/>
  <c r="X339" i="25"/>
  <c r="Y338" i="25"/>
  <c r="Z338" i="25"/>
  <c r="AA338" i="25"/>
  <c r="AB337" i="25"/>
  <c r="W339" i="25"/>
  <c r="S341" i="25"/>
  <c r="T340" i="25"/>
  <c r="U340" i="25"/>
  <c r="V340" i="25"/>
  <c r="N387" i="36"/>
  <c r="M338" i="25" s="1"/>
  <c r="J389" i="36"/>
  <c r="I340" i="25" s="1"/>
  <c r="K388" i="36"/>
  <c r="J339" i="25" s="1"/>
  <c r="L388" i="36"/>
  <c r="K339" i="25" s="1"/>
  <c r="M388" i="36"/>
  <c r="L339" i="25" s="1"/>
  <c r="BF340" i="25" l="1"/>
  <c r="BE341" i="25"/>
  <c r="BB342" i="25"/>
  <c r="BC341" i="25"/>
  <c r="BD341" i="25"/>
  <c r="BA338" i="25"/>
  <c r="AZ339" i="25"/>
  <c r="AW340" i="25"/>
  <c r="AX339" i="25"/>
  <c r="AY339" i="25"/>
  <c r="AV338" i="25"/>
  <c r="AU339" i="25"/>
  <c r="AR340" i="25"/>
  <c r="AS339" i="25"/>
  <c r="AT339" i="25"/>
  <c r="AQ338" i="25"/>
  <c r="AO339" i="25"/>
  <c r="AP339" i="25"/>
  <c r="AM340" i="25"/>
  <c r="AN339" i="25"/>
  <c r="AL338" i="25"/>
  <c r="AJ339" i="25"/>
  <c r="AK339" i="25"/>
  <c r="AH340" i="25"/>
  <c r="AI339" i="25"/>
  <c r="AC340" i="25"/>
  <c r="AD339" i="25"/>
  <c r="AF339" i="25"/>
  <c r="AE339" i="25"/>
  <c r="AG338" i="25"/>
  <c r="AB338" i="25"/>
  <c r="AA339" i="25"/>
  <c r="Y339" i="25"/>
  <c r="X340" i="25"/>
  <c r="Z339" i="25"/>
  <c r="W340" i="25"/>
  <c r="V341" i="25"/>
  <c r="S342" i="25"/>
  <c r="T341" i="25"/>
  <c r="U341" i="25"/>
  <c r="N388" i="36"/>
  <c r="M339" i="25" s="1"/>
  <c r="L389" i="36"/>
  <c r="K340" i="25" s="1"/>
  <c r="J390" i="36"/>
  <c r="I341" i="25" s="1"/>
  <c r="K389" i="36"/>
  <c r="J340" i="25" s="1"/>
  <c r="M389" i="36"/>
  <c r="L340" i="25" s="1"/>
  <c r="BD342" i="25" l="1"/>
  <c r="BE342" i="25"/>
  <c r="BC342" i="25"/>
  <c r="BB343" i="25"/>
  <c r="BF341" i="25"/>
  <c r="AY340" i="25"/>
  <c r="AW341" i="25"/>
  <c r="AX340" i="25"/>
  <c r="AZ340" i="25"/>
  <c r="BA339" i="25"/>
  <c r="AT340" i="25"/>
  <c r="AR341" i="25"/>
  <c r="AS340" i="25"/>
  <c r="AU340" i="25"/>
  <c r="AV339" i="25"/>
  <c r="AQ339" i="25"/>
  <c r="AP340" i="25"/>
  <c r="AO340" i="25"/>
  <c r="AM341" i="25"/>
  <c r="AN340" i="25"/>
  <c r="AL339" i="25"/>
  <c r="AH341" i="25"/>
  <c r="AI340" i="25"/>
  <c r="AJ340" i="25"/>
  <c r="AK340" i="25"/>
  <c r="AF340" i="25"/>
  <c r="AE340" i="25"/>
  <c r="AC341" i="25"/>
  <c r="AD340" i="25"/>
  <c r="AG339" i="25"/>
  <c r="Z340" i="25"/>
  <c r="AA340" i="25"/>
  <c r="Y340" i="25"/>
  <c r="X341" i="25"/>
  <c r="AB339" i="25"/>
  <c r="U342" i="25"/>
  <c r="V342" i="25"/>
  <c r="T342" i="25"/>
  <c r="S343" i="25"/>
  <c r="W341" i="25"/>
  <c r="N389" i="36"/>
  <c r="M340" i="25" s="1"/>
  <c r="M390" i="36"/>
  <c r="L341" i="25" s="1"/>
  <c r="K390" i="36"/>
  <c r="J341" i="25" s="1"/>
  <c r="L390" i="36"/>
  <c r="K341" i="25" s="1"/>
  <c r="J391" i="36"/>
  <c r="I342" i="25" s="1"/>
  <c r="BF342" i="25" l="1"/>
  <c r="BB344" i="25"/>
  <c r="BC343" i="25"/>
  <c r="BE343" i="25"/>
  <c r="BD343" i="25"/>
  <c r="BA340" i="25"/>
  <c r="AW342" i="25"/>
  <c r="AX341" i="25"/>
  <c r="AY341" i="25"/>
  <c r="AZ341" i="25"/>
  <c r="AV340" i="25"/>
  <c r="AR342" i="25"/>
  <c r="AS341" i="25"/>
  <c r="AU341" i="25"/>
  <c r="AT341" i="25"/>
  <c r="AQ340" i="25"/>
  <c r="AO341" i="25"/>
  <c r="AP341" i="25"/>
  <c r="AM342" i="25"/>
  <c r="AN341" i="25"/>
  <c r="AL340" i="25"/>
  <c r="AH342" i="25"/>
  <c r="AI341" i="25"/>
  <c r="AJ341" i="25"/>
  <c r="AK341" i="25"/>
  <c r="AE341" i="25"/>
  <c r="AF341" i="25"/>
  <c r="AC342" i="25"/>
  <c r="AD341" i="25"/>
  <c r="AG340" i="25"/>
  <c r="AB340" i="25"/>
  <c r="X342" i="25"/>
  <c r="Y341" i="25"/>
  <c r="Z341" i="25"/>
  <c r="AA341" i="25"/>
  <c r="W342" i="25"/>
  <c r="S344" i="25"/>
  <c r="T343" i="25"/>
  <c r="U343" i="25"/>
  <c r="V343" i="25"/>
  <c r="N390" i="36"/>
  <c r="M341" i="25" s="1"/>
  <c r="L391" i="36"/>
  <c r="K342" i="25" s="1"/>
  <c r="M391" i="36"/>
  <c r="L342" i="25" s="1"/>
  <c r="J392" i="36"/>
  <c r="I343" i="25" s="1"/>
  <c r="K391" i="36"/>
  <c r="J342" i="25" s="1"/>
  <c r="BD344" i="25" l="1"/>
  <c r="BC344" i="25"/>
  <c r="BB345" i="25"/>
  <c r="BE344" i="25"/>
  <c r="BF343" i="25"/>
  <c r="BA341" i="25"/>
  <c r="AX342" i="25"/>
  <c r="AY342" i="25"/>
  <c r="AZ342" i="25"/>
  <c r="AW343" i="25"/>
  <c r="AT342" i="25"/>
  <c r="AU342" i="25"/>
  <c r="AR343" i="25"/>
  <c r="AS342" i="25"/>
  <c r="AV341" i="25"/>
  <c r="AQ341" i="25"/>
  <c r="AM343" i="25"/>
  <c r="AN342" i="25"/>
  <c r="AP342" i="25"/>
  <c r="AO342" i="25"/>
  <c r="AL341" i="25"/>
  <c r="AK342" i="25"/>
  <c r="AH343" i="25"/>
  <c r="AI342" i="25"/>
  <c r="AJ342" i="25"/>
  <c r="AG341" i="25"/>
  <c r="AC343" i="25"/>
  <c r="AD342" i="25"/>
  <c r="AE342" i="25"/>
  <c r="AF342" i="25"/>
  <c r="AB341" i="25"/>
  <c r="Z342" i="25"/>
  <c r="X343" i="25"/>
  <c r="Y342" i="25"/>
  <c r="AA342" i="25"/>
  <c r="W343" i="25"/>
  <c r="S345" i="25"/>
  <c r="T344" i="25"/>
  <c r="V344" i="25"/>
  <c r="U344" i="25"/>
  <c r="N391" i="36"/>
  <c r="M342" i="25" s="1"/>
  <c r="J393" i="36"/>
  <c r="I344" i="25" s="1"/>
  <c r="K392" i="36"/>
  <c r="J343" i="25" s="1"/>
  <c r="L392" i="36"/>
  <c r="K343" i="25" s="1"/>
  <c r="M392" i="36"/>
  <c r="L343" i="25" s="1"/>
  <c r="BF344" i="25" l="1"/>
  <c r="BE345" i="25"/>
  <c r="BB346" i="25"/>
  <c r="BC345" i="25"/>
  <c r="BD345" i="25"/>
  <c r="BA342" i="25"/>
  <c r="AZ343" i="25"/>
  <c r="AX343" i="25"/>
  <c r="AY343" i="25"/>
  <c r="AW344" i="25"/>
  <c r="AV342" i="25"/>
  <c r="AU343" i="25"/>
  <c r="AR344" i="25"/>
  <c r="AS343" i="25"/>
  <c r="AT343" i="25"/>
  <c r="AP343" i="25"/>
  <c r="AM344" i="25"/>
  <c r="AN343" i="25"/>
  <c r="AO343" i="25"/>
  <c r="AQ342" i="25"/>
  <c r="AJ343" i="25"/>
  <c r="AK343" i="25"/>
  <c r="AI343" i="25"/>
  <c r="AH344" i="25"/>
  <c r="AL342" i="25"/>
  <c r="AC344" i="25"/>
  <c r="AD343" i="25"/>
  <c r="AF343" i="25"/>
  <c r="AE343" i="25"/>
  <c r="AG342" i="25"/>
  <c r="AB342" i="25"/>
  <c r="AA343" i="25"/>
  <c r="X344" i="25"/>
  <c r="Y343" i="25"/>
  <c r="Z343" i="25"/>
  <c r="V345" i="25"/>
  <c r="T345" i="25"/>
  <c r="U345" i="25"/>
  <c r="S346" i="25"/>
  <c r="W344" i="25"/>
  <c r="N392" i="36"/>
  <c r="M343" i="25" s="1"/>
  <c r="J394" i="36"/>
  <c r="I345" i="25" s="1"/>
  <c r="K393" i="36"/>
  <c r="J344" i="25" s="1"/>
  <c r="M393" i="36"/>
  <c r="L344" i="25" s="1"/>
  <c r="L393" i="36"/>
  <c r="K344" i="25" s="1"/>
  <c r="BD346" i="25" l="1"/>
  <c r="BE346" i="25"/>
  <c r="BB347" i="25"/>
  <c r="BC346" i="25"/>
  <c r="BF345" i="25"/>
  <c r="AY344" i="25"/>
  <c r="AX344" i="25"/>
  <c r="AZ344" i="25"/>
  <c r="AW345" i="25"/>
  <c r="BA343" i="25"/>
  <c r="AT344" i="25"/>
  <c r="AR345" i="25"/>
  <c r="AS344" i="25"/>
  <c r="AU344" i="25"/>
  <c r="AV343" i="25"/>
  <c r="AP344" i="25"/>
  <c r="AM345" i="25"/>
  <c r="AN344" i="25"/>
  <c r="AO344" i="25"/>
  <c r="AQ343" i="25"/>
  <c r="AL343" i="25"/>
  <c r="AH345" i="25"/>
  <c r="AI344" i="25"/>
  <c r="AJ344" i="25"/>
  <c r="AK344" i="25"/>
  <c r="AF344" i="25"/>
  <c r="AE344" i="25"/>
  <c r="AD344" i="25"/>
  <c r="AC345" i="25"/>
  <c r="AG343" i="25"/>
  <c r="Z344" i="25"/>
  <c r="AA344" i="25"/>
  <c r="X345" i="25"/>
  <c r="Y344" i="25"/>
  <c r="AB343" i="25"/>
  <c r="W345" i="25"/>
  <c r="U346" i="25"/>
  <c r="V346" i="25"/>
  <c r="S347" i="25"/>
  <c r="T346" i="25"/>
  <c r="M394" i="36"/>
  <c r="L345" i="25" s="1"/>
  <c r="K394" i="36"/>
  <c r="J345" i="25" s="1"/>
  <c r="J395" i="36"/>
  <c r="I346" i="25" s="1"/>
  <c r="L394" i="36"/>
  <c r="K345" i="25" s="1"/>
  <c r="N393" i="36"/>
  <c r="M344" i="25" s="1"/>
  <c r="AV344" i="25" l="1"/>
  <c r="BF346" i="25"/>
  <c r="BB348" i="25"/>
  <c r="BC347" i="25"/>
  <c r="BE347" i="25"/>
  <c r="BD347" i="25"/>
  <c r="BA344" i="25"/>
  <c r="AW346" i="25"/>
  <c r="AX345" i="25"/>
  <c r="AY345" i="25"/>
  <c r="AZ345" i="25"/>
  <c r="AR346" i="25"/>
  <c r="AS345" i="25"/>
  <c r="AU345" i="25"/>
  <c r="AT345" i="25"/>
  <c r="AO345" i="25"/>
  <c r="AM346" i="25"/>
  <c r="AN345" i="25"/>
  <c r="AP345" i="25"/>
  <c r="AQ344" i="25"/>
  <c r="AL344" i="25"/>
  <c r="AH346" i="25"/>
  <c r="AI345" i="25"/>
  <c r="AJ345" i="25"/>
  <c r="AK345" i="25"/>
  <c r="AG344" i="25"/>
  <c r="AE345" i="25"/>
  <c r="AF345" i="25"/>
  <c r="AC346" i="25"/>
  <c r="AD345" i="25"/>
  <c r="AB344" i="25"/>
  <c r="X346" i="25"/>
  <c r="Y345" i="25"/>
  <c r="AA345" i="25"/>
  <c r="Z345" i="25"/>
  <c r="W346" i="25"/>
  <c r="S348" i="25"/>
  <c r="T347" i="25"/>
  <c r="U347" i="25"/>
  <c r="V347" i="25"/>
  <c r="L395" i="36"/>
  <c r="K346" i="25" s="1"/>
  <c r="M395" i="36"/>
  <c r="L346" i="25" s="1"/>
  <c r="J396" i="36"/>
  <c r="I347" i="25" s="1"/>
  <c r="K395" i="36"/>
  <c r="J346" i="25" s="1"/>
  <c r="N394" i="36"/>
  <c r="M345" i="25" s="1"/>
  <c r="AQ345" i="25" l="1"/>
  <c r="BD348" i="25"/>
  <c r="BB349" i="25"/>
  <c r="BC348" i="25"/>
  <c r="BE348" i="25"/>
  <c r="BF347" i="25"/>
  <c r="BA345" i="25"/>
  <c r="AY346" i="25"/>
  <c r="AZ346" i="25"/>
  <c r="AW347" i="25"/>
  <c r="AX346" i="25"/>
  <c r="AT346" i="25"/>
  <c r="AU346" i="25"/>
  <c r="AS346" i="25"/>
  <c r="AR347" i="25"/>
  <c r="AV345" i="25"/>
  <c r="AM347" i="25"/>
  <c r="AN346" i="25"/>
  <c r="AO346" i="25"/>
  <c r="AP346" i="25"/>
  <c r="AL345" i="25"/>
  <c r="AK346" i="25"/>
  <c r="AI346" i="25"/>
  <c r="AH347" i="25"/>
  <c r="AJ346" i="25"/>
  <c r="AG345" i="25"/>
  <c r="AC347" i="25"/>
  <c r="AD346" i="25"/>
  <c r="AE346" i="25"/>
  <c r="AF346" i="25"/>
  <c r="AB345" i="25"/>
  <c r="X347" i="25"/>
  <c r="Y346" i="25"/>
  <c r="Z346" i="25"/>
  <c r="AA346" i="25"/>
  <c r="W347" i="25"/>
  <c r="S349" i="25"/>
  <c r="T348" i="25"/>
  <c r="U348" i="25"/>
  <c r="V348" i="25"/>
  <c r="N395" i="36"/>
  <c r="M346" i="25" s="1"/>
  <c r="J397" i="36"/>
  <c r="I348" i="25" s="1"/>
  <c r="K396" i="36"/>
  <c r="J347" i="25" s="1"/>
  <c r="L396" i="36"/>
  <c r="K347" i="25" s="1"/>
  <c r="M396" i="36"/>
  <c r="L347" i="25" s="1"/>
  <c r="BF348" i="25" l="1"/>
  <c r="BE349" i="25"/>
  <c r="BB350" i="25"/>
  <c r="BC349" i="25"/>
  <c r="BD349" i="25"/>
  <c r="BA346" i="25"/>
  <c r="AZ347" i="25"/>
  <c r="AY347" i="25"/>
  <c r="AW348" i="25"/>
  <c r="AX347" i="25"/>
  <c r="AV346" i="25"/>
  <c r="AU347" i="25"/>
  <c r="AR348" i="25"/>
  <c r="AS347" i="25"/>
  <c r="AT347" i="25"/>
  <c r="AQ346" i="25"/>
  <c r="AM348" i="25"/>
  <c r="AN347" i="25"/>
  <c r="AO347" i="25"/>
  <c r="AP347" i="25"/>
  <c r="AJ347" i="25"/>
  <c r="AK347" i="25"/>
  <c r="AH348" i="25"/>
  <c r="AI347" i="25"/>
  <c r="AL346" i="25"/>
  <c r="AC348" i="25"/>
  <c r="AD347" i="25"/>
  <c r="AF347" i="25"/>
  <c r="AE347" i="25"/>
  <c r="AG346" i="25"/>
  <c r="AA347" i="25"/>
  <c r="Y347" i="25"/>
  <c r="X348" i="25"/>
  <c r="Z347" i="25"/>
  <c r="AB346" i="25"/>
  <c r="W348" i="25"/>
  <c r="V349" i="25"/>
  <c r="S350" i="25"/>
  <c r="T349" i="25"/>
  <c r="U349" i="25"/>
  <c r="J398" i="36"/>
  <c r="I349" i="25" s="1"/>
  <c r="K397" i="36"/>
  <c r="J348" i="25" s="1"/>
  <c r="L397" i="36"/>
  <c r="K348" i="25" s="1"/>
  <c r="M397" i="36"/>
  <c r="L348" i="25" s="1"/>
  <c r="N396" i="36"/>
  <c r="M347" i="25" s="1"/>
  <c r="BD350" i="25" l="1"/>
  <c r="BE350" i="25"/>
  <c r="BC350" i="25"/>
  <c r="BB351" i="25"/>
  <c r="BF349" i="25"/>
  <c r="BA347" i="25"/>
  <c r="AY348" i="25"/>
  <c r="AZ348" i="25"/>
  <c r="AW349" i="25"/>
  <c r="AX348" i="25"/>
  <c r="AT348" i="25"/>
  <c r="AR349" i="25"/>
  <c r="AS348" i="25"/>
  <c r="AU348" i="25"/>
  <c r="AV347" i="25"/>
  <c r="AQ347" i="25"/>
  <c r="AP348" i="25"/>
  <c r="AM349" i="25"/>
  <c r="AN348" i="25"/>
  <c r="AO348" i="25"/>
  <c r="AL347" i="25"/>
  <c r="AH349" i="25"/>
  <c r="AI348" i="25"/>
  <c r="AJ348" i="25"/>
  <c r="AK348" i="25"/>
  <c r="AF348" i="25"/>
  <c r="AE348" i="25"/>
  <c r="AC349" i="25"/>
  <c r="AD348" i="25"/>
  <c r="AG347" i="25"/>
  <c r="AB347" i="25"/>
  <c r="Z348" i="25"/>
  <c r="AA348" i="25"/>
  <c r="Y348" i="25"/>
  <c r="X349" i="25"/>
  <c r="U350" i="25"/>
  <c r="V350" i="25"/>
  <c r="T350" i="25"/>
  <c r="S351" i="25"/>
  <c r="W349" i="25"/>
  <c r="N397" i="36"/>
  <c r="M348" i="25" s="1"/>
  <c r="M398" i="36"/>
  <c r="L349" i="25" s="1"/>
  <c r="K398" i="36"/>
  <c r="J349" i="25" s="1"/>
  <c r="J399" i="36"/>
  <c r="I350" i="25" s="1"/>
  <c r="L398" i="36"/>
  <c r="K349" i="25" s="1"/>
  <c r="BF350" i="25" l="1"/>
  <c r="BB352" i="25"/>
  <c r="BC351" i="25"/>
  <c r="BE351" i="25"/>
  <c r="BD351" i="25"/>
  <c r="BA348" i="25"/>
  <c r="AW350" i="25"/>
  <c r="AX349" i="25"/>
  <c r="AZ349" i="25"/>
  <c r="AY349" i="25"/>
  <c r="AV348" i="25"/>
  <c r="AR350" i="25"/>
  <c r="AS349" i="25"/>
  <c r="AU349" i="25"/>
  <c r="AT349" i="25"/>
  <c r="AO349" i="25"/>
  <c r="AM350" i="25"/>
  <c r="AN349" i="25"/>
  <c r="AP349" i="25"/>
  <c r="AQ348" i="25"/>
  <c r="AL348" i="25"/>
  <c r="AH350" i="25"/>
  <c r="AI349" i="25"/>
  <c r="AJ349" i="25"/>
  <c r="AK349" i="25"/>
  <c r="AG348" i="25"/>
  <c r="AE349" i="25"/>
  <c r="AF349" i="25"/>
  <c r="AC350" i="25"/>
  <c r="AD349" i="25"/>
  <c r="AB348" i="25"/>
  <c r="X350" i="25"/>
  <c r="Y349" i="25"/>
  <c r="Z349" i="25"/>
  <c r="AA349" i="25"/>
  <c r="W350" i="25"/>
  <c r="S352" i="25"/>
  <c r="T351" i="25"/>
  <c r="U351" i="25"/>
  <c r="V351" i="25"/>
  <c r="L399" i="36"/>
  <c r="K350" i="25" s="1"/>
  <c r="M399" i="36"/>
  <c r="L350" i="25" s="1"/>
  <c r="J400" i="36"/>
  <c r="I351" i="25" s="1"/>
  <c r="K399" i="36"/>
  <c r="J350" i="25" s="1"/>
  <c r="N398" i="36"/>
  <c r="M349" i="25" s="1"/>
  <c r="BD352" i="25" l="1"/>
  <c r="BC352" i="25"/>
  <c r="BB353" i="25"/>
  <c r="BE352" i="25"/>
  <c r="BF351" i="25"/>
  <c r="BA349" i="25"/>
  <c r="AZ350" i="25"/>
  <c r="AW351" i="25"/>
  <c r="AX350" i="25"/>
  <c r="AY350" i="25"/>
  <c r="AV349" i="25"/>
  <c r="AT350" i="25"/>
  <c r="AU350" i="25"/>
  <c r="AS350" i="25"/>
  <c r="AR351" i="25"/>
  <c r="AQ349" i="25"/>
  <c r="AM351" i="25"/>
  <c r="AN350" i="25"/>
  <c r="AO350" i="25"/>
  <c r="AP350" i="25"/>
  <c r="AL349" i="25"/>
  <c r="AK350" i="25"/>
  <c r="AH351" i="25"/>
  <c r="AI350" i="25"/>
  <c r="AJ350" i="25"/>
  <c r="AG349" i="25"/>
  <c r="AC351" i="25"/>
  <c r="AD350" i="25"/>
  <c r="AE350" i="25"/>
  <c r="AF350" i="25"/>
  <c r="Z350" i="25"/>
  <c r="X351" i="25"/>
  <c r="Y350" i="25"/>
  <c r="AA350" i="25"/>
  <c r="AB349" i="25"/>
  <c r="W351" i="25"/>
  <c r="S353" i="25"/>
  <c r="T352" i="25"/>
  <c r="V352" i="25"/>
  <c r="U352" i="25"/>
  <c r="N399" i="36"/>
  <c r="M350" i="25" s="1"/>
  <c r="J401" i="36"/>
  <c r="I352" i="25" s="1"/>
  <c r="K400" i="36"/>
  <c r="J351" i="25" s="1"/>
  <c r="L400" i="36"/>
  <c r="K351" i="25" s="1"/>
  <c r="M400" i="36"/>
  <c r="L351" i="25" s="1"/>
  <c r="BF352" i="25" l="1"/>
  <c r="BE353" i="25"/>
  <c r="BB354" i="25"/>
  <c r="BC353" i="25"/>
  <c r="BD353" i="25"/>
  <c r="AZ351" i="25"/>
  <c r="AW352" i="25"/>
  <c r="AX351" i="25"/>
  <c r="AY351" i="25"/>
  <c r="BA350" i="25"/>
  <c r="AV350" i="25"/>
  <c r="AU351" i="25"/>
  <c r="AR352" i="25"/>
  <c r="AS351" i="25"/>
  <c r="AT351" i="25"/>
  <c r="AQ350" i="25"/>
  <c r="AO351" i="25"/>
  <c r="AN351" i="25"/>
  <c r="AP351" i="25"/>
  <c r="AM352" i="25"/>
  <c r="AJ351" i="25"/>
  <c r="AK351" i="25"/>
  <c r="AI351" i="25"/>
  <c r="AH352" i="25"/>
  <c r="AL350" i="25"/>
  <c r="AG350" i="25"/>
  <c r="AC352" i="25"/>
  <c r="AD351" i="25"/>
  <c r="AF351" i="25"/>
  <c r="AE351" i="25"/>
  <c r="AA351" i="25"/>
  <c r="X352" i="25"/>
  <c r="Y351" i="25"/>
  <c r="Z351" i="25"/>
  <c r="AB350" i="25"/>
  <c r="V353" i="25"/>
  <c r="T353" i="25"/>
  <c r="U353" i="25"/>
  <c r="S354" i="25"/>
  <c r="W352" i="25"/>
  <c r="N400" i="36"/>
  <c r="M351" i="25" s="1"/>
  <c r="J402" i="36"/>
  <c r="I353" i="25" s="1"/>
  <c r="K401" i="36"/>
  <c r="J352" i="25" s="1"/>
  <c r="L401" i="36"/>
  <c r="K352" i="25" s="1"/>
  <c r="M401" i="36"/>
  <c r="L352" i="25" s="1"/>
  <c r="AQ351" i="25" l="1"/>
  <c r="BD354" i="25"/>
  <c r="BE354" i="25"/>
  <c r="BB355" i="25"/>
  <c r="BC354" i="25"/>
  <c r="BF353" i="25"/>
  <c r="AY352" i="25"/>
  <c r="AW353" i="25"/>
  <c r="AX352" i="25"/>
  <c r="AZ352" i="25"/>
  <c r="BA351" i="25"/>
  <c r="AT352" i="25"/>
  <c r="AR353" i="25"/>
  <c r="AS352" i="25"/>
  <c r="AU352" i="25"/>
  <c r="AV351" i="25"/>
  <c r="AM353" i="25"/>
  <c r="AN352" i="25"/>
  <c r="AO352" i="25"/>
  <c r="AP352" i="25"/>
  <c r="AL351" i="25"/>
  <c r="AH353" i="25"/>
  <c r="AI352" i="25"/>
  <c r="AJ352" i="25"/>
  <c r="AK352" i="25"/>
  <c r="AF352" i="25"/>
  <c r="AE352" i="25"/>
  <c r="AD352" i="25"/>
  <c r="AC353" i="25"/>
  <c r="AG351" i="25"/>
  <c r="AB351" i="25"/>
  <c r="Z352" i="25"/>
  <c r="AA352" i="25"/>
  <c r="X353" i="25"/>
  <c r="Y352" i="25"/>
  <c r="W353" i="25"/>
  <c r="U354" i="25"/>
  <c r="V354" i="25"/>
  <c r="S355" i="25"/>
  <c r="T354" i="25"/>
  <c r="N401" i="36"/>
  <c r="M352" i="25" s="1"/>
  <c r="M402" i="36"/>
  <c r="L353" i="25" s="1"/>
  <c r="K402" i="36"/>
  <c r="J353" i="25" s="1"/>
  <c r="L402" i="36"/>
  <c r="K353" i="25" s="1"/>
  <c r="J403" i="36"/>
  <c r="I354" i="25" s="1"/>
  <c r="BF354" i="25" l="1"/>
  <c r="BB356" i="25"/>
  <c r="BC355" i="25"/>
  <c r="BE355" i="25"/>
  <c r="BD355" i="25"/>
  <c r="BA352" i="25"/>
  <c r="AW354" i="25"/>
  <c r="AX353" i="25"/>
  <c r="AY353" i="25"/>
  <c r="AZ353" i="25"/>
  <c r="AV352" i="25"/>
  <c r="AR354" i="25"/>
  <c r="AS353" i="25"/>
  <c r="AU353" i="25"/>
  <c r="AT353" i="25"/>
  <c r="AQ352" i="25"/>
  <c r="AM354" i="25"/>
  <c r="AN353" i="25"/>
  <c r="AO353" i="25"/>
  <c r="AP353" i="25"/>
  <c r="AL352" i="25"/>
  <c r="AH354" i="25"/>
  <c r="AI353" i="25"/>
  <c r="AJ353" i="25"/>
  <c r="AK353" i="25"/>
  <c r="AG352" i="25"/>
  <c r="AE353" i="25"/>
  <c r="AF353" i="25"/>
  <c r="AC354" i="25"/>
  <c r="AD353" i="25"/>
  <c r="AB352" i="25"/>
  <c r="X354" i="25"/>
  <c r="Y353" i="25"/>
  <c r="AA353" i="25"/>
  <c r="Z353" i="25"/>
  <c r="W354" i="25"/>
  <c r="S356" i="25"/>
  <c r="T355" i="25"/>
  <c r="U355" i="25"/>
  <c r="V355" i="25"/>
  <c r="N402" i="36"/>
  <c r="M353" i="25" s="1"/>
  <c r="L403" i="36"/>
  <c r="K354" i="25" s="1"/>
  <c r="M403" i="36"/>
  <c r="L354" i="25" s="1"/>
  <c r="J404" i="36"/>
  <c r="I355" i="25" s="1"/>
  <c r="K403" i="36"/>
  <c r="J354" i="25" s="1"/>
  <c r="BD356" i="25" l="1"/>
  <c r="BB357" i="25"/>
  <c r="BC356" i="25"/>
  <c r="BE356" i="25"/>
  <c r="BF355" i="25"/>
  <c r="BA353" i="25"/>
  <c r="AW355" i="25"/>
  <c r="AX354" i="25"/>
  <c r="AY354" i="25"/>
  <c r="AZ354" i="25"/>
  <c r="AT354" i="25"/>
  <c r="AU354" i="25"/>
  <c r="AR355" i="25"/>
  <c r="AS354" i="25"/>
  <c r="AV353" i="25"/>
  <c r="AQ353" i="25"/>
  <c r="AP354" i="25"/>
  <c r="AM355" i="25"/>
  <c r="AN354" i="25"/>
  <c r="AO354" i="25"/>
  <c r="AL353" i="25"/>
  <c r="AK354" i="25"/>
  <c r="AI354" i="25"/>
  <c r="AH355" i="25"/>
  <c r="AJ354" i="25"/>
  <c r="AG353" i="25"/>
  <c r="AC355" i="25"/>
  <c r="AD354" i="25"/>
  <c r="AE354" i="25"/>
  <c r="AF354" i="25"/>
  <c r="AB353" i="25"/>
  <c r="X355" i="25"/>
  <c r="Y354" i="25"/>
  <c r="Z354" i="25"/>
  <c r="AA354" i="25"/>
  <c r="W355" i="25"/>
  <c r="S357" i="25"/>
  <c r="T356" i="25"/>
  <c r="U356" i="25"/>
  <c r="V356" i="25"/>
  <c r="N403" i="36"/>
  <c r="M354" i="25" s="1"/>
  <c r="J405" i="36"/>
  <c r="I356" i="25" s="1"/>
  <c r="K404" i="36"/>
  <c r="J355" i="25" s="1"/>
  <c r="M404" i="36"/>
  <c r="L355" i="25" s="1"/>
  <c r="L404" i="36"/>
  <c r="K355" i="25" s="1"/>
  <c r="N404" i="36" l="1"/>
  <c r="M355" i="25" s="1"/>
  <c r="BF356" i="25"/>
  <c r="BE357" i="25"/>
  <c r="BB358" i="25"/>
  <c r="BC357" i="25"/>
  <c r="BD357" i="25"/>
  <c r="BA354" i="25"/>
  <c r="AZ355" i="25"/>
  <c r="AW356" i="25"/>
  <c r="AX355" i="25"/>
  <c r="AY355" i="25"/>
  <c r="AV354" i="25"/>
  <c r="AU355" i="25"/>
  <c r="AR356" i="25"/>
  <c r="AS355" i="25"/>
  <c r="AT355" i="25"/>
  <c r="AO355" i="25"/>
  <c r="AP355" i="25"/>
  <c r="AN355" i="25"/>
  <c r="AM356" i="25"/>
  <c r="AQ354" i="25"/>
  <c r="AJ355" i="25"/>
  <c r="AK355" i="25"/>
  <c r="AH356" i="25"/>
  <c r="AI355" i="25"/>
  <c r="AL354" i="25"/>
  <c r="AC356" i="25"/>
  <c r="AD355" i="25"/>
  <c r="AF355" i="25"/>
  <c r="AE355" i="25"/>
  <c r="AG354" i="25"/>
  <c r="AA355" i="25"/>
  <c r="Y355" i="25"/>
  <c r="X356" i="25"/>
  <c r="Z355" i="25"/>
  <c r="AB354" i="25"/>
  <c r="W356" i="25"/>
  <c r="V357" i="25"/>
  <c r="S358" i="25"/>
  <c r="T357" i="25"/>
  <c r="U357" i="25"/>
  <c r="J406" i="36"/>
  <c r="I357" i="25" s="1"/>
  <c r="K405" i="36"/>
  <c r="J356" i="25" s="1"/>
  <c r="M405" i="36"/>
  <c r="L356" i="25" s="1"/>
  <c r="L405" i="36"/>
  <c r="K356" i="25" s="1"/>
  <c r="BD358" i="25" l="1"/>
  <c r="BE358" i="25"/>
  <c r="BC358" i="25"/>
  <c r="BB359" i="25"/>
  <c r="BF357" i="25"/>
  <c r="AY356" i="25"/>
  <c r="AW357" i="25"/>
  <c r="AX356" i="25"/>
  <c r="AZ356" i="25"/>
  <c r="BA355" i="25"/>
  <c r="AT356" i="25"/>
  <c r="AR357" i="25"/>
  <c r="AS356" i="25"/>
  <c r="AU356" i="25"/>
  <c r="AV355" i="25"/>
  <c r="AQ355" i="25"/>
  <c r="AM357" i="25"/>
  <c r="AN356" i="25"/>
  <c r="AO356" i="25"/>
  <c r="AP356" i="25"/>
  <c r="AL355" i="25"/>
  <c r="AH357" i="25"/>
  <c r="AI356" i="25"/>
  <c r="AJ356" i="25"/>
  <c r="AK356" i="25"/>
  <c r="AF356" i="25"/>
  <c r="AE356" i="25"/>
  <c r="AC357" i="25"/>
  <c r="AD356" i="25"/>
  <c r="AG355" i="25"/>
  <c r="AB355" i="25"/>
  <c r="Z356" i="25"/>
  <c r="AA356" i="25"/>
  <c r="Y356" i="25"/>
  <c r="X357" i="25"/>
  <c r="U358" i="25"/>
  <c r="V358" i="25"/>
  <c r="T358" i="25"/>
  <c r="S359" i="25"/>
  <c r="W357" i="25"/>
  <c r="M406" i="36"/>
  <c r="L357" i="25" s="1"/>
  <c r="K406" i="36"/>
  <c r="J357" i="25" s="1"/>
  <c r="J407" i="36"/>
  <c r="I358" i="25" s="1"/>
  <c r="L406" i="36"/>
  <c r="K357" i="25" s="1"/>
  <c r="N405" i="36"/>
  <c r="M356" i="25" s="1"/>
  <c r="BF358" i="25" l="1"/>
  <c r="BB360" i="25"/>
  <c r="BC359" i="25"/>
  <c r="BE359" i="25"/>
  <c r="BD359" i="25"/>
  <c r="BA356" i="25"/>
  <c r="AW358" i="25"/>
  <c r="AX357" i="25"/>
  <c r="AY357" i="25"/>
  <c r="AZ357" i="25"/>
  <c r="AV356" i="25"/>
  <c r="AR358" i="25"/>
  <c r="AS357" i="25"/>
  <c r="AU357" i="25"/>
  <c r="AT357" i="25"/>
  <c r="AM358" i="25"/>
  <c r="AN357" i="25"/>
  <c r="AO357" i="25"/>
  <c r="AP357" i="25"/>
  <c r="AQ356" i="25"/>
  <c r="AL356" i="25"/>
  <c r="AH358" i="25"/>
  <c r="AI357" i="25"/>
  <c r="AJ357" i="25"/>
  <c r="AK357" i="25"/>
  <c r="AG356" i="25"/>
  <c r="AE357" i="25"/>
  <c r="AF357" i="25"/>
  <c r="AC358" i="25"/>
  <c r="AD357" i="25"/>
  <c r="AB356" i="25"/>
  <c r="X358" i="25"/>
  <c r="Y357" i="25"/>
  <c r="Z357" i="25"/>
  <c r="AA357" i="25"/>
  <c r="W358" i="25"/>
  <c r="S360" i="25"/>
  <c r="T359" i="25"/>
  <c r="U359" i="25"/>
  <c r="V359" i="25"/>
  <c r="L407" i="36"/>
  <c r="K358" i="25" s="1"/>
  <c r="M407" i="36"/>
  <c r="L358" i="25" s="1"/>
  <c r="J408" i="36"/>
  <c r="I359" i="25" s="1"/>
  <c r="K407" i="36"/>
  <c r="J358" i="25" s="1"/>
  <c r="N406" i="36"/>
  <c r="M357" i="25" s="1"/>
  <c r="BD360" i="25" l="1"/>
  <c r="BC360" i="25"/>
  <c r="BB361" i="25"/>
  <c r="BE360" i="25"/>
  <c r="BF359" i="25"/>
  <c r="BA357" i="25"/>
  <c r="AX358" i="25"/>
  <c r="AY358" i="25"/>
  <c r="AZ358" i="25"/>
  <c r="AW359" i="25"/>
  <c r="AT358" i="25"/>
  <c r="AU358" i="25"/>
  <c r="AR359" i="25"/>
  <c r="AS358" i="25"/>
  <c r="AV357" i="25"/>
  <c r="AQ357" i="25"/>
  <c r="AP358" i="25"/>
  <c r="AM359" i="25"/>
  <c r="AN358" i="25"/>
  <c r="AO358" i="25"/>
  <c r="AL357" i="25"/>
  <c r="AK358" i="25"/>
  <c r="AH359" i="25"/>
  <c r="AI358" i="25"/>
  <c r="AJ358" i="25"/>
  <c r="AG357" i="25"/>
  <c r="AC359" i="25"/>
  <c r="AD358" i="25"/>
  <c r="AE358" i="25"/>
  <c r="AF358" i="25"/>
  <c r="Z358" i="25"/>
  <c r="X359" i="25"/>
  <c r="Y358" i="25"/>
  <c r="AA358" i="25"/>
  <c r="AB357" i="25"/>
  <c r="W359" i="25"/>
  <c r="S361" i="25"/>
  <c r="T360" i="25"/>
  <c r="V360" i="25"/>
  <c r="U360" i="25"/>
  <c r="N407" i="36"/>
  <c r="M358" i="25" s="1"/>
  <c r="J409" i="36"/>
  <c r="I360" i="25" s="1"/>
  <c r="K408" i="36"/>
  <c r="J359" i="25" s="1"/>
  <c r="M408" i="36"/>
  <c r="L359" i="25" s="1"/>
  <c r="L408" i="36"/>
  <c r="K359" i="25" s="1"/>
  <c r="N408" i="36" l="1"/>
  <c r="M359" i="25" s="1"/>
  <c r="BF360" i="25"/>
  <c r="BE361" i="25"/>
  <c r="BB362" i="25"/>
  <c r="BC361" i="25"/>
  <c r="BD361" i="25"/>
  <c r="BA358" i="25"/>
  <c r="AZ359" i="25"/>
  <c r="AX359" i="25"/>
  <c r="AY359" i="25"/>
  <c r="AW360" i="25"/>
  <c r="AV358" i="25"/>
  <c r="AU359" i="25"/>
  <c r="AR360" i="25"/>
  <c r="AS359" i="25"/>
  <c r="AT359" i="25"/>
  <c r="AO359" i="25"/>
  <c r="AP359" i="25"/>
  <c r="AM360" i="25"/>
  <c r="AN359" i="25"/>
  <c r="AQ358" i="25"/>
  <c r="AJ359" i="25"/>
  <c r="AK359" i="25"/>
  <c r="AI359" i="25"/>
  <c r="AH360" i="25"/>
  <c r="AL358" i="25"/>
  <c r="AC360" i="25"/>
  <c r="AD359" i="25"/>
  <c r="AF359" i="25"/>
  <c r="AE359" i="25"/>
  <c r="AG358" i="25"/>
  <c r="AA359" i="25"/>
  <c r="X360" i="25"/>
  <c r="Y359" i="25"/>
  <c r="Z359" i="25"/>
  <c r="AB358" i="25"/>
  <c r="V361" i="25"/>
  <c r="T361" i="25"/>
  <c r="U361" i="25"/>
  <c r="S362" i="25"/>
  <c r="W360" i="25"/>
  <c r="J410" i="36"/>
  <c r="I361" i="25" s="1"/>
  <c r="K409" i="36"/>
  <c r="J360" i="25" s="1"/>
  <c r="L409" i="36"/>
  <c r="K360" i="25" s="1"/>
  <c r="M409" i="36"/>
  <c r="L360" i="25" s="1"/>
  <c r="BD362" i="25" l="1"/>
  <c r="BE362" i="25"/>
  <c r="BB363" i="25"/>
  <c r="BC362" i="25"/>
  <c r="BF361" i="25"/>
  <c r="AY360" i="25"/>
  <c r="AX360" i="25"/>
  <c r="AZ360" i="25"/>
  <c r="AW361" i="25"/>
  <c r="BA359" i="25"/>
  <c r="AT360" i="25"/>
  <c r="AR361" i="25"/>
  <c r="AS360" i="25"/>
  <c r="AU360" i="25"/>
  <c r="AV359" i="25"/>
  <c r="AQ359" i="25"/>
  <c r="AM361" i="25"/>
  <c r="AN360" i="25"/>
  <c r="AO360" i="25"/>
  <c r="AP360" i="25"/>
  <c r="AL359" i="25"/>
  <c r="AH361" i="25"/>
  <c r="AI360" i="25"/>
  <c r="AJ360" i="25"/>
  <c r="AK360" i="25"/>
  <c r="AF360" i="25"/>
  <c r="AE360" i="25"/>
  <c r="AD360" i="25"/>
  <c r="AC361" i="25"/>
  <c r="AG359" i="25"/>
  <c r="AB359" i="25"/>
  <c r="Z360" i="25"/>
  <c r="AA360" i="25"/>
  <c r="Y360" i="25"/>
  <c r="X361" i="25"/>
  <c r="U362" i="25"/>
  <c r="V362" i="25"/>
  <c r="S363" i="25"/>
  <c r="T362" i="25"/>
  <c r="W361" i="25"/>
  <c r="N409" i="36"/>
  <c r="M360" i="25" s="1"/>
  <c r="M410" i="36"/>
  <c r="L361" i="25" s="1"/>
  <c r="J411" i="36"/>
  <c r="I362" i="25" s="1"/>
  <c r="L410" i="36"/>
  <c r="K361" i="25" s="1"/>
  <c r="K410" i="36"/>
  <c r="J361" i="25" s="1"/>
  <c r="AV360" i="25" l="1"/>
  <c r="BF362" i="25"/>
  <c r="BB364" i="25"/>
  <c r="BC363" i="25"/>
  <c r="BE363" i="25"/>
  <c r="BD363" i="25"/>
  <c r="BA360" i="25"/>
  <c r="AW362" i="25"/>
  <c r="AX361" i="25"/>
  <c r="AY361" i="25"/>
  <c r="AZ361" i="25"/>
  <c r="AR362" i="25"/>
  <c r="AS361" i="25"/>
  <c r="AU361" i="25"/>
  <c r="AT361" i="25"/>
  <c r="AM362" i="25"/>
  <c r="AN361" i="25"/>
  <c r="AO361" i="25"/>
  <c r="AP361" i="25"/>
  <c r="AQ360" i="25"/>
  <c r="AL360" i="25"/>
  <c r="AH362" i="25"/>
  <c r="AI361" i="25"/>
  <c r="AJ361" i="25"/>
  <c r="AK361" i="25"/>
  <c r="AG360" i="25"/>
  <c r="AE361" i="25"/>
  <c r="AF361" i="25"/>
  <c r="AC362" i="25"/>
  <c r="AD361" i="25"/>
  <c r="AB360" i="25"/>
  <c r="X362" i="25"/>
  <c r="Y361" i="25"/>
  <c r="AA361" i="25"/>
  <c r="Z361" i="25"/>
  <c r="W362" i="25"/>
  <c r="S364" i="25"/>
  <c r="T363" i="25"/>
  <c r="U363" i="25"/>
  <c r="V363" i="25"/>
  <c r="N410" i="36"/>
  <c r="M361" i="25" s="1"/>
  <c r="L411" i="36"/>
  <c r="K362" i="25" s="1"/>
  <c r="M411" i="36"/>
  <c r="L362" i="25" s="1"/>
  <c r="J412" i="36"/>
  <c r="I363" i="25" s="1"/>
  <c r="K411" i="36"/>
  <c r="J362" i="25" s="1"/>
  <c r="N411" i="36" l="1"/>
  <c r="M362" i="25" s="1"/>
  <c r="BD364" i="25"/>
  <c r="BB365" i="25"/>
  <c r="BC364" i="25"/>
  <c r="BE364" i="25"/>
  <c r="BF363" i="25"/>
  <c r="AY362" i="25"/>
  <c r="AZ362" i="25"/>
  <c r="AW363" i="25"/>
  <c r="AX362" i="25"/>
  <c r="BA361" i="25"/>
  <c r="AT362" i="25"/>
  <c r="AU362" i="25"/>
  <c r="AS362" i="25"/>
  <c r="AR363" i="25"/>
  <c r="AV361" i="25"/>
  <c r="AQ361" i="25"/>
  <c r="AP362" i="25"/>
  <c r="AM363" i="25"/>
  <c r="AN362" i="25"/>
  <c r="AO362" i="25"/>
  <c r="AL361" i="25"/>
  <c r="AK362" i="25"/>
  <c r="AI362" i="25"/>
  <c r="AJ362" i="25"/>
  <c r="AH363" i="25"/>
  <c r="AG361" i="25"/>
  <c r="AC363" i="25"/>
  <c r="AD362" i="25"/>
  <c r="AE362" i="25"/>
  <c r="AF362" i="25"/>
  <c r="AB361" i="25"/>
  <c r="X363" i="25"/>
  <c r="Y362" i="25"/>
  <c r="Z362" i="25"/>
  <c r="AA362" i="25"/>
  <c r="W363" i="25"/>
  <c r="S365" i="25"/>
  <c r="T364" i="25"/>
  <c r="U364" i="25"/>
  <c r="V364" i="25"/>
  <c r="J413" i="36"/>
  <c r="I364" i="25" s="1"/>
  <c r="K412" i="36"/>
  <c r="J363" i="25" s="1"/>
  <c r="L412" i="36"/>
  <c r="K363" i="25" s="1"/>
  <c r="M412" i="36"/>
  <c r="L363" i="25" s="1"/>
  <c r="BF364" i="25" l="1"/>
  <c r="BE365" i="25"/>
  <c r="BB366" i="25"/>
  <c r="BC365" i="25"/>
  <c r="BD365" i="25"/>
  <c r="BA362" i="25"/>
  <c r="AZ363" i="25"/>
  <c r="AY363" i="25"/>
  <c r="AW364" i="25"/>
  <c r="AX363" i="25"/>
  <c r="AV362" i="25"/>
  <c r="AU363" i="25"/>
  <c r="AR364" i="25"/>
  <c r="AS363" i="25"/>
  <c r="AT363" i="25"/>
  <c r="AO363" i="25"/>
  <c r="AP363" i="25"/>
  <c r="AN363" i="25"/>
  <c r="AM364" i="25"/>
  <c r="AQ362" i="25"/>
  <c r="AL362" i="25"/>
  <c r="AJ363" i="25"/>
  <c r="AK363" i="25"/>
  <c r="AH364" i="25"/>
  <c r="AI363" i="25"/>
  <c r="AC364" i="25"/>
  <c r="AD363" i="25"/>
  <c r="AF363" i="25"/>
  <c r="AE363" i="25"/>
  <c r="AG362" i="25"/>
  <c r="AA363" i="25"/>
  <c r="Y363" i="25"/>
  <c r="X364" i="25"/>
  <c r="Z363" i="25"/>
  <c r="AB362" i="25"/>
  <c r="W364" i="25"/>
  <c r="V365" i="25"/>
  <c r="S366" i="25"/>
  <c r="T365" i="25"/>
  <c r="U365" i="25"/>
  <c r="N412" i="36"/>
  <c r="M363" i="25" s="1"/>
  <c r="L413" i="36"/>
  <c r="K364" i="25" s="1"/>
  <c r="J414" i="36"/>
  <c r="I365" i="25" s="1"/>
  <c r="K413" i="36"/>
  <c r="J364" i="25" s="1"/>
  <c r="M413" i="36"/>
  <c r="L364" i="25" s="1"/>
  <c r="BD366" i="25" l="1"/>
  <c r="BE366" i="25"/>
  <c r="BC366" i="25"/>
  <c r="BB367" i="25"/>
  <c r="BF365" i="25"/>
  <c r="BA363" i="25"/>
  <c r="AY364" i="25"/>
  <c r="AZ364" i="25"/>
  <c r="AW365" i="25"/>
  <c r="AX364" i="25"/>
  <c r="AT364" i="25"/>
  <c r="AR365" i="25"/>
  <c r="AS364" i="25"/>
  <c r="AU364" i="25"/>
  <c r="AV363" i="25"/>
  <c r="AQ363" i="25"/>
  <c r="AM365" i="25"/>
  <c r="AN364" i="25"/>
  <c r="AO364" i="25"/>
  <c r="AP364" i="25"/>
  <c r="AL363" i="25"/>
  <c r="AH365" i="25"/>
  <c r="AI364" i="25"/>
  <c r="AJ364" i="25"/>
  <c r="AK364" i="25"/>
  <c r="AF364" i="25"/>
  <c r="AE364" i="25"/>
  <c r="AC365" i="25"/>
  <c r="AD364" i="25"/>
  <c r="AG363" i="25"/>
  <c r="AB363" i="25"/>
  <c r="Z364" i="25"/>
  <c r="AA364" i="25"/>
  <c r="Y364" i="25"/>
  <c r="X365" i="25"/>
  <c r="U366" i="25"/>
  <c r="V366" i="25"/>
  <c r="S367" i="25"/>
  <c r="T366" i="25"/>
  <c r="W365" i="25"/>
  <c r="N413" i="36"/>
  <c r="M364" i="25" s="1"/>
  <c r="M414" i="36"/>
  <c r="L365" i="25" s="1"/>
  <c r="J415" i="36"/>
  <c r="I366" i="25" s="1"/>
  <c r="K414" i="36"/>
  <c r="J365" i="25" s="1"/>
  <c r="L414" i="36"/>
  <c r="K365" i="25" s="1"/>
  <c r="BF366" i="25" l="1"/>
  <c r="BB368" i="25"/>
  <c r="BC367" i="25"/>
  <c r="BE367" i="25"/>
  <c r="BD367" i="25"/>
  <c r="BA364" i="25"/>
  <c r="AW366" i="25"/>
  <c r="AX365" i="25"/>
  <c r="AZ365" i="25"/>
  <c r="AY365" i="25"/>
  <c r="AV364" i="25"/>
  <c r="AR366" i="25"/>
  <c r="AS365" i="25"/>
  <c r="AU365" i="25"/>
  <c r="AT365" i="25"/>
  <c r="AM366" i="25"/>
  <c r="AN365" i="25"/>
  <c r="AO365" i="25"/>
  <c r="AP365" i="25"/>
  <c r="AQ364" i="25"/>
  <c r="AL364" i="25"/>
  <c r="AH366" i="25"/>
  <c r="AI365" i="25"/>
  <c r="AJ365" i="25"/>
  <c r="AK365" i="25"/>
  <c r="AE365" i="25"/>
  <c r="AF365" i="25"/>
  <c r="AC366" i="25"/>
  <c r="AD365" i="25"/>
  <c r="AG364" i="25"/>
  <c r="AB364" i="25"/>
  <c r="X366" i="25"/>
  <c r="Y365" i="25"/>
  <c r="Z365" i="25"/>
  <c r="AA365" i="25"/>
  <c r="W366" i="25"/>
  <c r="S368" i="25"/>
  <c r="T367" i="25"/>
  <c r="U367" i="25"/>
  <c r="V367" i="25"/>
  <c r="L415" i="36"/>
  <c r="K366" i="25" s="1"/>
  <c r="M415" i="36"/>
  <c r="L366" i="25" s="1"/>
  <c r="J416" i="36"/>
  <c r="I367" i="25" s="1"/>
  <c r="K415" i="36"/>
  <c r="J366" i="25" s="1"/>
  <c r="N414" i="36"/>
  <c r="M365" i="25" s="1"/>
  <c r="BD368" i="25" l="1"/>
  <c r="BC368" i="25"/>
  <c r="BB369" i="25"/>
  <c r="BE368" i="25"/>
  <c r="BF367" i="25"/>
  <c r="AZ366" i="25"/>
  <c r="AW367" i="25"/>
  <c r="AX366" i="25"/>
  <c r="AY366" i="25"/>
  <c r="BA365" i="25"/>
  <c r="AT366" i="25"/>
  <c r="AU366" i="25"/>
  <c r="AS366" i="25"/>
  <c r="AR367" i="25"/>
  <c r="AV365" i="25"/>
  <c r="AQ365" i="25"/>
  <c r="AP366" i="25"/>
  <c r="AM367" i="25"/>
  <c r="AN366" i="25"/>
  <c r="AO366" i="25"/>
  <c r="AL365" i="25"/>
  <c r="AK366" i="25"/>
  <c r="AH367" i="25"/>
  <c r="AI366" i="25"/>
  <c r="AJ366" i="25"/>
  <c r="AG365" i="25"/>
  <c r="AC367" i="25"/>
  <c r="AD366" i="25"/>
  <c r="AE366" i="25"/>
  <c r="AF366" i="25"/>
  <c r="Z366" i="25"/>
  <c r="X367" i="25"/>
  <c r="Y366" i="25"/>
  <c r="AA366" i="25"/>
  <c r="AB365" i="25"/>
  <c r="W367" i="25"/>
  <c r="S369" i="25"/>
  <c r="T368" i="25"/>
  <c r="U368" i="25"/>
  <c r="V368" i="25"/>
  <c r="N415" i="36"/>
  <c r="M366" i="25" s="1"/>
  <c r="J417" i="36"/>
  <c r="I368" i="25" s="1"/>
  <c r="K416" i="36"/>
  <c r="J367" i="25" s="1"/>
  <c r="L416" i="36"/>
  <c r="K367" i="25" s="1"/>
  <c r="M416" i="36"/>
  <c r="L367" i="25" s="1"/>
  <c r="BF368" i="25" l="1"/>
  <c r="BE369" i="25"/>
  <c r="BB370" i="25"/>
  <c r="BC369" i="25"/>
  <c r="BD369" i="25"/>
  <c r="AZ367" i="25"/>
  <c r="AW368" i="25"/>
  <c r="AX367" i="25"/>
  <c r="AY367" i="25"/>
  <c r="BA366" i="25"/>
  <c r="AV366" i="25"/>
  <c r="AU367" i="25"/>
  <c r="AR368" i="25"/>
  <c r="AS367" i="25"/>
  <c r="AT367" i="25"/>
  <c r="AO367" i="25"/>
  <c r="AP367" i="25"/>
  <c r="AN367" i="25"/>
  <c r="AM368" i="25"/>
  <c r="AQ366" i="25"/>
  <c r="AJ367" i="25"/>
  <c r="AK367" i="25"/>
  <c r="AI367" i="25"/>
  <c r="AH368" i="25"/>
  <c r="AL366" i="25"/>
  <c r="AC368" i="25"/>
  <c r="AD367" i="25"/>
  <c r="AF367" i="25"/>
  <c r="AE367" i="25"/>
  <c r="AG366" i="25"/>
  <c r="AA367" i="25"/>
  <c r="X368" i="25"/>
  <c r="Y367" i="25"/>
  <c r="Z367" i="25"/>
  <c r="AB366" i="25"/>
  <c r="W368" i="25"/>
  <c r="V369" i="25"/>
  <c r="T369" i="25"/>
  <c r="U369" i="25"/>
  <c r="S370" i="25"/>
  <c r="L417" i="36"/>
  <c r="K368" i="25" s="1"/>
  <c r="J418" i="36"/>
  <c r="I369" i="25" s="1"/>
  <c r="K417" i="36"/>
  <c r="J368" i="25" s="1"/>
  <c r="M417" i="36"/>
  <c r="L368" i="25" s="1"/>
  <c r="N416" i="36"/>
  <c r="M367" i="25" s="1"/>
  <c r="BD370" i="25" l="1"/>
  <c r="BE370" i="25"/>
  <c r="BB371" i="25"/>
  <c r="BC370" i="25"/>
  <c r="BF369" i="25"/>
  <c r="AY368" i="25"/>
  <c r="AW369" i="25"/>
  <c r="AX368" i="25"/>
  <c r="AZ368" i="25"/>
  <c r="BA367" i="25"/>
  <c r="AT368" i="25"/>
  <c r="AR369" i="25"/>
  <c r="AS368" i="25"/>
  <c r="AU368" i="25"/>
  <c r="AV367" i="25"/>
  <c r="AQ367" i="25"/>
  <c r="AM369" i="25"/>
  <c r="AN368" i="25"/>
  <c r="AO368" i="25"/>
  <c r="AP368" i="25"/>
  <c r="AL367" i="25"/>
  <c r="AH369" i="25"/>
  <c r="AI368" i="25"/>
  <c r="AJ368" i="25"/>
  <c r="AK368" i="25"/>
  <c r="AF368" i="25"/>
  <c r="AE368" i="25"/>
  <c r="AD368" i="25"/>
  <c r="AC369" i="25"/>
  <c r="AG367" i="25"/>
  <c r="AB367" i="25"/>
  <c r="Z368" i="25"/>
  <c r="AA368" i="25"/>
  <c r="X369" i="25"/>
  <c r="Y368" i="25"/>
  <c r="W369" i="25"/>
  <c r="U370" i="25"/>
  <c r="V370" i="25"/>
  <c r="S371" i="25"/>
  <c r="T370" i="25"/>
  <c r="N417" i="36"/>
  <c r="M368" i="25" s="1"/>
  <c r="M418" i="36"/>
  <c r="L369" i="25" s="1"/>
  <c r="K418" i="36"/>
  <c r="J369" i="25" s="1"/>
  <c r="L418" i="36"/>
  <c r="K369" i="25" s="1"/>
  <c r="J419" i="36"/>
  <c r="I370" i="25" s="1"/>
  <c r="AV368" i="25" l="1"/>
  <c r="BF370" i="25"/>
  <c r="BB372" i="25"/>
  <c r="BC371" i="25"/>
  <c r="BE371" i="25"/>
  <c r="BD371" i="25"/>
  <c r="BA368" i="25"/>
  <c r="AW370" i="25"/>
  <c r="AX369" i="25"/>
  <c r="AY369" i="25"/>
  <c r="AZ369" i="25"/>
  <c r="AR370" i="25"/>
  <c r="AS369" i="25"/>
  <c r="AU369" i="25"/>
  <c r="AT369" i="25"/>
  <c r="AQ368" i="25"/>
  <c r="AM370" i="25"/>
  <c r="AN369" i="25"/>
  <c r="AO369" i="25"/>
  <c r="AP369" i="25"/>
  <c r="AL368" i="25"/>
  <c r="AH370" i="25"/>
  <c r="AI369" i="25"/>
  <c r="AJ369" i="25"/>
  <c r="AK369" i="25"/>
  <c r="AG368" i="25"/>
  <c r="AE369" i="25"/>
  <c r="AF369" i="25"/>
  <c r="AC370" i="25"/>
  <c r="AD369" i="25"/>
  <c r="AB368" i="25"/>
  <c r="X370" i="25"/>
  <c r="Y369" i="25"/>
  <c r="AA369" i="25"/>
  <c r="Z369" i="25"/>
  <c r="W370" i="25"/>
  <c r="S372" i="25"/>
  <c r="T371" i="25"/>
  <c r="U371" i="25"/>
  <c r="V371" i="25"/>
  <c r="N418" i="36"/>
  <c r="M369" i="25" s="1"/>
  <c r="L419" i="36"/>
  <c r="K370" i="25" s="1"/>
  <c r="M419" i="36"/>
  <c r="L370" i="25" s="1"/>
  <c r="J420" i="36"/>
  <c r="I371" i="25" s="1"/>
  <c r="K419" i="36"/>
  <c r="J370" i="25" s="1"/>
  <c r="BF371" i="25" l="1"/>
  <c r="BD372" i="25"/>
  <c r="BB373" i="25"/>
  <c r="BC372" i="25"/>
  <c r="BE372" i="25"/>
  <c r="AY370" i="25"/>
  <c r="AX370" i="25"/>
  <c r="AZ370" i="25"/>
  <c r="AW371" i="25"/>
  <c r="BA369" i="25"/>
  <c r="AT370" i="25"/>
  <c r="AU370" i="25"/>
  <c r="AR371" i="25"/>
  <c r="AS370" i="25"/>
  <c r="AV369" i="25"/>
  <c r="AQ369" i="25"/>
  <c r="AP370" i="25"/>
  <c r="AM371" i="25"/>
  <c r="AN370" i="25"/>
  <c r="AO370" i="25"/>
  <c r="AL369" i="25"/>
  <c r="AK370" i="25"/>
  <c r="AI370" i="25"/>
  <c r="AH371" i="25"/>
  <c r="AJ370" i="25"/>
  <c r="AG369" i="25"/>
  <c r="AC371" i="25"/>
  <c r="AD370" i="25"/>
  <c r="AE370" i="25"/>
  <c r="AF370" i="25"/>
  <c r="AB369" i="25"/>
  <c r="X371" i="25"/>
  <c r="Y370" i="25"/>
  <c r="Z370" i="25"/>
  <c r="AA370" i="25"/>
  <c r="W371" i="25"/>
  <c r="S373" i="25"/>
  <c r="T372" i="25"/>
  <c r="U372" i="25"/>
  <c r="V372" i="25"/>
  <c r="N419" i="36"/>
  <c r="M370" i="25" s="1"/>
  <c r="J421" i="36"/>
  <c r="I372" i="25" s="1"/>
  <c r="K420" i="36"/>
  <c r="J371" i="25" s="1"/>
  <c r="M420" i="36"/>
  <c r="L371" i="25" s="1"/>
  <c r="L420" i="36"/>
  <c r="K371" i="25" s="1"/>
  <c r="BA370" i="25" l="1"/>
  <c r="BF372" i="25"/>
  <c r="BE373" i="25"/>
  <c r="BB374" i="25"/>
  <c r="BC373" i="25"/>
  <c r="BD373" i="25"/>
  <c r="AW372" i="25"/>
  <c r="AX371" i="25"/>
  <c r="AY371" i="25"/>
  <c r="AZ371" i="25"/>
  <c r="AV370" i="25"/>
  <c r="AU371" i="25"/>
  <c r="AR372" i="25"/>
  <c r="AS371" i="25"/>
  <c r="AT371" i="25"/>
  <c r="AO371" i="25"/>
  <c r="AP371" i="25"/>
  <c r="AN371" i="25"/>
  <c r="AM372" i="25"/>
  <c r="AQ370" i="25"/>
  <c r="AJ371" i="25"/>
  <c r="AK371" i="25"/>
  <c r="AH372" i="25"/>
  <c r="AI371" i="25"/>
  <c r="AL370" i="25"/>
  <c r="AC372" i="25"/>
  <c r="AD371" i="25"/>
  <c r="AF371" i="25"/>
  <c r="AE371" i="25"/>
  <c r="AG370" i="25"/>
  <c r="AA371" i="25"/>
  <c r="Y371" i="25"/>
  <c r="X372" i="25"/>
  <c r="Z371" i="25"/>
  <c r="AB370" i="25"/>
  <c r="W372" i="25"/>
  <c r="V373" i="25"/>
  <c r="S374" i="25"/>
  <c r="T373" i="25"/>
  <c r="U373" i="25"/>
  <c r="N420" i="36"/>
  <c r="M371" i="25" s="1"/>
  <c r="J422" i="36"/>
  <c r="I373" i="25" s="1"/>
  <c r="K421" i="36"/>
  <c r="J372" i="25" s="1"/>
  <c r="M421" i="36"/>
  <c r="L372" i="25" s="1"/>
  <c r="L421" i="36"/>
  <c r="K372" i="25" s="1"/>
  <c r="BD374" i="25" l="1"/>
  <c r="BE374" i="25"/>
  <c r="BC374" i="25"/>
  <c r="BB375" i="25"/>
  <c r="BF373" i="25"/>
  <c r="BA371" i="25"/>
  <c r="AW373" i="25"/>
  <c r="AX372" i="25"/>
  <c r="AY372" i="25"/>
  <c r="AZ372" i="25"/>
  <c r="AT372" i="25"/>
  <c r="AR373" i="25"/>
  <c r="AS372" i="25"/>
  <c r="AU372" i="25"/>
  <c r="AV371" i="25"/>
  <c r="AQ371" i="25"/>
  <c r="AM373" i="25"/>
  <c r="AN372" i="25"/>
  <c r="AO372" i="25"/>
  <c r="AP372" i="25"/>
  <c r="AL371" i="25"/>
  <c r="AH373" i="25"/>
  <c r="AI372" i="25"/>
  <c r="AJ372" i="25"/>
  <c r="AK372" i="25"/>
  <c r="AF372" i="25"/>
  <c r="AE372" i="25"/>
  <c r="AC373" i="25"/>
  <c r="AD372" i="25"/>
  <c r="AG371" i="25"/>
  <c r="AB371" i="25"/>
  <c r="Z372" i="25"/>
  <c r="AA372" i="25"/>
  <c r="Y372" i="25"/>
  <c r="X373" i="25"/>
  <c r="U374" i="25"/>
  <c r="V374" i="25"/>
  <c r="T374" i="25"/>
  <c r="S375" i="25"/>
  <c r="W373" i="25"/>
  <c r="M422" i="36"/>
  <c r="L373" i="25" s="1"/>
  <c r="J423" i="36"/>
  <c r="I374" i="25" s="1"/>
  <c r="K422" i="36"/>
  <c r="J373" i="25" s="1"/>
  <c r="L422" i="36"/>
  <c r="K373" i="25" s="1"/>
  <c r="N421" i="36"/>
  <c r="M372" i="25" s="1"/>
  <c r="BF374" i="25" l="1"/>
  <c r="BB376" i="25"/>
  <c r="BC375" i="25"/>
  <c r="BE375" i="25"/>
  <c r="BD375" i="25"/>
  <c r="BA372" i="25"/>
  <c r="AZ373" i="25"/>
  <c r="AW374" i="25"/>
  <c r="AX373" i="25"/>
  <c r="AY373" i="25"/>
  <c r="AV372" i="25"/>
  <c r="AR374" i="25"/>
  <c r="AS373" i="25"/>
  <c r="AU373" i="25"/>
  <c r="AT373" i="25"/>
  <c r="AM374" i="25"/>
  <c r="AN373" i="25"/>
  <c r="AO373" i="25"/>
  <c r="AP373" i="25"/>
  <c r="AQ372" i="25"/>
  <c r="AL372" i="25"/>
  <c r="AH374" i="25"/>
  <c r="AI373" i="25"/>
  <c r="AJ373" i="25"/>
  <c r="AK373" i="25"/>
  <c r="AG372" i="25"/>
  <c r="AE373" i="25"/>
  <c r="AF373" i="25"/>
  <c r="AC374" i="25"/>
  <c r="AD373" i="25"/>
  <c r="AB372" i="25"/>
  <c r="X374" i="25"/>
  <c r="Y373" i="25"/>
  <c r="Z373" i="25"/>
  <c r="AA373" i="25"/>
  <c r="W374" i="25"/>
  <c r="S376" i="25"/>
  <c r="T375" i="25"/>
  <c r="U375" i="25"/>
  <c r="V375" i="25"/>
  <c r="L423" i="36"/>
  <c r="K374" i="25" s="1"/>
  <c r="M423" i="36"/>
  <c r="L374" i="25" s="1"/>
  <c r="J424" i="36"/>
  <c r="I375" i="25" s="1"/>
  <c r="K423" i="36"/>
  <c r="J374" i="25" s="1"/>
  <c r="N422" i="36"/>
  <c r="M373" i="25" s="1"/>
  <c r="BF375" i="25" l="1"/>
  <c r="BD376" i="25"/>
  <c r="BC376" i="25"/>
  <c r="BB377" i="25"/>
  <c r="BE376" i="25"/>
  <c r="AY374" i="25"/>
  <c r="AZ374" i="25"/>
  <c r="AW375" i="25"/>
  <c r="AX374" i="25"/>
  <c r="BA373" i="25"/>
  <c r="AV373" i="25"/>
  <c r="AT374" i="25"/>
  <c r="AU374" i="25"/>
  <c r="AR375" i="25"/>
  <c r="AS374" i="25"/>
  <c r="AQ373" i="25"/>
  <c r="AP374" i="25"/>
  <c r="AM375" i="25"/>
  <c r="AN374" i="25"/>
  <c r="AO374" i="25"/>
  <c r="AL373" i="25"/>
  <c r="AK374" i="25"/>
  <c r="AH375" i="25"/>
  <c r="AI374" i="25"/>
  <c r="AJ374" i="25"/>
  <c r="AG373" i="25"/>
  <c r="AC375" i="25"/>
  <c r="AD374" i="25"/>
  <c r="AE374" i="25"/>
  <c r="AF374" i="25"/>
  <c r="Z374" i="25"/>
  <c r="X375" i="25"/>
  <c r="Y374" i="25"/>
  <c r="AA374" i="25"/>
  <c r="AB373" i="25"/>
  <c r="W375" i="25"/>
  <c r="S377" i="25"/>
  <c r="T376" i="25"/>
  <c r="V376" i="25"/>
  <c r="U376" i="25"/>
  <c r="N423" i="36"/>
  <c r="M374" i="25" s="1"/>
  <c r="J425" i="36"/>
  <c r="I376" i="25" s="1"/>
  <c r="K424" i="36"/>
  <c r="J375" i="25" s="1"/>
  <c r="L424" i="36"/>
  <c r="K375" i="25" s="1"/>
  <c r="M424" i="36"/>
  <c r="L375" i="25" s="1"/>
  <c r="BF376" i="25" l="1"/>
  <c r="BE377" i="25"/>
  <c r="BB378" i="25"/>
  <c r="BC377" i="25"/>
  <c r="BD377" i="25"/>
  <c r="BA374" i="25"/>
  <c r="AW376" i="25"/>
  <c r="AX375" i="25"/>
  <c r="AY375" i="25"/>
  <c r="AZ375" i="25"/>
  <c r="AV374" i="25"/>
  <c r="AU375" i="25"/>
  <c r="AR376" i="25"/>
  <c r="AS375" i="25"/>
  <c r="AT375" i="25"/>
  <c r="AO375" i="25"/>
  <c r="AP375" i="25"/>
  <c r="AM376" i="25"/>
  <c r="AN375" i="25"/>
  <c r="AQ374" i="25"/>
  <c r="AJ375" i="25"/>
  <c r="AK375" i="25"/>
  <c r="AI375" i="25"/>
  <c r="AH376" i="25"/>
  <c r="AL374" i="25"/>
  <c r="AG374" i="25"/>
  <c r="AC376" i="25"/>
  <c r="AD375" i="25"/>
  <c r="AF375" i="25"/>
  <c r="AE375" i="25"/>
  <c r="AA375" i="25"/>
  <c r="X376" i="25"/>
  <c r="Y375" i="25"/>
  <c r="Z375" i="25"/>
  <c r="AB374" i="25"/>
  <c r="V377" i="25"/>
  <c r="T377" i="25"/>
  <c r="U377" i="25"/>
  <c r="S378" i="25"/>
  <c r="W376" i="25"/>
  <c r="L425" i="36"/>
  <c r="K376" i="25" s="1"/>
  <c r="J426" i="36"/>
  <c r="I377" i="25" s="1"/>
  <c r="K425" i="36"/>
  <c r="J376" i="25" s="1"/>
  <c r="M425" i="36"/>
  <c r="L376" i="25" s="1"/>
  <c r="N424" i="36"/>
  <c r="M375" i="25" s="1"/>
  <c r="BD378" i="25" l="1"/>
  <c r="BE378" i="25"/>
  <c r="BB379" i="25"/>
  <c r="BC378" i="25"/>
  <c r="BF377" i="25"/>
  <c r="AW377" i="25"/>
  <c r="AX376" i="25"/>
  <c r="AY376" i="25"/>
  <c r="AZ376" i="25"/>
  <c r="BA375" i="25"/>
  <c r="AT376" i="25"/>
  <c r="AR377" i="25"/>
  <c r="AS376" i="25"/>
  <c r="AU376" i="25"/>
  <c r="AV375" i="25"/>
  <c r="AQ375" i="25"/>
  <c r="AM377" i="25"/>
  <c r="AN376" i="25"/>
  <c r="AO376" i="25"/>
  <c r="AP376" i="25"/>
  <c r="AL375" i="25"/>
  <c r="AH377" i="25"/>
  <c r="AI376" i="25"/>
  <c r="AJ376" i="25"/>
  <c r="AK376" i="25"/>
  <c r="AF376" i="25"/>
  <c r="AE376" i="25"/>
  <c r="AD376" i="25"/>
  <c r="AC377" i="25"/>
  <c r="AG375" i="25"/>
  <c r="AB375" i="25"/>
  <c r="Z376" i="25"/>
  <c r="AA376" i="25"/>
  <c r="Y376" i="25"/>
  <c r="X377" i="25"/>
  <c r="U378" i="25"/>
  <c r="V378" i="25"/>
  <c r="S379" i="25"/>
  <c r="T378" i="25"/>
  <c r="W377" i="25"/>
  <c r="N425" i="36"/>
  <c r="M376" i="25" s="1"/>
  <c r="M426" i="36"/>
  <c r="L377" i="25" s="1"/>
  <c r="K426" i="36"/>
  <c r="J377" i="25" s="1"/>
  <c r="L426" i="36"/>
  <c r="K377" i="25" s="1"/>
  <c r="J427" i="36"/>
  <c r="I378" i="25" s="1"/>
  <c r="BF378" i="25" l="1"/>
  <c r="BB380" i="25"/>
  <c r="BC379" i="25"/>
  <c r="BE379" i="25"/>
  <c r="BD379" i="25"/>
  <c r="BA376" i="25"/>
  <c r="AZ377" i="25"/>
  <c r="AW378" i="25"/>
  <c r="AX377" i="25"/>
  <c r="AY377" i="25"/>
  <c r="AV376" i="25"/>
  <c r="AR378" i="25"/>
  <c r="AS377" i="25"/>
  <c r="AU377" i="25"/>
  <c r="AT377" i="25"/>
  <c r="AM378" i="25"/>
  <c r="AN377" i="25"/>
  <c r="AO377" i="25"/>
  <c r="AP377" i="25"/>
  <c r="AQ376" i="25"/>
  <c r="AL376" i="25"/>
  <c r="AH378" i="25"/>
  <c r="AI377" i="25"/>
  <c r="AJ377" i="25"/>
  <c r="AK377" i="25"/>
  <c r="AG376" i="25"/>
  <c r="AE377" i="25"/>
  <c r="AF377" i="25"/>
  <c r="AC378" i="25"/>
  <c r="AD377" i="25"/>
  <c r="AB376" i="25"/>
  <c r="X378" i="25"/>
  <c r="Y377" i="25"/>
  <c r="AA377" i="25"/>
  <c r="Z377" i="25"/>
  <c r="W378" i="25"/>
  <c r="S380" i="25"/>
  <c r="T379" i="25"/>
  <c r="U379" i="25"/>
  <c r="V379" i="25"/>
  <c r="N426" i="36"/>
  <c r="M377" i="25" s="1"/>
  <c r="L427" i="36"/>
  <c r="K378" i="25" s="1"/>
  <c r="M427" i="36"/>
  <c r="L378" i="25" s="1"/>
  <c r="J428" i="36"/>
  <c r="I379" i="25" s="1"/>
  <c r="K427" i="36"/>
  <c r="J378" i="25" s="1"/>
  <c r="BD380" i="25" l="1"/>
  <c r="BB381" i="25"/>
  <c r="BC380" i="25"/>
  <c r="BE380" i="25"/>
  <c r="BF379" i="25"/>
  <c r="AY378" i="25"/>
  <c r="AZ378" i="25"/>
  <c r="AX378" i="25"/>
  <c r="AW379" i="25"/>
  <c r="BA377" i="25"/>
  <c r="AV377" i="25"/>
  <c r="AT378" i="25"/>
  <c r="AU378" i="25"/>
  <c r="AS378" i="25"/>
  <c r="AR379" i="25"/>
  <c r="AQ377" i="25"/>
  <c r="AP378" i="25"/>
  <c r="AM379" i="25"/>
  <c r="AN378" i="25"/>
  <c r="AO378" i="25"/>
  <c r="AL377" i="25"/>
  <c r="AK378" i="25"/>
  <c r="AI378" i="25"/>
  <c r="AH379" i="25"/>
  <c r="AJ378" i="25"/>
  <c r="AG377" i="25"/>
  <c r="AC379" i="25"/>
  <c r="AD378" i="25"/>
  <c r="AE378" i="25"/>
  <c r="AF378" i="25"/>
  <c r="AB377" i="25"/>
  <c r="X379" i="25"/>
  <c r="Y378" i="25"/>
  <c r="Z378" i="25"/>
  <c r="AA378" i="25"/>
  <c r="W379" i="25"/>
  <c r="S381" i="25"/>
  <c r="T380" i="25"/>
  <c r="U380" i="25"/>
  <c r="V380" i="25"/>
  <c r="N427" i="36"/>
  <c r="M378" i="25" s="1"/>
  <c r="J429" i="36"/>
  <c r="I380" i="25" s="1"/>
  <c r="K428" i="36"/>
  <c r="J379" i="25" s="1"/>
  <c r="M428" i="36"/>
  <c r="L379" i="25" s="1"/>
  <c r="L428" i="36"/>
  <c r="K379" i="25" s="1"/>
  <c r="BF380" i="25" l="1"/>
  <c r="BE381" i="25"/>
  <c r="BB382" i="25"/>
  <c r="BC381" i="25"/>
  <c r="BD381" i="25"/>
  <c r="BA378" i="25"/>
  <c r="AW380" i="25"/>
  <c r="AX379" i="25"/>
  <c r="AY379" i="25"/>
  <c r="AZ379" i="25"/>
  <c r="AV378" i="25"/>
  <c r="AU379" i="25"/>
  <c r="AR380" i="25"/>
  <c r="AS379" i="25"/>
  <c r="AT379" i="25"/>
  <c r="AO379" i="25"/>
  <c r="AP379" i="25"/>
  <c r="AN379" i="25"/>
  <c r="AM380" i="25"/>
  <c r="AQ378" i="25"/>
  <c r="AJ379" i="25"/>
  <c r="AK379" i="25"/>
  <c r="AH380" i="25"/>
  <c r="AI379" i="25"/>
  <c r="AL378" i="25"/>
  <c r="AC380" i="25"/>
  <c r="AD379" i="25"/>
  <c r="AF379" i="25"/>
  <c r="AE379" i="25"/>
  <c r="AG378" i="25"/>
  <c r="AA379" i="25"/>
  <c r="Y379" i="25"/>
  <c r="X380" i="25"/>
  <c r="Z379" i="25"/>
  <c r="AB378" i="25"/>
  <c r="W380" i="25"/>
  <c r="V381" i="25"/>
  <c r="S382" i="25"/>
  <c r="T381" i="25"/>
  <c r="U381" i="25"/>
  <c r="N428" i="36"/>
  <c r="M379" i="25" s="1"/>
  <c r="J430" i="36"/>
  <c r="I381" i="25" s="1"/>
  <c r="K429" i="36"/>
  <c r="J380" i="25" s="1"/>
  <c r="M429" i="36"/>
  <c r="L380" i="25" s="1"/>
  <c r="L429" i="36"/>
  <c r="K380" i="25" s="1"/>
  <c r="BD382" i="25" l="1"/>
  <c r="BE382" i="25"/>
  <c r="BC382" i="25"/>
  <c r="BB383" i="25"/>
  <c r="BF381" i="25"/>
  <c r="AW381" i="25"/>
  <c r="AX380" i="25"/>
  <c r="AY380" i="25"/>
  <c r="AZ380" i="25"/>
  <c r="BA379" i="25"/>
  <c r="AT380" i="25"/>
  <c r="AR381" i="25"/>
  <c r="AS380" i="25"/>
  <c r="AU380" i="25"/>
  <c r="AV379" i="25"/>
  <c r="AQ379" i="25"/>
  <c r="AM381" i="25"/>
  <c r="AN380" i="25"/>
  <c r="AO380" i="25"/>
  <c r="AP380" i="25"/>
  <c r="AL379" i="25"/>
  <c r="AH381" i="25"/>
  <c r="AI380" i="25"/>
  <c r="AJ380" i="25"/>
  <c r="AK380" i="25"/>
  <c r="AF380" i="25"/>
  <c r="AE380" i="25"/>
  <c r="AC381" i="25"/>
  <c r="AD380" i="25"/>
  <c r="AG379" i="25"/>
  <c r="AB379" i="25"/>
  <c r="Z380" i="25"/>
  <c r="AA380" i="25"/>
  <c r="Y380" i="25"/>
  <c r="X381" i="25"/>
  <c r="U382" i="25"/>
  <c r="V382" i="25"/>
  <c r="T382" i="25"/>
  <c r="S383" i="25"/>
  <c r="W381" i="25"/>
  <c r="M430" i="36"/>
  <c r="L381" i="25" s="1"/>
  <c r="J431" i="36"/>
  <c r="I382" i="25" s="1"/>
  <c r="K430" i="36"/>
  <c r="J381" i="25" s="1"/>
  <c r="L430" i="36"/>
  <c r="K381" i="25" s="1"/>
  <c r="N429" i="36"/>
  <c r="M380" i="25" s="1"/>
  <c r="BF382" i="25" l="1"/>
  <c r="BB384" i="25"/>
  <c r="BC383" i="25"/>
  <c r="BE383" i="25"/>
  <c r="BD383" i="25"/>
  <c r="BA380" i="25"/>
  <c r="AZ381" i="25"/>
  <c r="AW382" i="25"/>
  <c r="AX381" i="25"/>
  <c r="AY381" i="25"/>
  <c r="AV380" i="25"/>
  <c r="AR382" i="25"/>
  <c r="AS381" i="25"/>
  <c r="AU381" i="25"/>
  <c r="AT381" i="25"/>
  <c r="AM382" i="25"/>
  <c r="AN381" i="25"/>
  <c r="AO381" i="25"/>
  <c r="AP381" i="25"/>
  <c r="AQ380" i="25"/>
  <c r="AL380" i="25"/>
  <c r="AH382" i="25"/>
  <c r="AI381" i="25"/>
  <c r="AJ381" i="25"/>
  <c r="AK381" i="25"/>
  <c r="AG380" i="25"/>
  <c r="AE381" i="25"/>
  <c r="AF381" i="25"/>
  <c r="AC382" i="25"/>
  <c r="AD381" i="25"/>
  <c r="AB380" i="25"/>
  <c r="X382" i="25"/>
  <c r="Y381" i="25"/>
  <c r="Z381" i="25"/>
  <c r="AA381" i="25"/>
  <c r="W382" i="25"/>
  <c r="S384" i="25"/>
  <c r="T383" i="25"/>
  <c r="U383" i="25"/>
  <c r="V383" i="25"/>
  <c r="L431" i="36"/>
  <c r="K382" i="25" s="1"/>
  <c r="M431" i="36"/>
  <c r="L382" i="25" s="1"/>
  <c r="J432" i="36"/>
  <c r="I383" i="25" s="1"/>
  <c r="K431" i="36"/>
  <c r="J382" i="25" s="1"/>
  <c r="N430" i="36"/>
  <c r="M381" i="25" s="1"/>
  <c r="BD384" i="25" l="1"/>
  <c r="BC384" i="25"/>
  <c r="BB385" i="25"/>
  <c r="BE384" i="25"/>
  <c r="BF383" i="25"/>
  <c r="AY382" i="25"/>
  <c r="AZ382" i="25"/>
  <c r="AX382" i="25"/>
  <c r="AW383" i="25"/>
  <c r="BA381" i="25"/>
  <c r="AT382" i="25"/>
  <c r="AU382" i="25"/>
  <c r="AS382" i="25"/>
  <c r="AR383" i="25"/>
  <c r="AV381" i="25"/>
  <c r="AQ381" i="25"/>
  <c r="AP382" i="25"/>
  <c r="AM383" i="25"/>
  <c r="AN382" i="25"/>
  <c r="AO382" i="25"/>
  <c r="AL381" i="25"/>
  <c r="AK382" i="25"/>
  <c r="AH383" i="25"/>
  <c r="AI382" i="25"/>
  <c r="AJ382" i="25"/>
  <c r="AG381" i="25"/>
  <c r="AC383" i="25"/>
  <c r="AD382" i="25"/>
  <c r="AE382" i="25"/>
  <c r="AF382" i="25"/>
  <c r="Z382" i="25"/>
  <c r="X383" i="25"/>
  <c r="Y382" i="25"/>
  <c r="AA382" i="25"/>
  <c r="AB381" i="25"/>
  <c r="W383" i="25"/>
  <c r="S385" i="25"/>
  <c r="T384" i="25"/>
  <c r="V384" i="25"/>
  <c r="U384" i="25"/>
  <c r="N431" i="36"/>
  <c r="M382" i="25" s="1"/>
  <c r="J433" i="36"/>
  <c r="I384" i="25" s="1"/>
  <c r="K432" i="36"/>
  <c r="J383" i="25" s="1"/>
  <c r="L432" i="36"/>
  <c r="K383" i="25" s="1"/>
  <c r="M432" i="36"/>
  <c r="L383" i="25" s="1"/>
  <c r="BF384" i="25" l="1"/>
  <c r="BE385" i="25"/>
  <c r="BB386" i="25"/>
  <c r="BC385" i="25"/>
  <c r="BD385" i="25"/>
  <c r="BA382" i="25"/>
  <c r="AW384" i="25"/>
  <c r="AX383" i="25"/>
  <c r="AY383" i="25"/>
  <c r="AZ383" i="25"/>
  <c r="AV382" i="25"/>
  <c r="AU383" i="25"/>
  <c r="AR384" i="25"/>
  <c r="AS383" i="25"/>
  <c r="AT383" i="25"/>
  <c r="AO383" i="25"/>
  <c r="AP383" i="25"/>
  <c r="AN383" i="25"/>
  <c r="AM384" i="25"/>
  <c r="AQ382" i="25"/>
  <c r="AJ383" i="25"/>
  <c r="AK383" i="25"/>
  <c r="AI383" i="25"/>
  <c r="AH384" i="25"/>
  <c r="AL382" i="25"/>
  <c r="AC384" i="25"/>
  <c r="AD383" i="25"/>
  <c r="AF383" i="25"/>
  <c r="AE383" i="25"/>
  <c r="AG382" i="25"/>
  <c r="AA383" i="25"/>
  <c r="X384" i="25"/>
  <c r="Y383" i="25"/>
  <c r="Z383" i="25"/>
  <c r="AB382" i="25"/>
  <c r="V385" i="25"/>
  <c r="T385" i="25"/>
  <c r="S386" i="25"/>
  <c r="U385" i="25"/>
  <c r="W384" i="25"/>
  <c r="L433" i="36"/>
  <c r="K384" i="25" s="1"/>
  <c r="J434" i="36"/>
  <c r="I385" i="25" s="1"/>
  <c r="K433" i="36"/>
  <c r="J384" i="25" s="1"/>
  <c r="M433" i="36"/>
  <c r="L384" i="25" s="1"/>
  <c r="N432" i="36"/>
  <c r="M383" i="25" s="1"/>
  <c r="BD386" i="25" l="1"/>
  <c r="BE386" i="25"/>
  <c r="BB387" i="25"/>
  <c r="BC386" i="25"/>
  <c r="BF385" i="25"/>
  <c r="BA383" i="25"/>
  <c r="AW385" i="25"/>
  <c r="AX384" i="25"/>
  <c r="AY384" i="25"/>
  <c r="AZ384" i="25"/>
  <c r="AT384" i="25"/>
  <c r="AR385" i="25"/>
  <c r="AS384" i="25"/>
  <c r="AU384" i="25"/>
  <c r="AV383" i="25"/>
  <c r="AQ383" i="25"/>
  <c r="AM385" i="25"/>
  <c r="AN384" i="25"/>
  <c r="AO384" i="25"/>
  <c r="AP384" i="25"/>
  <c r="AL383" i="25"/>
  <c r="AH385" i="25"/>
  <c r="AI384" i="25"/>
  <c r="AJ384" i="25"/>
  <c r="AK384" i="25"/>
  <c r="AF384" i="25"/>
  <c r="AE384" i="25"/>
  <c r="AD384" i="25"/>
  <c r="AC385" i="25"/>
  <c r="AG383" i="25"/>
  <c r="AB383" i="25"/>
  <c r="Z384" i="25"/>
  <c r="AA384" i="25"/>
  <c r="X385" i="25"/>
  <c r="Y384" i="25"/>
  <c r="U386" i="25"/>
  <c r="V386" i="25"/>
  <c r="S387" i="25"/>
  <c r="T386" i="25"/>
  <c r="W385" i="25"/>
  <c r="N433" i="36"/>
  <c r="M384" i="25" s="1"/>
  <c r="M434" i="36"/>
  <c r="L385" i="25" s="1"/>
  <c r="K434" i="36"/>
  <c r="J385" i="25" s="1"/>
  <c r="L434" i="36"/>
  <c r="K385" i="25" s="1"/>
  <c r="J435" i="36"/>
  <c r="I386" i="25" s="1"/>
  <c r="BF386" i="25" l="1"/>
  <c r="BB388" i="25"/>
  <c r="BC387" i="25"/>
  <c r="BE387" i="25"/>
  <c r="BD387" i="25"/>
  <c r="BA384" i="25"/>
  <c r="AZ385" i="25"/>
  <c r="AW386" i="25"/>
  <c r="AX385" i="25"/>
  <c r="AY385" i="25"/>
  <c r="AV384" i="25"/>
  <c r="AR386" i="25"/>
  <c r="AS385" i="25"/>
  <c r="AU385" i="25"/>
  <c r="AT385" i="25"/>
  <c r="AM386" i="25"/>
  <c r="AN385" i="25"/>
  <c r="AO385" i="25"/>
  <c r="AP385" i="25"/>
  <c r="AQ384" i="25"/>
  <c r="AL384" i="25"/>
  <c r="AH386" i="25"/>
  <c r="AI385" i="25"/>
  <c r="AJ385" i="25"/>
  <c r="AK385" i="25"/>
  <c r="AG384" i="25"/>
  <c r="AE385" i="25"/>
  <c r="AF385" i="25"/>
  <c r="AC386" i="25"/>
  <c r="AD385" i="25"/>
  <c r="AB384" i="25"/>
  <c r="X386" i="25"/>
  <c r="Y385" i="25"/>
  <c r="AA385" i="25"/>
  <c r="Z385" i="25"/>
  <c r="W386" i="25"/>
  <c r="S388" i="25"/>
  <c r="T387" i="25"/>
  <c r="U387" i="25"/>
  <c r="V387" i="25"/>
  <c r="N434" i="36"/>
  <c r="M385" i="25" s="1"/>
  <c r="L435" i="36"/>
  <c r="K386" i="25" s="1"/>
  <c r="M435" i="36"/>
  <c r="L386" i="25" s="1"/>
  <c r="J436" i="36"/>
  <c r="I387" i="25" s="1"/>
  <c r="K435" i="36"/>
  <c r="J386" i="25" s="1"/>
  <c r="AB385" i="25" l="1"/>
  <c r="BD388" i="25"/>
  <c r="BB389" i="25"/>
  <c r="BC388" i="25"/>
  <c r="BE388" i="25"/>
  <c r="BF387" i="25"/>
  <c r="AY386" i="25"/>
  <c r="AZ386" i="25"/>
  <c r="AX386" i="25"/>
  <c r="AW387" i="25"/>
  <c r="BA385" i="25"/>
  <c r="AT386" i="25"/>
  <c r="AU386" i="25"/>
  <c r="AR387" i="25"/>
  <c r="AS386" i="25"/>
  <c r="AV385" i="25"/>
  <c r="AQ385" i="25"/>
  <c r="AP386" i="25"/>
  <c r="AM387" i="25"/>
  <c r="AN386" i="25"/>
  <c r="AO386" i="25"/>
  <c r="AL385" i="25"/>
  <c r="AK386" i="25"/>
  <c r="AI386" i="25"/>
  <c r="AH387" i="25"/>
  <c r="AJ386" i="25"/>
  <c r="AG385" i="25"/>
  <c r="AC387" i="25"/>
  <c r="AD386" i="25"/>
  <c r="AE386" i="25"/>
  <c r="AF386" i="25"/>
  <c r="X387" i="25"/>
  <c r="Y386" i="25"/>
  <c r="Z386" i="25"/>
  <c r="AA386" i="25"/>
  <c r="W387" i="25"/>
  <c r="S389" i="25"/>
  <c r="T388" i="25"/>
  <c r="U388" i="25"/>
  <c r="V388" i="25"/>
  <c r="N435" i="36"/>
  <c r="M386" i="25" s="1"/>
  <c r="J437" i="36"/>
  <c r="I388" i="25" s="1"/>
  <c r="K436" i="36"/>
  <c r="J387" i="25" s="1"/>
  <c r="M436" i="36"/>
  <c r="L387" i="25" s="1"/>
  <c r="L436" i="36"/>
  <c r="K387" i="25" s="1"/>
  <c r="BF388" i="25" l="1"/>
  <c r="BE389" i="25"/>
  <c r="BB390" i="25"/>
  <c r="BC389" i="25"/>
  <c r="BD389" i="25"/>
  <c r="BA386" i="25"/>
  <c r="AW388" i="25"/>
  <c r="AX387" i="25"/>
  <c r="AY387" i="25"/>
  <c r="AZ387" i="25"/>
  <c r="AV386" i="25"/>
  <c r="AU387" i="25"/>
  <c r="AR388" i="25"/>
  <c r="AS387" i="25"/>
  <c r="AT387" i="25"/>
  <c r="AO387" i="25"/>
  <c r="AP387" i="25"/>
  <c r="AN387" i="25"/>
  <c r="AM388" i="25"/>
  <c r="AQ386" i="25"/>
  <c r="AJ387" i="25"/>
  <c r="AK387" i="25"/>
  <c r="AH388" i="25"/>
  <c r="AI387" i="25"/>
  <c r="AL386" i="25"/>
  <c r="AC388" i="25"/>
  <c r="AD387" i="25"/>
  <c r="AF387" i="25"/>
  <c r="AE387" i="25"/>
  <c r="AG386" i="25"/>
  <c r="AA387" i="25"/>
  <c r="Y387" i="25"/>
  <c r="X388" i="25"/>
  <c r="Z387" i="25"/>
  <c r="AB386" i="25"/>
  <c r="W388" i="25"/>
  <c r="V389" i="25"/>
  <c r="S390" i="25"/>
  <c r="T389" i="25"/>
  <c r="U389" i="25"/>
  <c r="N436" i="36"/>
  <c r="M387" i="25" s="1"/>
  <c r="J438" i="36"/>
  <c r="I389" i="25" s="1"/>
  <c r="K437" i="36"/>
  <c r="J388" i="25" s="1"/>
  <c r="M437" i="36"/>
  <c r="L388" i="25" s="1"/>
  <c r="L437" i="36"/>
  <c r="K388" i="25" s="1"/>
  <c r="N437" i="36" l="1"/>
  <c r="M388" i="25" s="1"/>
  <c r="BD390" i="25"/>
  <c r="BE390" i="25"/>
  <c r="BC390" i="25"/>
  <c r="BB391" i="25"/>
  <c r="BF389" i="25"/>
  <c r="BA387" i="25"/>
  <c r="AW389" i="25"/>
  <c r="AX388" i="25"/>
  <c r="AY388" i="25"/>
  <c r="AZ388" i="25"/>
  <c r="AT388" i="25"/>
  <c r="AR389" i="25"/>
  <c r="AS388" i="25"/>
  <c r="AU388" i="25"/>
  <c r="AV387" i="25"/>
  <c r="AQ387" i="25"/>
  <c r="AM389" i="25"/>
  <c r="AN388" i="25"/>
  <c r="AO388" i="25"/>
  <c r="AP388" i="25"/>
  <c r="AL387" i="25"/>
  <c r="AH389" i="25"/>
  <c r="AI388" i="25"/>
  <c r="AJ388" i="25"/>
  <c r="AK388" i="25"/>
  <c r="AF388" i="25"/>
  <c r="AE388" i="25"/>
  <c r="AC389" i="25"/>
  <c r="AD388" i="25"/>
  <c r="AG387" i="25"/>
  <c r="AB387" i="25"/>
  <c r="Z388" i="25"/>
  <c r="AA388" i="25"/>
  <c r="Y388" i="25"/>
  <c r="X389" i="25"/>
  <c r="U390" i="25"/>
  <c r="V390" i="25"/>
  <c r="T390" i="25"/>
  <c r="S391" i="25"/>
  <c r="W389" i="25"/>
  <c r="M438" i="36"/>
  <c r="L389" i="25" s="1"/>
  <c r="J439" i="36"/>
  <c r="I390" i="25" s="1"/>
  <c r="K438" i="36"/>
  <c r="J389" i="25" s="1"/>
  <c r="L438" i="36"/>
  <c r="K389" i="25" s="1"/>
  <c r="BF390" i="25" l="1"/>
  <c r="BB392" i="25"/>
  <c r="BC391" i="25"/>
  <c r="BE391" i="25"/>
  <c r="BD391" i="25"/>
  <c r="BA388" i="25"/>
  <c r="AZ389" i="25"/>
  <c r="AW390" i="25"/>
  <c r="AX389" i="25"/>
  <c r="AY389" i="25"/>
  <c r="AV388" i="25"/>
  <c r="AR390" i="25"/>
  <c r="AS389" i="25"/>
  <c r="AU389" i="25"/>
  <c r="AT389" i="25"/>
  <c r="AM390" i="25"/>
  <c r="AN389" i="25"/>
  <c r="AO389" i="25"/>
  <c r="AP389" i="25"/>
  <c r="AQ388" i="25"/>
  <c r="AL388" i="25"/>
  <c r="AH390" i="25"/>
  <c r="AI389" i="25"/>
  <c r="AJ389" i="25"/>
  <c r="AK389" i="25"/>
  <c r="AG388" i="25"/>
  <c r="AE389" i="25"/>
  <c r="AF389" i="25"/>
  <c r="AC390" i="25"/>
  <c r="AD389" i="25"/>
  <c r="AB388" i="25"/>
  <c r="X390" i="25"/>
  <c r="Y389" i="25"/>
  <c r="Z389" i="25"/>
  <c r="AA389" i="25"/>
  <c r="W390" i="25"/>
  <c r="T391" i="25"/>
  <c r="U391" i="25"/>
  <c r="V391" i="25"/>
  <c r="S392" i="25"/>
  <c r="L439" i="36"/>
  <c r="K390" i="25" s="1"/>
  <c r="M439" i="36"/>
  <c r="L390" i="25" s="1"/>
  <c r="J440" i="36"/>
  <c r="I391" i="25" s="1"/>
  <c r="K439" i="36"/>
  <c r="J390" i="25" s="1"/>
  <c r="N438" i="36"/>
  <c r="M389" i="25" s="1"/>
  <c r="BD392" i="25" l="1"/>
  <c r="BC392" i="25"/>
  <c r="BB393" i="25"/>
  <c r="BE392" i="25"/>
  <c r="BF391" i="25"/>
  <c r="AY390" i="25"/>
  <c r="AZ390" i="25"/>
  <c r="AW391" i="25"/>
  <c r="AX390" i="25"/>
  <c r="BA389" i="25"/>
  <c r="AV389" i="25"/>
  <c r="AT390" i="25"/>
  <c r="AU390" i="25"/>
  <c r="AR391" i="25"/>
  <c r="AS390" i="25"/>
  <c r="AQ389" i="25"/>
  <c r="AP390" i="25"/>
  <c r="AM391" i="25"/>
  <c r="AN390" i="25"/>
  <c r="AO390" i="25"/>
  <c r="AL389" i="25"/>
  <c r="AK390" i="25"/>
  <c r="AH391" i="25"/>
  <c r="AI390" i="25"/>
  <c r="AJ390" i="25"/>
  <c r="AG389" i="25"/>
  <c r="AC391" i="25"/>
  <c r="AD390" i="25"/>
  <c r="AE390" i="25"/>
  <c r="AF390" i="25"/>
  <c r="Z390" i="25"/>
  <c r="X391" i="25"/>
  <c r="Y390" i="25"/>
  <c r="AA390" i="25"/>
  <c r="AB389" i="25"/>
  <c r="W391" i="25"/>
  <c r="V392" i="25"/>
  <c r="T392" i="25"/>
  <c r="U392" i="25"/>
  <c r="S393" i="25"/>
  <c r="N439" i="36"/>
  <c r="M390" i="25" s="1"/>
  <c r="J441" i="36"/>
  <c r="I392" i="25" s="1"/>
  <c r="K440" i="36"/>
  <c r="J391" i="25" s="1"/>
  <c r="L440" i="36"/>
  <c r="K391" i="25" s="1"/>
  <c r="M440" i="36"/>
  <c r="L391" i="25" s="1"/>
  <c r="BF392" i="25" l="1"/>
  <c r="BE393" i="25"/>
  <c r="BB394" i="25"/>
  <c r="BC393" i="25"/>
  <c r="BD393" i="25"/>
  <c r="BA390" i="25"/>
  <c r="AW392" i="25"/>
  <c r="AX391" i="25"/>
  <c r="AY391" i="25"/>
  <c r="AZ391" i="25"/>
  <c r="AV390" i="25"/>
  <c r="AU391" i="25"/>
  <c r="AR392" i="25"/>
  <c r="AS391" i="25"/>
  <c r="AT391" i="25"/>
  <c r="AO391" i="25"/>
  <c r="AP391" i="25"/>
  <c r="AM392" i="25"/>
  <c r="AN391" i="25"/>
  <c r="AQ390" i="25"/>
  <c r="AJ391" i="25"/>
  <c r="AK391" i="25"/>
  <c r="AI391" i="25"/>
  <c r="AH392" i="25"/>
  <c r="AL390" i="25"/>
  <c r="AC392" i="25"/>
  <c r="AD391" i="25"/>
  <c r="AF391" i="25"/>
  <c r="AE391" i="25"/>
  <c r="AG390" i="25"/>
  <c r="AA391" i="25"/>
  <c r="X392" i="25"/>
  <c r="Y391" i="25"/>
  <c r="Z391" i="25"/>
  <c r="AB390" i="25"/>
  <c r="U393" i="25"/>
  <c r="T393" i="25"/>
  <c r="V393" i="25"/>
  <c r="S394" i="25"/>
  <c r="W392" i="25"/>
  <c r="J442" i="36"/>
  <c r="I393" i="25" s="1"/>
  <c r="K441" i="36"/>
  <c r="J392" i="25" s="1"/>
  <c r="M441" i="36"/>
  <c r="L392" i="25" s="1"/>
  <c r="L441" i="36"/>
  <c r="K392" i="25" s="1"/>
  <c r="N440" i="36"/>
  <c r="M391" i="25" s="1"/>
  <c r="BD394" i="25" l="1"/>
  <c r="BE394" i="25"/>
  <c r="BB395" i="25"/>
  <c r="BC394" i="25"/>
  <c r="BF393" i="25"/>
  <c r="AW393" i="25"/>
  <c r="AX392" i="25"/>
  <c r="AY392" i="25"/>
  <c r="AZ392" i="25"/>
  <c r="BA391" i="25"/>
  <c r="AT392" i="25"/>
  <c r="AR393" i="25"/>
  <c r="AS392" i="25"/>
  <c r="AU392" i="25"/>
  <c r="AV391" i="25"/>
  <c r="AQ391" i="25"/>
  <c r="AM393" i="25"/>
  <c r="AN392" i="25"/>
  <c r="AO392" i="25"/>
  <c r="AP392" i="25"/>
  <c r="AL391" i="25"/>
  <c r="AH393" i="25"/>
  <c r="AI392" i="25"/>
  <c r="AJ392" i="25"/>
  <c r="AK392" i="25"/>
  <c r="AF392" i="25"/>
  <c r="AE392" i="25"/>
  <c r="AD392" i="25"/>
  <c r="AC393" i="25"/>
  <c r="AG391" i="25"/>
  <c r="AB391" i="25"/>
  <c r="Z392" i="25"/>
  <c r="AA392" i="25"/>
  <c r="Y392" i="25"/>
  <c r="X393" i="25"/>
  <c r="W393" i="25"/>
  <c r="S395" i="25"/>
  <c r="T394" i="25"/>
  <c r="U394" i="25"/>
  <c r="V394" i="25"/>
  <c r="M442" i="36"/>
  <c r="L393" i="25" s="1"/>
  <c r="K442" i="36"/>
  <c r="J393" i="25" s="1"/>
  <c r="J443" i="36"/>
  <c r="I394" i="25" s="1"/>
  <c r="L442" i="36"/>
  <c r="K393" i="25" s="1"/>
  <c r="N441" i="36"/>
  <c r="M392" i="25" s="1"/>
  <c r="BF394" i="25" l="1"/>
  <c r="BB396" i="25"/>
  <c r="BC395" i="25"/>
  <c r="BE395" i="25"/>
  <c r="BD395" i="25"/>
  <c r="BA392" i="25"/>
  <c r="AZ393" i="25"/>
  <c r="AW394" i="25"/>
  <c r="AX393" i="25"/>
  <c r="AY393" i="25"/>
  <c r="AV392" i="25"/>
  <c r="AR394" i="25"/>
  <c r="AS393" i="25"/>
  <c r="AU393" i="25"/>
  <c r="AT393" i="25"/>
  <c r="AM394" i="25"/>
  <c r="AN393" i="25"/>
  <c r="AO393" i="25"/>
  <c r="AP393" i="25"/>
  <c r="AQ392" i="25"/>
  <c r="AL392" i="25"/>
  <c r="AH394" i="25"/>
  <c r="AI393" i="25"/>
  <c r="AJ393" i="25"/>
  <c r="AK393" i="25"/>
  <c r="AG392" i="25"/>
  <c r="AE393" i="25"/>
  <c r="AF393" i="25"/>
  <c r="AC394" i="25"/>
  <c r="AD393" i="25"/>
  <c r="AB392" i="25"/>
  <c r="X394" i="25"/>
  <c r="Y393" i="25"/>
  <c r="AA393" i="25"/>
  <c r="Z393" i="25"/>
  <c r="W394" i="25"/>
  <c r="U395" i="25"/>
  <c r="V395" i="25"/>
  <c r="S396" i="25"/>
  <c r="T395" i="25"/>
  <c r="L443" i="36"/>
  <c r="K394" i="25" s="1"/>
  <c r="M443" i="36"/>
  <c r="L394" i="25" s="1"/>
  <c r="J444" i="36"/>
  <c r="I395" i="25" s="1"/>
  <c r="K443" i="36"/>
  <c r="J394" i="25" s="1"/>
  <c r="N442" i="36"/>
  <c r="M393" i="25" s="1"/>
  <c r="BD396" i="25" l="1"/>
  <c r="BB397" i="25"/>
  <c r="BC396" i="25"/>
  <c r="BE396" i="25"/>
  <c r="BF395" i="25"/>
  <c r="AY394" i="25"/>
  <c r="AZ394" i="25"/>
  <c r="AX394" i="25"/>
  <c r="AW395" i="25"/>
  <c r="BA393" i="25"/>
  <c r="AT394" i="25"/>
  <c r="AU394" i="25"/>
  <c r="AS394" i="25"/>
  <c r="AR395" i="25"/>
  <c r="AV393" i="25"/>
  <c r="AQ393" i="25"/>
  <c r="AP394" i="25"/>
  <c r="AM395" i="25"/>
  <c r="AN394" i="25"/>
  <c r="AO394" i="25"/>
  <c r="AL393" i="25"/>
  <c r="AK394" i="25"/>
  <c r="AI394" i="25"/>
  <c r="AH395" i="25"/>
  <c r="AJ394" i="25"/>
  <c r="AG393" i="25"/>
  <c r="AC395" i="25"/>
  <c r="AD394" i="25"/>
  <c r="AE394" i="25"/>
  <c r="AF394" i="25"/>
  <c r="AB393" i="25"/>
  <c r="X395" i="25"/>
  <c r="Y394" i="25"/>
  <c r="Z394" i="25"/>
  <c r="AA394" i="25"/>
  <c r="W395" i="25"/>
  <c r="V396" i="25"/>
  <c r="U396" i="25"/>
  <c r="T396" i="25"/>
  <c r="S397" i="25"/>
  <c r="N443" i="36"/>
  <c r="M394" i="25" s="1"/>
  <c r="J445" i="36"/>
  <c r="I396" i="25" s="1"/>
  <c r="K444" i="36"/>
  <c r="J395" i="25" s="1"/>
  <c r="L444" i="36"/>
  <c r="K395" i="25" s="1"/>
  <c r="M444" i="36"/>
  <c r="L395" i="25" s="1"/>
  <c r="BF396" i="25" l="1"/>
  <c r="BE397" i="25"/>
  <c r="BB398" i="25"/>
  <c r="BC397" i="25"/>
  <c r="BD397" i="25"/>
  <c r="BA394" i="25"/>
  <c r="AW396" i="25"/>
  <c r="AX395" i="25"/>
  <c r="AY395" i="25"/>
  <c r="AZ395" i="25"/>
  <c r="AV394" i="25"/>
  <c r="AU395" i="25"/>
  <c r="AR396" i="25"/>
  <c r="AS395" i="25"/>
  <c r="AT395" i="25"/>
  <c r="AO395" i="25"/>
  <c r="AP395" i="25"/>
  <c r="AN395" i="25"/>
  <c r="AM396" i="25"/>
  <c r="AQ394" i="25"/>
  <c r="AJ395" i="25"/>
  <c r="AK395" i="25"/>
  <c r="AH396" i="25"/>
  <c r="AI395" i="25"/>
  <c r="AL394" i="25"/>
  <c r="AG394" i="25"/>
  <c r="AC396" i="25"/>
  <c r="AD395" i="25"/>
  <c r="AF395" i="25"/>
  <c r="AE395" i="25"/>
  <c r="AA395" i="25"/>
  <c r="X396" i="25"/>
  <c r="Y395" i="25"/>
  <c r="Z395" i="25"/>
  <c r="AB394" i="25"/>
  <c r="W396" i="25"/>
  <c r="U397" i="25"/>
  <c r="V397" i="25"/>
  <c r="S398" i="25"/>
  <c r="T397" i="25"/>
  <c r="N444" i="36"/>
  <c r="M395" i="25" s="1"/>
  <c r="J446" i="36"/>
  <c r="I397" i="25" s="1"/>
  <c r="K445" i="36"/>
  <c r="J396" i="25" s="1"/>
  <c r="L445" i="36"/>
  <c r="K396" i="25" s="1"/>
  <c r="M445" i="36"/>
  <c r="L396" i="25" s="1"/>
  <c r="W397" i="25" l="1"/>
  <c r="BD398" i="25"/>
  <c r="BE398" i="25"/>
  <c r="BC398" i="25"/>
  <c r="BB399" i="25"/>
  <c r="BF397" i="25"/>
  <c r="BA395" i="25"/>
  <c r="AW397" i="25"/>
  <c r="AX396" i="25"/>
  <c r="AY396" i="25"/>
  <c r="AZ396" i="25"/>
  <c r="AT396" i="25"/>
  <c r="AR397" i="25"/>
  <c r="AS396" i="25"/>
  <c r="AU396" i="25"/>
  <c r="AV395" i="25"/>
  <c r="AQ395" i="25"/>
  <c r="AM397" i="25"/>
  <c r="AN396" i="25"/>
  <c r="AO396" i="25"/>
  <c r="AP396" i="25"/>
  <c r="AL395" i="25"/>
  <c r="AH397" i="25"/>
  <c r="AI396" i="25"/>
  <c r="AJ396" i="25"/>
  <c r="AK396" i="25"/>
  <c r="AF396" i="25"/>
  <c r="AE396" i="25"/>
  <c r="AC397" i="25"/>
  <c r="AD396" i="25"/>
  <c r="AG395" i="25"/>
  <c r="AB395" i="25"/>
  <c r="Z396" i="25"/>
  <c r="AA396" i="25"/>
  <c r="Y396" i="25"/>
  <c r="X397" i="25"/>
  <c r="S399" i="25"/>
  <c r="T398" i="25"/>
  <c r="V398" i="25"/>
  <c r="U398" i="25"/>
  <c r="N445" i="36"/>
  <c r="M396" i="25" s="1"/>
  <c r="M446" i="36"/>
  <c r="L397" i="25" s="1"/>
  <c r="K446" i="36"/>
  <c r="J397" i="25" s="1"/>
  <c r="L446" i="36"/>
  <c r="K397" i="25" s="1"/>
  <c r="J447" i="36"/>
  <c r="I398" i="25" s="1"/>
  <c r="BF398" i="25" l="1"/>
  <c r="BB400" i="25"/>
  <c r="BC399" i="25"/>
  <c r="BE399" i="25"/>
  <c r="BD399" i="25"/>
  <c r="BA396" i="25"/>
  <c r="AZ397" i="25"/>
  <c r="AW398" i="25"/>
  <c r="AX397" i="25"/>
  <c r="AY397" i="25"/>
  <c r="AV396" i="25"/>
  <c r="AR398" i="25"/>
  <c r="AS397" i="25"/>
  <c r="AU397" i="25"/>
  <c r="AT397" i="25"/>
  <c r="AQ396" i="25"/>
  <c r="AM398" i="25"/>
  <c r="AN397" i="25"/>
  <c r="AO397" i="25"/>
  <c r="AP397" i="25"/>
  <c r="AL396" i="25"/>
  <c r="AH398" i="25"/>
  <c r="AI397" i="25"/>
  <c r="AJ397" i="25"/>
  <c r="AK397" i="25"/>
  <c r="AG396" i="25"/>
  <c r="AE397" i="25"/>
  <c r="AF397" i="25"/>
  <c r="AC398" i="25"/>
  <c r="AD397" i="25"/>
  <c r="AB396" i="25"/>
  <c r="X398" i="25"/>
  <c r="Y397" i="25"/>
  <c r="Z397" i="25"/>
  <c r="AA397" i="25"/>
  <c r="V399" i="25"/>
  <c r="S400" i="25"/>
  <c r="T399" i="25"/>
  <c r="U399" i="25"/>
  <c r="W398" i="25"/>
  <c r="N446" i="36"/>
  <c r="M397" i="25" s="1"/>
  <c r="L447" i="36"/>
  <c r="K398" i="25" s="1"/>
  <c r="M447" i="36"/>
  <c r="L398" i="25" s="1"/>
  <c r="J448" i="36"/>
  <c r="I399" i="25" s="1"/>
  <c r="K447" i="36"/>
  <c r="J398" i="25" s="1"/>
  <c r="BD400" i="25" l="1"/>
  <c r="BC400" i="25"/>
  <c r="BB401" i="25"/>
  <c r="BE400" i="25"/>
  <c r="BF399" i="25"/>
  <c r="AY398" i="25"/>
  <c r="AZ398" i="25"/>
  <c r="AX398" i="25"/>
  <c r="AW399" i="25"/>
  <c r="BA397" i="25"/>
  <c r="AT398" i="25"/>
  <c r="AU398" i="25"/>
  <c r="AS398" i="25"/>
  <c r="AR399" i="25"/>
  <c r="AV397" i="25"/>
  <c r="AQ397" i="25"/>
  <c r="AP398" i="25"/>
  <c r="AM399" i="25"/>
  <c r="AN398" i="25"/>
  <c r="AO398" i="25"/>
  <c r="AL397" i="25"/>
  <c r="AK398" i="25"/>
  <c r="AH399" i="25"/>
  <c r="AI398" i="25"/>
  <c r="AJ398" i="25"/>
  <c r="AG397" i="25"/>
  <c r="AC399" i="25"/>
  <c r="AD398" i="25"/>
  <c r="AE398" i="25"/>
  <c r="AF398" i="25"/>
  <c r="X399" i="25"/>
  <c r="Y398" i="25"/>
  <c r="Z398" i="25"/>
  <c r="AA398" i="25"/>
  <c r="AB397" i="25"/>
  <c r="V400" i="25"/>
  <c r="S401" i="25"/>
  <c r="T400" i="25"/>
  <c r="U400" i="25"/>
  <c r="W399" i="25"/>
  <c r="N447" i="36"/>
  <c r="M398" i="25" s="1"/>
  <c r="J449" i="36"/>
  <c r="I400" i="25" s="1"/>
  <c r="K448" i="36"/>
  <c r="J399" i="25" s="1"/>
  <c r="L448" i="36"/>
  <c r="K399" i="25" s="1"/>
  <c r="M448" i="36"/>
  <c r="L399" i="25" s="1"/>
  <c r="BF400" i="25" l="1"/>
  <c r="BE401" i="25"/>
  <c r="BB402" i="25"/>
  <c r="BC401" i="25"/>
  <c r="BD401" i="25"/>
  <c r="BA398" i="25"/>
  <c r="AW400" i="25"/>
  <c r="AX399" i="25"/>
  <c r="AY399" i="25"/>
  <c r="AZ399" i="25"/>
  <c r="AV398" i="25"/>
  <c r="AU399" i="25"/>
  <c r="AR400" i="25"/>
  <c r="AS399" i="25"/>
  <c r="AT399" i="25"/>
  <c r="AO399" i="25"/>
  <c r="AP399" i="25"/>
  <c r="AN399" i="25"/>
  <c r="AM400" i="25"/>
  <c r="AQ398" i="25"/>
  <c r="AJ399" i="25"/>
  <c r="AK399" i="25"/>
  <c r="AI399" i="25"/>
  <c r="AH400" i="25"/>
  <c r="AL398" i="25"/>
  <c r="AG398" i="25"/>
  <c r="AC400" i="25"/>
  <c r="AD399" i="25"/>
  <c r="AF399" i="25"/>
  <c r="AE399" i="25"/>
  <c r="AA399" i="25"/>
  <c r="Y399" i="25"/>
  <c r="Z399" i="25"/>
  <c r="X400" i="25"/>
  <c r="AB398" i="25"/>
  <c r="U401" i="25"/>
  <c r="S402" i="25"/>
  <c r="T401" i="25"/>
  <c r="V401" i="25"/>
  <c r="W400" i="25"/>
  <c r="J450" i="36"/>
  <c r="I401" i="25" s="1"/>
  <c r="K449" i="36"/>
  <c r="J400" i="25" s="1"/>
  <c r="M449" i="36"/>
  <c r="L400" i="25" s="1"/>
  <c r="L449" i="36"/>
  <c r="K400" i="25" s="1"/>
  <c r="N448" i="36"/>
  <c r="M399" i="25" s="1"/>
  <c r="BD402" i="25" l="1"/>
  <c r="BE402" i="25"/>
  <c r="BB403" i="25"/>
  <c r="BC402" i="25"/>
  <c r="BF401" i="25"/>
  <c r="AW401" i="25"/>
  <c r="AX400" i="25"/>
  <c r="AY400" i="25"/>
  <c r="AZ400" i="25"/>
  <c r="BA399" i="25"/>
  <c r="AT400" i="25"/>
  <c r="AR401" i="25"/>
  <c r="AS400" i="25"/>
  <c r="AU400" i="25"/>
  <c r="AV399" i="25"/>
  <c r="AQ399" i="25"/>
  <c r="AM401" i="25"/>
  <c r="AN400" i="25"/>
  <c r="AO400" i="25"/>
  <c r="AP400" i="25"/>
  <c r="AL399" i="25"/>
  <c r="AH401" i="25"/>
  <c r="AI400" i="25"/>
  <c r="AJ400" i="25"/>
  <c r="AK400" i="25"/>
  <c r="AF400" i="25"/>
  <c r="AE400" i="25"/>
  <c r="AD400" i="25"/>
  <c r="AC401" i="25"/>
  <c r="AG399" i="25"/>
  <c r="Z400" i="25"/>
  <c r="AA400" i="25"/>
  <c r="X401" i="25"/>
  <c r="Y400" i="25"/>
  <c r="AB399" i="25"/>
  <c r="W401" i="25"/>
  <c r="S403" i="25"/>
  <c r="T402" i="25"/>
  <c r="U402" i="25"/>
  <c r="V402" i="25"/>
  <c r="N449" i="36"/>
  <c r="M400" i="25" s="1"/>
  <c r="M450" i="36"/>
  <c r="L401" i="25" s="1"/>
  <c r="K450" i="36"/>
  <c r="J401" i="25" s="1"/>
  <c r="J451" i="36"/>
  <c r="I402" i="25" s="1"/>
  <c r="L450" i="36"/>
  <c r="K401" i="25" s="1"/>
  <c r="BF402" i="25" l="1"/>
  <c r="BB404" i="25"/>
  <c r="BC403" i="25"/>
  <c r="BE403" i="25"/>
  <c r="BD403" i="25"/>
  <c r="AZ401" i="25"/>
  <c r="AW402" i="25"/>
  <c r="AX401" i="25"/>
  <c r="AY401" i="25"/>
  <c r="BA400" i="25"/>
  <c r="AV400" i="25"/>
  <c r="AR402" i="25"/>
  <c r="AS401" i="25"/>
  <c r="AU401" i="25"/>
  <c r="AT401" i="25"/>
  <c r="AM402" i="25"/>
  <c r="AN401" i="25"/>
  <c r="AO401" i="25"/>
  <c r="AP401" i="25"/>
  <c r="AQ400" i="25"/>
  <c r="AL400" i="25"/>
  <c r="AH402" i="25"/>
  <c r="AI401" i="25"/>
  <c r="AJ401" i="25"/>
  <c r="AK401" i="25"/>
  <c r="AG400" i="25"/>
  <c r="AE401" i="25"/>
  <c r="AF401" i="25"/>
  <c r="AC402" i="25"/>
  <c r="AD401" i="25"/>
  <c r="AB400" i="25"/>
  <c r="X402" i="25"/>
  <c r="Y401" i="25"/>
  <c r="Z401" i="25"/>
  <c r="AA401" i="25"/>
  <c r="W402" i="25"/>
  <c r="S404" i="25"/>
  <c r="T403" i="25"/>
  <c r="V403" i="25"/>
  <c r="U403" i="25"/>
  <c r="L451" i="36"/>
  <c r="K402" i="25" s="1"/>
  <c r="M451" i="36"/>
  <c r="L402" i="25" s="1"/>
  <c r="J452" i="36"/>
  <c r="I403" i="25" s="1"/>
  <c r="K451" i="36"/>
  <c r="J402" i="25" s="1"/>
  <c r="N450" i="36"/>
  <c r="M401" i="25" s="1"/>
  <c r="BD404" i="25" l="1"/>
  <c r="BB405" i="25"/>
  <c r="BC404" i="25"/>
  <c r="BE404" i="25"/>
  <c r="BF403" i="25"/>
  <c r="AY402" i="25"/>
  <c r="AZ402" i="25"/>
  <c r="AX402" i="25"/>
  <c r="AW403" i="25"/>
  <c r="BA401" i="25"/>
  <c r="AT402" i="25"/>
  <c r="AU402" i="25"/>
  <c r="AR403" i="25"/>
  <c r="AS402" i="25"/>
  <c r="AV401" i="25"/>
  <c r="AQ401" i="25"/>
  <c r="AP402" i="25"/>
  <c r="AM403" i="25"/>
  <c r="AN402" i="25"/>
  <c r="AO402" i="25"/>
  <c r="AL401" i="25"/>
  <c r="AK402" i="25"/>
  <c r="AI402" i="25"/>
  <c r="AJ402" i="25"/>
  <c r="AH403" i="25"/>
  <c r="AG401" i="25"/>
  <c r="AC403" i="25"/>
  <c r="AD402" i="25"/>
  <c r="AE402" i="25"/>
  <c r="AF402" i="25"/>
  <c r="X403" i="25"/>
  <c r="Y402" i="25"/>
  <c r="Z402" i="25"/>
  <c r="AA402" i="25"/>
  <c r="AB401" i="25"/>
  <c r="W403" i="25"/>
  <c r="V404" i="25"/>
  <c r="S405" i="25"/>
  <c r="T404" i="25"/>
  <c r="U404" i="25"/>
  <c r="N451" i="36"/>
  <c r="M402" i="25" s="1"/>
  <c r="J453" i="36"/>
  <c r="I404" i="25" s="1"/>
  <c r="K452" i="36"/>
  <c r="J403" i="25" s="1"/>
  <c r="L452" i="36"/>
  <c r="K403" i="25" s="1"/>
  <c r="M452" i="36"/>
  <c r="L403" i="25" s="1"/>
  <c r="BF404" i="25" l="1"/>
  <c r="BE405" i="25"/>
  <c r="BB406" i="25"/>
  <c r="BC405" i="25"/>
  <c r="BD405" i="25"/>
  <c r="BA402" i="25"/>
  <c r="AW404" i="25"/>
  <c r="AX403" i="25"/>
  <c r="AY403" i="25"/>
  <c r="AZ403" i="25"/>
  <c r="AV402" i="25"/>
  <c r="AU403" i="25"/>
  <c r="AR404" i="25"/>
  <c r="AS403" i="25"/>
  <c r="AT403" i="25"/>
  <c r="AO403" i="25"/>
  <c r="AP403" i="25"/>
  <c r="AN403" i="25"/>
  <c r="AM404" i="25"/>
  <c r="AQ402" i="25"/>
  <c r="AL402" i="25"/>
  <c r="AJ403" i="25"/>
  <c r="AK403" i="25"/>
  <c r="AH404" i="25"/>
  <c r="AI403" i="25"/>
  <c r="AG402" i="25"/>
  <c r="AC404" i="25"/>
  <c r="AD403" i="25"/>
  <c r="AF403" i="25"/>
  <c r="AE403" i="25"/>
  <c r="AA403" i="25"/>
  <c r="X404" i="25"/>
  <c r="Y403" i="25"/>
  <c r="Z403" i="25"/>
  <c r="AB402" i="25"/>
  <c r="U405" i="25"/>
  <c r="S406" i="25"/>
  <c r="T405" i="25"/>
  <c r="V405" i="25"/>
  <c r="W404" i="25"/>
  <c r="J454" i="36"/>
  <c r="I405" i="25" s="1"/>
  <c r="K453" i="36"/>
  <c r="J404" i="25" s="1"/>
  <c r="L453" i="36"/>
  <c r="K404" i="25" s="1"/>
  <c r="M453" i="36"/>
  <c r="L404" i="25" s="1"/>
  <c r="N452" i="36"/>
  <c r="M403" i="25" s="1"/>
  <c r="BD406" i="25" l="1"/>
  <c r="BE406" i="25"/>
  <c r="BC406" i="25"/>
  <c r="BB407" i="25"/>
  <c r="BF405" i="25"/>
  <c r="AW405" i="25"/>
  <c r="AX404" i="25"/>
  <c r="AY404" i="25"/>
  <c r="AZ404" i="25"/>
  <c r="BA403" i="25"/>
  <c r="AT404" i="25"/>
  <c r="AR405" i="25"/>
  <c r="AS404" i="25"/>
  <c r="AU404" i="25"/>
  <c r="AV403" i="25"/>
  <c r="AQ403" i="25"/>
  <c r="AM405" i="25"/>
  <c r="AN404" i="25"/>
  <c r="AO404" i="25"/>
  <c r="AP404" i="25"/>
  <c r="AL403" i="25"/>
  <c r="AH405" i="25"/>
  <c r="AI404" i="25"/>
  <c r="AJ404" i="25"/>
  <c r="AK404" i="25"/>
  <c r="AF404" i="25"/>
  <c r="AE404" i="25"/>
  <c r="AC405" i="25"/>
  <c r="AD404" i="25"/>
  <c r="AG403" i="25"/>
  <c r="AB403" i="25"/>
  <c r="Z404" i="25"/>
  <c r="AA404" i="25"/>
  <c r="Y404" i="25"/>
  <c r="X405" i="25"/>
  <c r="W405" i="25"/>
  <c r="S407" i="25"/>
  <c r="T406" i="25"/>
  <c r="U406" i="25"/>
  <c r="V406" i="25"/>
  <c r="N453" i="36"/>
  <c r="M404" i="25" s="1"/>
  <c r="M454" i="36"/>
  <c r="L405" i="25" s="1"/>
  <c r="K454" i="36"/>
  <c r="J405" i="25" s="1"/>
  <c r="L454" i="36"/>
  <c r="K405" i="25" s="1"/>
  <c r="J455" i="36"/>
  <c r="I406" i="25" s="1"/>
  <c r="BF406" i="25" l="1"/>
  <c r="BB408" i="25"/>
  <c r="BC407" i="25"/>
  <c r="BE407" i="25"/>
  <c r="BD407" i="25"/>
  <c r="AZ405" i="25"/>
  <c r="AW406" i="25"/>
  <c r="AX405" i="25"/>
  <c r="AY405" i="25"/>
  <c r="BA404" i="25"/>
  <c r="AV404" i="25"/>
  <c r="AR406" i="25"/>
  <c r="AS405" i="25"/>
  <c r="AU405" i="25"/>
  <c r="AT405" i="25"/>
  <c r="AM406" i="25"/>
  <c r="AN405" i="25"/>
  <c r="AO405" i="25"/>
  <c r="AP405" i="25"/>
  <c r="AQ404" i="25"/>
  <c r="AL404" i="25"/>
  <c r="AH406" i="25"/>
  <c r="AI405" i="25"/>
  <c r="AJ405" i="25"/>
  <c r="AK405" i="25"/>
  <c r="AG404" i="25"/>
  <c r="AE405" i="25"/>
  <c r="AF405" i="25"/>
  <c r="AC406" i="25"/>
  <c r="AD405" i="25"/>
  <c r="AB404" i="25"/>
  <c r="X406" i="25"/>
  <c r="Y405" i="25"/>
  <c r="Z405" i="25"/>
  <c r="AA405" i="25"/>
  <c r="W406" i="25"/>
  <c r="T407" i="25"/>
  <c r="U407" i="25"/>
  <c r="S408" i="25"/>
  <c r="V407" i="25"/>
  <c r="N454" i="36"/>
  <c r="M405" i="25" s="1"/>
  <c r="L455" i="36"/>
  <c r="K406" i="25" s="1"/>
  <c r="M455" i="36"/>
  <c r="L406" i="25" s="1"/>
  <c r="J456" i="36"/>
  <c r="I407" i="25" s="1"/>
  <c r="K455" i="36"/>
  <c r="J406" i="25" s="1"/>
  <c r="BD408" i="25" l="1"/>
  <c r="BC408" i="25"/>
  <c r="BB409" i="25"/>
  <c r="BE408" i="25"/>
  <c r="BF407" i="25"/>
  <c r="AY406" i="25"/>
  <c r="AZ406" i="25"/>
  <c r="AW407" i="25"/>
  <c r="AX406" i="25"/>
  <c r="BA405" i="25"/>
  <c r="AV405" i="25"/>
  <c r="AT406" i="25"/>
  <c r="AU406" i="25"/>
  <c r="AR407" i="25"/>
  <c r="AS406" i="25"/>
  <c r="AQ405" i="25"/>
  <c r="AP406" i="25"/>
  <c r="AM407" i="25"/>
  <c r="AN406" i="25"/>
  <c r="AO406" i="25"/>
  <c r="AL405" i="25"/>
  <c r="AK406" i="25"/>
  <c r="AH407" i="25"/>
  <c r="AI406" i="25"/>
  <c r="AJ406" i="25"/>
  <c r="AG405" i="25"/>
  <c r="AC407" i="25"/>
  <c r="AD406" i="25"/>
  <c r="AE406" i="25"/>
  <c r="AF406" i="25"/>
  <c r="X407" i="25"/>
  <c r="Y406" i="25"/>
  <c r="Z406" i="25"/>
  <c r="AA406" i="25"/>
  <c r="AB405" i="25"/>
  <c r="W407" i="25"/>
  <c r="V408" i="25"/>
  <c r="T408" i="25"/>
  <c r="U408" i="25"/>
  <c r="S409" i="25"/>
  <c r="N455" i="36"/>
  <c r="M406" i="25" s="1"/>
  <c r="J457" i="36"/>
  <c r="I408" i="25" s="1"/>
  <c r="K456" i="36"/>
  <c r="J407" i="25" s="1"/>
  <c r="L456" i="36"/>
  <c r="K407" i="25" s="1"/>
  <c r="M456" i="36"/>
  <c r="L407" i="25" s="1"/>
  <c r="BF408" i="25" l="1"/>
  <c r="BE409" i="25"/>
  <c r="BB410" i="25"/>
  <c r="BC409" i="25"/>
  <c r="BD409" i="25"/>
  <c r="BA406" i="25"/>
  <c r="AW408" i="25"/>
  <c r="AX407" i="25"/>
  <c r="AY407" i="25"/>
  <c r="AZ407" i="25"/>
  <c r="AV406" i="25"/>
  <c r="AU407" i="25"/>
  <c r="AR408" i="25"/>
  <c r="AS407" i="25"/>
  <c r="AT407" i="25"/>
  <c r="AO407" i="25"/>
  <c r="AP407" i="25"/>
  <c r="AM408" i="25"/>
  <c r="AN407" i="25"/>
  <c r="AQ406" i="25"/>
  <c r="AL406" i="25"/>
  <c r="AJ407" i="25"/>
  <c r="AK407" i="25"/>
  <c r="AI407" i="25"/>
  <c r="AH408" i="25"/>
  <c r="AC408" i="25"/>
  <c r="AD407" i="25"/>
  <c r="AF407" i="25"/>
  <c r="AE407" i="25"/>
  <c r="AG406" i="25"/>
  <c r="AA407" i="25"/>
  <c r="Y407" i="25"/>
  <c r="Z407" i="25"/>
  <c r="X408" i="25"/>
  <c r="AB406" i="25"/>
  <c r="W408" i="25"/>
  <c r="U409" i="25"/>
  <c r="T409" i="25"/>
  <c r="V409" i="25"/>
  <c r="S410" i="25"/>
  <c r="J458" i="36"/>
  <c r="I409" i="25" s="1"/>
  <c r="K457" i="36"/>
  <c r="J408" i="25" s="1"/>
  <c r="M457" i="36"/>
  <c r="L408" i="25" s="1"/>
  <c r="L457" i="36"/>
  <c r="K408" i="25" s="1"/>
  <c r="N456" i="36"/>
  <c r="M407" i="25" s="1"/>
  <c r="W409" i="25" l="1"/>
  <c r="BD410" i="25"/>
  <c r="BE410" i="25"/>
  <c r="BB411" i="25"/>
  <c r="BC410" i="25"/>
  <c r="BF409" i="25"/>
  <c r="AW409" i="25"/>
  <c r="AX408" i="25"/>
  <c r="AY408" i="25"/>
  <c r="AZ408" i="25"/>
  <c r="BA407" i="25"/>
  <c r="AT408" i="25"/>
  <c r="AR409" i="25"/>
  <c r="AS408" i="25"/>
  <c r="AU408" i="25"/>
  <c r="AV407" i="25"/>
  <c r="AQ407" i="25"/>
  <c r="AM409" i="25"/>
  <c r="AN408" i="25"/>
  <c r="AO408" i="25"/>
  <c r="AP408" i="25"/>
  <c r="AL407" i="25"/>
  <c r="AH409" i="25"/>
  <c r="AI408" i="25"/>
  <c r="AJ408" i="25"/>
  <c r="AK408" i="25"/>
  <c r="AG407" i="25"/>
  <c r="AF408" i="25"/>
  <c r="AE408" i="25"/>
  <c r="AD408" i="25"/>
  <c r="AC409" i="25"/>
  <c r="AB407" i="25"/>
  <c r="Z408" i="25"/>
  <c r="AA408" i="25"/>
  <c r="X409" i="25"/>
  <c r="Y408" i="25"/>
  <c r="S411" i="25"/>
  <c r="T410" i="25"/>
  <c r="U410" i="25"/>
  <c r="V410" i="25"/>
  <c r="N457" i="36"/>
  <c r="M408" i="25" s="1"/>
  <c r="M458" i="36"/>
  <c r="L409" i="25" s="1"/>
  <c r="K458" i="36"/>
  <c r="J409" i="25" s="1"/>
  <c r="J459" i="36"/>
  <c r="I410" i="25" s="1"/>
  <c r="L458" i="36"/>
  <c r="K409" i="25" s="1"/>
  <c r="BF410" i="25" l="1"/>
  <c r="BB412" i="25"/>
  <c r="BC411" i="25"/>
  <c r="BE411" i="25"/>
  <c r="BD411" i="25"/>
  <c r="BA408" i="25"/>
  <c r="AZ409" i="25"/>
  <c r="AW410" i="25"/>
  <c r="AX409" i="25"/>
  <c r="AY409" i="25"/>
  <c r="AV408" i="25"/>
  <c r="AR410" i="25"/>
  <c r="AS409" i="25"/>
  <c r="AU409" i="25"/>
  <c r="AT409" i="25"/>
  <c r="AM410" i="25"/>
  <c r="AN409" i="25"/>
  <c r="AO409" i="25"/>
  <c r="AP409" i="25"/>
  <c r="AQ408" i="25"/>
  <c r="AL408" i="25"/>
  <c r="AH410" i="25"/>
  <c r="AI409" i="25"/>
  <c r="AJ409" i="25"/>
  <c r="AK409" i="25"/>
  <c r="AG408" i="25"/>
  <c r="AE409" i="25"/>
  <c r="AF409" i="25"/>
  <c r="AC410" i="25"/>
  <c r="AD409" i="25"/>
  <c r="AB408" i="25"/>
  <c r="X410" i="25"/>
  <c r="Y409" i="25"/>
  <c r="Z409" i="25"/>
  <c r="AA409" i="25"/>
  <c r="W410" i="25"/>
  <c r="U411" i="25"/>
  <c r="V411" i="25"/>
  <c r="T411" i="25"/>
  <c r="S412" i="25"/>
  <c r="L459" i="36"/>
  <c r="K410" i="25" s="1"/>
  <c r="M459" i="36"/>
  <c r="L410" i="25" s="1"/>
  <c r="J460" i="36"/>
  <c r="I411" i="25" s="1"/>
  <c r="K459" i="36"/>
  <c r="J410" i="25" s="1"/>
  <c r="N458" i="36"/>
  <c r="M409" i="25" s="1"/>
  <c r="BD412" i="25" l="1"/>
  <c r="BB413" i="25"/>
  <c r="BC412" i="25"/>
  <c r="BE412" i="25"/>
  <c r="BF411" i="25"/>
  <c r="AY410" i="25"/>
  <c r="AZ410" i="25"/>
  <c r="AX410" i="25"/>
  <c r="AW411" i="25"/>
  <c r="BA409" i="25"/>
  <c r="AT410" i="25"/>
  <c r="AU410" i="25"/>
  <c r="AS410" i="25"/>
  <c r="AR411" i="25"/>
  <c r="AV409" i="25"/>
  <c r="AQ409" i="25"/>
  <c r="AP410" i="25"/>
  <c r="AM411" i="25"/>
  <c r="AN410" i="25"/>
  <c r="AO410" i="25"/>
  <c r="AL409" i="25"/>
  <c r="AK410" i="25"/>
  <c r="AI410" i="25"/>
  <c r="AH411" i="25"/>
  <c r="AJ410" i="25"/>
  <c r="AG409" i="25"/>
  <c r="AC411" i="25"/>
  <c r="AD410" i="25"/>
  <c r="AE410" i="25"/>
  <c r="AF410" i="25"/>
  <c r="AB409" i="25"/>
  <c r="X411" i="25"/>
  <c r="Y410" i="25"/>
  <c r="Z410" i="25"/>
  <c r="AA410" i="25"/>
  <c r="W411" i="25"/>
  <c r="V412" i="25"/>
  <c r="U412" i="25"/>
  <c r="S413" i="25"/>
  <c r="T412" i="25"/>
  <c r="N459" i="36"/>
  <c r="M410" i="25" s="1"/>
  <c r="J461" i="36"/>
  <c r="I412" i="25" s="1"/>
  <c r="K460" i="36"/>
  <c r="J411" i="25" s="1"/>
  <c r="L460" i="36"/>
  <c r="K411" i="25" s="1"/>
  <c r="M460" i="36"/>
  <c r="L411" i="25" s="1"/>
  <c r="BF412" i="25" l="1"/>
  <c r="BE413" i="25"/>
  <c r="BB414" i="25"/>
  <c r="BC413" i="25"/>
  <c r="BD413" i="25"/>
  <c r="BA410" i="25"/>
  <c r="AW412" i="25"/>
  <c r="AX411" i="25"/>
  <c r="AY411" i="25"/>
  <c r="AZ411" i="25"/>
  <c r="AV410" i="25"/>
  <c r="AU411" i="25"/>
  <c r="AR412" i="25"/>
  <c r="AS411" i="25"/>
  <c r="AT411" i="25"/>
  <c r="AO411" i="25"/>
  <c r="AP411" i="25"/>
  <c r="AN411" i="25"/>
  <c r="AM412" i="25"/>
  <c r="AQ410" i="25"/>
  <c r="AL410" i="25"/>
  <c r="AJ411" i="25"/>
  <c r="AK411" i="25"/>
  <c r="AH412" i="25"/>
  <c r="AI411" i="25"/>
  <c r="AC412" i="25"/>
  <c r="AD411" i="25"/>
  <c r="AF411" i="25"/>
  <c r="AE411" i="25"/>
  <c r="AG410" i="25"/>
  <c r="AB410" i="25"/>
  <c r="AA411" i="25"/>
  <c r="X412" i="25"/>
  <c r="Y411" i="25"/>
  <c r="Z411" i="25"/>
  <c r="W412" i="25"/>
  <c r="U413" i="25"/>
  <c r="V413" i="25"/>
  <c r="T413" i="25"/>
  <c r="S414" i="25"/>
  <c r="J462" i="36"/>
  <c r="I413" i="25" s="1"/>
  <c r="K461" i="36"/>
  <c r="J412" i="25" s="1"/>
  <c r="L461" i="36"/>
  <c r="K412" i="25" s="1"/>
  <c r="M461" i="36"/>
  <c r="L412" i="25" s="1"/>
  <c r="N460" i="36"/>
  <c r="M411" i="25" s="1"/>
  <c r="BD414" i="25" l="1"/>
  <c r="BE414" i="25"/>
  <c r="BC414" i="25"/>
  <c r="BB415" i="25"/>
  <c r="BF413" i="25"/>
  <c r="BA411" i="25"/>
  <c r="AW413" i="25"/>
  <c r="AX412" i="25"/>
  <c r="AY412" i="25"/>
  <c r="AZ412" i="25"/>
  <c r="AT412" i="25"/>
  <c r="AR413" i="25"/>
  <c r="AS412" i="25"/>
  <c r="AU412" i="25"/>
  <c r="AV411" i="25"/>
  <c r="AQ411" i="25"/>
  <c r="AM413" i="25"/>
  <c r="AN412" i="25"/>
  <c r="AO412" i="25"/>
  <c r="AP412" i="25"/>
  <c r="AL411" i="25"/>
  <c r="AH413" i="25"/>
  <c r="AI412" i="25"/>
  <c r="AJ412" i="25"/>
  <c r="AK412" i="25"/>
  <c r="AF412" i="25"/>
  <c r="AE412" i="25"/>
  <c r="AC413" i="25"/>
  <c r="AD412" i="25"/>
  <c r="AG411" i="25"/>
  <c r="Z412" i="25"/>
  <c r="AA412" i="25"/>
  <c r="Y412" i="25"/>
  <c r="X413" i="25"/>
  <c r="AB411" i="25"/>
  <c r="S415" i="25"/>
  <c r="T414" i="25"/>
  <c r="V414" i="25"/>
  <c r="U414" i="25"/>
  <c r="W413" i="25"/>
  <c r="N461" i="36"/>
  <c r="M412" i="25" s="1"/>
  <c r="M462" i="36"/>
  <c r="L413" i="25" s="1"/>
  <c r="K462" i="36"/>
  <c r="J413" i="25" s="1"/>
  <c r="J463" i="36"/>
  <c r="I414" i="25" s="1"/>
  <c r="L462" i="36"/>
  <c r="K413" i="25" s="1"/>
  <c r="BF414" i="25" l="1"/>
  <c r="BB416" i="25"/>
  <c r="BC415" i="25"/>
  <c r="BE415" i="25"/>
  <c r="BD415" i="25"/>
  <c r="BA412" i="25"/>
  <c r="AZ413" i="25"/>
  <c r="AW414" i="25"/>
  <c r="AX413" i="25"/>
  <c r="AY413" i="25"/>
  <c r="AV412" i="25"/>
  <c r="AR414" i="25"/>
  <c r="AS413" i="25"/>
  <c r="AU413" i="25"/>
  <c r="AT413" i="25"/>
  <c r="AQ412" i="25"/>
  <c r="AM414" i="25"/>
  <c r="AN413" i="25"/>
  <c r="AO413" i="25"/>
  <c r="AP413" i="25"/>
  <c r="AH414" i="25"/>
  <c r="AI413" i="25"/>
  <c r="AJ413" i="25"/>
  <c r="AK413" i="25"/>
  <c r="AL412" i="25"/>
  <c r="AG412" i="25"/>
  <c r="AE413" i="25"/>
  <c r="AF413" i="25"/>
  <c r="AC414" i="25"/>
  <c r="AD413" i="25"/>
  <c r="AB412" i="25"/>
  <c r="X414" i="25"/>
  <c r="Y413" i="25"/>
  <c r="Z413" i="25"/>
  <c r="AA413" i="25"/>
  <c r="V415" i="25"/>
  <c r="S416" i="25"/>
  <c r="T415" i="25"/>
  <c r="U415" i="25"/>
  <c r="W414" i="25"/>
  <c r="L463" i="36"/>
  <c r="K414" i="25" s="1"/>
  <c r="M463" i="36"/>
  <c r="L414" i="25" s="1"/>
  <c r="J464" i="36"/>
  <c r="I415" i="25" s="1"/>
  <c r="K463" i="36"/>
  <c r="J414" i="25" s="1"/>
  <c r="N462" i="36"/>
  <c r="M413" i="25" s="1"/>
  <c r="BD416" i="25" l="1"/>
  <c r="BC416" i="25"/>
  <c r="BB417" i="25"/>
  <c r="BE416" i="25"/>
  <c r="BF415" i="25"/>
  <c r="AY414" i="25"/>
  <c r="AZ414" i="25"/>
  <c r="AX414" i="25"/>
  <c r="AW415" i="25"/>
  <c r="BA413" i="25"/>
  <c r="AV413" i="25"/>
  <c r="AT414" i="25"/>
  <c r="AU414" i="25"/>
  <c r="AS414" i="25"/>
  <c r="AR415" i="25"/>
  <c r="AQ413" i="25"/>
  <c r="AP414" i="25"/>
  <c r="AM415" i="25"/>
  <c r="AN414" i="25"/>
  <c r="AO414" i="25"/>
  <c r="AL413" i="25"/>
  <c r="AK414" i="25"/>
  <c r="AH415" i="25"/>
  <c r="AI414" i="25"/>
  <c r="AJ414" i="25"/>
  <c r="AG413" i="25"/>
  <c r="AC415" i="25"/>
  <c r="AD414" i="25"/>
  <c r="AE414" i="25"/>
  <c r="AF414" i="25"/>
  <c r="AB413" i="25"/>
  <c r="X415" i="25"/>
  <c r="Y414" i="25"/>
  <c r="Z414" i="25"/>
  <c r="AA414" i="25"/>
  <c r="V416" i="25"/>
  <c r="S417" i="25"/>
  <c r="T416" i="25"/>
  <c r="U416" i="25"/>
  <c r="W415" i="25"/>
  <c r="N463" i="36"/>
  <c r="M414" i="25" s="1"/>
  <c r="J465" i="36"/>
  <c r="I416" i="25" s="1"/>
  <c r="K464" i="36"/>
  <c r="J415" i="25" s="1"/>
  <c r="L464" i="36"/>
  <c r="K415" i="25" s="1"/>
  <c r="M464" i="36"/>
  <c r="L415" i="25" s="1"/>
  <c r="BF416" i="25" l="1"/>
  <c r="BE417" i="25"/>
  <c r="BB418" i="25"/>
  <c r="BC417" i="25"/>
  <c r="BD417" i="25"/>
  <c r="BA414" i="25"/>
  <c r="AW416" i="25"/>
  <c r="AX415" i="25"/>
  <c r="AY415" i="25"/>
  <c r="AZ415" i="25"/>
  <c r="AV414" i="25"/>
  <c r="AU415" i="25"/>
  <c r="AR416" i="25"/>
  <c r="AS415" i="25"/>
  <c r="AT415" i="25"/>
  <c r="AO415" i="25"/>
  <c r="AP415" i="25"/>
  <c r="AN415" i="25"/>
  <c r="AM416" i="25"/>
  <c r="AQ414" i="25"/>
  <c r="AJ415" i="25"/>
  <c r="AK415" i="25"/>
  <c r="AI415" i="25"/>
  <c r="AH416" i="25"/>
  <c r="AL414" i="25"/>
  <c r="AC416" i="25"/>
  <c r="AD415" i="25"/>
  <c r="AF415" i="25"/>
  <c r="AE415" i="25"/>
  <c r="AG414" i="25"/>
  <c r="AB414" i="25"/>
  <c r="AA415" i="25"/>
  <c r="Y415" i="25"/>
  <c r="X416" i="25"/>
  <c r="Z415" i="25"/>
  <c r="U417" i="25"/>
  <c r="S418" i="25"/>
  <c r="T417" i="25"/>
  <c r="V417" i="25"/>
  <c r="W416" i="25"/>
  <c r="J466" i="36"/>
  <c r="I417" i="25" s="1"/>
  <c r="K465" i="36"/>
  <c r="J416" i="25" s="1"/>
  <c r="L465" i="36"/>
  <c r="K416" i="25" s="1"/>
  <c r="M465" i="36"/>
  <c r="L416" i="25" s="1"/>
  <c r="N464" i="36"/>
  <c r="M415" i="25" s="1"/>
  <c r="W417" i="25" l="1"/>
  <c r="BD418" i="25"/>
  <c r="BE418" i="25"/>
  <c r="BB419" i="25"/>
  <c r="BC418" i="25"/>
  <c r="BF417" i="25"/>
  <c r="BA415" i="25"/>
  <c r="AW417" i="25"/>
  <c r="AX416" i="25"/>
  <c r="AY416" i="25"/>
  <c r="AZ416" i="25"/>
  <c r="AT416" i="25"/>
  <c r="AR417" i="25"/>
  <c r="AS416" i="25"/>
  <c r="AU416" i="25"/>
  <c r="AV415" i="25"/>
  <c r="AQ415" i="25"/>
  <c r="AM417" i="25"/>
  <c r="AN416" i="25"/>
  <c r="AO416" i="25"/>
  <c r="AP416" i="25"/>
  <c r="AL415" i="25"/>
  <c r="AH417" i="25"/>
  <c r="AI416" i="25"/>
  <c r="AJ416" i="25"/>
  <c r="AK416" i="25"/>
  <c r="AF416" i="25"/>
  <c r="AE416" i="25"/>
  <c r="AD416" i="25"/>
  <c r="AC417" i="25"/>
  <c r="AG415" i="25"/>
  <c r="Z416" i="25"/>
  <c r="AA416" i="25"/>
  <c r="X417" i="25"/>
  <c r="Y416" i="25"/>
  <c r="AB415" i="25"/>
  <c r="S419" i="25"/>
  <c r="T418" i="25"/>
  <c r="V418" i="25"/>
  <c r="U418" i="25"/>
  <c r="N465" i="36"/>
  <c r="M416" i="25" s="1"/>
  <c r="M466" i="36"/>
  <c r="L417" i="25" s="1"/>
  <c r="K466" i="36"/>
  <c r="J417" i="25" s="1"/>
  <c r="J467" i="36"/>
  <c r="I418" i="25" s="1"/>
  <c r="L466" i="36"/>
  <c r="K417" i="25" s="1"/>
  <c r="BF418" i="25" l="1"/>
  <c r="BB420" i="25"/>
  <c r="BC419" i="25"/>
  <c r="BE419" i="25"/>
  <c r="BD419" i="25"/>
  <c r="AZ417" i="25"/>
  <c r="AW418" i="25"/>
  <c r="AX417" i="25"/>
  <c r="AY417" i="25"/>
  <c r="BA416" i="25"/>
  <c r="AV416" i="25"/>
  <c r="AR418" i="25"/>
  <c r="AS417" i="25"/>
  <c r="AU417" i="25"/>
  <c r="AT417" i="25"/>
  <c r="AQ416" i="25"/>
  <c r="AM418" i="25"/>
  <c r="AN417" i="25"/>
  <c r="AO417" i="25"/>
  <c r="AP417" i="25"/>
  <c r="AH418" i="25"/>
  <c r="AI417" i="25"/>
  <c r="AJ417" i="25"/>
  <c r="AK417" i="25"/>
  <c r="AL416" i="25"/>
  <c r="AG416" i="25"/>
  <c r="AE417" i="25"/>
  <c r="AF417" i="25"/>
  <c r="AC418" i="25"/>
  <c r="AD417" i="25"/>
  <c r="AB416" i="25"/>
  <c r="X418" i="25"/>
  <c r="Y417" i="25"/>
  <c r="Z417" i="25"/>
  <c r="AA417" i="25"/>
  <c r="S420" i="25"/>
  <c r="T419" i="25"/>
  <c r="U419" i="25"/>
  <c r="V419" i="25"/>
  <c r="W418" i="25"/>
  <c r="L467" i="36"/>
  <c r="K418" i="25" s="1"/>
  <c r="M467" i="36"/>
  <c r="L418" i="25" s="1"/>
  <c r="J468" i="36"/>
  <c r="I419" i="25" s="1"/>
  <c r="K467" i="36"/>
  <c r="J418" i="25" s="1"/>
  <c r="N466" i="36"/>
  <c r="M417" i="25" s="1"/>
  <c r="BD420" i="25" l="1"/>
  <c r="BB421" i="25"/>
  <c r="BC420" i="25"/>
  <c r="BE420" i="25"/>
  <c r="BF419" i="25"/>
  <c r="AY418" i="25"/>
  <c r="AZ418" i="25"/>
  <c r="AX418" i="25"/>
  <c r="AW419" i="25"/>
  <c r="BA417" i="25"/>
  <c r="AT418" i="25"/>
  <c r="AU418" i="25"/>
  <c r="AR419" i="25"/>
  <c r="AS418" i="25"/>
  <c r="AV417" i="25"/>
  <c r="AQ417" i="25"/>
  <c r="AP418" i="25"/>
  <c r="AM419" i="25"/>
  <c r="AN418" i="25"/>
  <c r="AO418" i="25"/>
  <c r="AL417" i="25"/>
  <c r="AK418" i="25"/>
  <c r="AI418" i="25"/>
  <c r="AH419" i="25"/>
  <c r="AJ418" i="25"/>
  <c r="AG417" i="25"/>
  <c r="AC419" i="25"/>
  <c r="AD418" i="25"/>
  <c r="AE418" i="25"/>
  <c r="AF418" i="25"/>
  <c r="AB417" i="25"/>
  <c r="X419" i="25"/>
  <c r="Y418" i="25"/>
  <c r="Z418" i="25"/>
  <c r="AA418" i="25"/>
  <c r="W419" i="25"/>
  <c r="V420" i="25"/>
  <c r="S421" i="25"/>
  <c r="T420" i="25"/>
  <c r="U420" i="25"/>
  <c r="N467" i="36"/>
  <c r="M418" i="25" s="1"/>
  <c r="J469" i="36"/>
  <c r="I420" i="25" s="1"/>
  <c r="K468" i="36"/>
  <c r="J419" i="25" s="1"/>
  <c r="L468" i="36"/>
  <c r="K419" i="25" s="1"/>
  <c r="M468" i="36"/>
  <c r="L419" i="25" s="1"/>
  <c r="BF420" i="25" l="1"/>
  <c r="BE421" i="25"/>
  <c r="BB422" i="25"/>
  <c r="BC421" i="25"/>
  <c r="BD421" i="25"/>
  <c r="BA418" i="25"/>
  <c r="AW420" i="25"/>
  <c r="AX419" i="25"/>
  <c r="AY419" i="25"/>
  <c r="AZ419" i="25"/>
  <c r="AV418" i="25"/>
  <c r="AU419" i="25"/>
  <c r="AR420" i="25"/>
  <c r="AS419" i="25"/>
  <c r="AT419" i="25"/>
  <c r="AO419" i="25"/>
  <c r="AP419" i="25"/>
  <c r="AN419" i="25"/>
  <c r="AM420" i="25"/>
  <c r="AQ418" i="25"/>
  <c r="AJ419" i="25"/>
  <c r="AK419" i="25"/>
  <c r="AH420" i="25"/>
  <c r="AI419" i="25"/>
  <c r="AL418" i="25"/>
  <c r="AC420" i="25"/>
  <c r="AD419" i="25"/>
  <c r="AF419" i="25"/>
  <c r="AE419" i="25"/>
  <c r="AG418" i="25"/>
  <c r="AB418" i="25"/>
  <c r="AA419" i="25"/>
  <c r="X420" i="25"/>
  <c r="Y419" i="25"/>
  <c r="Z419" i="25"/>
  <c r="U421" i="25"/>
  <c r="S422" i="25"/>
  <c r="T421" i="25"/>
  <c r="V421" i="25"/>
  <c r="W420" i="25"/>
  <c r="J470" i="36"/>
  <c r="I421" i="25" s="1"/>
  <c r="K469" i="36"/>
  <c r="J420" i="25" s="1"/>
  <c r="L469" i="36"/>
  <c r="K420" i="25" s="1"/>
  <c r="M469" i="36"/>
  <c r="L420" i="25" s="1"/>
  <c r="N468" i="36"/>
  <c r="M419" i="25" s="1"/>
  <c r="W421" i="25" l="1"/>
  <c r="BD422" i="25"/>
  <c r="BE422" i="25"/>
  <c r="BC422" i="25"/>
  <c r="BB423" i="25"/>
  <c r="BF421" i="25"/>
  <c r="AW421" i="25"/>
  <c r="AX420" i="25"/>
  <c r="AY420" i="25"/>
  <c r="AZ420" i="25"/>
  <c r="BA419" i="25"/>
  <c r="AT420" i="25"/>
  <c r="AR421" i="25"/>
  <c r="AS420" i="25"/>
  <c r="AU420" i="25"/>
  <c r="AV419" i="25"/>
  <c r="AQ419" i="25"/>
  <c r="AM421" i="25"/>
  <c r="AN420" i="25"/>
  <c r="AO420" i="25"/>
  <c r="AP420" i="25"/>
  <c r="AL419" i="25"/>
  <c r="AH421" i="25"/>
  <c r="AI420" i="25"/>
  <c r="AJ420" i="25"/>
  <c r="AK420" i="25"/>
  <c r="AF420" i="25"/>
  <c r="AE420" i="25"/>
  <c r="AC421" i="25"/>
  <c r="AD420" i="25"/>
  <c r="AG419" i="25"/>
  <c r="Z420" i="25"/>
  <c r="AA420" i="25"/>
  <c r="Y420" i="25"/>
  <c r="X421" i="25"/>
  <c r="AB419" i="25"/>
  <c r="S423" i="25"/>
  <c r="T422" i="25"/>
  <c r="U422" i="25"/>
  <c r="V422" i="25"/>
  <c r="N469" i="36"/>
  <c r="M420" i="25" s="1"/>
  <c r="M470" i="36"/>
  <c r="L421" i="25" s="1"/>
  <c r="K470" i="36"/>
  <c r="J421" i="25" s="1"/>
  <c r="L470" i="36"/>
  <c r="K421" i="25" s="1"/>
  <c r="J471" i="36"/>
  <c r="I422" i="25" s="1"/>
  <c r="BF422" i="25" l="1"/>
  <c r="BB424" i="25"/>
  <c r="BC423" i="25"/>
  <c r="BE423" i="25"/>
  <c r="BD423" i="25"/>
  <c r="BA420" i="25"/>
  <c r="AZ421" i="25"/>
  <c r="AW422" i="25"/>
  <c r="AX421" i="25"/>
  <c r="AY421" i="25"/>
  <c r="AV420" i="25"/>
  <c r="AR422" i="25"/>
  <c r="AS421" i="25"/>
  <c r="AU421" i="25"/>
  <c r="AT421" i="25"/>
  <c r="AM422" i="25"/>
  <c r="AN421" i="25"/>
  <c r="AO421" i="25"/>
  <c r="AP421" i="25"/>
  <c r="AQ420" i="25"/>
  <c r="AL420" i="25"/>
  <c r="AH422" i="25"/>
  <c r="AI421" i="25"/>
  <c r="AJ421" i="25"/>
  <c r="AK421" i="25"/>
  <c r="AG420" i="25"/>
  <c r="AE421" i="25"/>
  <c r="AF421" i="25"/>
  <c r="AC422" i="25"/>
  <c r="AD421" i="25"/>
  <c r="AB420" i="25"/>
  <c r="X422" i="25"/>
  <c r="Y421" i="25"/>
  <c r="Z421" i="25"/>
  <c r="AA421" i="25"/>
  <c r="W422" i="25"/>
  <c r="T423" i="25"/>
  <c r="U423" i="25"/>
  <c r="V423" i="25"/>
  <c r="S424" i="25"/>
  <c r="N470" i="36"/>
  <c r="M421" i="25" s="1"/>
  <c r="L471" i="36"/>
  <c r="K422" i="25" s="1"/>
  <c r="M471" i="36"/>
  <c r="L422" i="25" s="1"/>
  <c r="J472" i="36"/>
  <c r="I423" i="25" s="1"/>
  <c r="K471" i="36"/>
  <c r="J422" i="25" s="1"/>
  <c r="BD424" i="25" l="1"/>
  <c r="BC424" i="25"/>
  <c r="BB425" i="25"/>
  <c r="BE424" i="25"/>
  <c r="BF423" i="25"/>
  <c r="AY422" i="25"/>
  <c r="AZ422" i="25"/>
  <c r="AW423" i="25"/>
  <c r="AX422" i="25"/>
  <c r="BA421" i="25"/>
  <c r="AT422" i="25"/>
  <c r="AU422" i="25"/>
  <c r="AR423" i="25"/>
  <c r="AS422" i="25"/>
  <c r="AV421" i="25"/>
  <c r="AQ421" i="25"/>
  <c r="AP422" i="25"/>
  <c r="AM423" i="25"/>
  <c r="AN422" i="25"/>
  <c r="AO422" i="25"/>
  <c r="AK422" i="25"/>
  <c r="AH423" i="25"/>
  <c r="AI422" i="25"/>
  <c r="AJ422" i="25"/>
  <c r="AL421" i="25"/>
  <c r="AG421" i="25"/>
  <c r="AC423" i="25"/>
  <c r="AD422" i="25"/>
  <c r="AE422" i="25"/>
  <c r="AF422" i="25"/>
  <c r="AB421" i="25"/>
  <c r="X423" i="25"/>
  <c r="Y422" i="25"/>
  <c r="Z422" i="25"/>
  <c r="AA422" i="25"/>
  <c r="W423" i="25"/>
  <c r="V424" i="25"/>
  <c r="T424" i="25"/>
  <c r="U424" i="25"/>
  <c r="S425" i="25"/>
  <c r="N471" i="36"/>
  <c r="M422" i="25" s="1"/>
  <c r="J473" i="36"/>
  <c r="I424" i="25" s="1"/>
  <c r="K472" i="36"/>
  <c r="J423" i="25" s="1"/>
  <c r="L472" i="36"/>
  <c r="K423" i="25" s="1"/>
  <c r="M472" i="36"/>
  <c r="L423" i="25" s="1"/>
  <c r="BF424" i="25" l="1"/>
  <c r="BE425" i="25"/>
  <c r="BB426" i="25"/>
  <c r="BC425" i="25"/>
  <c r="BD425" i="25"/>
  <c r="BA422" i="25"/>
  <c r="AW424" i="25"/>
  <c r="AX423" i="25"/>
  <c r="AY423" i="25"/>
  <c r="AZ423" i="25"/>
  <c r="AV422" i="25"/>
  <c r="AU423" i="25"/>
  <c r="AR424" i="25"/>
  <c r="AS423" i="25"/>
  <c r="AT423" i="25"/>
  <c r="AO423" i="25"/>
  <c r="AP423" i="25"/>
  <c r="AM424" i="25"/>
  <c r="AN423" i="25"/>
  <c r="AQ422" i="25"/>
  <c r="AJ423" i="25"/>
  <c r="AK423" i="25"/>
  <c r="AI423" i="25"/>
  <c r="AH424" i="25"/>
  <c r="AL422" i="25"/>
  <c r="AC424" i="25"/>
  <c r="AD423" i="25"/>
  <c r="AF423" i="25"/>
  <c r="AE423" i="25"/>
  <c r="AG422" i="25"/>
  <c r="AB422" i="25"/>
  <c r="AA423" i="25"/>
  <c r="Y423" i="25"/>
  <c r="Z423" i="25"/>
  <c r="X424" i="25"/>
  <c r="U425" i="25"/>
  <c r="T425" i="25"/>
  <c r="V425" i="25"/>
  <c r="S426" i="25"/>
  <c r="W424" i="25"/>
  <c r="N472" i="36"/>
  <c r="M423" i="25" s="1"/>
  <c r="J474" i="36"/>
  <c r="I425" i="25" s="1"/>
  <c r="K473" i="36"/>
  <c r="J424" i="25" s="1"/>
  <c r="M473" i="36"/>
  <c r="L424" i="25" s="1"/>
  <c r="L473" i="36"/>
  <c r="K424" i="25" s="1"/>
  <c r="BD426" i="25" l="1"/>
  <c r="BE426" i="25"/>
  <c r="BB427" i="25"/>
  <c r="BC426" i="25"/>
  <c r="BF425" i="25"/>
  <c r="AW425" i="25"/>
  <c r="AX424" i="25"/>
  <c r="AY424" i="25"/>
  <c r="AZ424" i="25"/>
  <c r="BA423" i="25"/>
  <c r="AT424" i="25"/>
  <c r="AR425" i="25"/>
  <c r="AS424" i="25"/>
  <c r="AU424" i="25"/>
  <c r="AV423" i="25"/>
  <c r="AQ423" i="25"/>
  <c r="AM425" i="25"/>
  <c r="AN424" i="25"/>
  <c r="AO424" i="25"/>
  <c r="AP424" i="25"/>
  <c r="AL423" i="25"/>
  <c r="AH425" i="25"/>
  <c r="AI424" i="25"/>
  <c r="AJ424" i="25"/>
  <c r="AK424" i="25"/>
  <c r="AF424" i="25"/>
  <c r="AE424" i="25"/>
  <c r="AD424" i="25"/>
  <c r="AC425" i="25"/>
  <c r="AG423" i="25"/>
  <c r="AB423" i="25"/>
  <c r="Z424" i="25"/>
  <c r="AA424" i="25"/>
  <c r="X425" i="25"/>
  <c r="Y424" i="25"/>
  <c r="W425" i="25"/>
  <c r="S427" i="25"/>
  <c r="T426" i="25"/>
  <c r="U426" i="25"/>
  <c r="V426" i="25"/>
  <c r="N473" i="36"/>
  <c r="M424" i="25" s="1"/>
  <c r="M474" i="36"/>
  <c r="L425" i="25" s="1"/>
  <c r="J475" i="36"/>
  <c r="I426" i="25" s="1"/>
  <c r="K474" i="36"/>
  <c r="J425" i="25" s="1"/>
  <c r="L474" i="36"/>
  <c r="K425" i="25" s="1"/>
  <c r="BF426" i="25" l="1"/>
  <c r="BB428" i="25"/>
  <c r="BC427" i="25"/>
  <c r="BE427" i="25"/>
  <c r="BD427" i="25"/>
  <c r="BA424" i="25"/>
  <c r="AZ425" i="25"/>
  <c r="AW426" i="25"/>
  <c r="AX425" i="25"/>
  <c r="AY425" i="25"/>
  <c r="AV424" i="25"/>
  <c r="AR426" i="25"/>
  <c r="AS425" i="25"/>
  <c r="AU425" i="25"/>
  <c r="AT425" i="25"/>
  <c r="AQ424" i="25"/>
  <c r="AM426" i="25"/>
  <c r="AN425" i="25"/>
  <c r="AO425" i="25"/>
  <c r="AP425" i="25"/>
  <c r="AL424" i="25"/>
  <c r="AH426" i="25"/>
  <c r="AI425" i="25"/>
  <c r="AJ425" i="25"/>
  <c r="AK425" i="25"/>
  <c r="AG424" i="25"/>
  <c r="AE425" i="25"/>
  <c r="AF425" i="25"/>
  <c r="AC426" i="25"/>
  <c r="AD425" i="25"/>
  <c r="AB424" i="25"/>
  <c r="X426" i="25"/>
  <c r="Y425" i="25"/>
  <c r="Z425" i="25"/>
  <c r="AA425" i="25"/>
  <c r="W426" i="25"/>
  <c r="U427" i="25"/>
  <c r="V427" i="25"/>
  <c r="S428" i="25"/>
  <c r="T427" i="25"/>
  <c r="L475" i="36"/>
  <c r="K426" i="25" s="1"/>
  <c r="M475" i="36"/>
  <c r="L426" i="25" s="1"/>
  <c r="J476" i="36"/>
  <c r="I427" i="25" s="1"/>
  <c r="K475" i="36"/>
  <c r="J426" i="25" s="1"/>
  <c r="N474" i="36"/>
  <c r="M425" i="25" s="1"/>
  <c r="BD428" i="25" l="1"/>
  <c r="BB429" i="25"/>
  <c r="BC428" i="25"/>
  <c r="BE428" i="25"/>
  <c r="BF427" i="25"/>
  <c r="AY426" i="25"/>
  <c r="AZ426" i="25"/>
  <c r="AX426" i="25"/>
  <c r="AW427" i="25"/>
  <c r="BA425" i="25"/>
  <c r="AV425" i="25"/>
  <c r="AT426" i="25"/>
  <c r="AU426" i="25"/>
  <c r="AS426" i="25"/>
  <c r="AR427" i="25"/>
  <c r="AQ425" i="25"/>
  <c r="AP426" i="25"/>
  <c r="AM427" i="25"/>
  <c r="AN426" i="25"/>
  <c r="AO426" i="25"/>
  <c r="AK426" i="25"/>
  <c r="AI426" i="25"/>
  <c r="AH427" i="25"/>
  <c r="AJ426" i="25"/>
  <c r="AL425" i="25"/>
  <c r="AG425" i="25"/>
  <c r="AC427" i="25"/>
  <c r="AD426" i="25"/>
  <c r="AE426" i="25"/>
  <c r="AF426" i="25"/>
  <c r="AB425" i="25"/>
  <c r="X427" i="25"/>
  <c r="Y426" i="25"/>
  <c r="Z426" i="25"/>
  <c r="AA426" i="25"/>
  <c r="W427" i="25"/>
  <c r="V428" i="25"/>
  <c r="U428" i="25"/>
  <c r="S429" i="25"/>
  <c r="T428" i="25"/>
  <c r="N475" i="36"/>
  <c r="M426" i="25" s="1"/>
  <c r="J477" i="36"/>
  <c r="I428" i="25" s="1"/>
  <c r="K476" i="36"/>
  <c r="J427" i="25" s="1"/>
  <c r="M476" i="36"/>
  <c r="L427" i="25" s="1"/>
  <c r="L476" i="36"/>
  <c r="K427" i="25" s="1"/>
  <c r="BF428" i="25" l="1"/>
  <c r="BE429" i="25"/>
  <c r="BB430" i="25"/>
  <c r="BC429" i="25"/>
  <c r="BD429" i="25"/>
  <c r="BA426" i="25"/>
  <c r="AW428" i="25"/>
  <c r="AX427" i="25"/>
  <c r="AY427" i="25"/>
  <c r="AZ427" i="25"/>
  <c r="AV426" i="25"/>
  <c r="AU427" i="25"/>
  <c r="AR428" i="25"/>
  <c r="AS427" i="25"/>
  <c r="AT427" i="25"/>
  <c r="AO427" i="25"/>
  <c r="AP427" i="25"/>
  <c r="AN427" i="25"/>
  <c r="AM428" i="25"/>
  <c r="AQ426" i="25"/>
  <c r="AJ427" i="25"/>
  <c r="AK427" i="25"/>
  <c r="AH428" i="25"/>
  <c r="AI427" i="25"/>
  <c r="AL426" i="25"/>
  <c r="AG426" i="25"/>
  <c r="AC428" i="25"/>
  <c r="AD427" i="25"/>
  <c r="AF427" i="25"/>
  <c r="AE427" i="25"/>
  <c r="AB426" i="25"/>
  <c r="AA427" i="25"/>
  <c r="X428" i="25"/>
  <c r="Y427" i="25"/>
  <c r="Z427" i="25"/>
  <c r="U429" i="25"/>
  <c r="V429" i="25"/>
  <c r="S430" i="25"/>
  <c r="T429" i="25"/>
  <c r="W428" i="25"/>
  <c r="J478" i="36"/>
  <c r="I429" i="25" s="1"/>
  <c r="K477" i="36"/>
  <c r="J428" i="25" s="1"/>
  <c r="L477" i="36"/>
  <c r="K428" i="25" s="1"/>
  <c r="M477" i="36"/>
  <c r="L428" i="25" s="1"/>
  <c r="N476" i="36"/>
  <c r="M427" i="25" s="1"/>
  <c r="BD430" i="25" l="1"/>
  <c r="BE430" i="25"/>
  <c r="BC430" i="25"/>
  <c r="BB431" i="25"/>
  <c r="BF429" i="25"/>
  <c r="BA427" i="25"/>
  <c r="AW429" i="25"/>
  <c r="AX428" i="25"/>
  <c r="AY428" i="25"/>
  <c r="AZ428" i="25"/>
  <c r="AT428" i="25"/>
  <c r="AR429" i="25"/>
  <c r="AS428" i="25"/>
  <c r="AU428" i="25"/>
  <c r="AV427" i="25"/>
  <c r="AQ427" i="25"/>
  <c r="AM429" i="25"/>
  <c r="AN428" i="25"/>
  <c r="AO428" i="25"/>
  <c r="AP428" i="25"/>
  <c r="AL427" i="25"/>
  <c r="AH429" i="25"/>
  <c r="AI428" i="25"/>
  <c r="AJ428" i="25"/>
  <c r="AK428" i="25"/>
  <c r="AF428" i="25"/>
  <c r="AE428" i="25"/>
  <c r="AC429" i="25"/>
  <c r="AD428" i="25"/>
  <c r="AG427" i="25"/>
  <c r="Z428" i="25"/>
  <c r="AA428" i="25"/>
  <c r="Y428" i="25"/>
  <c r="X429" i="25"/>
  <c r="AB427" i="25"/>
  <c r="W429" i="25"/>
  <c r="S431" i="25"/>
  <c r="T430" i="25"/>
  <c r="V430" i="25"/>
  <c r="U430" i="25"/>
  <c r="N477" i="36"/>
  <c r="M428" i="25" s="1"/>
  <c r="M478" i="36"/>
  <c r="L429" i="25" s="1"/>
  <c r="J479" i="36"/>
  <c r="I430" i="25" s="1"/>
  <c r="L478" i="36"/>
  <c r="K429" i="25" s="1"/>
  <c r="K478" i="36"/>
  <c r="J429" i="25" s="1"/>
  <c r="AV428" i="25" l="1"/>
  <c r="BF430" i="25"/>
  <c r="BB432" i="25"/>
  <c r="BC431" i="25"/>
  <c r="BE431" i="25"/>
  <c r="BD431" i="25"/>
  <c r="AZ429" i="25"/>
  <c r="AW430" i="25"/>
  <c r="AX429" i="25"/>
  <c r="AY429" i="25"/>
  <c r="BA428" i="25"/>
  <c r="AR430" i="25"/>
  <c r="AS429" i="25"/>
  <c r="AU429" i="25"/>
  <c r="AT429" i="25"/>
  <c r="AQ428" i="25"/>
  <c r="AM430" i="25"/>
  <c r="AN429" i="25"/>
  <c r="AO429" i="25"/>
  <c r="AP429" i="25"/>
  <c r="AL428" i="25"/>
  <c r="AH430" i="25"/>
  <c r="AI429" i="25"/>
  <c r="AJ429" i="25"/>
  <c r="AK429" i="25"/>
  <c r="AG428" i="25"/>
  <c r="AE429" i="25"/>
  <c r="AF429" i="25"/>
  <c r="AC430" i="25"/>
  <c r="AD429" i="25"/>
  <c r="AB428" i="25"/>
  <c r="X430" i="25"/>
  <c r="Y429" i="25"/>
  <c r="Z429" i="25"/>
  <c r="AA429" i="25"/>
  <c r="V431" i="25"/>
  <c r="S432" i="25"/>
  <c r="T431" i="25"/>
  <c r="U431" i="25"/>
  <c r="W430" i="25"/>
  <c r="N478" i="36"/>
  <c r="M429" i="25" s="1"/>
  <c r="L479" i="36"/>
  <c r="K430" i="25" s="1"/>
  <c r="M479" i="36"/>
  <c r="L430" i="25" s="1"/>
  <c r="J480" i="36"/>
  <c r="I431" i="25" s="1"/>
  <c r="K479" i="36"/>
  <c r="J430" i="25" s="1"/>
  <c r="BD432" i="25" l="1"/>
  <c r="BC432" i="25"/>
  <c r="BB433" i="25"/>
  <c r="BE432" i="25"/>
  <c r="BF431" i="25"/>
  <c r="AY430" i="25"/>
  <c r="AZ430" i="25"/>
  <c r="AX430" i="25"/>
  <c r="AW431" i="25"/>
  <c r="BA429" i="25"/>
  <c r="AT430" i="25"/>
  <c r="AU430" i="25"/>
  <c r="AS430" i="25"/>
  <c r="AR431" i="25"/>
  <c r="AV429" i="25"/>
  <c r="AQ429" i="25"/>
  <c r="AP430" i="25"/>
  <c r="AM431" i="25"/>
  <c r="AN430" i="25"/>
  <c r="AO430" i="25"/>
  <c r="AK430" i="25"/>
  <c r="AH431" i="25"/>
  <c r="AI430" i="25"/>
  <c r="AJ430" i="25"/>
  <c r="AL429" i="25"/>
  <c r="AG429" i="25"/>
  <c r="AC431" i="25"/>
  <c r="AD430" i="25"/>
  <c r="AE430" i="25"/>
  <c r="AF430" i="25"/>
  <c r="AB429" i="25"/>
  <c r="X431" i="25"/>
  <c r="Y430" i="25"/>
  <c r="Z430" i="25"/>
  <c r="AA430" i="25"/>
  <c r="V432" i="25"/>
  <c r="S433" i="25"/>
  <c r="T432" i="25"/>
  <c r="U432" i="25"/>
  <c r="W431" i="25"/>
  <c r="N479" i="36"/>
  <c r="M430" i="25" s="1"/>
  <c r="J481" i="36"/>
  <c r="I432" i="25" s="1"/>
  <c r="K480" i="36"/>
  <c r="J431" i="25" s="1"/>
  <c r="L480" i="36"/>
  <c r="K431" i="25" s="1"/>
  <c r="M480" i="36"/>
  <c r="L431" i="25" s="1"/>
  <c r="BF432" i="25" l="1"/>
  <c r="BE433" i="25"/>
  <c r="BB434" i="25"/>
  <c r="BC433" i="25"/>
  <c r="BD433" i="25"/>
  <c r="BA430" i="25"/>
  <c r="AW432" i="25"/>
  <c r="AX431" i="25"/>
  <c r="AY431" i="25"/>
  <c r="AZ431" i="25"/>
  <c r="AV430" i="25"/>
  <c r="AU431" i="25"/>
  <c r="AR432" i="25"/>
  <c r="AS431" i="25"/>
  <c r="AT431" i="25"/>
  <c r="AO431" i="25"/>
  <c r="AP431" i="25"/>
  <c r="AN431" i="25"/>
  <c r="AM432" i="25"/>
  <c r="AQ430" i="25"/>
  <c r="AJ431" i="25"/>
  <c r="AK431" i="25"/>
  <c r="AI431" i="25"/>
  <c r="AH432" i="25"/>
  <c r="AL430" i="25"/>
  <c r="AC432" i="25"/>
  <c r="AD431" i="25"/>
  <c r="AF431" i="25"/>
  <c r="AE431" i="25"/>
  <c r="AG430" i="25"/>
  <c r="AB430" i="25"/>
  <c r="AA431" i="25"/>
  <c r="Y431" i="25"/>
  <c r="X432" i="25"/>
  <c r="Z431" i="25"/>
  <c r="U433" i="25"/>
  <c r="S434" i="25"/>
  <c r="V433" i="25"/>
  <c r="T433" i="25"/>
  <c r="W432" i="25"/>
  <c r="N480" i="36"/>
  <c r="M431" i="25" s="1"/>
  <c r="L481" i="36"/>
  <c r="K432" i="25" s="1"/>
  <c r="J482" i="36"/>
  <c r="I433" i="25" s="1"/>
  <c r="K481" i="36"/>
  <c r="J432" i="25" s="1"/>
  <c r="M481" i="36"/>
  <c r="L432" i="25" s="1"/>
  <c r="BD434" i="25" l="1"/>
  <c r="BE434" i="25"/>
  <c r="BB435" i="25"/>
  <c r="BC434" i="25"/>
  <c r="BF433" i="25"/>
  <c r="BA431" i="25"/>
  <c r="AW433" i="25"/>
  <c r="AX432" i="25"/>
  <c r="AY432" i="25"/>
  <c r="AZ432" i="25"/>
  <c r="AT432" i="25"/>
  <c r="AR433" i="25"/>
  <c r="AS432" i="25"/>
  <c r="AU432" i="25"/>
  <c r="AV431" i="25"/>
  <c r="AQ431" i="25"/>
  <c r="AM433" i="25"/>
  <c r="AN432" i="25"/>
  <c r="AO432" i="25"/>
  <c r="AP432" i="25"/>
  <c r="AL431" i="25"/>
  <c r="AH433" i="25"/>
  <c r="AI432" i="25"/>
  <c r="AJ432" i="25"/>
  <c r="AK432" i="25"/>
  <c r="AF432" i="25"/>
  <c r="AE432" i="25"/>
  <c r="AD432" i="25"/>
  <c r="AC433" i="25"/>
  <c r="AG431" i="25"/>
  <c r="Z432" i="25"/>
  <c r="AA432" i="25"/>
  <c r="X433" i="25"/>
  <c r="Y432" i="25"/>
  <c r="AB431" i="25"/>
  <c r="W433" i="25"/>
  <c r="S435" i="25"/>
  <c r="T434" i="25"/>
  <c r="U434" i="25"/>
  <c r="V434" i="25"/>
  <c r="N481" i="36"/>
  <c r="M432" i="25" s="1"/>
  <c r="M482" i="36"/>
  <c r="L433" i="25" s="1"/>
  <c r="J483" i="36"/>
  <c r="I434" i="25" s="1"/>
  <c r="L482" i="36"/>
  <c r="K433" i="25" s="1"/>
  <c r="K482" i="36"/>
  <c r="J433" i="25" s="1"/>
  <c r="BF434" i="25" l="1"/>
  <c r="BB436" i="25"/>
  <c r="BC435" i="25"/>
  <c r="BE435" i="25"/>
  <c r="BD435" i="25"/>
  <c r="BA432" i="25"/>
  <c r="AZ433" i="25"/>
  <c r="AW434" i="25"/>
  <c r="AX433" i="25"/>
  <c r="AY433" i="25"/>
  <c r="AV432" i="25"/>
  <c r="AR434" i="25"/>
  <c r="AS433" i="25"/>
  <c r="AU433" i="25"/>
  <c r="AT433" i="25"/>
  <c r="AQ432" i="25"/>
  <c r="AM434" i="25"/>
  <c r="AN433" i="25"/>
  <c r="AO433" i="25"/>
  <c r="AP433" i="25"/>
  <c r="AL432" i="25"/>
  <c r="AH434" i="25"/>
  <c r="AI433" i="25"/>
  <c r="AJ433" i="25"/>
  <c r="AK433" i="25"/>
  <c r="AG432" i="25"/>
  <c r="AE433" i="25"/>
  <c r="AF433" i="25"/>
  <c r="AC434" i="25"/>
  <c r="AD433" i="25"/>
  <c r="AB432" i="25"/>
  <c r="X434" i="25"/>
  <c r="Y433" i="25"/>
  <c r="Z433" i="25"/>
  <c r="AA433" i="25"/>
  <c r="W434" i="25"/>
  <c r="S436" i="25"/>
  <c r="T435" i="25"/>
  <c r="U435" i="25"/>
  <c r="V435" i="25"/>
  <c r="N482" i="36"/>
  <c r="M433" i="25" s="1"/>
  <c r="L483" i="36"/>
  <c r="K434" i="25" s="1"/>
  <c r="M483" i="36"/>
  <c r="L434" i="25" s="1"/>
  <c r="J484" i="36"/>
  <c r="I435" i="25" s="1"/>
  <c r="K483" i="36"/>
  <c r="J434" i="25" s="1"/>
  <c r="BD436" i="25" l="1"/>
  <c r="BB437" i="25"/>
  <c r="BC436" i="25"/>
  <c r="BE436" i="25"/>
  <c r="BF435" i="25"/>
  <c r="AY434" i="25"/>
  <c r="AZ434" i="25"/>
  <c r="AX434" i="25"/>
  <c r="AW435" i="25"/>
  <c r="BA433" i="25"/>
  <c r="AV433" i="25"/>
  <c r="AT434" i="25"/>
  <c r="AU434" i="25"/>
  <c r="AR435" i="25"/>
  <c r="AS434" i="25"/>
  <c r="AQ433" i="25"/>
  <c r="AP434" i="25"/>
  <c r="AM435" i="25"/>
  <c r="AN434" i="25"/>
  <c r="AO434" i="25"/>
  <c r="AL433" i="25"/>
  <c r="AK434" i="25"/>
  <c r="AI434" i="25"/>
  <c r="AH435" i="25"/>
  <c r="AJ434" i="25"/>
  <c r="AG433" i="25"/>
  <c r="AC435" i="25"/>
  <c r="AD434" i="25"/>
  <c r="AE434" i="25"/>
  <c r="AF434" i="25"/>
  <c r="AB433" i="25"/>
  <c r="X435" i="25"/>
  <c r="Y434" i="25"/>
  <c r="Z434" i="25"/>
  <c r="AA434" i="25"/>
  <c r="W435" i="25"/>
  <c r="V436" i="25"/>
  <c r="S437" i="25"/>
  <c r="T436" i="25"/>
  <c r="U436" i="25"/>
  <c r="N483" i="36"/>
  <c r="M434" i="25" s="1"/>
  <c r="J485" i="36"/>
  <c r="I436" i="25" s="1"/>
  <c r="K484" i="36"/>
  <c r="J435" i="25" s="1"/>
  <c r="M484" i="36"/>
  <c r="L435" i="25" s="1"/>
  <c r="L484" i="36"/>
  <c r="K435" i="25" s="1"/>
  <c r="BF436" i="25" l="1"/>
  <c r="BE437" i="25"/>
  <c r="BB438" i="25"/>
  <c r="BC437" i="25"/>
  <c r="BD437" i="25"/>
  <c r="BA434" i="25"/>
  <c r="AW436" i="25"/>
  <c r="AX435" i="25"/>
  <c r="AY435" i="25"/>
  <c r="AZ435" i="25"/>
  <c r="AV434" i="25"/>
  <c r="AU435" i="25"/>
  <c r="AR436" i="25"/>
  <c r="AS435" i="25"/>
  <c r="AT435" i="25"/>
  <c r="AO435" i="25"/>
  <c r="AP435" i="25"/>
  <c r="AN435" i="25"/>
  <c r="AM436" i="25"/>
  <c r="AQ434" i="25"/>
  <c r="AL434" i="25"/>
  <c r="AJ435" i="25"/>
  <c r="AK435" i="25"/>
  <c r="AH436" i="25"/>
  <c r="AI435" i="25"/>
  <c r="AG434" i="25"/>
  <c r="AC436" i="25"/>
  <c r="AD435" i="25"/>
  <c r="AF435" i="25"/>
  <c r="AE435" i="25"/>
  <c r="AB434" i="25"/>
  <c r="AA435" i="25"/>
  <c r="X436" i="25"/>
  <c r="Y435" i="25"/>
  <c r="Z435" i="25"/>
  <c r="U437" i="25"/>
  <c r="S438" i="25"/>
  <c r="T437" i="25"/>
  <c r="V437" i="25"/>
  <c r="W436" i="25"/>
  <c r="N484" i="36"/>
  <c r="M435" i="25" s="1"/>
  <c r="J486" i="36"/>
  <c r="I437" i="25" s="1"/>
  <c r="K485" i="36"/>
  <c r="J436" i="25" s="1"/>
  <c r="L485" i="36"/>
  <c r="K436" i="25" s="1"/>
  <c r="M485" i="36"/>
  <c r="L436" i="25" s="1"/>
  <c r="BD438" i="25" l="1"/>
  <c r="BE438" i="25"/>
  <c r="BC438" i="25"/>
  <c r="BB439" i="25"/>
  <c r="BF437" i="25"/>
  <c r="AW437" i="25"/>
  <c r="AX436" i="25"/>
  <c r="AY436" i="25"/>
  <c r="AZ436" i="25"/>
  <c r="BA435" i="25"/>
  <c r="AT436" i="25"/>
  <c r="AR437" i="25"/>
  <c r="AS436" i="25"/>
  <c r="AU436" i="25"/>
  <c r="AV435" i="25"/>
  <c r="AQ435" i="25"/>
  <c r="AM437" i="25"/>
  <c r="AN436" i="25"/>
  <c r="AO436" i="25"/>
  <c r="AP436" i="25"/>
  <c r="AL435" i="25"/>
  <c r="AH437" i="25"/>
  <c r="AI436" i="25"/>
  <c r="AJ436" i="25"/>
  <c r="AK436" i="25"/>
  <c r="AG435" i="25"/>
  <c r="AF436" i="25"/>
  <c r="AE436" i="25"/>
  <c r="AC437" i="25"/>
  <c r="AD436" i="25"/>
  <c r="Z436" i="25"/>
  <c r="AA436" i="25"/>
  <c r="Y436" i="25"/>
  <c r="X437" i="25"/>
  <c r="AB435" i="25"/>
  <c r="W437" i="25"/>
  <c r="S439" i="25"/>
  <c r="T438" i="25"/>
  <c r="U438" i="25"/>
  <c r="V438" i="25"/>
  <c r="N485" i="36"/>
  <c r="M436" i="25" s="1"/>
  <c r="M486" i="36"/>
  <c r="L437" i="25" s="1"/>
  <c r="J487" i="36"/>
  <c r="I438" i="25" s="1"/>
  <c r="L486" i="36"/>
  <c r="K437" i="25" s="1"/>
  <c r="K486" i="36"/>
  <c r="J437" i="25" s="1"/>
  <c r="AV436" i="25" l="1"/>
  <c r="BF438" i="25"/>
  <c r="BB440" i="25"/>
  <c r="BC439" i="25"/>
  <c r="BE439" i="25"/>
  <c r="BD439" i="25"/>
  <c r="BA436" i="25"/>
  <c r="AZ437" i="25"/>
  <c r="AW438" i="25"/>
  <c r="AX437" i="25"/>
  <c r="AY437" i="25"/>
  <c r="AR438" i="25"/>
  <c r="AS437" i="25"/>
  <c r="AU437" i="25"/>
  <c r="AT437" i="25"/>
  <c r="AM438" i="25"/>
  <c r="AN437" i="25"/>
  <c r="AO437" i="25"/>
  <c r="AP437" i="25"/>
  <c r="AQ436" i="25"/>
  <c r="AH438" i="25"/>
  <c r="AI437" i="25"/>
  <c r="AJ437" i="25"/>
  <c r="AK437" i="25"/>
  <c r="AL436" i="25"/>
  <c r="AG436" i="25"/>
  <c r="AE437" i="25"/>
  <c r="AF437" i="25"/>
  <c r="AC438" i="25"/>
  <c r="AD437" i="25"/>
  <c r="AB436" i="25"/>
  <c r="X438" i="25"/>
  <c r="Y437" i="25"/>
  <c r="Z437" i="25"/>
  <c r="AA437" i="25"/>
  <c r="W438" i="25"/>
  <c r="T439" i="25"/>
  <c r="U439" i="25"/>
  <c r="S440" i="25"/>
  <c r="V439" i="25"/>
  <c r="L487" i="36"/>
  <c r="K438" i="25" s="1"/>
  <c r="M487" i="36"/>
  <c r="L438" i="25" s="1"/>
  <c r="J488" i="36"/>
  <c r="I439" i="25" s="1"/>
  <c r="K487" i="36"/>
  <c r="J438" i="25" s="1"/>
  <c r="N486" i="36"/>
  <c r="M437" i="25" s="1"/>
  <c r="BD440" i="25" l="1"/>
  <c r="BC440" i="25"/>
  <c r="BB441" i="25"/>
  <c r="BE440" i="25"/>
  <c r="BF439" i="25"/>
  <c r="AY438" i="25"/>
  <c r="AZ438" i="25"/>
  <c r="AW439" i="25"/>
  <c r="AX438" i="25"/>
  <c r="BA437" i="25"/>
  <c r="AT438" i="25"/>
  <c r="AU438" i="25"/>
  <c r="AR439" i="25"/>
  <c r="AS438" i="25"/>
  <c r="AV437" i="25"/>
  <c r="AQ437" i="25"/>
  <c r="AP438" i="25"/>
  <c r="AM439" i="25"/>
  <c r="AN438" i="25"/>
  <c r="AO438" i="25"/>
  <c r="AL437" i="25"/>
  <c r="AK438" i="25"/>
  <c r="AH439" i="25"/>
  <c r="AI438" i="25"/>
  <c r="AJ438" i="25"/>
  <c r="AG437" i="25"/>
  <c r="AC439" i="25"/>
  <c r="AD438" i="25"/>
  <c r="AE438" i="25"/>
  <c r="AF438" i="25"/>
  <c r="AB437" i="25"/>
  <c r="X439" i="25"/>
  <c r="Y438" i="25"/>
  <c r="Z438" i="25"/>
  <c r="AA438" i="25"/>
  <c r="W439" i="25"/>
  <c r="V440" i="25"/>
  <c r="T440" i="25"/>
  <c r="U440" i="25"/>
  <c r="S441" i="25"/>
  <c r="N487" i="36"/>
  <c r="M438" i="25" s="1"/>
  <c r="J489" i="36"/>
  <c r="I440" i="25" s="1"/>
  <c r="K488" i="36"/>
  <c r="J439" i="25" s="1"/>
  <c r="L488" i="36"/>
  <c r="K439" i="25" s="1"/>
  <c r="M488" i="36"/>
  <c r="L439" i="25" s="1"/>
  <c r="BF440" i="25" l="1"/>
  <c r="BE441" i="25"/>
  <c r="BB442" i="25"/>
  <c r="BC441" i="25"/>
  <c r="BD441" i="25"/>
  <c r="BA438" i="25"/>
  <c r="AW440" i="25"/>
  <c r="AX439" i="25"/>
  <c r="AY439" i="25"/>
  <c r="AZ439" i="25"/>
  <c r="AV438" i="25"/>
  <c r="AU439" i="25"/>
  <c r="AR440" i="25"/>
  <c r="AS439" i="25"/>
  <c r="AT439" i="25"/>
  <c r="AO439" i="25"/>
  <c r="AP439" i="25"/>
  <c r="AM440" i="25"/>
  <c r="AN439" i="25"/>
  <c r="AQ438" i="25"/>
  <c r="AH440" i="25"/>
  <c r="AJ439" i="25"/>
  <c r="AK439" i="25"/>
  <c r="AI439" i="25"/>
  <c r="AL438" i="25"/>
  <c r="AG438" i="25"/>
  <c r="AC440" i="25"/>
  <c r="AD439" i="25"/>
  <c r="AF439" i="25"/>
  <c r="AE439" i="25"/>
  <c r="AB438" i="25"/>
  <c r="AA439" i="25"/>
  <c r="Y439" i="25"/>
  <c r="Z439" i="25"/>
  <c r="X440" i="25"/>
  <c r="W440" i="25"/>
  <c r="U441" i="25"/>
  <c r="T441" i="25"/>
  <c r="V441" i="25"/>
  <c r="S442" i="25"/>
  <c r="N488" i="36"/>
  <c r="M439" i="25" s="1"/>
  <c r="J490" i="36"/>
  <c r="I441" i="25" s="1"/>
  <c r="K489" i="36"/>
  <c r="J440" i="25" s="1"/>
  <c r="M489" i="36"/>
  <c r="L440" i="25" s="1"/>
  <c r="L489" i="36"/>
  <c r="K440" i="25" s="1"/>
  <c r="BD442" i="25" l="1"/>
  <c r="BE442" i="25"/>
  <c r="BB443" i="25"/>
  <c r="BC442" i="25"/>
  <c r="BF441" i="25"/>
  <c r="AW441" i="25"/>
  <c r="AX440" i="25"/>
  <c r="AY440" i="25"/>
  <c r="AZ440" i="25"/>
  <c r="BA439" i="25"/>
  <c r="AT440" i="25"/>
  <c r="AR441" i="25"/>
  <c r="AS440" i="25"/>
  <c r="AU440" i="25"/>
  <c r="AV439" i="25"/>
  <c r="AQ439" i="25"/>
  <c r="AM441" i="25"/>
  <c r="AN440" i="25"/>
  <c r="AO440" i="25"/>
  <c r="AP440" i="25"/>
  <c r="AJ440" i="25"/>
  <c r="AK440" i="25"/>
  <c r="AH441" i="25"/>
  <c r="AI440" i="25"/>
  <c r="AL439" i="25"/>
  <c r="AF440" i="25"/>
  <c r="AE440" i="25"/>
  <c r="AD440" i="25"/>
  <c r="AC441" i="25"/>
  <c r="AG439" i="25"/>
  <c r="AB439" i="25"/>
  <c r="Z440" i="25"/>
  <c r="AA440" i="25"/>
  <c r="X441" i="25"/>
  <c r="Y440" i="25"/>
  <c r="W441" i="25"/>
  <c r="S443" i="25"/>
  <c r="T442" i="25"/>
  <c r="U442" i="25"/>
  <c r="V442" i="25"/>
  <c r="N489" i="36"/>
  <c r="M440" i="25" s="1"/>
  <c r="M490" i="36"/>
  <c r="L441" i="25" s="1"/>
  <c r="L490" i="36"/>
  <c r="K441" i="25" s="1"/>
  <c r="K490" i="36"/>
  <c r="J441" i="25" s="1"/>
  <c r="J491" i="36"/>
  <c r="I442" i="25" s="1"/>
  <c r="AV440" i="25" l="1"/>
  <c r="BF442" i="25"/>
  <c r="BB444" i="25"/>
  <c r="BC443" i="25"/>
  <c r="BE443" i="25"/>
  <c r="BD443" i="25"/>
  <c r="BA440" i="25"/>
  <c r="AZ441" i="25"/>
  <c r="AW442" i="25"/>
  <c r="AX441" i="25"/>
  <c r="AY441" i="25"/>
  <c r="AR442" i="25"/>
  <c r="AS441" i="25"/>
  <c r="AU441" i="25"/>
  <c r="AT441" i="25"/>
  <c r="AM442" i="25"/>
  <c r="AN441" i="25"/>
  <c r="AO441" i="25"/>
  <c r="AP441" i="25"/>
  <c r="AQ440" i="25"/>
  <c r="AL440" i="25"/>
  <c r="AK441" i="25"/>
  <c r="AJ441" i="25"/>
  <c r="AH442" i="25"/>
  <c r="AI441" i="25"/>
  <c r="AG440" i="25"/>
  <c r="AE441" i="25"/>
  <c r="AF441" i="25"/>
  <c r="AC442" i="25"/>
  <c r="AD441" i="25"/>
  <c r="AB440" i="25"/>
  <c r="X442" i="25"/>
  <c r="Y441" i="25"/>
  <c r="Z441" i="25"/>
  <c r="AA441" i="25"/>
  <c r="W442" i="25"/>
  <c r="U443" i="25"/>
  <c r="V443" i="25"/>
  <c r="S444" i="25"/>
  <c r="T443" i="25"/>
  <c r="N490" i="36"/>
  <c r="M441" i="25" s="1"/>
  <c r="L491" i="36"/>
  <c r="K442" i="25" s="1"/>
  <c r="M491" i="36"/>
  <c r="L442" i="25" s="1"/>
  <c r="J492" i="36"/>
  <c r="I443" i="25" s="1"/>
  <c r="K491" i="36"/>
  <c r="J442" i="25" s="1"/>
  <c r="BD444" i="25" l="1"/>
  <c r="BB445" i="25"/>
  <c r="BC444" i="25"/>
  <c r="BE444" i="25"/>
  <c r="BF443" i="25"/>
  <c r="AY442" i="25"/>
  <c r="AZ442" i="25"/>
  <c r="AX442" i="25"/>
  <c r="AW443" i="25"/>
  <c r="BA441" i="25"/>
  <c r="AT442" i="25"/>
  <c r="AU442" i="25"/>
  <c r="AS442" i="25"/>
  <c r="AR443" i="25"/>
  <c r="AV441" i="25"/>
  <c r="AQ441" i="25"/>
  <c r="AP442" i="25"/>
  <c r="AM443" i="25"/>
  <c r="AN442" i="25"/>
  <c r="AO442" i="25"/>
  <c r="AL441" i="25"/>
  <c r="AJ442" i="25"/>
  <c r="AK442" i="25"/>
  <c r="AH443" i="25"/>
  <c r="AI442" i="25"/>
  <c r="AG441" i="25"/>
  <c r="AC443" i="25"/>
  <c r="AD442" i="25"/>
  <c r="AE442" i="25"/>
  <c r="AF442" i="25"/>
  <c r="AB441" i="25"/>
  <c r="X443" i="25"/>
  <c r="Y442" i="25"/>
  <c r="Z442" i="25"/>
  <c r="AA442" i="25"/>
  <c r="W443" i="25"/>
  <c r="V444" i="25"/>
  <c r="U444" i="25"/>
  <c r="S445" i="25"/>
  <c r="T444" i="25"/>
  <c r="N491" i="36"/>
  <c r="M442" i="25" s="1"/>
  <c r="J493" i="36"/>
  <c r="I444" i="25" s="1"/>
  <c r="K492" i="36"/>
  <c r="J443" i="25" s="1"/>
  <c r="L492" i="36"/>
  <c r="K443" i="25" s="1"/>
  <c r="M492" i="36"/>
  <c r="L443" i="25" s="1"/>
  <c r="BF444" i="25" l="1"/>
  <c r="BE445" i="25"/>
  <c r="BB446" i="25"/>
  <c r="BC445" i="25"/>
  <c r="BD445" i="25"/>
  <c r="BA442" i="25"/>
  <c r="AW444" i="25"/>
  <c r="AX443" i="25"/>
  <c r="AY443" i="25"/>
  <c r="AZ443" i="25"/>
  <c r="AV442" i="25"/>
  <c r="AU443" i="25"/>
  <c r="AR444" i="25"/>
  <c r="AS443" i="25"/>
  <c r="AT443" i="25"/>
  <c r="AO443" i="25"/>
  <c r="AP443" i="25"/>
  <c r="AN443" i="25"/>
  <c r="AM444" i="25"/>
  <c r="AQ442" i="25"/>
  <c r="AL442" i="25"/>
  <c r="AH444" i="25"/>
  <c r="AI443" i="25"/>
  <c r="AK443" i="25"/>
  <c r="AJ443" i="25"/>
  <c r="AC444" i="25"/>
  <c r="AD443" i="25"/>
  <c r="AF443" i="25"/>
  <c r="AE443" i="25"/>
  <c r="AG442" i="25"/>
  <c r="AB442" i="25"/>
  <c r="AA443" i="25"/>
  <c r="X444" i="25"/>
  <c r="Y443" i="25"/>
  <c r="Z443" i="25"/>
  <c r="U445" i="25"/>
  <c r="V445" i="25"/>
  <c r="T445" i="25"/>
  <c r="S446" i="25"/>
  <c r="W444" i="25"/>
  <c r="N492" i="36"/>
  <c r="M443" i="25" s="1"/>
  <c r="J494" i="36"/>
  <c r="I445" i="25" s="1"/>
  <c r="K493" i="36"/>
  <c r="J444" i="25" s="1"/>
  <c r="M493" i="36"/>
  <c r="L444" i="25" s="1"/>
  <c r="L493" i="36"/>
  <c r="K444" i="25" s="1"/>
  <c r="BD446" i="25" l="1"/>
  <c r="BE446" i="25"/>
  <c r="BC446" i="25"/>
  <c r="BB447" i="25"/>
  <c r="BF445" i="25"/>
  <c r="AW445" i="25"/>
  <c r="AX444" i="25"/>
  <c r="AY444" i="25"/>
  <c r="AZ444" i="25"/>
  <c r="BA443" i="25"/>
  <c r="AT444" i="25"/>
  <c r="AR445" i="25"/>
  <c r="AS444" i="25"/>
  <c r="AU444" i="25"/>
  <c r="AV443" i="25"/>
  <c r="AQ443" i="25"/>
  <c r="AM445" i="25"/>
  <c r="AN444" i="25"/>
  <c r="AO444" i="25"/>
  <c r="AP444" i="25"/>
  <c r="AL443" i="25"/>
  <c r="AK444" i="25"/>
  <c r="AH445" i="25"/>
  <c r="AI444" i="25"/>
  <c r="AJ444" i="25"/>
  <c r="AF444" i="25"/>
  <c r="AE444" i="25"/>
  <c r="AC445" i="25"/>
  <c r="AD444" i="25"/>
  <c r="AG443" i="25"/>
  <c r="Z444" i="25"/>
  <c r="AA444" i="25"/>
  <c r="Y444" i="25"/>
  <c r="X445" i="25"/>
  <c r="AB443" i="25"/>
  <c r="W445" i="25"/>
  <c r="S447" i="25"/>
  <c r="T446" i="25"/>
  <c r="V446" i="25"/>
  <c r="U446" i="25"/>
  <c r="N493" i="36"/>
  <c r="M444" i="25" s="1"/>
  <c r="M494" i="36"/>
  <c r="L445" i="25" s="1"/>
  <c r="L494" i="36"/>
  <c r="K445" i="25" s="1"/>
  <c r="K494" i="36"/>
  <c r="J445" i="25" s="1"/>
  <c r="J495" i="36"/>
  <c r="I446" i="25" s="1"/>
  <c r="BF446" i="25" l="1"/>
  <c r="BB448" i="25"/>
  <c r="BC447" i="25"/>
  <c r="BE447" i="25"/>
  <c r="BD447" i="25"/>
  <c r="BA444" i="25"/>
  <c r="AZ445" i="25"/>
  <c r="AW446" i="25"/>
  <c r="AX445" i="25"/>
  <c r="AY445" i="25"/>
  <c r="AV444" i="25"/>
  <c r="AR446" i="25"/>
  <c r="AS445" i="25"/>
  <c r="AU445" i="25"/>
  <c r="AT445" i="25"/>
  <c r="AM446" i="25"/>
  <c r="AN445" i="25"/>
  <c r="AO445" i="25"/>
  <c r="AP445" i="25"/>
  <c r="AQ444" i="25"/>
  <c r="AK445" i="25"/>
  <c r="AH446" i="25"/>
  <c r="AI445" i="25"/>
  <c r="AJ445" i="25"/>
  <c r="AL444" i="25"/>
  <c r="AG444" i="25"/>
  <c r="AE445" i="25"/>
  <c r="AF445" i="25"/>
  <c r="AC446" i="25"/>
  <c r="AD445" i="25"/>
  <c r="AB444" i="25"/>
  <c r="X446" i="25"/>
  <c r="Y445" i="25"/>
  <c r="Z445" i="25"/>
  <c r="AA445" i="25"/>
  <c r="W446" i="25"/>
  <c r="V447" i="25"/>
  <c r="S448" i="25"/>
  <c r="T447" i="25"/>
  <c r="U447" i="25"/>
  <c r="N494" i="36"/>
  <c r="M445" i="25" s="1"/>
  <c r="L495" i="36"/>
  <c r="K446" i="25" s="1"/>
  <c r="M495" i="36"/>
  <c r="L446" i="25" s="1"/>
  <c r="J496" i="36"/>
  <c r="I447" i="25" s="1"/>
  <c r="K495" i="36"/>
  <c r="J446" i="25" s="1"/>
  <c r="BD448" i="25" l="1"/>
  <c r="BC448" i="25"/>
  <c r="BB449" i="25"/>
  <c r="BE448" i="25"/>
  <c r="BF447" i="25"/>
  <c r="AY446" i="25"/>
  <c r="AZ446" i="25"/>
  <c r="AX446" i="25"/>
  <c r="AW447" i="25"/>
  <c r="BA445" i="25"/>
  <c r="AV445" i="25"/>
  <c r="AT446" i="25"/>
  <c r="AU446" i="25"/>
  <c r="AS446" i="25"/>
  <c r="AR447" i="25"/>
  <c r="AQ445" i="25"/>
  <c r="AP446" i="25"/>
  <c r="AM447" i="25"/>
  <c r="AN446" i="25"/>
  <c r="AO446" i="25"/>
  <c r="AJ446" i="25"/>
  <c r="AH447" i="25"/>
  <c r="AI446" i="25"/>
  <c r="AK446" i="25"/>
  <c r="AL445" i="25"/>
  <c r="AG445" i="25"/>
  <c r="AC447" i="25"/>
  <c r="AD446" i="25"/>
  <c r="AE446" i="25"/>
  <c r="AF446" i="25"/>
  <c r="AB445" i="25"/>
  <c r="X447" i="25"/>
  <c r="Y446" i="25"/>
  <c r="Z446" i="25"/>
  <c r="AA446" i="25"/>
  <c r="V448" i="25"/>
  <c r="S449" i="25"/>
  <c r="T448" i="25"/>
  <c r="U448" i="25"/>
  <c r="W447" i="25"/>
  <c r="N495" i="36"/>
  <c r="M446" i="25" s="1"/>
  <c r="J497" i="36"/>
  <c r="I448" i="25" s="1"/>
  <c r="K496" i="36"/>
  <c r="J447" i="25" s="1"/>
  <c r="L496" i="36"/>
  <c r="K447" i="25" s="1"/>
  <c r="M496" i="36"/>
  <c r="L447" i="25" s="1"/>
  <c r="BF448" i="25" l="1"/>
  <c r="BE449" i="25"/>
  <c r="BB450" i="25"/>
  <c r="BC449" i="25"/>
  <c r="BD449" i="25"/>
  <c r="BA446" i="25"/>
  <c r="AW448" i="25"/>
  <c r="AX447" i="25"/>
  <c r="AY447" i="25"/>
  <c r="AZ447" i="25"/>
  <c r="AV446" i="25"/>
  <c r="AU447" i="25"/>
  <c r="AR448" i="25"/>
  <c r="AS447" i="25"/>
  <c r="AT447" i="25"/>
  <c r="AO447" i="25"/>
  <c r="AP447" i="25"/>
  <c r="AN447" i="25"/>
  <c r="AM448" i="25"/>
  <c r="AQ446" i="25"/>
  <c r="AL446" i="25"/>
  <c r="AH448" i="25"/>
  <c r="AI447" i="25"/>
  <c r="AJ447" i="25"/>
  <c r="AK447" i="25"/>
  <c r="AC448" i="25"/>
  <c r="AD447" i="25"/>
  <c r="AF447" i="25"/>
  <c r="AE447" i="25"/>
  <c r="AG446" i="25"/>
  <c r="AB446" i="25"/>
  <c r="AA447" i="25"/>
  <c r="Y447" i="25"/>
  <c r="X448" i="25"/>
  <c r="Z447" i="25"/>
  <c r="U449" i="25"/>
  <c r="S450" i="25"/>
  <c r="T449" i="25"/>
  <c r="V449" i="25"/>
  <c r="W448" i="25"/>
  <c r="N496" i="36"/>
  <c r="M447" i="25" s="1"/>
  <c r="J498" i="36"/>
  <c r="I449" i="25" s="1"/>
  <c r="K497" i="36"/>
  <c r="J448" i="25" s="1"/>
  <c r="M497" i="36"/>
  <c r="L448" i="25" s="1"/>
  <c r="L497" i="36"/>
  <c r="K448" i="25" s="1"/>
  <c r="BD450" i="25" l="1"/>
  <c r="BE450" i="25"/>
  <c r="BB451" i="25"/>
  <c r="BC450" i="25"/>
  <c r="BF449" i="25"/>
  <c r="AW449" i="25"/>
  <c r="AX448" i="25"/>
  <c r="AY448" i="25"/>
  <c r="AZ448" i="25"/>
  <c r="BA447" i="25"/>
  <c r="AT448" i="25"/>
  <c r="AR449" i="25"/>
  <c r="AS448" i="25"/>
  <c r="AU448" i="25"/>
  <c r="AV447" i="25"/>
  <c r="AQ447" i="25"/>
  <c r="AM449" i="25"/>
  <c r="AN448" i="25"/>
  <c r="AO448" i="25"/>
  <c r="AP448" i="25"/>
  <c r="AL447" i="25"/>
  <c r="AH449" i="25"/>
  <c r="AI448" i="25"/>
  <c r="AJ448" i="25"/>
  <c r="AK448" i="25"/>
  <c r="AF448" i="25"/>
  <c r="AE448" i="25"/>
  <c r="AD448" i="25"/>
  <c r="AC449" i="25"/>
  <c r="AG447" i="25"/>
  <c r="Z448" i="25"/>
  <c r="AA448" i="25"/>
  <c r="X449" i="25"/>
  <c r="Y448" i="25"/>
  <c r="AB447" i="25"/>
  <c r="W449" i="25"/>
  <c r="S451" i="25"/>
  <c r="T450" i="25"/>
  <c r="V450" i="25"/>
  <c r="U450" i="25"/>
  <c r="N497" i="36"/>
  <c r="M448" i="25" s="1"/>
  <c r="M498" i="36"/>
  <c r="L449" i="25" s="1"/>
  <c r="L498" i="36"/>
  <c r="K449" i="25" s="1"/>
  <c r="J499" i="36"/>
  <c r="I450" i="25" s="1"/>
  <c r="K498" i="36"/>
  <c r="J449" i="25" s="1"/>
  <c r="BF450" i="25" l="1"/>
  <c r="BB452" i="25"/>
  <c r="BC451" i="25"/>
  <c r="BE451" i="25"/>
  <c r="BD451" i="25"/>
  <c r="BA448" i="25"/>
  <c r="AZ449" i="25"/>
  <c r="AW450" i="25"/>
  <c r="AX449" i="25"/>
  <c r="AY449" i="25"/>
  <c r="AV448" i="25"/>
  <c r="AR450" i="25"/>
  <c r="AS449" i="25"/>
  <c r="AU449" i="25"/>
  <c r="AT449" i="25"/>
  <c r="AM450" i="25"/>
  <c r="AN449" i="25"/>
  <c r="AO449" i="25"/>
  <c r="AP449" i="25"/>
  <c r="AQ448" i="25"/>
  <c r="AK449" i="25"/>
  <c r="AH450" i="25"/>
  <c r="AI449" i="25"/>
  <c r="AJ449" i="25"/>
  <c r="AL448" i="25"/>
  <c r="AG448" i="25"/>
  <c r="AE449" i="25"/>
  <c r="AF449" i="25"/>
  <c r="AC450" i="25"/>
  <c r="AD449" i="25"/>
  <c r="AB448" i="25"/>
  <c r="X450" i="25"/>
  <c r="Y449" i="25"/>
  <c r="Z449" i="25"/>
  <c r="AA449" i="25"/>
  <c r="S452" i="25"/>
  <c r="T451" i="25"/>
  <c r="U451" i="25"/>
  <c r="V451" i="25"/>
  <c r="W450" i="25"/>
  <c r="N498" i="36"/>
  <c r="M449" i="25" s="1"/>
  <c r="L499" i="36"/>
  <c r="K450" i="25" s="1"/>
  <c r="M499" i="36"/>
  <c r="L450" i="25" s="1"/>
  <c r="J500" i="36"/>
  <c r="I451" i="25" s="1"/>
  <c r="K499" i="36"/>
  <c r="J450" i="25" s="1"/>
  <c r="BD452" i="25" l="1"/>
  <c r="BB453" i="25"/>
  <c r="BC452" i="25"/>
  <c r="BE452" i="25"/>
  <c r="BF451" i="25"/>
  <c r="AY450" i="25"/>
  <c r="AZ450" i="25"/>
  <c r="AX450" i="25"/>
  <c r="AW451" i="25"/>
  <c r="BA449" i="25"/>
  <c r="AT450" i="25"/>
  <c r="AU450" i="25"/>
  <c r="AR451" i="25"/>
  <c r="AS450" i="25"/>
  <c r="AV449" i="25"/>
  <c r="AQ449" i="25"/>
  <c r="AP450" i="25"/>
  <c r="AM451" i="25"/>
  <c r="AN450" i="25"/>
  <c r="AO450" i="25"/>
  <c r="AJ450" i="25"/>
  <c r="AH451" i="25"/>
  <c r="AI450" i="25"/>
  <c r="AK450" i="25"/>
  <c r="AL449" i="25"/>
  <c r="AG449" i="25"/>
  <c r="AC451" i="25"/>
  <c r="AD450" i="25"/>
  <c r="AE450" i="25"/>
  <c r="AF450" i="25"/>
  <c r="AB449" i="25"/>
  <c r="X451" i="25"/>
  <c r="Y450" i="25"/>
  <c r="Z450" i="25"/>
  <c r="AA450" i="25"/>
  <c r="W451" i="25"/>
  <c r="V452" i="25"/>
  <c r="S453" i="25"/>
  <c r="T452" i="25"/>
  <c r="U452" i="25"/>
  <c r="N499" i="36"/>
  <c r="M450" i="25" s="1"/>
  <c r="J501" i="36"/>
  <c r="I452" i="25" s="1"/>
  <c r="K500" i="36"/>
  <c r="J451" i="25" s="1"/>
  <c r="L500" i="36"/>
  <c r="K451" i="25" s="1"/>
  <c r="M500" i="36"/>
  <c r="L451" i="25" s="1"/>
  <c r="BF452" i="25" l="1"/>
  <c r="BE453" i="25"/>
  <c r="BB454" i="25"/>
  <c r="BC453" i="25"/>
  <c r="BD453" i="25"/>
  <c r="BA450" i="25"/>
  <c r="AW452" i="25"/>
  <c r="AX451" i="25"/>
  <c r="AY451" i="25"/>
  <c r="AZ451" i="25"/>
  <c r="AV450" i="25"/>
  <c r="AU451" i="25"/>
  <c r="AR452" i="25"/>
  <c r="AS451" i="25"/>
  <c r="AT451" i="25"/>
  <c r="AO451" i="25"/>
  <c r="AP451" i="25"/>
  <c r="AN451" i="25"/>
  <c r="AM452" i="25"/>
  <c r="AQ450" i="25"/>
  <c r="AL450" i="25"/>
  <c r="AH452" i="25"/>
  <c r="AI451" i="25"/>
  <c r="AJ451" i="25"/>
  <c r="AK451" i="25"/>
  <c r="AC452" i="25"/>
  <c r="AD451" i="25"/>
  <c r="AF451" i="25"/>
  <c r="AE451" i="25"/>
  <c r="AG450" i="25"/>
  <c r="AB450" i="25"/>
  <c r="AA451" i="25"/>
  <c r="X452" i="25"/>
  <c r="Y451" i="25"/>
  <c r="Z451" i="25"/>
  <c r="U453" i="25"/>
  <c r="S454" i="25"/>
  <c r="T453" i="25"/>
  <c r="V453" i="25"/>
  <c r="W452" i="25"/>
  <c r="N500" i="36"/>
  <c r="M451" i="25" s="1"/>
  <c r="J502" i="36"/>
  <c r="I453" i="25" s="1"/>
  <c r="K501" i="36"/>
  <c r="J452" i="25" s="1"/>
  <c r="M501" i="36"/>
  <c r="L452" i="25" s="1"/>
  <c r="L501" i="36"/>
  <c r="K452" i="25" s="1"/>
  <c r="W453" i="25" l="1"/>
  <c r="BD454" i="25"/>
  <c r="BE454" i="25"/>
  <c r="BC454" i="25"/>
  <c r="BB455" i="25"/>
  <c r="BF453" i="25"/>
  <c r="AW453" i="25"/>
  <c r="AX452" i="25"/>
  <c r="AY452" i="25"/>
  <c r="AZ452" i="25"/>
  <c r="BA451" i="25"/>
  <c r="AT452" i="25"/>
  <c r="AR453" i="25"/>
  <c r="AS452" i="25"/>
  <c r="AU452" i="25"/>
  <c r="AV451" i="25"/>
  <c r="AQ451" i="25"/>
  <c r="AM453" i="25"/>
  <c r="AN452" i="25"/>
  <c r="AO452" i="25"/>
  <c r="AP452" i="25"/>
  <c r="AL451" i="25"/>
  <c r="AI452" i="25"/>
  <c r="AJ452" i="25"/>
  <c r="AK452" i="25"/>
  <c r="AH453" i="25"/>
  <c r="AF452" i="25"/>
  <c r="AE452" i="25"/>
  <c r="AD452" i="25"/>
  <c r="AC453" i="25"/>
  <c r="AG451" i="25"/>
  <c r="Z452" i="25"/>
  <c r="AA452" i="25"/>
  <c r="Y452" i="25"/>
  <c r="X453" i="25"/>
  <c r="AB451" i="25"/>
  <c r="S455" i="25"/>
  <c r="T454" i="25"/>
  <c r="U454" i="25"/>
  <c r="V454" i="25"/>
  <c r="N501" i="36"/>
  <c r="M452" i="25" s="1"/>
  <c r="M502" i="36"/>
  <c r="L453" i="25" s="1"/>
  <c r="L502" i="36"/>
  <c r="K453" i="25" s="1"/>
  <c r="J503" i="36"/>
  <c r="I454" i="25" s="1"/>
  <c r="K502" i="36"/>
  <c r="J453" i="25" s="1"/>
  <c r="BF454" i="25" l="1"/>
  <c r="BB456" i="25"/>
  <c r="BC455" i="25"/>
  <c r="BE455" i="25"/>
  <c r="BD455" i="25"/>
  <c r="AZ453" i="25"/>
  <c r="AW454" i="25"/>
  <c r="AX453" i="25"/>
  <c r="AY453" i="25"/>
  <c r="BA452" i="25"/>
  <c r="AV452" i="25"/>
  <c r="AR454" i="25"/>
  <c r="AS453" i="25"/>
  <c r="AU453" i="25"/>
  <c r="AT453" i="25"/>
  <c r="AM454" i="25"/>
  <c r="AN453" i="25"/>
  <c r="AO453" i="25"/>
  <c r="AP453" i="25"/>
  <c r="AQ452" i="25"/>
  <c r="AL452" i="25"/>
  <c r="AK453" i="25"/>
  <c r="AI453" i="25"/>
  <c r="AJ453" i="25"/>
  <c r="AH454" i="25"/>
  <c r="AG452" i="25"/>
  <c r="AE453" i="25"/>
  <c r="AF453" i="25"/>
  <c r="AC454" i="25"/>
  <c r="AD453" i="25"/>
  <c r="AB452" i="25"/>
  <c r="X454" i="25"/>
  <c r="Y453" i="25"/>
  <c r="Z453" i="25"/>
  <c r="AA453" i="25"/>
  <c r="W454" i="25"/>
  <c r="T455" i="25"/>
  <c r="U455" i="25"/>
  <c r="V455" i="25"/>
  <c r="S456" i="25"/>
  <c r="L503" i="36"/>
  <c r="K454" i="25" s="1"/>
  <c r="M503" i="36"/>
  <c r="L454" i="25" s="1"/>
  <c r="J504" i="36"/>
  <c r="I455" i="25" s="1"/>
  <c r="K503" i="36"/>
  <c r="J454" i="25" s="1"/>
  <c r="N502" i="36"/>
  <c r="M453" i="25" s="1"/>
  <c r="BF455" i="25" l="1"/>
  <c r="BD456" i="25"/>
  <c r="BC456" i="25"/>
  <c r="BB457" i="25"/>
  <c r="BE456" i="25"/>
  <c r="AY454" i="25"/>
  <c r="AZ454" i="25"/>
  <c r="AW455" i="25"/>
  <c r="AX454" i="25"/>
  <c r="BA453" i="25"/>
  <c r="AT454" i="25"/>
  <c r="AU454" i="25"/>
  <c r="AR455" i="25"/>
  <c r="AS454" i="25"/>
  <c r="AV453" i="25"/>
  <c r="AQ453" i="25"/>
  <c r="AP454" i="25"/>
  <c r="AM455" i="25"/>
  <c r="AN454" i="25"/>
  <c r="AO454" i="25"/>
  <c r="AL453" i="25"/>
  <c r="AJ454" i="25"/>
  <c r="AI454" i="25"/>
  <c r="AK454" i="25"/>
  <c r="AH455" i="25"/>
  <c r="AG453" i="25"/>
  <c r="AC455" i="25"/>
  <c r="AD454" i="25"/>
  <c r="AE454" i="25"/>
  <c r="AF454" i="25"/>
  <c r="AB453" i="25"/>
  <c r="X455" i="25"/>
  <c r="Y454" i="25"/>
  <c r="Z454" i="25"/>
  <c r="AA454" i="25"/>
  <c r="W455" i="25"/>
  <c r="V456" i="25"/>
  <c r="T456" i="25"/>
  <c r="U456" i="25"/>
  <c r="S457" i="25"/>
  <c r="N503" i="36"/>
  <c r="M454" i="25" s="1"/>
  <c r="J505" i="36"/>
  <c r="I456" i="25" s="1"/>
  <c r="K504" i="36"/>
  <c r="J455" i="25" s="1"/>
  <c r="L504" i="36"/>
  <c r="K455" i="25" s="1"/>
  <c r="M504" i="36"/>
  <c r="L455" i="25" s="1"/>
  <c r="BF456" i="25" l="1"/>
  <c r="BE457" i="25"/>
  <c r="BB458" i="25"/>
  <c r="BC457" i="25"/>
  <c r="BD457" i="25"/>
  <c r="BA454" i="25"/>
  <c r="AW456" i="25"/>
  <c r="AX455" i="25"/>
  <c r="AY455" i="25"/>
  <c r="AZ455" i="25"/>
  <c r="AV454" i="25"/>
  <c r="AU455" i="25"/>
  <c r="AR456" i="25"/>
  <c r="AS455" i="25"/>
  <c r="AT455" i="25"/>
  <c r="AO455" i="25"/>
  <c r="AP455" i="25"/>
  <c r="AM456" i="25"/>
  <c r="AN455" i="25"/>
  <c r="AQ454" i="25"/>
  <c r="AL454" i="25"/>
  <c r="AH456" i="25"/>
  <c r="AI455" i="25"/>
  <c r="AJ455" i="25"/>
  <c r="AK455" i="25"/>
  <c r="AG454" i="25"/>
  <c r="AC456" i="25"/>
  <c r="AD455" i="25"/>
  <c r="AF455" i="25"/>
  <c r="AE455" i="25"/>
  <c r="AB454" i="25"/>
  <c r="AA455" i="25"/>
  <c r="Y455" i="25"/>
  <c r="X456" i="25"/>
  <c r="Z455" i="25"/>
  <c r="W456" i="25"/>
  <c r="U457" i="25"/>
  <c r="T457" i="25"/>
  <c r="V457" i="25"/>
  <c r="S458" i="25"/>
  <c r="N504" i="36"/>
  <c r="M455" i="25" s="1"/>
  <c r="J506" i="36"/>
  <c r="I457" i="25" s="1"/>
  <c r="K505" i="36"/>
  <c r="J456" i="25" s="1"/>
  <c r="M505" i="36"/>
  <c r="L456" i="25" s="1"/>
  <c r="L505" i="36"/>
  <c r="K456" i="25" s="1"/>
  <c r="BD458" i="25" l="1"/>
  <c r="BE458" i="25"/>
  <c r="BB459" i="25"/>
  <c r="BC458" i="25"/>
  <c r="BF457" i="25"/>
  <c r="AW457" i="25"/>
  <c r="AX456" i="25"/>
  <c r="AY456" i="25"/>
  <c r="AZ456" i="25"/>
  <c r="BA455" i="25"/>
  <c r="AT456" i="25"/>
  <c r="AR457" i="25"/>
  <c r="AS456" i="25"/>
  <c r="AU456" i="25"/>
  <c r="AV455" i="25"/>
  <c r="AQ455" i="25"/>
  <c r="AM457" i="25"/>
  <c r="AN456" i="25"/>
  <c r="AO456" i="25"/>
  <c r="AP456" i="25"/>
  <c r="AL455" i="25"/>
  <c r="AJ456" i="25"/>
  <c r="AK456" i="25"/>
  <c r="AH457" i="25"/>
  <c r="AI456" i="25"/>
  <c r="AG455" i="25"/>
  <c r="AF456" i="25"/>
  <c r="AE456" i="25"/>
  <c r="AD456" i="25"/>
  <c r="AC457" i="25"/>
  <c r="Z456" i="25"/>
  <c r="AA456" i="25"/>
  <c r="X457" i="25"/>
  <c r="Y456" i="25"/>
  <c r="AB455" i="25"/>
  <c r="W457" i="25"/>
  <c r="S459" i="25"/>
  <c r="T458" i="25"/>
  <c r="U458" i="25"/>
  <c r="V458" i="25"/>
  <c r="N505" i="36"/>
  <c r="M456" i="25" s="1"/>
  <c r="M506" i="36"/>
  <c r="L457" i="25" s="1"/>
  <c r="L506" i="36"/>
  <c r="K457" i="25" s="1"/>
  <c r="K506" i="36"/>
  <c r="J457" i="25" s="1"/>
  <c r="J507" i="36"/>
  <c r="I458" i="25" s="1"/>
  <c r="BF458" i="25" l="1"/>
  <c r="BB460" i="25"/>
  <c r="BC459" i="25"/>
  <c r="BE459" i="25"/>
  <c r="BD459" i="25"/>
  <c r="BA456" i="25"/>
  <c r="AZ457" i="25"/>
  <c r="AW458" i="25"/>
  <c r="AX457" i="25"/>
  <c r="AY457" i="25"/>
  <c r="AV456" i="25"/>
  <c r="AR458" i="25"/>
  <c r="AS457" i="25"/>
  <c r="AU457" i="25"/>
  <c r="AT457" i="25"/>
  <c r="AM458" i="25"/>
  <c r="AN457" i="25"/>
  <c r="AO457" i="25"/>
  <c r="AP457" i="25"/>
  <c r="AQ456" i="25"/>
  <c r="AL456" i="25"/>
  <c r="AK457" i="25"/>
  <c r="AJ457" i="25"/>
  <c r="AH458" i="25"/>
  <c r="AI457" i="25"/>
  <c r="AG456" i="25"/>
  <c r="AE457" i="25"/>
  <c r="AF457" i="25"/>
  <c r="AC458" i="25"/>
  <c r="AD457" i="25"/>
  <c r="AB456" i="25"/>
  <c r="X458" i="25"/>
  <c r="Y457" i="25"/>
  <c r="Z457" i="25"/>
  <c r="AA457" i="25"/>
  <c r="W458" i="25"/>
  <c r="U459" i="25"/>
  <c r="V459" i="25"/>
  <c r="S460" i="25"/>
  <c r="T459" i="25"/>
  <c r="N506" i="36"/>
  <c r="M457" i="25" s="1"/>
  <c r="L507" i="36"/>
  <c r="K458" i="25" s="1"/>
  <c r="M507" i="36"/>
  <c r="L458" i="25" s="1"/>
  <c r="J508" i="36"/>
  <c r="I459" i="25" s="1"/>
  <c r="K507" i="36"/>
  <c r="J458" i="25" s="1"/>
  <c r="BD460" i="25" l="1"/>
  <c r="BB461" i="25"/>
  <c r="BC460" i="25"/>
  <c r="BE460" i="25"/>
  <c r="BF459" i="25"/>
  <c r="AY458" i="25"/>
  <c r="AZ458" i="25"/>
  <c r="AX458" i="25"/>
  <c r="AW459" i="25"/>
  <c r="BA457" i="25"/>
  <c r="AV457" i="25"/>
  <c r="AT458" i="25"/>
  <c r="AU458" i="25"/>
  <c r="AS458" i="25"/>
  <c r="AR459" i="25"/>
  <c r="AQ457" i="25"/>
  <c r="AP458" i="25"/>
  <c r="AM459" i="25"/>
  <c r="AN458" i="25"/>
  <c r="AO458" i="25"/>
  <c r="AL457" i="25"/>
  <c r="AJ458" i="25"/>
  <c r="AK458" i="25"/>
  <c r="AH459" i="25"/>
  <c r="AI458" i="25"/>
  <c r="AG457" i="25"/>
  <c r="AC459" i="25"/>
  <c r="AD458" i="25"/>
  <c r="AE458" i="25"/>
  <c r="AF458" i="25"/>
  <c r="AB457" i="25"/>
  <c r="X459" i="25"/>
  <c r="Y458" i="25"/>
  <c r="Z458" i="25"/>
  <c r="AA458" i="25"/>
  <c r="W459" i="25"/>
  <c r="V460" i="25"/>
  <c r="U460" i="25"/>
  <c r="T460" i="25"/>
  <c r="S461" i="25"/>
  <c r="N507" i="36"/>
  <c r="M458" i="25" s="1"/>
  <c r="J509" i="36"/>
  <c r="I460" i="25" s="1"/>
  <c r="K508" i="36"/>
  <c r="J459" i="25" s="1"/>
  <c r="L508" i="36"/>
  <c r="K459" i="25" s="1"/>
  <c r="M508" i="36"/>
  <c r="L459" i="25" s="1"/>
  <c r="BF460" i="25" l="1"/>
  <c r="BE461" i="25"/>
  <c r="BB462" i="25"/>
  <c r="BC461" i="25"/>
  <c r="BD461" i="25"/>
  <c r="BA458" i="25"/>
  <c r="AW460" i="25"/>
  <c r="AX459" i="25"/>
  <c r="AY459" i="25"/>
  <c r="AZ459" i="25"/>
  <c r="AV458" i="25"/>
  <c r="AU459" i="25"/>
  <c r="AR460" i="25"/>
  <c r="AS459" i="25"/>
  <c r="AT459" i="25"/>
  <c r="AO459" i="25"/>
  <c r="AP459" i="25"/>
  <c r="AN459" i="25"/>
  <c r="AM460" i="25"/>
  <c r="AQ458" i="25"/>
  <c r="AL458" i="25"/>
  <c r="AH460" i="25"/>
  <c r="AI459" i="25"/>
  <c r="AK459" i="25"/>
  <c r="AJ459" i="25"/>
  <c r="AC460" i="25"/>
  <c r="AD459" i="25"/>
  <c r="AF459" i="25"/>
  <c r="AE459" i="25"/>
  <c r="AG458" i="25"/>
  <c r="AB458" i="25"/>
  <c r="AA459" i="25"/>
  <c r="X460" i="25"/>
  <c r="Y459" i="25"/>
  <c r="Z459" i="25"/>
  <c r="U461" i="25"/>
  <c r="V461" i="25"/>
  <c r="S462" i="25"/>
  <c r="T461" i="25"/>
  <c r="W460" i="25"/>
  <c r="J510" i="36"/>
  <c r="I461" i="25" s="1"/>
  <c r="K509" i="36"/>
  <c r="J460" i="25" s="1"/>
  <c r="M509" i="36"/>
  <c r="L460" i="25" s="1"/>
  <c r="L509" i="36"/>
  <c r="K460" i="25" s="1"/>
  <c r="N508" i="36"/>
  <c r="M459" i="25" s="1"/>
  <c r="BD462" i="25" l="1"/>
  <c r="BE462" i="25"/>
  <c r="BC462" i="25"/>
  <c r="BB463" i="25"/>
  <c r="BF461" i="25"/>
  <c r="AW461" i="25"/>
  <c r="AX460" i="25"/>
  <c r="AY460" i="25"/>
  <c r="AZ460" i="25"/>
  <c r="BA459" i="25"/>
  <c r="AT460" i="25"/>
  <c r="AR461" i="25"/>
  <c r="AS460" i="25"/>
  <c r="AU460" i="25"/>
  <c r="AV459" i="25"/>
  <c r="AQ459" i="25"/>
  <c r="AM461" i="25"/>
  <c r="AN460" i="25"/>
  <c r="AO460" i="25"/>
  <c r="AP460" i="25"/>
  <c r="AL459" i="25"/>
  <c r="AK460" i="25"/>
  <c r="AH461" i="25"/>
  <c r="AI460" i="25"/>
  <c r="AJ460" i="25"/>
  <c r="AF460" i="25"/>
  <c r="AE460" i="25"/>
  <c r="AC461" i="25"/>
  <c r="AD460" i="25"/>
  <c r="AG459" i="25"/>
  <c r="Z460" i="25"/>
  <c r="AA460" i="25"/>
  <c r="Y460" i="25"/>
  <c r="X461" i="25"/>
  <c r="AB459" i="25"/>
  <c r="W461" i="25"/>
  <c r="S463" i="25"/>
  <c r="T462" i="25"/>
  <c r="V462" i="25"/>
  <c r="U462" i="25"/>
  <c r="N509" i="36"/>
  <c r="M460" i="25" s="1"/>
  <c r="M510" i="36"/>
  <c r="L461" i="25" s="1"/>
  <c r="L510" i="36"/>
  <c r="K461" i="25" s="1"/>
  <c r="K510" i="36"/>
  <c r="J461" i="25" s="1"/>
  <c r="J511" i="36"/>
  <c r="I462" i="25" s="1"/>
  <c r="BF462" i="25" l="1"/>
  <c r="BB464" i="25"/>
  <c r="BC463" i="25"/>
  <c r="BE463" i="25"/>
  <c r="BD463" i="25"/>
  <c r="BA460" i="25"/>
  <c r="AZ461" i="25"/>
  <c r="AW462" i="25"/>
  <c r="AX461" i="25"/>
  <c r="AY461" i="25"/>
  <c r="AV460" i="25"/>
  <c r="AR462" i="25"/>
  <c r="AS461" i="25"/>
  <c r="AU461" i="25"/>
  <c r="AT461" i="25"/>
  <c r="AQ460" i="25"/>
  <c r="AM462" i="25"/>
  <c r="AN461" i="25"/>
  <c r="AO461" i="25"/>
  <c r="AP461" i="25"/>
  <c r="AK461" i="25"/>
  <c r="AH462" i="25"/>
  <c r="AI461" i="25"/>
  <c r="AJ461" i="25"/>
  <c r="AL460" i="25"/>
  <c r="AG460" i="25"/>
  <c r="AE461" i="25"/>
  <c r="AF461" i="25"/>
  <c r="AC462" i="25"/>
  <c r="AD461" i="25"/>
  <c r="AB460" i="25"/>
  <c r="X462" i="25"/>
  <c r="Y461" i="25"/>
  <c r="Z461" i="25"/>
  <c r="AA461" i="25"/>
  <c r="V463" i="25"/>
  <c r="S464" i="25"/>
  <c r="T463" i="25"/>
  <c r="U463" i="25"/>
  <c r="W462" i="25"/>
  <c r="L511" i="36"/>
  <c r="K462" i="25" s="1"/>
  <c r="M511" i="36"/>
  <c r="L462" i="25" s="1"/>
  <c r="J512" i="36"/>
  <c r="I463" i="25" s="1"/>
  <c r="K511" i="36"/>
  <c r="J462" i="25" s="1"/>
  <c r="N510" i="36"/>
  <c r="M461" i="25" s="1"/>
  <c r="BD464" i="25" l="1"/>
  <c r="BC464" i="25"/>
  <c r="BB465" i="25"/>
  <c r="BE464" i="25"/>
  <c r="BF463" i="25"/>
  <c r="AY462" i="25"/>
  <c r="AZ462" i="25"/>
  <c r="AX462" i="25"/>
  <c r="AW463" i="25"/>
  <c r="BA461" i="25"/>
  <c r="AV461" i="25"/>
  <c r="AT462" i="25"/>
  <c r="AU462" i="25"/>
  <c r="AS462" i="25"/>
  <c r="AR463" i="25"/>
  <c r="AQ461" i="25"/>
  <c r="AP462" i="25"/>
  <c r="AM463" i="25"/>
  <c r="AN462" i="25"/>
  <c r="AO462" i="25"/>
  <c r="AJ462" i="25"/>
  <c r="AH463" i="25"/>
  <c r="AI462" i="25"/>
  <c r="AK462" i="25"/>
  <c r="AL461" i="25"/>
  <c r="AG461" i="25"/>
  <c r="AC463" i="25"/>
  <c r="AD462" i="25"/>
  <c r="AE462" i="25"/>
  <c r="AF462" i="25"/>
  <c r="AB461" i="25"/>
  <c r="X463" i="25"/>
  <c r="Y462" i="25"/>
  <c r="Z462" i="25"/>
  <c r="AA462" i="25"/>
  <c r="V464" i="25"/>
  <c r="S465" i="25"/>
  <c r="T464" i="25"/>
  <c r="U464" i="25"/>
  <c r="W463" i="25"/>
  <c r="N511" i="36"/>
  <c r="M462" i="25" s="1"/>
  <c r="J513" i="36"/>
  <c r="I464" i="25" s="1"/>
  <c r="K512" i="36"/>
  <c r="J463" i="25" s="1"/>
  <c r="L512" i="36"/>
  <c r="K463" i="25" s="1"/>
  <c r="M512" i="36"/>
  <c r="L463" i="25" s="1"/>
  <c r="BF464" i="25" l="1"/>
  <c r="BE465" i="25"/>
  <c r="BB466" i="25"/>
  <c r="BC465" i="25"/>
  <c r="BD465" i="25"/>
  <c r="BA462" i="25"/>
  <c r="AW464" i="25"/>
  <c r="AX463" i="25"/>
  <c r="AY463" i="25"/>
  <c r="AZ463" i="25"/>
  <c r="AV462" i="25"/>
  <c r="AU463" i="25"/>
  <c r="AR464" i="25"/>
  <c r="AS463" i="25"/>
  <c r="AT463" i="25"/>
  <c r="AO463" i="25"/>
  <c r="AP463" i="25"/>
  <c r="AN463" i="25"/>
  <c r="AM464" i="25"/>
  <c r="AQ462" i="25"/>
  <c r="AL462" i="25"/>
  <c r="AH464" i="25"/>
  <c r="AI463" i="25"/>
  <c r="AJ463" i="25"/>
  <c r="AK463" i="25"/>
  <c r="AC464" i="25"/>
  <c r="AD463" i="25"/>
  <c r="AF463" i="25"/>
  <c r="AE463" i="25"/>
  <c r="AG462" i="25"/>
  <c r="AB462" i="25"/>
  <c r="AA463" i="25"/>
  <c r="Y463" i="25"/>
  <c r="Z463" i="25"/>
  <c r="X464" i="25"/>
  <c r="U465" i="25"/>
  <c r="S466" i="25"/>
  <c r="T465" i="25"/>
  <c r="V465" i="25"/>
  <c r="W464" i="25"/>
  <c r="J514" i="36"/>
  <c r="I465" i="25" s="1"/>
  <c r="K513" i="36"/>
  <c r="J464" i="25" s="1"/>
  <c r="M513" i="36"/>
  <c r="L464" i="25" s="1"/>
  <c r="L513" i="36"/>
  <c r="K464" i="25" s="1"/>
  <c r="N512" i="36"/>
  <c r="M463" i="25" s="1"/>
  <c r="BD466" i="25" l="1"/>
  <c r="BE466" i="25"/>
  <c r="BB467" i="25"/>
  <c r="BC466" i="25"/>
  <c r="BF465" i="25"/>
  <c r="AW465" i="25"/>
  <c r="AX464" i="25"/>
  <c r="AY464" i="25"/>
  <c r="AZ464" i="25"/>
  <c r="BA463" i="25"/>
  <c r="AT464" i="25"/>
  <c r="AR465" i="25"/>
  <c r="AS464" i="25"/>
  <c r="AU464" i="25"/>
  <c r="AV463" i="25"/>
  <c r="AQ463" i="25"/>
  <c r="AM465" i="25"/>
  <c r="AN464" i="25"/>
  <c r="AO464" i="25"/>
  <c r="AP464" i="25"/>
  <c r="AL463" i="25"/>
  <c r="AH465" i="25"/>
  <c r="AI464" i="25"/>
  <c r="AJ464" i="25"/>
  <c r="AK464" i="25"/>
  <c r="AF464" i="25"/>
  <c r="AE464" i="25"/>
  <c r="AD464" i="25"/>
  <c r="AC465" i="25"/>
  <c r="AG463" i="25"/>
  <c r="AB463" i="25"/>
  <c r="Z464" i="25"/>
  <c r="AA464" i="25"/>
  <c r="X465" i="25"/>
  <c r="Y464" i="25"/>
  <c r="W465" i="25"/>
  <c r="S467" i="25"/>
  <c r="T466" i="25"/>
  <c r="U466" i="25"/>
  <c r="V466" i="25"/>
  <c r="M514" i="36"/>
  <c r="L465" i="25" s="1"/>
  <c r="L514" i="36"/>
  <c r="K465" i="25" s="1"/>
  <c r="K514" i="36"/>
  <c r="J465" i="25" s="1"/>
  <c r="J515" i="36"/>
  <c r="I466" i="25" s="1"/>
  <c r="N513" i="36"/>
  <c r="M464" i="25" s="1"/>
  <c r="BF466" i="25" l="1"/>
  <c r="BB468" i="25"/>
  <c r="BC467" i="25"/>
  <c r="BE467" i="25"/>
  <c r="BD467" i="25"/>
  <c r="BA464" i="25"/>
  <c r="AZ465" i="25"/>
  <c r="AW466" i="25"/>
  <c r="AX465" i="25"/>
  <c r="AY465" i="25"/>
  <c r="AV464" i="25"/>
  <c r="AR466" i="25"/>
  <c r="AS465" i="25"/>
  <c r="AU465" i="25"/>
  <c r="AT465" i="25"/>
  <c r="AM466" i="25"/>
  <c r="AN465" i="25"/>
  <c r="AO465" i="25"/>
  <c r="AP465" i="25"/>
  <c r="AQ464" i="25"/>
  <c r="AL464" i="25"/>
  <c r="AK465" i="25"/>
  <c r="AH466" i="25"/>
  <c r="AI465" i="25"/>
  <c r="AJ465" i="25"/>
  <c r="AG464" i="25"/>
  <c r="AE465" i="25"/>
  <c r="AF465" i="25"/>
  <c r="AC466" i="25"/>
  <c r="AD465" i="25"/>
  <c r="AB464" i="25"/>
  <c r="X466" i="25"/>
  <c r="Y465" i="25"/>
  <c r="Z465" i="25"/>
  <c r="AA465" i="25"/>
  <c r="W466" i="25"/>
  <c r="S468" i="25"/>
  <c r="T467" i="25"/>
  <c r="V467" i="25"/>
  <c r="U467" i="25"/>
  <c r="N514" i="36"/>
  <c r="M465" i="25" s="1"/>
  <c r="L515" i="36"/>
  <c r="K466" i="25" s="1"/>
  <c r="M515" i="36"/>
  <c r="L466" i="25" s="1"/>
  <c r="J516" i="36"/>
  <c r="I467" i="25" s="1"/>
  <c r="K515" i="36"/>
  <c r="J466" i="25" s="1"/>
  <c r="BD468" i="25" l="1"/>
  <c r="BB469" i="25"/>
  <c r="BC468" i="25"/>
  <c r="BE468" i="25"/>
  <c r="BF467" i="25"/>
  <c r="AY466" i="25"/>
  <c r="AZ466" i="25"/>
  <c r="AX466" i="25"/>
  <c r="AW467" i="25"/>
  <c r="BA465" i="25"/>
  <c r="AT466" i="25"/>
  <c r="AU466" i="25"/>
  <c r="AR467" i="25"/>
  <c r="AS466" i="25"/>
  <c r="AV465" i="25"/>
  <c r="AQ465" i="25"/>
  <c r="AP466" i="25"/>
  <c r="AM467" i="25"/>
  <c r="AN466" i="25"/>
  <c r="AO466" i="25"/>
  <c r="AJ466" i="25"/>
  <c r="AH467" i="25"/>
  <c r="AI466" i="25"/>
  <c r="AK466" i="25"/>
  <c r="AL465" i="25"/>
  <c r="AG465" i="25"/>
  <c r="AC467" i="25"/>
  <c r="AD466" i="25"/>
  <c r="AE466" i="25"/>
  <c r="AF466" i="25"/>
  <c r="AB465" i="25"/>
  <c r="X467" i="25"/>
  <c r="Y466" i="25"/>
  <c r="Z466" i="25"/>
  <c r="AA466" i="25"/>
  <c r="V468" i="25"/>
  <c r="S469" i="25"/>
  <c r="T468" i="25"/>
  <c r="U468" i="25"/>
  <c r="W467" i="25"/>
  <c r="N515" i="36"/>
  <c r="M466" i="25" s="1"/>
  <c r="J517" i="36"/>
  <c r="I468" i="25" s="1"/>
  <c r="K516" i="36"/>
  <c r="J467" i="25" s="1"/>
  <c r="L516" i="36"/>
  <c r="K467" i="25" s="1"/>
  <c r="M516" i="36"/>
  <c r="L467" i="25" s="1"/>
  <c r="BF468" i="25" l="1"/>
  <c r="BE469" i="25"/>
  <c r="BB470" i="25"/>
  <c r="BC469" i="25"/>
  <c r="BD469" i="25"/>
  <c r="BA466" i="25"/>
  <c r="AW468" i="25"/>
  <c r="AX467" i="25"/>
  <c r="AY467" i="25"/>
  <c r="AZ467" i="25"/>
  <c r="AV466" i="25"/>
  <c r="AU467" i="25"/>
  <c r="AR468" i="25"/>
  <c r="AS467" i="25"/>
  <c r="AT467" i="25"/>
  <c r="AO467" i="25"/>
  <c r="AP467" i="25"/>
  <c r="AN467" i="25"/>
  <c r="AM468" i="25"/>
  <c r="AQ466" i="25"/>
  <c r="AL466" i="25"/>
  <c r="AH468" i="25"/>
  <c r="AI467" i="25"/>
  <c r="AJ467" i="25"/>
  <c r="AK467" i="25"/>
  <c r="AC468" i="25"/>
  <c r="AD467" i="25"/>
  <c r="AF467" i="25"/>
  <c r="AE467" i="25"/>
  <c r="AG466" i="25"/>
  <c r="AB466" i="25"/>
  <c r="AA467" i="25"/>
  <c r="X468" i="25"/>
  <c r="Y467" i="25"/>
  <c r="Z467" i="25"/>
  <c r="U469" i="25"/>
  <c r="S470" i="25"/>
  <c r="T469" i="25"/>
  <c r="V469" i="25"/>
  <c r="W468" i="25"/>
  <c r="J518" i="36"/>
  <c r="I469" i="25" s="1"/>
  <c r="K517" i="36"/>
  <c r="J468" i="25" s="1"/>
  <c r="M517" i="36"/>
  <c r="L468" i="25" s="1"/>
  <c r="L517" i="36"/>
  <c r="K468" i="25" s="1"/>
  <c r="N516" i="36"/>
  <c r="M467" i="25" s="1"/>
  <c r="BD470" i="25" l="1"/>
  <c r="BE470" i="25"/>
  <c r="BC470" i="25"/>
  <c r="BB471" i="25"/>
  <c r="BF469" i="25"/>
  <c r="AW469" i="25"/>
  <c r="AX468" i="25"/>
  <c r="AY468" i="25"/>
  <c r="AZ468" i="25"/>
  <c r="BA467" i="25"/>
  <c r="AT468" i="25"/>
  <c r="AR469" i="25"/>
  <c r="AS468" i="25"/>
  <c r="AU468" i="25"/>
  <c r="AV467" i="25"/>
  <c r="AQ467" i="25"/>
  <c r="AM469" i="25"/>
  <c r="AN468" i="25"/>
  <c r="AO468" i="25"/>
  <c r="AP468" i="25"/>
  <c r="AL467" i="25"/>
  <c r="AI468" i="25"/>
  <c r="AJ468" i="25"/>
  <c r="AK468" i="25"/>
  <c r="AH469" i="25"/>
  <c r="AF468" i="25"/>
  <c r="AC469" i="25"/>
  <c r="AE468" i="25"/>
  <c r="AD468" i="25"/>
  <c r="AG467" i="25"/>
  <c r="Z468" i="25"/>
  <c r="AA468" i="25"/>
  <c r="Y468" i="25"/>
  <c r="X469" i="25"/>
  <c r="AB467" i="25"/>
  <c r="W469" i="25"/>
  <c r="S471" i="25"/>
  <c r="T470" i="25"/>
  <c r="U470" i="25"/>
  <c r="V470" i="25"/>
  <c r="M518" i="36"/>
  <c r="L469" i="25" s="1"/>
  <c r="L518" i="36"/>
  <c r="K469" i="25" s="1"/>
  <c r="J519" i="36"/>
  <c r="I470" i="25" s="1"/>
  <c r="K518" i="36"/>
  <c r="J469" i="25" s="1"/>
  <c r="N517" i="36"/>
  <c r="M468" i="25" s="1"/>
  <c r="BF470" i="25" l="1"/>
  <c r="BB472" i="25"/>
  <c r="BC471" i="25"/>
  <c r="BE471" i="25"/>
  <c r="BD471" i="25"/>
  <c r="BA468" i="25"/>
  <c r="AZ469" i="25"/>
  <c r="AW470" i="25"/>
  <c r="AX469" i="25"/>
  <c r="AY469" i="25"/>
  <c r="AV468" i="25"/>
  <c r="AR470" i="25"/>
  <c r="AS469" i="25"/>
  <c r="AU469" i="25"/>
  <c r="AT469" i="25"/>
  <c r="AM470" i="25"/>
  <c r="AN469" i="25"/>
  <c r="AO469" i="25"/>
  <c r="AP469" i="25"/>
  <c r="AQ468" i="25"/>
  <c r="AL468" i="25"/>
  <c r="AK469" i="25"/>
  <c r="AI469" i="25"/>
  <c r="AJ469" i="25"/>
  <c r="AH470" i="25"/>
  <c r="AG468" i="25"/>
  <c r="AF469" i="25"/>
  <c r="AC470" i="25"/>
  <c r="AE469" i="25"/>
  <c r="AD469" i="25"/>
  <c r="AB468" i="25"/>
  <c r="X470" i="25"/>
  <c r="Y469" i="25"/>
  <c r="Z469" i="25"/>
  <c r="AA469" i="25"/>
  <c r="W470" i="25"/>
  <c r="T471" i="25"/>
  <c r="U471" i="25"/>
  <c r="V471" i="25"/>
  <c r="S472" i="25"/>
  <c r="L519" i="36"/>
  <c r="K470" i="25" s="1"/>
  <c r="M519" i="36"/>
  <c r="L470" i="25" s="1"/>
  <c r="J520" i="36"/>
  <c r="I471" i="25" s="1"/>
  <c r="K519" i="36"/>
  <c r="J470" i="25" s="1"/>
  <c r="N518" i="36"/>
  <c r="M469" i="25" s="1"/>
  <c r="BD472" i="25" l="1"/>
  <c r="BC472" i="25"/>
  <c r="BB473" i="25"/>
  <c r="BE472" i="25"/>
  <c r="BF471" i="25"/>
  <c r="AY470" i="25"/>
  <c r="AZ470" i="25"/>
  <c r="AW471" i="25"/>
  <c r="AX470" i="25"/>
  <c r="BA469" i="25"/>
  <c r="AT470" i="25"/>
  <c r="AU470" i="25"/>
  <c r="AR471" i="25"/>
  <c r="AS470" i="25"/>
  <c r="AV469" i="25"/>
  <c r="AQ469" i="25"/>
  <c r="AP470" i="25"/>
  <c r="AM471" i="25"/>
  <c r="AN470" i="25"/>
  <c r="AO470" i="25"/>
  <c r="AL469" i="25"/>
  <c r="AJ470" i="25"/>
  <c r="AI470" i="25"/>
  <c r="AK470" i="25"/>
  <c r="AH471" i="25"/>
  <c r="AG469" i="25"/>
  <c r="AE470" i="25"/>
  <c r="AC471" i="25"/>
  <c r="AF470" i="25"/>
  <c r="AD470" i="25"/>
  <c r="AB469" i="25"/>
  <c r="X471" i="25"/>
  <c r="Y470" i="25"/>
  <c r="Z470" i="25"/>
  <c r="AA470" i="25"/>
  <c r="W471" i="25"/>
  <c r="V472" i="25"/>
  <c r="T472" i="25"/>
  <c r="U472" i="25"/>
  <c r="S473" i="25"/>
  <c r="N519" i="36"/>
  <c r="M470" i="25" s="1"/>
  <c r="J521" i="36"/>
  <c r="I472" i="25" s="1"/>
  <c r="K520" i="36"/>
  <c r="J471" i="25" s="1"/>
  <c r="L520" i="36"/>
  <c r="K471" i="25" s="1"/>
  <c r="M520" i="36"/>
  <c r="L471" i="25" s="1"/>
  <c r="BF472" i="25" l="1"/>
  <c r="BE473" i="25"/>
  <c r="BB474" i="25"/>
  <c r="BC473" i="25"/>
  <c r="BD473" i="25"/>
  <c r="BA470" i="25"/>
  <c r="AW472" i="25"/>
  <c r="AX471" i="25"/>
  <c r="AY471" i="25"/>
  <c r="AZ471" i="25"/>
  <c r="AV470" i="25"/>
  <c r="AU471" i="25"/>
  <c r="AR472" i="25"/>
  <c r="AS471" i="25"/>
  <c r="AT471" i="25"/>
  <c r="AO471" i="25"/>
  <c r="AP471" i="25"/>
  <c r="AM472" i="25"/>
  <c r="AN471" i="25"/>
  <c r="AQ470" i="25"/>
  <c r="AH472" i="25"/>
  <c r="AI471" i="25"/>
  <c r="AJ471" i="25"/>
  <c r="AK471" i="25"/>
  <c r="AL470" i="25"/>
  <c r="AG470" i="25"/>
  <c r="AC472" i="25"/>
  <c r="AD471" i="25"/>
  <c r="AF471" i="25"/>
  <c r="AE471" i="25"/>
  <c r="AB470" i="25"/>
  <c r="AA471" i="25"/>
  <c r="Y471" i="25"/>
  <c r="X472" i="25"/>
  <c r="Z471" i="25"/>
  <c r="W472" i="25"/>
  <c r="U473" i="25"/>
  <c r="T473" i="25"/>
  <c r="V473" i="25"/>
  <c r="S474" i="25"/>
  <c r="J522" i="36"/>
  <c r="I473" i="25" s="1"/>
  <c r="K521" i="36"/>
  <c r="J472" i="25" s="1"/>
  <c r="M521" i="36"/>
  <c r="L472" i="25" s="1"/>
  <c r="L521" i="36"/>
  <c r="K472" i="25" s="1"/>
  <c r="N520" i="36"/>
  <c r="M471" i="25" s="1"/>
  <c r="W473" i="25" l="1"/>
  <c r="BD474" i="25"/>
  <c r="BE474" i="25"/>
  <c r="BB475" i="25"/>
  <c r="BC474" i="25"/>
  <c r="BF473" i="25"/>
  <c r="AW473" i="25"/>
  <c r="AX472" i="25"/>
  <c r="AY472" i="25"/>
  <c r="AZ472" i="25"/>
  <c r="BA471" i="25"/>
  <c r="AT472" i="25"/>
  <c r="AR473" i="25"/>
  <c r="AS472" i="25"/>
  <c r="AU472" i="25"/>
  <c r="AV471" i="25"/>
  <c r="AQ471" i="25"/>
  <c r="AM473" i="25"/>
  <c r="AN472" i="25"/>
  <c r="AO472" i="25"/>
  <c r="AP472" i="25"/>
  <c r="AL471" i="25"/>
  <c r="AJ472" i="25"/>
  <c r="AK472" i="25"/>
  <c r="AH473" i="25"/>
  <c r="AI472" i="25"/>
  <c r="AC473" i="25"/>
  <c r="AD472" i="25"/>
  <c r="AF472" i="25"/>
  <c r="AE472" i="25"/>
  <c r="AG471" i="25"/>
  <c r="Z472" i="25"/>
  <c r="AA472" i="25"/>
  <c r="X473" i="25"/>
  <c r="Y472" i="25"/>
  <c r="AB471" i="25"/>
  <c r="S475" i="25"/>
  <c r="T474" i="25"/>
  <c r="U474" i="25"/>
  <c r="V474" i="25"/>
  <c r="M522" i="36"/>
  <c r="L473" i="25" s="1"/>
  <c r="L522" i="36"/>
  <c r="K473" i="25" s="1"/>
  <c r="K522" i="36"/>
  <c r="J473" i="25" s="1"/>
  <c r="J523" i="36"/>
  <c r="I474" i="25" s="1"/>
  <c r="N521" i="36"/>
  <c r="M472" i="25" s="1"/>
  <c r="BF474" i="25" l="1"/>
  <c r="BB476" i="25"/>
  <c r="BC475" i="25"/>
  <c r="BE475" i="25"/>
  <c r="BD475" i="25"/>
  <c r="BA472" i="25"/>
  <c r="AZ473" i="25"/>
  <c r="AW474" i="25"/>
  <c r="AX473" i="25"/>
  <c r="AY473" i="25"/>
  <c r="AV472" i="25"/>
  <c r="AR474" i="25"/>
  <c r="AS473" i="25"/>
  <c r="AU473" i="25"/>
  <c r="AT473" i="25"/>
  <c r="AM474" i="25"/>
  <c r="AN473" i="25"/>
  <c r="AO473" i="25"/>
  <c r="AP473" i="25"/>
  <c r="AQ472" i="25"/>
  <c r="AL472" i="25"/>
  <c r="AK473" i="25"/>
  <c r="AJ473" i="25"/>
  <c r="AH474" i="25"/>
  <c r="AI473" i="25"/>
  <c r="AF473" i="25"/>
  <c r="AC474" i="25"/>
  <c r="AD473" i="25"/>
  <c r="AE473" i="25"/>
  <c r="AG472" i="25"/>
  <c r="AB472" i="25"/>
  <c r="X474" i="25"/>
  <c r="Y473" i="25"/>
  <c r="Z473" i="25"/>
  <c r="AA473" i="25"/>
  <c r="W474" i="25"/>
  <c r="U475" i="25"/>
  <c r="V475" i="25"/>
  <c r="T475" i="25"/>
  <c r="S476" i="25"/>
  <c r="N522" i="36"/>
  <c r="M473" i="25" s="1"/>
  <c r="L523" i="36"/>
  <c r="K474" i="25" s="1"/>
  <c r="M523" i="36"/>
  <c r="L474" i="25" s="1"/>
  <c r="J524" i="36"/>
  <c r="I475" i="25" s="1"/>
  <c r="K523" i="36"/>
  <c r="J474" i="25" s="1"/>
  <c r="BD476" i="25" l="1"/>
  <c r="BB477" i="25"/>
  <c r="BC476" i="25"/>
  <c r="BE476" i="25"/>
  <c r="BF475" i="25"/>
  <c r="AY474" i="25"/>
  <c r="AZ474" i="25"/>
  <c r="AX474" i="25"/>
  <c r="AW475" i="25"/>
  <c r="BA473" i="25"/>
  <c r="AT474" i="25"/>
  <c r="AU474" i="25"/>
  <c r="AS474" i="25"/>
  <c r="AR475" i="25"/>
  <c r="AV473" i="25"/>
  <c r="AQ473" i="25"/>
  <c r="AP474" i="25"/>
  <c r="AM475" i="25"/>
  <c r="AN474" i="25"/>
  <c r="AO474" i="25"/>
  <c r="AL473" i="25"/>
  <c r="AJ474" i="25"/>
  <c r="AK474" i="25"/>
  <c r="AH475" i="25"/>
  <c r="AI474" i="25"/>
  <c r="AE474" i="25"/>
  <c r="AC475" i="25"/>
  <c r="AD474" i="25"/>
  <c r="AF474" i="25"/>
  <c r="AG473" i="25"/>
  <c r="AB473" i="25"/>
  <c r="X475" i="25"/>
  <c r="Y474" i="25"/>
  <c r="Z474" i="25"/>
  <c r="AA474" i="25"/>
  <c r="W475" i="25"/>
  <c r="V476" i="25"/>
  <c r="U476" i="25"/>
  <c r="S477" i="25"/>
  <c r="T476" i="25"/>
  <c r="N523" i="36"/>
  <c r="M474" i="25" s="1"/>
  <c r="J525" i="36"/>
  <c r="I476" i="25" s="1"/>
  <c r="K524" i="36"/>
  <c r="J475" i="25" s="1"/>
  <c r="L524" i="36"/>
  <c r="K475" i="25" s="1"/>
  <c r="M524" i="36"/>
  <c r="L475" i="25" s="1"/>
  <c r="BF476" i="25" l="1"/>
  <c r="BE477" i="25"/>
  <c r="BB478" i="25"/>
  <c r="BC477" i="25"/>
  <c r="BD477" i="25"/>
  <c r="BA474" i="25"/>
  <c r="AW476" i="25"/>
  <c r="AX475" i="25"/>
  <c r="AY475" i="25"/>
  <c r="AZ475" i="25"/>
  <c r="AV474" i="25"/>
  <c r="AU475" i="25"/>
  <c r="AR476" i="25"/>
  <c r="AS475" i="25"/>
  <c r="AT475" i="25"/>
  <c r="AO475" i="25"/>
  <c r="AP475" i="25"/>
  <c r="AN475" i="25"/>
  <c r="AM476" i="25"/>
  <c r="AQ474" i="25"/>
  <c r="AL474" i="25"/>
  <c r="AH476" i="25"/>
  <c r="AI475" i="25"/>
  <c r="AK475" i="25"/>
  <c r="AJ475" i="25"/>
  <c r="AG474" i="25"/>
  <c r="AC476" i="25"/>
  <c r="AD475" i="25"/>
  <c r="AE475" i="25"/>
  <c r="AF475" i="25"/>
  <c r="AB474" i="25"/>
  <c r="AA475" i="25"/>
  <c r="X476" i="25"/>
  <c r="Y475" i="25"/>
  <c r="Z475" i="25"/>
  <c r="W476" i="25"/>
  <c r="U477" i="25"/>
  <c r="V477" i="25"/>
  <c r="T477" i="25"/>
  <c r="S478" i="25"/>
  <c r="N524" i="36"/>
  <c r="M475" i="25" s="1"/>
  <c r="J526" i="36"/>
  <c r="I477" i="25" s="1"/>
  <c r="K525" i="36"/>
  <c r="J476" i="25" s="1"/>
  <c r="M525" i="36"/>
  <c r="L476" i="25" s="1"/>
  <c r="L525" i="36"/>
  <c r="K476" i="25" s="1"/>
  <c r="BD478" i="25" l="1"/>
  <c r="BE478" i="25"/>
  <c r="BC478" i="25"/>
  <c r="BB479" i="25"/>
  <c r="BF477" i="25"/>
  <c r="AW477" i="25"/>
  <c r="AX476" i="25"/>
  <c r="AY476" i="25"/>
  <c r="AZ476" i="25"/>
  <c r="BA475" i="25"/>
  <c r="AT476" i="25"/>
  <c r="AR477" i="25"/>
  <c r="AS476" i="25"/>
  <c r="AU476" i="25"/>
  <c r="AV475" i="25"/>
  <c r="AQ475" i="25"/>
  <c r="AM477" i="25"/>
  <c r="AN476" i="25"/>
  <c r="AO476" i="25"/>
  <c r="AP476" i="25"/>
  <c r="AL475" i="25"/>
  <c r="AK476" i="25"/>
  <c r="AH477" i="25"/>
  <c r="AI476" i="25"/>
  <c r="AJ476" i="25"/>
  <c r="AG475" i="25"/>
  <c r="AD476" i="25"/>
  <c r="AE476" i="25"/>
  <c r="AC477" i="25"/>
  <c r="AF476" i="25"/>
  <c r="Z476" i="25"/>
  <c r="AA476" i="25"/>
  <c r="Y476" i="25"/>
  <c r="X477" i="25"/>
  <c r="AB475" i="25"/>
  <c r="S479" i="25"/>
  <c r="T478" i="25"/>
  <c r="V478" i="25"/>
  <c r="U478" i="25"/>
  <c r="W477" i="25"/>
  <c r="M526" i="36"/>
  <c r="L477" i="25" s="1"/>
  <c r="L526" i="36"/>
  <c r="K477" i="25" s="1"/>
  <c r="K526" i="36"/>
  <c r="J477" i="25" s="1"/>
  <c r="J527" i="36"/>
  <c r="I478" i="25" s="1"/>
  <c r="N525" i="36"/>
  <c r="M476" i="25" s="1"/>
  <c r="BF478" i="25" l="1"/>
  <c r="BB480" i="25"/>
  <c r="BC479" i="25"/>
  <c r="BE479" i="25"/>
  <c r="BD479" i="25"/>
  <c r="BA476" i="25"/>
  <c r="AZ477" i="25"/>
  <c r="AW478" i="25"/>
  <c r="AX477" i="25"/>
  <c r="AY477" i="25"/>
  <c r="AV476" i="25"/>
  <c r="AR478" i="25"/>
  <c r="AS477" i="25"/>
  <c r="AU477" i="25"/>
  <c r="AT477" i="25"/>
  <c r="AQ476" i="25"/>
  <c r="AM478" i="25"/>
  <c r="AN477" i="25"/>
  <c r="AO477" i="25"/>
  <c r="AP477" i="25"/>
  <c r="AK477" i="25"/>
  <c r="AH478" i="25"/>
  <c r="AI477" i="25"/>
  <c r="AJ477" i="25"/>
  <c r="AL476" i="25"/>
  <c r="AG476" i="25"/>
  <c r="AF477" i="25"/>
  <c r="AD477" i="25"/>
  <c r="AE477" i="25"/>
  <c r="AC478" i="25"/>
  <c r="AB476" i="25"/>
  <c r="X478" i="25"/>
  <c r="Y477" i="25"/>
  <c r="Z477" i="25"/>
  <c r="AA477" i="25"/>
  <c r="V479" i="25"/>
  <c r="S480" i="25"/>
  <c r="T479" i="25"/>
  <c r="U479" i="25"/>
  <c r="W478" i="25"/>
  <c r="N526" i="36"/>
  <c r="M477" i="25" s="1"/>
  <c r="L527" i="36"/>
  <c r="K478" i="25" s="1"/>
  <c r="M527" i="36"/>
  <c r="L478" i="25" s="1"/>
  <c r="J528" i="36"/>
  <c r="I479" i="25" s="1"/>
  <c r="K527" i="36"/>
  <c r="J478" i="25" s="1"/>
  <c r="BD480" i="25" l="1"/>
  <c r="BC480" i="25"/>
  <c r="BB481" i="25"/>
  <c r="BE480" i="25"/>
  <c r="BF479" i="25"/>
  <c r="AY478" i="25"/>
  <c r="AZ478" i="25"/>
  <c r="AX478" i="25"/>
  <c r="AW479" i="25"/>
  <c r="BA477" i="25"/>
  <c r="AT478" i="25"/>
  <c r="AU478" i="25"/>
  <c r="AS478" i="25"/>
  <c r="AR479" i="25"/>
  <c r="AV477" i="25"/>
  <c r="AQ477" i="25"/>
  <c r="AP478" i="25"/>
  <c r="AM479" i="25"/>
  <c r="AN478" i="25"/>
  <c r="AO478" i="25"/>
  <c r="AJ478" i="25"/>
  <c r="AH479" i="25"/>
  <c r="AI478" i="25"/>
  <c r="AK478" i="25"/>
  <c r="AL477" i="25"/>
  <c r="AG477" i="25"/>
  <c r="AE478" i="25"/>
  <c r="AD478" i="25"/>
  <c r="AF478" i="25"/>
  <c r="AC479" i="25"/>
  <c r="AB477" i="25"/>
  <c r="X479" i="25"/>
  <c r="Y478" i="25"/>
  <c r="Z478" i="25"/>
  <c r="AA478" i="25"/>
  <c r="V480" i="25"/>
  <c r="S481" i="25"/>
  <c r="U480" i="25"/>
  <c r="T480" i="25"/>
  <c r="W479" i="25"/>
  <c r="N527" i="36"/>
  <c r="M478" i="25" s="1"/>
  <c r="J529" i="36"/>
  <c r="I480" i="25" s="1"/>
  <c r="K528" i="36"/>
  <c r="J479" i="25" s="1"/>
  <c r="L528" i="36"/>
  <c r="K479" i="25" s="1"/>
  <c r="M528" i="36"/>
  <c r="L479" i="25" s="1"/>
  <c r="BF480" i="25" l="1"/>
  <c r="BE481" i="25"/>
  <c r="BB482" i="25"/>
  <c r="BC481" i="25"/>
  <c r="BD481" i="25"/>
  <c r="BA478" i="25"/>
  <c r="AW480" i="25"/>
  <c r="AX479" i="25"/>
  <c r="AY479" i="25"/>
  <c r="AZ479" i="25"/>
  <c r="AV478" i="25"/>
  <c r="AU479" i="25"/>
  <c r="AR480" i="25"/>
  <c r="AS479" i="25"/>
  <c r="AT479" i="25"/>
  <c r="AO479" i="25"/>
  <c r="AP479" i="25"/>
  <c r="AN479" i="25"/>
  <c r="AM480" i="25"/>
  <c r="AQ478" i="25"/>
  <c r="AL478" i="25"/>
  <c r="AH480" i="25"/>
  <c r="AI479" i="25"/>
  <c r="AJ479" i="25"/>
  <c r="AK479" i="25"/>
  <c r="AG478" i="25"/>
  <c r="AC480" i="25"/>
  <c r="AD479" i="25"/>
  <c r="AE479" i="25"/>
  <c r="AF479" i="25"/>
  <c r="AB478" i="25"/>
  <c r="AA479" i="25"/>
  <c r="Y479" i="25"/>
  <c r="Z479" i="25"/>
  <c r="X480" i="25"/>
  <c r="U481" i="25"/>
  <c r="S482" i="25"/>
  <c r="T481" i="25"/>
  <c r="V481" i="25"/>
  <c r="W480" i="25"/>
  <c r="N528" i="36"/>
  <c r="M479" i="25" s="1"/>
  <c r="J530" i="36"/>
  <c r="I481" i="25" s="1"/>
  <c r="K529" i="36"/>
  <c r="J480" i="25" s="1"/>
  <c r="M529" i="36"/>
  <c r="L480" i="25" s="1"/>
  <c r="L529" i="36"/>
  <c r="K480" i="25" s="1"/>
  <c r="BD482" i="25" l="1"/>
  <c r="BE482" i="25"/>
  <c r="BB483" i="25"/>
  <c r="BC482" i="25"/>
  <c r="BF481" i="25"/>
  <c r="AW481" i="25"/>
  <c r="AX480" i="25"/>
  <c r="AY480" i="25"/>
  <c r="AZ480" i="25"/>
  <c r="BA479" i="25"/>
  <c r="AT480" i="25"/>
  <c r="AR481" i="25"/>
  <c r="AS480" i="25"/>
  <c r="AU480" i="25"/>
  <c r="AV479" i="25"/>
  <c r="AQ479" i="25"/>
  <c r="AM481" i="25"/>
  <c r="AN480" i="25"/>
  <c r="AO480" i="25"/>
  <c r="AP480" i="25"/>
  <c r="AL479" i="25"/>
  <c r="AH481" i="25"/>
  <c r="AI480" i="25"/>
  <c r="AJ480" i="25"/>
  <c r="AK480" i="25"/>
  <c r="AE480" i="25"/>
  <c r="AF480" i="25"/>
  <c r="AD480" i="25"/>
  <c r="AC481" i="25"/>
  <c r="AG479" i="25"/>
  <c r="AB479" i="25"/>
  <c r="Z480" i="25"/>
  <c r="AA480" i="25"/>
  <c r="X481" i="25"/>
  <c r="Y480" i="25"/>
  <c r="W481" i="25"/>
  <c r="S483" i="25"/>
  <c r="T482" i="25"/>
  <c r="U482" i="25"/>
  <c r="V482" i="25"/>
  <c r="M530" i="36"/>
  <c r="L481" i="25" s="1"/>
  <c r="L530" i="36"/>
  <c r="K481" i="25" s="1"/>
  <c r="K530" i="36"/>
  <c r="J481" i="25" s="1"/>
  <c r="J531" i="36"/>
  <c r="I482" i="25" s="1"/>
  <c r="N529" i="36"/>
  <c r="M480" i="25" s="1"/>
  <c r="BF482" i="25" l="1"/>
  <c r="BB484" i="25"/>
  <c r="BC483" i="25"/>
  <c r="BE483" i="25"/>
  <c r="BD483" i="25"/>
  <c r="BA480" i="25"/>
  <c r="AZ481" i="25"/>
  <c r="AW482" i="25"/>
  <c r="AX481" i="25"/>
  <c r="AY481" i="25"/>
  <c r="AV480" i="25"/>
  <c r="AR482" i="25"/>
  <c r="AS481" i="25"/>
  <c r="AU481" i="25"/>
  <c r="AT481" i="25"/>
  <c r="AQ480" i="25"/>
  <c r="AM482" i="25"/>
  <c r="AN481" i="25"/>
  <c r="AO481" i="25"/>
  <c r="AP481" i="25"/>
  <c r="AL480" i="25"/>
  <c r="AK481" i="25"/>
  <c r="AH482" i="25"/>
  <c r="AI481" i="25"/>
  <c r="AJ481" i="25"/>
  <c r="AG480" i="25"/>
  <c r="AF481" i="25"/>
  <c r="AE481" i="25"/>
  <c r="AD481" i="25"/>
  <c r="AC482" i="25"/>
  <c r="AB480" i="25"/>
  <c r="X482" i="25"/>
  <c r="Y481" i="25"/>
  <c r="Z481" i="25"/>
  <c r="AA481" i="25"/>
  <c r="W482" i="25"/>
  <c r="S484" i="25"/>
  <c r="T483" i="25"/>
  <c r="U483" i="25"/>
  <c r="V483" i="25"/>
  <c r="N530" i="36"/>
  <c r="M481" i="25" s="1"/>
  <c r="L531" i="36"/>
  <c r="K482" i="25" s="1"/>
  <c r="M531" i="36"/>
  <c r="L482" i="25" s="1"/>
  <c r="J532" i="36"/>
  <c r="I483" i="25" s="1"/>
  <c r="K531" i="36"/>
  <c r="J482" i="25" s="1"/>
  <c r="BD484" i="25" l="1"/>
  <c r="BB485" i="25"/>
  <c r="BC484" i="25"/>
  <c r="BE484" i="25"/>
  <c r="BF483" i="25"/>
  <c r="AY482" i="25"/>
  <c r="AZ482" i="25"/>
  <c r="AX482" i="25"/>
  <c r="AW483" i="25"/>
  <c r="BA481" i="25"/>
  <c r="AV481" i="25"/>
  <c r="AT482" i="25"/>
  <c r="AU482" i="25"/>
  <c r="AR483" i="25"/>
  <c r="AS482" i="25"/>
  <c r="AQ481" i="25"/>
  <c r="AP482" i="25"/>
  <c r="AM483" i="25"/>
  <c r="AN482" i="25"/>
  <c r="AO482" i="25"/>
  <c r="AJ482" i="25"/>
  <c r="AH483" i="25"/>
  <c r="AI482" i="25"/>
  <c r="AK482" i="25"/>
  <c r="AL481" i="25"/>
  <c r="AE482" i="25"/>
  <c r="AF482" i="25"/>
  <c r="AD482" i="25"/>
  <c r="AC483" i="25"/>
  <c r="AG481" i="25"/>
  <c r="AB481" i="25"/>
  <c r="X483" i="25"/>
  <c r="Y482" i="25"/>
  <c r="Z482" i="25"/>
  <c r="AA482" i="25"/>
  <c r="W483" i="25"/>
  <c r="V484" i="25"/>
  <c r="S485" i="25"/>
  <c r="T484" i="25"/>
  <c r="U484" i="25"/>
  <c r="N531" i="36"/>
  <c r="M482" i="25" s="1"/>
  <c r="J533" i="36"/>
  <c r="I484" i="25" s="1"/>
  <c r="K532" i="36"/>
  <c r="J483" i="25" s="1"/>
  <c r="L532" i="36"/>
  <c r="K483" i="25" s="1"/>
  <c r="M532" i="36"/>
  <c r="L483" i="25" s="1"/>
  <c r="BF484" i="25" l="1"/>
  <c r="BE485" i="25"/>
  <c r="BB486" i="25"/>
  <c r="BC485" i="25"/>
  <c r="BD485" i="25"/>
  <c r="BA482" i="25"/>
  <c r="AW484" i="25"/>
  <c r="AX483" i="25"/>
  <c r="AY483" i="25"/>
  <c r="AZ483" i="25"/>
  <c r="AV482" i="25"/>
  <c r="AU483" i="25"/>
  <c r="AR484" i="25"/>
  <c r="AS483" i="25"/>
  <c r="AT483" i="25"/>
  <c r="AO483" i="25"/>
  <c r="AP483" i="25"/>
  <c r="AN483" i="25"/>
  <c r="AM484" i="25"/>
  <c r="AQ482" i="25"/>
  <c r="AL482" i="25"/>
  <c r="AH484" i="25"/>
  <c r="AI483" i="25"/>
  <c r="AJ483" i="25"/>
  <c r="AK483" i="25"/>
  <c r="AG482" i="25"/>
  <c r="AC484" i="25"/>
  <c r="AD483" i="25"/>
  <c r="AF483" i="25"/>
  <c r="AE483" i="25"/>
  <c r="AB482" i="25"/>
  <c r="AA483" i="25"/>
  <c r="X484" i="25"/>
  <c r="Y483" i="25"/>
  <c r="Z483" i="25"/>
  <c r="S486" i="25"/>
  <c r="U485" i="25"/>
  <c r="T485" i="25"/>
  <c r="V485" i="25"/>
  <c r="W484" i="25"/>
  <c r="J534" i="36"/>
  <c r="I485" i="25" s="1"/>
  <c r="K533" i="36"/>
  <c r="J484" i="25" s="1"/>
  <c r="M533" i="36"/>
  <c r="L484" i="25" s="1"/>
  <c r="L533" i="36"/>
  <c r="K484" i="25" s="1"/>
  <c r="N532" i="36"/>
  <c r="M483" i="25" s="1"/>
  <c r="W485" i="25" l="1"/>
  <c r="BD486" i="25"/>
  <c r="BE486" i="25"/>
  <c r="BC486" i="25"/>
  <c r="BB487" i="25"/>
  <c r="BF485" i="25"/>
  <c r="BA483" i="25"/>
  <c r="AW485" i="25"/>
  <c r="AX484" i="25"/>
  <c r="AY484" i="25"/>
  <c r="AZ484" i="25"/>
  <c r="AT484" i="25"/>
  <c r="AR485" i="25"/>
  <c r="AS484" i="25"/>
  <c r="AU484" i="25"/>
  <c r="AV483" i="25"/>
  <c r="AQ483" i="25"/>
  <c r="AM485" i="25"/>
  <c r="AN484" i="25"/>
  <c r="AO484" i="25"/>
  <c r="AP484" i="25"/>
  <c r="AL483" i="25"/>
  <c r="AI484" i="25"/>
  <c r="AJ484" i="25"/>
  <c r="AK484" i="25"/>
  <c r="AH485" i="25"/>
  <c r="AF484" i="25"/>
  <c r="AC485" i="25"/>
  <c r="AE484" i="25"/>
  <c r="AD484" i="25"/>
  <c r="AG483" i="25"/>
  <c r="Z484" i="25"/>
  <c r="AA484" i="25"/>
  <c r="Y484" i="25"/>
  <c r="X485" i="25"/>
  <c r="AB483" i="25"/>
  <c r="S487" i="25"/>
  <c r="T486" i="25"/>
  <c r="U486" i="25"/>
  <c r="V486" i="25"/>
  <c r="M534" i="36"/>
  <c r="L485" i="25" s="1"/>
  <c r="L534" i="36"/>
  <c r="K485" i="25" s="1"/>
  <c r="J535" i="36"/>
  <c r="I486" i="25" s="1"/>
  <c r="K534" i="36"/>
  <c r="J485" i="25" s="1"/>
  <c r="N533" i="36"/>
  <c r="M484" i="25" s="1"/>
  <c r="BF486" i="25" l="1"/>
  <c r="BB488" i="25"/>
  <c r="BC487" i="25"/>
  <c r="BE487" i="25"/>
  <c r="BD487" i="25"/>
  <c r="AZ485" i="25"/>
  <c r="AW486" i="25"/>
  <c r="AX485" i="25"/>
  <c r="AY485" i="25"/>
  <c r="BA484" i="25"/>
  <c r="AV484" i="25"/>
  <c r="AR486" i="25"/>
  <c r="AS485" i="25"/>
  <c r="AU485" i="25"/>
  <c r="AT485" i="25"/>
  <c r="AM486" i="25"/>
  <c r="AN485" i="25"/>
  <c r="AO485" i="25"/>
  <c r="AP485" i="25"/>
  <c r="AQ484" i="25"/>
  <c r="AL484" i="25"/>
  <c r="AK485" i="25"/>
  <c r="AI485" i="25"/>
  <c r="AJ485" i="25"/>
  <c r="AH486" i="25"/>
  <c r="AG484" i="25"/>
  <c r="AF485" i="25"/>
  <c r="AC486" i="25"/>
  <c r="AE485" i="25"/>
  <c r="AD485" i="25"/>
  <c r="AB484" i="25"/>
  <c r="X486" i="25"/>
  <c r="Y485" i="25"/>
  <c r="Z485" i="25"/>
  <c r="AA485" i="25"/>
  <c r="W486" i="25"/>
  <c r="V487" i="25"/>
  <c r="S488" i="25"/>
  <c r="U487" i="25"/>
  <c r="T487" i="25"/>
  <c r="L535" i="36"/>
  <c r="K486" i="25" s="1"/>
  <c r="M535" i="36"/>
  <c r="L486" i="25" s="1"/>
  <c r="J536" i="36"/>
  <c r="I487" i="25" s="1"/>
  <c r="K535" i="36"/>
  <c r="J486" i="25" s="1"/>
  <c r="N534" i="36"/>
  <c r="M485" i="25" s="1"/>
  <c r="BD488" i="25" l="1"/>
  <c r="BC488" i="25"/>
  <c r="BB489" i="25"/>
  <c r="BE488" i="25"/>
  <c r="BF487" i="25"/>
  <c r="AY486" i="25"/>
  <c r="AZ486" i="25"/>
  <c r="AW487" i="25"/>
  <c r="AX486" i="25"/>
  <c r="BA485" i="25"/>
  <c r="AV485" i="25"/>
  <c r="AT486" i="25"/>
  <c r="AU486" i="25"/>
  <c r="AR487" i="25"/>
  <c r="AS486" i="25"/>
  <c r="AQ485" i="25"/>
  <c r="AP486" i="25"/>
  <c r="AM487" i="25"/>
  <c r="AN486" i="25"/>
  <c r="AO486" i="25"/>
  <c r="AL485" i="25"/>
  <c r="AJ486" i="25"/>
  <c r="AI486" i="25"/>
  <c r="AK486" i="25"/>
  <c r="AH487" i="25"/>
  <c r="AG485" i="25"/>
  <c r="AE486" i="25"/>
  <c r="AC487" i="25"/>
  <c r="AF486" i="25"/>
  <c r="AD486" i="25"/>
  <c r="AB485" i="25"/>
  <c r="X487" i="25"/>
  <c r="Y486" i="25"/>
  <c r="Z486" i="25"/>
  <c r="AA486" i="25"/>
  <c r="U488" i="25"/>
  <c r="V488" i="25"/>
  <c r="T488" i="25"/>
  <c r="S489" i="25"/>
  <c r="W487" i="25"/>
  <c r="N535" i="36"/>
  <c r="M486" i="25" s="1"/>
  <c r="J537" i="36"/>
  <c r="I488" i="25" s="1"/>
  <c r="K536" i="36"/>
  <c r="J487" i="25" s="1"/>
  <c r="L536" i="36"/>
  <c r="K487" i="25" s="1"/>
  <c r="M536" i="36"/>
  <c r="L487" i="25" s="1"/>
  <c r="BF488" i="25" l="1"/>
  <c r="BE489" i="25"/>
  <c r="BB490" i="25"/>
  <c r="BC489" i="25"/>
  <c r="BD489" i="25"/>
  <c r="BA486" i="25"/>
  <c r="AW488" i="25"/>
  <c r="AX487" i="25"/>
  <c r="AY487" i="25"/>
  <c r="AZ487" i="25"/>
  <c r="AV486" i="25"/>
  <c r="AU487" i="25"/>
  <c r="AR488" i="25"/>
  <c r="AS487" i="25"/>
  <c r="AT487" i="25"/>
  <c r="AO487" i="25"/>
  <c r="AP487" i="25"/>
  <c r="AM488" i="25"/>
  <c r="AN487" i="25"/>
  <c r="AQ486" i="25"/>
  <c r="AL486" i="25"/>
  <c r="AH488" i="25"/>
  <c r="AI487" i="25"/>
  <c r="AJ487" i="25"/>
  <c r="AK487" i="25"/>
  <c r="AG486" i="25"/>
  <c r="AC488" i="25"/>
  <c r="AD487" i="25"/>
  <c r="AF487" i="25"/>
  <c r="AE487" i="25"/>
  <c r="AB486" i="25"/>
  <c r="AA487" i="25"/>
  <c r="Y487" i="25"/>
  <c r="X488" i="25"/>
  <c r="Z487" i="25"/>
  <c r="W488" i="25"/>
  <c r="S490" i="25"/>
  <c r="T489" i="25"/>
  <c r="U489" i="25"/>
  <c r="V489" i="25"/>
  <c r="J538" i="36"/>
  <c r="I489" i="25" s="1"/>
  <c r="K537" i="36"/>
  <c r="J488" i="25" s="1"/>
  <c r="M537" i="36"/>
  <c r="L488" i="25" s="1"/>
  <c r="L537" i="36"/>
  <c r="K488" i="25" s="1"/>
  <c r="N536" i="36"/>
  <c r="M487" i="25" s="1"/>
  <c r="BD490" i="25" l="1"/>
  <c r="BE490" i="25"/>
  <c r="BB491" i="25"/>
  <c r="BC490" i="25"/>
  <c r="BF489" i="25"/>
  <c r="AW489" i="25"/>
  <c r="AX488" i="25"/>
  <c r="AY488" i="25"/>
  <c r="AZ488" i="25"/>
  <c r="BA487" i="25"/>
  <c r="AT488" i="25"/>
  <c r="AR489" i="25"/>
  <c r="AS488" i="25"/>
  <c r="AU488" i="25"/>
  <c r="AV487" i="25"/>
  <c r="AQ487" i="25"/>
  <c r="AM489" i="25"/>
  <c r="AN488" i="25"/>
  <c r="AO488" i="25"/>
  <c r="AP488" i="25"/>
  <c r="AJ488" i="25"/>
  <c r="AK488" i="25"/>
  <c r="AH489" i="25"/>
  <c r="AI488" i="25"/>
  <c r="AL487" i="25"/>
  <c r="AC489" i="25"/>
  <c r="AD488" i="25"/>
  <c r="AF488" i="25"/>
  <c r="AE488" i="25"/>
  <c r="AG487" i="25"/>
  <c r="Z488" i="25"/>
  <c r="AA488" i="25"/>
  <c r="X489" i="25"/>
  <c r="Y488" i="25"/>
  <c r="AB487" i="25"/>
  <c r="W489" i="25"/>
  <c r="S491" i="25"/>
  <c r="T490" i="25"/>
  <c r="U490" i="25"/>
  <c r="V490" i="25"/>
  <c r="M538" i="36"/>
  <c r="L489" i="25" s="1"/>
  <c r="L538" i="36"/>
  <c r="K489" i="25" s="1"/>
  <c r="K538" i="36"/>
  <c r="J489" i="25" s="1"/>
  <c r="J539" i="36"/>
  <c r="I490" i="25" s="1"/>
  <c r="N537" i="36"/>
  <c r="M488" i="25" s="1"/>
  <c r="BF490" i="25" l="1"/>
  <c r="BB492" i="25"/>
  <c r="BC491" i="25"/>
  <c r="BE491" i="25"/>
  <c r="BD491" i="25"/>
  <c r="AZ489" i="25"/>
  <c r="AW490" i="25"/>
  <c r="AX489" i="25"/>
  <c r="AY489" i="25"/>
  <c r="BA488" i="25"/>
  <c r="AV488" i="25"/>
  <c r="AR490" i="25"/>
  <c r="AS489" i="25"/>
  <c r="AU489" i="25"/>
  <c r="AT489" i="25"/>
  <c r="AQ488" i="25"/>
  <c r="AM490" i="25"/>
  <c r="AN489" i="25"/>
  <c r="AO489" i="25"/>
  <c r="AP489" i="25"/>
  <c r="AL488" i="25"/>
  <c r="AK489" i="25"/>
  <c r="AJ489" i="25"/>
  <c r="AH490" i="25"/>
  <c r="AI489" i="25"/>
  <c r="AF489" i="25"/>
  <c r="AC490" i="25"/>
  <c r="AD489" i="25"/>
  <c r="AE489" i="25"/>
  <c r="AG488" i="25"/>
  <c r="AB488" i="25"/>
  <c r="X490" i="25"/>
  <c r="Y489" i="25"/>
  <c r="Z489" i="25"/>
  <c r="AA489" i="25"/>
  <c r="W490" i="25"/>
  <c r="V491" i="25"/>
  <c r="T491" i="25"/>
  <c r="U491" i="25"/>
  <c r="S492" i="25"/>
  <c r="N538" i="36"/>
  <c r="M489" i="25" s="1"/>
  <c r="L539" i="36"/>
  <c r="K490" i="25" s="1"/>
  <c r="M539" i="36"/>
  <c r="L490" i="25" s="1"/>
  <c r="J540" i="36"/>
  <c r="I491" i="25" s="1"/>
  <c r="K539" i="36"/>
  <c r="J490" i="25" s="1"/>
  <c r="BD492" i="25" l="1"/>
  <c r="BB493" i="25"/>
  <c r="BC492" i="25"/>
  <c r="BE492" i="25"/>
  <c r="BF491" i="25"/>
  <c r="AY490" i="25"/>
  <c r="AZ490" i="25"/>
  <c r="AX490" i="25"/>
  <c r="AW491" i="25"/>
  <c r="BA489" i="25"/>
  <c r="AT490" i="25"/>
  <c r="AU490" i="25"/>
  <c r="AS490" i="25"/>
  <c r="AR491" i="25"/>
  <c r="AV489" i="25"/>
  <c r="AQ489" i="25"/>
  <c r="AP490" i="25"/>
  <c r="AM491" i="25"/>
  <c r="AN490" i="25"/>
  <c r="AO490" i="25"/>
  <c r="AL489" i="25"/>
  <c r="AJ490" i="25"/>
  <c r="AK490" i="25"/>
  <c r="AH491" i="25"/>
  <c r="AI490" i="25"/>
  <c r="AE490" i="25"/>
  <c r="AC491" i="25"/>
  <c r="AD490" i="25"/>
  <c r="AF490" i="25"/>
  <c r="AG489" i="25"/>
  <c r="AB489" i="25"/>
  <c r="X491" i="25"/>
  <c r="Y490" i="25"/>
  <c r="Z490" i="25"/>
  <c r="AA490" i="25"/>
  <c r="W491" i="25"/>
  <c r="U492" i="25"/>
  <c r="V492" i="25"/>
  <c r="S493" i="25"/>
  <c r="T492" i="25"/>
  <c r="N539" i="36"/>
  <c r="M490" i="25" s="1"/>
  <c r="J541" i="36"/>
  <c r="I492" i="25" s="1"/>
  <c r="K540" i="36"/>
  <c r="J491" i="25" s="1"/>
  <c r="L540" i="36"/>
  <c r="K491" i="25" s="1"/>
  <c r="M540" i="36"/>
  <c r="L491" i="25" s="1"/>
  <c r="BF492" i="25" l="1"/>
  <c r="BE493" i="25"/>
  <c r="BB494" i="25"/>
  <c r="BC493" i="25"/>
  <c r="BD493" i="25"/>
  <c r="BA490" i="25"/>
  <c r="AW492" i="25"/>
  <c r="AX491" i="25"/>
  <c r="AY491" i="25"/>
  <c r="AZ491" i="25"/>
  <c r="AV490" i="25"/>
  <c r="AU491" i="25"/>
  <c r="AR492" i="25"/>
  <c r="AS491" i="25"/>
  <c r="AT491" i="25"/>
  <c r="AO491" i="25"/>
  <c r="AP491" i="25"/>
  <c r="AN491" i="25"/>
  <c r="AM492" i="25"/>
  <c r="AQ490" i="25"/>
  <c r="AL490" i="25"/>
  <c r="AH492" i="25"/>
  <c r="AI491" i="25"/>
  <c r="AK491" i="25"/>
  <c r="AJ491" i="25"/>
  <c r="AG490" i="25"/>
  <c r="AC492" i="25"/>
  <c r="AD491" i="25"/>
  <c r="AE491" i="25"/>
  <c r="AF491" i="25"/>
  <c r="AB490" i="25"/>
  <c r="AA491" i="25"/>
  <c r="X492" i="25"/>
  <c r="Y491" i="25"/>
  <c r="Z491" i="25"/>
  <c r="W492" i="25"/>
  <c r="S494" i="25"/>
  <c r="T493" i="25"/>
  <c r="U493" i="25"/>
  <c r="V493" i="25"/>
  <c r="N540" i="36"/>
  <c r="M491" i="25" s="1"/>
  <c r="J542" i="36"/>
  <c r="I493" i="25" s="1"/>
  <c r="K541" i="36"/>
  <c r="J492" i="25" s="1"/>
  <c r="M541" i="36"/>
  <c r="L492" i="25" s="1"/>
  <c r="L541" i="36"/>
  <c r="K492" i="25" s="1"/>
  <c r="AL491" i="25" l="1"/>
  <c r="BD494" i="25"/>
  <c r="BE494" i="25"/>
  <c r="BC494" i="25"/>
  <c r="BB495" i="25"/>
  <c r="BF493" i="25"/>
  <c r="BA491" i="25"/>
  <c r="AW493" i="25"/>
  <c r="AX492" i="25"/>
  <c r="AY492" i="25"/>
  <c r="AZ492" i="25"/>
  <c r="AT492" i="25"/>
  <c r="AR493" i="25"/>
  <c r="AS492" i="25"/>
  <c r="AU492" i="25"/>
  <c r="AV491" i="25"/>
  <c r="AQ491" i="25"/>
  <c r="AM493" i="25"/>
  <c r="AN492" i="25"/>
  <c r="AO492" i="25"/>
  <c r="AP492" i="25"/>
  <c r="AK492" i="25"/>
  <c r="AH493" i="25"/>
  <c r="AI492" i="25"/>
  <c r="AJ492" i="25"/>
  <c r="AG491" i="25"/>
  <c r="AD492" i="25"/>
  <c r="AE492" i="25"/>
  <c r="AC493" i="25"/>
  <c r="AF492" i="25"/>
  <c r="Z492" i="25"/>
  <c r="AA492" i="25"/>
  <c r="Y492" i="25"/>
  <c r="X493" i="25"/>
  <c r="AB491" i="25"/>
  <c r="W493" i="25"/>
  <c r="S495" i="25"/>
  <c r="T494" i="25"/>
  <c r="U494" i="25"/>
  <c r="V494" i="25"/>
  <c r="N541" i="36"/>
  <c r="M492" i="25" s="1"/>
  <c r="M542" i="36"/>
  <c r="L493" i="25" s="1"/>
  <c r="L542" i="36"/>
  <c r="K493" i="25" s="1"/>
  <c r="J543" i="36"/>
  <c r="I494" i="25" s="1"/>
  <c r="K542" i="36"/>
  <c r="J493" i="25" s="1"/>
  <c r="BF494" i="25" l="1"/>
  <c r="BB496" i="25"/>
  <c r="BC495" i="25"/>
  <c r="BE495" i="25"/>
  <c r="BD495" i="25"/>
  <c r="BA492" i="25"/>
  <c r="AZ493" i="25"/>
  <c r="AW494" i="25"/>
  <c r="AX493" i="25"/>
  <c r="AY493" i="25"/>
  <c r="AV492" i="25"/>
  <c r="AR494" i="25"/>
  <c r="AS493" i="25"/>
  <c r="AU493" i="25"/>
  <c r="AT493" i="25"/>
  <c r="AQ492" i="25"/>
  <c r="AM494" i="25"/>
  <c r="AN493" i="25"/>
  <c r="AO493" i="25"/>
  <c r="AP493" i="25"/>
  <c r="AK493" i="25"/>
  <c r="AH494" i="25"/>
  <c r="AI493" i="25"/>
  <c r="AJ493" i="25"/>
  <c r="AL492" i="25"/>
  <c r="AG492" i="25"/>
  <c r="AF493" i="25"/>
  <c r="AD493" i="25"/>
  <c r="AE493" i="25"/>
  <c r="AC494" i="25"/>
  <c r="AB492" i="25"/>
  <c r="X494" i="25"/>
  <c r="Y493" i="25"/>
  <c r="Z493" i="25"/>
  <c r="AA493" i="25"/>
  <c r="W494" i="25"/>
  <c r="V495" i="25"/>
  <c r="S496" i="25"/>
  <c r="T495" i="25"/>
  <c r="U495" i="25"/>
  <c r="L543" i="36"/>
  <c r="K494" i="25" s="1"/>
  <c r="M543" i="36"/>
  <c r="L494" i="25" s="1"/>
  <c r="J544" i="36"/>
  <c r="I495" i="25" s="1"/>
  <c r="K543" i="36"/>
  <c r="J494" i="25" s="1"/>
  <c r="N542" i="36"/>
  <c r="M493" i="25" s="1"/>
  <c r="BD496" i="25" l="1"/>
  <c r="BC496" i="25"/>
  <c r="BB497" i="25"/>
  <c r="BE496" i="25"/>
  <c r="BF495" i="25"/>
  <c r="AY494" i="25"/>
  <c r="AZ494" i="25"/>
  <c r="AX494" i="25"/>
  <c r="AW495" i="25"/>
  <c r="BA493" i="25"/>
  <c r="AV493" i="25"/>
  <c r="AT494" i="25"/>
  <c r="AU494" i="25"/>
  <c r="AS494" i="25"/>
  <c r="AR495" i="25"/>
  <c r="AQ493" i="25"/>
  <c r="AP494" i="25"/>
  <c r="AM495" i="25"/>
  <c r="AN494" i="25"/>
  <c r="AO494" i="25"/>
  <c r="AJ494" i="25"/>
  <c r="AH495" i="25"/>
  <c r="AI494" i="25"/>
  <c r="AK494" i="25"/>
  <c r="AL493" i="25"/>
  <c r="AG493" i="25"/>
  <c r="AE494" i="25"/>
  <c r="AD494" i="25"/>
  <c r="AF494" i="25"/>
  <c r="AC495" i="25"/>
  <c r="AB493" i="25"/>
  <c r="X495" i="25"/>
  <c r="Y494" i="25"/>
  <c r="Z494" i="25"/>
  <c r="AA494" i="25"/>
  <c r="U496" i="25"/>
  <c r="V496" i="25"/>
  <c r="T496" i="25"/>
  <c r="S497" i="25"/>
  <c r="W495" i="25"/>
  <c r="N543" i="36"/>
  <c r="M494" i="25" s="1"/>
  <c r="J545" i="36"/>
  <c r="I496" i="25" s="1"/>
  <c r="K544" i="36"/>
  <c r="J495" i="25" s="1"/>
  <c r="L544" i="36"/>
  <c r="K495" i="25" s="1"/>
  <c r="M544" i="36"/>
  <c r="L495" i="25" s="1"/>
  <c r="AG494" i="25" l="1"/>
  <c r="BF496" i="25"/>
  <c r="BE497" i="25"/>
  <c r="BB498" i="25"/>
  <c r="BC497" i="25"/>
  <c r="BD497" i="25"/>
  <c r="BA494" i="25"/>
  <c r="AW496" i="25"/>
  <c r="AX495" i="25"/>
  <c r="AY495" i="25"/>
  <c r="AZ495" i="25"/>
  <c r="AV494" i="25"/>
  <c r="AU495" i="25"/>
  <c r="AR496" i="25"/>
  <c r="AS495" i="25"/>
  <c r="AT495" i="25"/>
  <c r="AO495" i="25"/>
  <c r="AP495" i="25"/>
  <c r="AN495" i="25"/>
  <c r="AM496" i="25"/>
  <c r="AQ494" i="25"/>
  <c r="AL494" i="25"/>
  <c r="AH496" i="25"/>
  <c r="AI495" i="25"/>
  <c r="AJ495" i="25"/>
  <c r="AK495" i="25"/>
  <c r="AC496" i="25"/>
  <c r="AD495" i="25"/>
  <c r="AE495" i="25"/>
  <c r="AF495" i="25"/>
  <c r="AB494" i="25"/>
  <c r="AA495" i="25"/>
  <c r="Y495" i="25"/>
  <c r="Z495" i="25"/>
  <c r="X496" i="25"/>
  <c r="W496" i="25"/>
  <c r="S498" i="25"/>
  <c r="T497" i="25"/>
  <c r="U497" i="25"/>
  <c r="V497" i="25"/>
  <c r="N544" i="36"/>
  <c r="M495" i="25" s="1"/>
  <c r="J546" i="36"/>
  <c r="I497" i="25" s="1"/>
  <c r="K545" i="36"/>
  <c r="J496" i="25" s="1"/>
  <c r="M545" i="36"/>
  <c r="L496" i="25" s="1"/>
  <c r="L545" i="36"/>
  <c r="K496" i="25" s="1"/>
  <c r="BB499" i="25" l="1"/>
  <c r="BD498" i="25"/>
  <c r="BE498" i="25"/>
  <c r="BC498" i="25"/>
  <c r="BF497" i="25"/>
  <c r="BA495" i="25"/>
  <c r="AW497" i="25"/>
  <c r="AX496" i="25"/>
  <c r="AY496" i="25"/>
  <c r="AZ496" i="25"/>
  <c r="AT496" i="25"/>
  <c r="AR497" i="25"/>
  <c r="AS496" i="25"/>
  <c r="AU496" i="25"/>
  <c r="AV495" i="25"/>
  <c r="AQ495" i="25"/>
  <c r="AM497" i="25"/>
  <c r="AN496" i="25"/>
  <c r="AO496" i="25"/>
  <c r="AP496" i="25"/>
  <c r="AL495" i="25"/>
  <c r="AH497" i="25"/>
  <c r="AI496" i="25"/>
  <c r="AJ496" i="25"/>
  <c r="AK496" i="25"/>
  <c r="AG495" i="25"/>
  <c r="AE496" i="25"/>
  <c r="AF496" i="25"/>
  <c r="AD496" i="25"/>
  <c r="AC497" i="25"/>
  <c r="AB495" i="25"/>
  <c r="Z496" i="25"/>
  <c r="AA496" i="25"/>
  <c r="X497" i="25"/>
  <c r="Y496" i="25"/>
  <c r="W497" i="25"/>
  <c r="S499" i="25"/>
  <c r="T498" i="25"/>
  <c r="U498" i="25"/>
  <c r="V498" i="25"/>
  <c r="M546" i="36"/>
  <c r="L497" i="25" s="1"/>
  <c r="L546" i="36"/>
  <c r="K497" i="25" s="1"/>
  <c r="K546" i="36"/>
  <c r="J497" i="25" s="1"/>
  <c r="J547" i="36"/>
  <c r="I498" i="25" s="1"/>
  <c r="N545" i="36"/>
  <c r="M496" i="25" s="1"/>
  <c r="BD499" i="25" l="1"/>
  <c r="BB500" i="25"/>
  <c r="BE499" i="25"/>
  <c r="BC499" i="25"/>
  <c r="BF498" i="25"/>
  <c r="BA496" i="25"/>
  <c r="AZ497" i="25"/>
  <c r="AW498" i="25"/>
  <c r="AX497" i="25"/>
  <c r="AY497" i="25"/>
  <c r="AV496" i="25"/>
  <c r="AR498" i="25"/>
  <c r="AS497" i="25"/>
  <c r="AU497" i="25"/>
  <c r="AT497" i="25"/>
  <c r="AM498" i="25"/>
  <c r="AN497" i="25"/>
  <c r="AO497" i="25"/>
  <c r="AP497" i="25"/>
  <c r="AQ496" i="25"/>
  <c r="AL496" i="25"/>
  <c r="AK497" i="25"/>
  <c r="AH498" i="25"/>
  <c r="AI497" i="25"/>
  <c r="AJ497" i="25"/>
  <c r="AG496" i="25"/>
  <c r="AF497" i="25"/>
  <c r="AE497" i="25"/>
  <c r="AD497" i="25"/>
  <c r="AC498" i="25"/>
  <c r="AB496" i="25"/>
  <c r="X498" i="25"/>
  <c r="Y497" i="25"/>
  <c r="Z497" i="25"/>
  <c r="AA497" i="25"/>
  <c r="W498" i="25"/>
  <c r="V499" i="25"/>
  <c r="T499" i="25"/>
  <c r="U499" i="25"/>
  <c r="S500" i="25"/>
  <c r="N546" i="36"/>
  <c r="M497" i="25" s="1"/>
  <c r="L547" i="36"/>
  <c r="K498" i="25" s="1"/>
  <c r="M547" i="36"/>
  <c r="L498" i="25" s="1"/>
  <c r="J548" i="36"/>
  <c r="I499" i="25" s="1"/>
  <c r="K547" i="36"/>
  <c r="J498" i="25" s="1"/>
  <c r="BF499" i="25" l="1"/>
  <c r="BE500" i="25"/>
  <c r="BD500" i="25"/>
  <c r="BB501" i="25"/>
  <c r="BC500" i="25"/>
  <c r="AY498" i="25"/>
  <c r="AZ498" i="25"/>
  <c r="AX498" i="25"/>
  <c r="AW499" i="25"/>
  <c r="BA497" i="25"/>
  <c r="AT498" i="25"/>
  <c r="AU498" i="25"/>
  <c r="AR499" i="25"/>
  <c r="AS498" i="25"/>
  <c r="AV497" i="25"/>
  <c r="AQ497" i="25"/>
  <c r="AP498" i="25"/>
  <c r="AM499" i="25"/>
  <c r="AN498" i="25"/>
  <c r="AO498" i="25"/>
  <c r="AJ498" i="25"/>
  <c r="AH499" i="25"/>
  <c r="AI498" i="25"/>
  <c r="AK498" i="25"/>
  <c r="AL497" i="25"/>
  <c r="AG497" i="25"/>
  <c r="AE498" i="25"/>
  <c r="AF498" i="25"/>
  <c r="AD498" i="25"/>
  <c r="AC499" i="25"/>
  <c r="AB497" i="25"/>
  <c r="X499" i="25"/>
  <c r="Y498" i="25"/>
  <c r="Z498" i="25"/>
  <c r="AA498" i="25"/>
  <c r="W499" i="25"/>
  <c r="U500" i="25"/>
  <c r="V500" i="25"/>
  <c r="S501" i="25"/>
  <c r="T500" i="25"/>
  <c r="N547" i="36"/>
  <c r="M498" i="25" s="1"/>
  <c r="J549" i="36"/>
  <c r="I500" i="25" s="1"/>
  <c r="K548" i="36"/>
  <c r="J499" i="25" s="1"/>
  <c r="L548" i="36"/>
  <c r="K499" i="25" s="1"/>
  <c r="M548" i="36"/>
  <c r="L499" i="25" s="1"/>
  <c r="AL498" i="25" l="1"/>
  <c r="BF500" i="25"/>
  <c r="BD501" i="25"/>
  <c r="BE501" i="25"/>
  <c r="BB502" i="25"/>
  <c r="BC501" i="25"/>
  <c r="BA498" i="25"/>
  <c r="AW500" i="25"/>
  <c r="AX499" i="25"/>
  <c r="AY499" i="25"/>
  <c r="AZ499" i="25"/>
  <c r="AV498" i="25"/>
  <c r="AU499" i="25"/>
  <c r="AR500" i="25"/>
  <c r="AS499" i="25"/>
  <c r="AT499" i="25"/>
  <c r="AO499" i="25"/>
  <c r="AP499" i="25"/>
  <c r="AN499" i="25"/>
  <c r="AM500" i="25"/>
  <c r="AQ498" i="25"/>
  <c r="AH500" i="25"/>
  <c r="AI499" i="25"/>
  <c r="AJ499" i="25"/>
  <c r="AK499" i="25"/>
  <c r="AC500" i="25"/>
  <c r="AD499" i="25"/>
  <c r="AF499" i="25"/>
  <c r="AE499" i="25"/>
  <c r="AG498" i="25"/>
  <c r="AB498" i="25"/>
  <c r="AA499" i="25"/>
  <c r="X500" i="25"/>
  <c r="Y499" i="25"/>
  <c r="Z499" i="25"/>
  <c r="W500" i="25"/>
  <c r="S502" i="25"/>
  <c r="T501" i="25"/>
  <c r="U501" i="25"/>
  <c r="V501" i="25"/>
  <c r="N548" i="36"/>
  <c r="M499" i="25" s="1"/>
  <c r="J550" i="36"/>
  <c r="I501" i="25" s="1"/>
  <c r="K549" i="36"/>
  <c r="J500" i="25" s="1"/>
  <c r="M549" i="36"/>
  <c r="L500" i="25" s="1"/>
  <c r="L549" i="36"/>
  <c r="K500" i="25" s="1"/>
  <c r="BF501" i="25" l="1"/>
  <c r="BB503" i="25"/>
  <c r="BC502" i="25"/>
  <c r="BE502" i="25"/>
  <c r="BD502" i="25"/>
  <c r="BA499" i="25"/>
  <c r="AW501" i="25"/>
  <c r="AX500" i="25"/>
  <c r="AY500" i="25"/>
  <c r="AZ500" i="25"/>
  <c r="AT500" i="25"/>
  <c r="AR501" i="25"/>
  <c r="AS500" i="25"/>
  <c r="AU500" i="25"/>
  <c r="AV499" i="25"/>
  <c r="AQ499" i="25"/>
  <c r="AM501" i="25"/>
  <c r="AN500" i="25"/>
  <c r="AO500" i="25"/>
  <c r="AP500" i="25"/>
  <c r="AL499" i="25"/>
  <c r="AI500" i="25"/>
  <c r="AJ500" i="25"/>
  <c r="AK500" i="25"/>
  <c r="AH501" i="25"/>
  <c r="AC501" i="25"/>
  <c r="AF500" i="25"/>
  <c r="AE500" i="25"/>
  <c r="AD500" i="25"/>
  <c r="AG499" i="25"/>
  <c r="Z500" i="25"/>
  <c r="AA500" i="25"/>
  <c r="Y500" i="25"/>
  <c r="X501" i="25"/>
  <c r="AB499" i="25"/>
  <c r="W501" i="25"/>
  <c r="S503" i="25"/>
  <c r="T502" i="25"/>
  <c r="U502" i="25"/>
  <c r="V502" i="25"/>
  <c r="N549" i="36"/>
  <c r="M500" i="25" s="1"/>
  <c r="M550" i="36"/>
  <c r="L501" i="25" s="1"/>
  <c r="L550" i="36"/>
  <c r="K501" i="25" s="1"/>
  <c r="J551" i="36"/>
  <c r="I502" i="25" s="1"/>
  <c r="K550" i="36"/>
  <c r="J501" i="25" s="1"/>
  <c r="BF502" i="25" l="1"/>
  <c r="BE503" i="25"/>
  <c r="BC503" i="25"/>
  <c r="BB504" i="25"/>
  <c r="BD503" i="25"/>
  <c r="BA500" i="25"/>
  <c r="AZ501" i="25"/>
  <c r="AW502" i="25"/>
  <c r="AX501" i="25"/>
  <c r="AY501" i="25"/>
  <c r="AV500" i="25"/>
  <c r="AR502" i="25"/>
  <c r="AS501" i="25"/>
  <c r="AU501" i="25"/>
  <c r="AT501" i="25"/>
  <c r="AM502" i="25"/>
  <c r="AN501" i="25"/>
  <c r="AO501" i="25"/>
  <c r="AP501" i="25"/>
  <c r="AQ500" i="25"/>
  <c r="AL500" i="25"/>
  <c r="AK501" i="25"/>
  <c r="AI501" i="25"/>
  <c r="AJ501" i="25"/>
  <c r="AH502" i="25"/>
  <c r="AG500" i="25"/>
  <c r="AC502" i="25"/>
  <c r="AD501" i="25"/>
  <c r="AF501" i="25"/>
  <c r="AE501" i="25"/>
  <c r="AB500" i="25"/>
  <c r="X502" i="25"/>
  <c r="Y501" i="25"/>
  <c r="Z501" i="25"/>
  <c r="AA501" i="25"/>
  <c r="W502" i="25"/>
  <c r="V503" i="25"/>
  <c r="S504" i="25"/>
  <c r="U503" i="25"/>
  <c r="T503" i="25"/>
  <c r="N550" i="36"/>
  <c r="M501" i="25" s="1"/>
  <c r="L551" i="36"/>
  <c r="K502" i="25" s="1"/>
  <c r="M551" i="36"/>
  <c r="L502" i="25" s="1"/>
  <c r="J552" i="36"/>
  <c r="I503" i="25" s="1"/>
  <c r="K551" i="36"/>
  <c r="J502" i="25" s="1"/>
  <c r="BE504" i="25" l="1"/>
  <c r="BC504" i="25"/>
  <c r="BB505" i="25"/>
  <c r="BD504" i="25"/>
  <c r="BF503" i="25"/>
  <c r="AY502" i="25"/>
  <c r="AZ502" i="25"/>
  <c r="AW503" i="25"/>
  <c r="AX502" i="25"/>
  <c r="BA501" i="25"/>
  <c r="AT502" i="25"/>
  <c r="AU502" i="25"/>
  <c r="AR503" i="25"/>
  <c r="AS502" i="25"/>
  <c r="AV501" i="25"/>
  <c r="AQ501" i="25"/>
  <c r="AP502" i="25"/>
  <c r="AM503" i="25"/>
  <c r="AN502" i="25"/>
  <c r="AO502" i="25"/>
  <c r="AJ502" i="25"/>
  <c r="AI502" i="25"/>
  <c r="AK502" i="25"/>
  <c r="AH503" i="25"/>
  <c r="AL501" i="25"/>
  <c r="AE502" i="25"/>
  <c r="AF502" i="25"/>
  <c r="AC503" i="25"/>
  <c r="AD502" i="25"/>
  <c r="AG501" i="25"/>
  <c r="AB501" i="25"/>
  <c r="X503" i="25"/>
  <c r="Y502" i="25"/>
  <c r="Z502" i="25"/>
  <c r="AA502" i="25"/>
  <c r="U504" i="25"/>
  <c r="V504" i="25"/>
  <c r="T504" i="25"/>
  <c r="S505" i="25"/>
  <c r="W503" i="25"/>
  <c r="N551" i="36"/>
  <c r="M502" i="25" s="1"/>
  <c r="J553" i="36"/>
  <c r="I504" i="25" s="1"/>
  <c r="K552" i="36"/>
  <c r="J503" i="25" s="1"/>
  <c r="L552" i="36"/>
  <c r="K503" i="25" s="1"/>
  <c r="M552" i="36"/>
  <c r="L503" i="25" s="1"/>
  <c r="BD505" i="25" l="1"/>
  <c r="BC505" i="25"/>
  <c r="BB506" i="25"/>
  <c r="BE505" i="25"/>
  <c r="BF504" i="25"/>
  <c r="BA502" i="25"/>
  <c r="AW504" i="25"/>
  <c r="AX503" i="25"/>
  <c r="AY503" i="25"/>
  <c r="AZ503" i="25"/>
  <c r="AV502" i="25"/>
  <c r="AU503" i="25"/>
  <c r="AR504" i="25"/>
  <c r="AS503" i="25"/>
  <c r="AT503" i="25"/>
  <c r="AO503" i="25"/>
  <c r="AP503" i="25"/>
  <c r="AM504" i="25"/>
  <c r="AN503" i="25"/>
  <c r="AQ502" i="25"/>
  <c r="AL502" i="25"/>
  <c r="AH504" i="25"/>
  <c r="AI503" i="25"/>
  <c r="AJ503" i="25"/>
  <c r="AK503" i="25"/>
  <c r="AG502" i="25"/>
  <c r="AF503" i="25"/>
  <c r="AC504" i="25"/>
  <c r="AD503" i="25"/>
  <c r="AE503" i="25"/>
  <c r="AB502" i="25"/>
  <c r="AA503" i="25"/>
  <c r="Y503" i="25"/>
  <c r="X504" i="25"/>
  <c r="Z503" i="25"/>
  <c r="W504" i="25"/>
  <c r="S506" i="25"/>
  <c r="T505" i="25"/>
  <c r="U505" i="25"/>
  <c r="V505" i="25"/>
  <c r="J554" i="36"/>
  <c r="I505" i="25" s="1"/>
  <c r="K553" i="36"/>
  <c r="J504" i="25" s="1"/>
  <c r="M553" i="36"/>
  <c r="L504" i="25" s="1"/>
  <c r="L553" i="36"/>
  <c r="K504" i="25" s="1"/>
  <c r="N552" i="36"/>
  <c r="M503" i="25" s="1"/>
  <c r="BF505" i="25" l="1"/>
  <c r="BB507" i="25"/>
  <c r="BC506" i="25"/>
  <c r="BD506" i="25"/>
  <c r="BE506" i="25"/>
  <c r="BA503" i="25"/>
  <c r="AW505" i="25"/>
  <c r="AX504" i="25"/>
  <c r="AY504" i="25"/>
  <c r="AZ504" i="25"/>
  <c r="AT504" i="25"/>
  <c r="AR505" i="25"/>
  <c r="AS504" i="25"/>
  <c r="AU504" i="25"/>
  <c r="AV503" i="25"/>
  <c r="AQ503" i="25"/>
  <c r="AM505" i="25"/>
  <c r="AN504" i="25"/>
  <c r="AO504" i="25"/>
  <c r="AP504" i="25"/>
  <c r="AJ504" i="25"/>
  <c r="AK504" i="25"/>
  <c r="AH505" i="25"/>
  <c r="AI504" i="25"/>
  <c r="AL503" i="25"/>
  <c r="AE504" i="25"/>
  <c r="AC505" i="25"/>
  <c r="AD504" i="25"/>
  <c r="AF504" i="25"/>
  <c r="AG503" i="25"/>
  <c r="Z504" i="25"/>
  <c r="AA504" i="25"/>
  <c r="X505" i="25"/>
  <c r="Y504" i="25"/>
  <c r="AB503" i="25"/>
  <c r="W505" i="25"/>
  <c r="S507" i="25"/>
  <c r="T506" i="25"/>
  <c r="U506" i="25"/>
  <c r="V506" i="25"/>
  <c r="M554" i="36"/>
  <c r="L505" i="25" s="1"/>
  <c r="L554" i="36"/>
  <c r="K505" i="25" s="1"/>
  <c r="K554" i="36"/>
  <c r="J505" i="25" s="1"/>
  <c r="J555" i="36"/>
  <c r="I506" i="25" s="1"/>
  <c r="N553" i="36"/>
  <c r="M504" i="25" s="1"/>
  <c r="BF506" i="25" l="1"/>
  <c r="BB508" i="25"/>
  <c r="BD507" i="25"/>
  <c r="BC507" i="25"/>
  <c r="BE507" i="25"/>
  <c r="BA504" i="25"/>
  <c r="AZ505" i="25"/>
  <c r="AW506" i="25"/>
  <c r="AX505" i="25"/>
  <c r="AY505" i="25"/>
  <c r="AV504" i="25"/>
  <c r="AR506" i="25"/>
  <c r="AS505" i="25"/>
  <c r="AU505" i="25"/>
  <c r="AT505" i="25"/>
  <c r="AM506" i="25"/>
  <c r="AN505" i="25"/>
  <c r="AO505" i="25"/>
  <c r="AP505" i="25"/>
  <c r="AQ504" i="25"/>
  <c r="AL504" i="25"/>
  <c r="AK505" i="25"/>
  <c r="AJ505" i="25"/>
  <c r="AH506" i="25"/>
  <c r="AI505" i="25"/>
  <c r="AG504" i="25"/>
  <c r="AC506" i="25"/>
  <c r="AD505" i="25"/>
  <c r="AF505" i="25"/>
  <c r="AE505" i="25"/>
  <c r="AB504" i="25"/>
  <c r="X506" i="25"/>
  <c r="Y505" i="25"/>
  <c r="Z505" i="25"/>
  <c r="AA505" i="25"/>
  <c r="W506" i="25"/>
  <c r="V507" i="25"/>
  <c r="T507" i="25"/>
  <c r="U507" i="25"/>
  <c r="S508" i="25"/>
  <c r="N554" i="36"/>
  <c r="M505" i="25" s="1"/>
  <c r="L555" i="36"/>
  <c r="K506" i="25" s="1"/>
  <c r="M555" i="36"/>
  <c r="L506" i="25" s="1"/>
  <c r="J556" i="36"/>
  <c r="I507" i="25" s="1"/>
  <c r="K555" i="36"/>
  <c r="J506" i="25" s="1"/>
  <c r="BF507" i="25" l="1"/>
  <c r="BE508" i="25"/>
  <c r="BB509" i="25"/>
  <c r="BD508" i="25"/>
  <c r="BC508" i="25"/>
  <c r="AY506" i="25"/>
  <c r="AZ506" i="25"/>
  <c r="AX506" i="25"/>
  <c r="AW507" i="25"/>
  <c r="BA505" i="25"/>
  <c r="AV505" i="25"/>
  <c r="AT506" i="25"/>
  <c r="AU506" i="25"/>
  <c r="AS506" i="25"/>
  <c r="AR507" i="25"/>
  <c r="AQ505" i="25"/>
  <c r="AP506" i="25"/>
  <c r="AM507" i="25"/>
  <c r="AN506" i="25"/>
  <c r="AO506" i="25"/>
  <c r="AL505" i="25"/>
  <c r="AJ506" i="25"/>
  <c r="AK506" i="25"/>
  <c r="AH507" i="25"/>
  <c r="AI506" i="25"/>
  <c r="AE506" i="25"/>
  <c r="AF506" i="25"/>
  <c r="AC507" i="25"/>
  <c r="AD506" i="25"/>
  <c r="AG505" i="25"/>
  <c r="AB505" i="25"/>
  <c r="X507" i="25"/>
  <c r="Y506" i="25"/>
  <c r="Z506" i="25"/>
  <c r="AA506" i="25"/>
  <c r="W507" i="25"/>
  <c r="U508" i="25"/>
  <c r="V508" i="25"/>
  <c r="S509" i="25"/>
  <c r="T508" i="25"/>
  <c r="N555" i="36"/>
  <c r="M506" i="25" s="1"/>
  <c r="J557" i="36"/>
  <c r="I508" i="25" s="1"/>
  <c r="K556" i="36"/>
  <c r="J507" i="25" s="1"/>
  <c r="L556" i="36"/>
  <c r="K507" i="25" s="1"/>
  <c r="M556" i="36"/>
  <c r="L507" i="25" s="1"/>
  <c r="BF508" i="25" l="1"/>
  <c r="BD509" i="25"/>
  <c r="BB510" i="25"/>
  <c r="BE509" i="25"/>
  <c r="BC509" i="25"/>
  <c r="BA506" i="25"/>
  <c r="AW508" i="25"/>
  <c r="AX507" i="25"/>
  <c r="AY507" i="25"/>
  <c r="AZ507" i="25"/>
  <c r="AV506" i="25"/>
  <c r="AU507" i="25"/>
  <c r="AR508" i="25"/>
  <c r="AS507" i="25"/>
  <c r="AT507" i="25"/>
  <c r="AO507" i="25"/>
  <c r="AP507" i="25"/>
  <c r="AN507" i="25"/>
  <c r="AM508" i="25"/>
  <c r="AQ506" i="25"/>
  <c r="AL506" i="25"/>
  <c r="AH508" i="25"/>
  <c r="AI507" i="25"/>
  <c r="AK507" i="25"/>
  <c r="AJ507" i="25"/>
  <c r="AG506" i="25"/>
  <c r="AF507" i="25"/>
  <c r="AC508" i="25"/>
  <c r="AD507" i="25"/>
  <c r="AE507" i="25"/>
  <c r="AB506" i="25"/>
  <c r="AA507" i="25"/>
  <c r="X508" i="25"/>
  <c r="Y507" i="25"/>
  <c r="Z507" i="25"/>
  <c r="W508" i="25"/>
  <c r="S510" i="25"/>
  <c r="T509" i="25"/>
  <c r="U509" i="25"/>
  <c r="V509" i="25"/>
  <c r="N556" i="36"/>
  <c r="M507" i="25" s="1"/>
  <c r="J558" i="36"/>
  <c r="I509" i="25" s="1"/>
  <c r="K557" i="36"/>
  <c r="J508" i="25" s="1"/>
  <c r="M557" i="36"/>
  <c r="L508" i="25" s="1"/>
  <c r="L557" i="36"/>
  <c r="K508" i="25" s="1"/>
  <c r="BF509" i="25" l="1"/>
  <c r="AL507" i="25"/>
  <c r="BB511" i="25"/>
  <c r="BC510" i="25"/>
  <c r="BE510" i="25"/>
  <c r="BD510" i="25"/>
  <c r="AW509" i="25"/>
  <c r="AX508" i="25"/>
  <c r="AY508" i="25"/>
  <c r="AZ508" i="25"/>
  <c r="BA507" i="25"/>
  <c r="AT508" i="25"/>
  <c r="AR509" i="25"/>
  <c r="AS508" i="25"/>
  <c r="AU508" i="25"/>
  <c r="AV507" i="25"/>
  <c r="AQ507" i="25"/>
  <c r="AM509" i="25"/>
  <c r="AN508" i="25"/>
  <c r="AO508" i="25"/>
  <c r="AP508" i="25"/>
  <c r="AK508" i="25"/>
  <c r="AH509" i="25"/>
  <c r="AI508" i="25"/>
  <c r="AJ508" i="25"/>
  <c r="AG507" i="25"/>
  <c r="AE508" i="25"/>
  <c r="AC509" i="25"/>
  <c r="AD508" i="25"/>
  <c r="AF508" i="25"/>
  <c r="Z508" i="25"/>
  <c r="AA508" i="25"/>
  <c r="Y508" i="25"/>
  <c r="X509" i="25"/>
  <c r="AB507" i="25"/>
  <c r="W509" i="25"/>
  <c r="S511" i="25"/>
  <c r="T510" i="25"/>
  <c r="U510" i="25"/>
  <c r="V510" i="25"/>
  <c r="M558" i="36"/>
  <c r="L509" i="25" s="1"/>
  <c r="L558" i="36"/>
  <c r="K509" i="25" s="1"/>
  <c r="K558" i="36"/>
  <c r="J509" i="25" s="1"/>
  <c r="J559" i="36"/>
  <c r="I510" i="25" s="1"/>
  <c r="N557" i="36"/>
  <c r="M508" i="25" s="1"/>
  <c r="BC511" i="25" l="1"/>
  <c r="BE511" i="25"/>
  <c r="BD511" i="25"/>
  <c r="BB512" i="25"/>
  <c r="BF510" i="25"/>
  <c r="BA508" i="25"/>
  <c r="AZ509" i="25"/>
  <c r="AW510" i="25"/>
  <c r="AX509" i="25"/>
  <c r="AY509" i="25"/>
  <c r="AV508" i="25"/>
  <c r="AR510" i="25"/>
  <c r="AS509" i="25"/>
  <c r="AU509" i="25"/>
  <c r="AT509" i="25"/>
  <c r="AQ508" i="25"/>
  <c r="AM510" i="25"/>
  <c r="AN509" i="25"/>
  <c r="AO509" i="25"/>
  <c r="AP509" i="25"/>
  <c r="AK509" i="25"/>
  <c r="AH510" i="25"/>
  <c r="AI509" i="25"/>
  <c r="AJ509" i="25"/>
  <c r="AL508" i="25"/>
  <c r="AG508" i="25"/>
  <c r="AC510" i="25"/>
  <c r="AD509" i="25"/>
  <c r="AF509" i="25"/>
  <c r="AE509" i="25"/>
  <c r="AB508" i="25"/>
  <c r="X510" i="25"/>
  <c r="Y509" i="25"/>
  <c r="Z509" i="25"/>
  <c r="AA509" i="25"/>
  <c r="W510" i="25"/>
  <c r="V511" i="25"/>
  <c r="S512" i="25"/>
  <c r="T511" i="25"/>
  <c r="U511" i="25"/>
  <c r="N558" i="36"/>
  <c r="M509" i="25" s="1"/>
  <c r="L559" i="36"/>
  <c r="K510" i="25" s="1"/>
  <c r="M559" i="36"/>
  <c r="L510" i="25" s="1"/>
  <c r="J560" i="36"/>
  <c r="I511" i="25" s="1"/>
  <c r="K559" i="36"/>
  <c r="J510" i="25" s="1"/>
  <c r="BF511" i="25" l="1"/>
  <c r="BE512" i="25"/>
  <c r="BC512" i="25"/>
  <c r="BD512" i="25"/>
  <c r="BB513" i="25"/>
  <c r="AY510" i="25"/>
  <c r="AZ510" i="25"/>
  <c r="AX510" i="25"/>
  <c r="AW511" i="25"/>
  <c r="BA509" i="25"/>
  <c r="AV509" i="25"/>
  <c r="AT510" i="25"/>
  <c r="AU510" i="25"/>
  <c r="AS510" i="25"/>
  <c r="AR511" i="25"/>
  <c r="AQ509" i="25"/>
  <c r="AP510" i="25"/>
  <c r="AM511" i="25"/>
  <c r="AN510" i="25"/>
  <c r="AO510" i="25"/>
  <c r="AJ510" i="25"/>
  <c r="AH511" i="25"/>
  <c r="AI510" i="25"/>
  <c r="AK510" i="25"/>
  <c r="AL509" i="25"/>
  <c r="AE510" i="25"/>
  <c r="AF510" i="25"/>
  <c r="AD510" i="25"/>
  <c r="AC511" i="25"/>
  <c r="AG509" i="25"/>
  <c r="AB509" i="25"/>
  <c r="X511" i="25"/>
  <c r="Y510" i="25"/>
  <c r="Z510" i="25"/>
  <c r="AA510" i="25"/>
  <c r="U512" i="25"/>
  <c r="V512" i="25"/>
  <c r="T512" i="25"/>
  <c r="S513" i="25"/>
  <c r="W511" i="25"/>
  <c r="N559" i="36"/>
  <c r="M510" i="25" s="1"/>
  <c r="J561" i="36"/>
  <c r="I512" i="25" s="1"/>
  <c r="K560" i="36"/>
  <c r="J511" i="25" s="1"/>
  <c r="L560" i="36"/>
  <c r="K511" i="25" s="1"/>
  <c r="M560" i="36"/>
  <c r="L511" i="25" s="1"/>
  <c r="BD513" i="25" l="1"/>
  <c r="BC513" i="25"/>
  <c r="BE513" i="25"/>
  <c r="BB514" i="25"/>
  <c r="BF512" i="25"/>
  <c r="BA510" i="25"/>
  <c r="AW512" i="25"/>
  <c r="AX511" i="25"/>
  <c r="AY511" i="25"/>
  <c r="AZ511" i="25"/>
  <c r="AV510" i="25"/>
  <c r="AU511" i="25"/>
  <c r="AR512" i="25"/>
  <c r="AS511" i="25"/>
  <c r="AT511" i="25"/>
  <c r="AO511" i="25"/>
  <c r="AP511" i="25"/>
  <c r="AN511" i="25"/>
  <c r="AM512" i="25"/>
  <c r="AQ510" i="25"/>
  <c r="AL510" i="25"/>
  <c r="AH512" i="25"/>
  <c r="AI511" i="25"/>
  <c r="AJ511" i="25"/>
  <c r="AK511" i="25"/>
  <c r="AG510" i="25"/>
  <c r="AF511" i="25"/>
  <c r="AC512" i="25"/>
  <c r="AD511" i="25"/>
  <c r="AE511" i="25"/>
  <c r="AB510" i="25"/>
  <c r="AA511" i="25"/>
  <c r="Y511" i="25"/>
  <c r="Z511" i="25"/>
  <c r="X512" i="25"/>
  <c r="W512" i="25"/>
  <c r="S514" i="25"/>
  <c r="T513" i="25"/>
  <c r="U513" i="25"/>
  <c r="V513" i="25"/>
  <c r="J562" i="36"/>
  <c r="I513" i="25" s="1"/>
  <c r="K561" i="36"/>
  <c r="J512" i="25" s="1"/>
  <c r="M561" i="36"/>
  <c r="L512" i="25" s="1"/>
  <c r="L561" i="36"/>
  <c r="K512" i="25" s="1"/>
  <c r="N560" i="36"/>
  <c r="M511" i="25" s="1"/>
  <c r="BF513" i="25" l="1"/>
  <c r="BB515" i="25"/>
  <c r="BC514" i="25"/>
  <c r="BD514" i="25"/>
  <c r="BE514" i="25"/>
  <c r="BA511" i="25"/>
  <c r="AW513" i="25"/>
  <c r="AX512" i="25"/>
  <c r="AY512" i="25"/>
  <c r="AZ512" i="25"/>
  <c r="AT512" i="25"/>
  <c r="AR513" i="25"/>
  <c r="AS512" i="25"/>
  <c r="AU512" i="25"/>
  <c r="AV511" i="25"/>
  <c r="AQ511" i="25"/>
  <c r="AM513" i="25"/>
  <c r="AN512" i="25"/>
  <c r="AO512" i="25"/>
  <c r="AP512" i="25"/>
  <c r="AL511" i="25"/>
  <c r="AH513" i="25"/>
  <c r="AI512" i="25"/>
  <c r="AJ512" i="25"/>
  <c r="AK512" i="25"/>
  <c r="AE512" i="25"/>
  <c r="AC513" i="25"/>
  <c r="AD512" i="25"/>
  <c r="AF512" i="25"/>
  <c r="AG511" i="25"/>
  <c r="AB511" i="25"/>
  <c r="Z512" i="25"/>
  <c r="AA512" i="25"/>
  <c r="X513" i="25"/>
  <c r="Y512" i="25"/>
  <c r="W513" i="25"/>
  <c r="S515" i="25"/>
  <c r="T514" i="25"/>
  <c r="U514" i="25"/>
  <c r="V514" i="25"/>
  <c r="M562" i="36"/>
  <c r="L513" i="25" s="1"/>
  <c r="L562" i="36"/>
  <c r="K513" i="25" s="1"/>
  <c r="K562" i="36"/>
  <c r="J513" i="25" s="1"/>
  <c r="J563" i="36"/>
  <c r="I514" i="25" s="1"/>
  <c r="N561" i="36"/>
  <c r="M512" i="25" s="1"/>
  <c r="BF514" i="25" l="1"/>
  <c r="BD515" i="25"/>
  <c r="BB516" i="25"/>
  <c r="BE515" i="25"/>
  <c r="BC515" i="25"/>
  <c r="BA512" i="25"/>
  <c r="AZ513" i="25"/>
  <c r="AW514" i="25"/>
  <c r="AX513" i="25"/>
  <c r="AY513" i="25"/>
  <c r="AV512" i="25"/>
  <c r="AR514" i="25"/>
  <c r="AS513" i="25"/>
  <c r="AT513" i="25"/>
  <c r="AU513" i="25"/>
  <c r="AM514" i="25"/>
  <c r="AN513" i="25"/>
  <c r="AO513" i="25"/>
  <c r="AP513" i="25"/>
  <c r="AQ512" i="25"/>
  <c r="AL512" i="25"/>
  <c r="AK513" i="25"/>
  <c r="AH514" i="25"/>
  <c r="AI513" i="25"/>
  <c r="AJ513" i="25"/>
  <c r="AG512" i="25"/>
  <c r="AC514" i="25"/>
  <c r="AD513" i="25"/>
  <c r="AF513" i="25"/>
  <c r="AE513" i="25"/>
  <c r="AB512" i="25"/>
  <c r="X514" i="25"/>
  <c r="Y513" i="25"/>
  <c r="Z513" i="25"/>
  <c r="AA513" i="25"/>
  <c r="W514" i="25"/>
  <c r="V515" i="25"/>
  <c r="T515" i="25"/>
  <c r="U515" i="25"/>
  <c r="S516" i="25"/>
  <c r="N562" i="36"/>
  <c r="M513" i="25" s="1"/>
  <c r="L563" i="36"/>
  <c r="K514" i="25" s="1"/>
  <c r="M563" i="36"/>
  <c r="L514" i="25" s="1"/>
  <c r="J564" i="36"/>
  <c r="I515" i="25" s="1"/>
  <c r="K563" i="36"/>
  <c r="J514" i="25" s="1"/>
  <c r="BF515" i="25" l="1"/>
  <c r="BE516" i="25"/>
  <c r="BD516" i="25"/>
  <c r="BB517" i="25"/>
  <c r="BC516" i="25"/>
  <c r="AY514" i="25"/>
  <c r="AZ514" i="25"/>
  <c r="AX514" i="25"/>
  <c r="AW515" i="25"/>
  <c r="BA513" i="25"/>
  <c r="AV513" i="25"/>
  <c r="AT514" i="25"/>
  <c r="AR515" i="25"/>
  <c r="AS514" i="25"/>
  <c r="AU514" i="25"/>
  <c r="AQ513" i="25"/>
  <c r="AP514" i="25"/>
  <c r="AM515" i="25"/>
  <c r="AN514" i="25"/>
  <c r="AO514" i="25"/>
  <c r="AJ514" i="25"/>
  <c r="AH515" i="25"/>
  <c r="AI514" i="25"/>
  <c r="AK514" i="25"/>
  <c r="AL513" i="25"/>
  <c r="AE514" i="25"/>
  <c r="AF514" i="25"/>
  <c r="AD514" i="25"/>
  <c r="AC515" i="25"/>
  <c r="AG513" i="25"/>
  <c r="AB513" i="25"/>
  <c r="X515" i="25"/>
  <c r="Y514" i="25"/>
  <c r="Z514" i="25"/>
  <c r="AA514" i="25"/>
  <c r="U516" i="25"/>
  <c r="V516" i="25"/>
  <c r="S517" i="25"/>
  <c r="T516" i="25"/>
  <c r="W515" i="25"/>
  <c r="N563" i="36"/>
  <c r="M514" i="25" s="1"/>
  <c r="J565" i="36"/>
  <c r="I516" i="25" s="1"/>
  <c r="K564" i="36"/>
  <c r="J515" i="25" s="1"/>
  <c r="L564" i="36"/>
  <c r="K515" i="25" s="1"/>
  <c r="M564" i="36"/>
  <c r="L515" i="25" s="1"/>
  <c r="AL514" i="25" l="1"/>
  <c r="BF516" i="25"/>
  <c r="BD517" i="25"/>
  <c r="BE517" i="25"/>
  <c r="BB518" i="25"/>
  <c r="BC517" i="25"/>
  <c r="BA514" i="25"/>
  <c r="AW516" i="25"/>
  <c r="AX515" i="25"/>
  <c r="AY515" i="25"/>
  <c r="AZ515" i="25"/>
  <c r="AV514" i="25"/>
  <c r="AU515" i="25"/>
  <c r="AT515" i="25"/>
  <c r="AR516" i="25"/>
  <c r="AS515" i="25"/>
  <c r="AO515" i="25"/>
  <c r="AP515" i="25"/>
  <c r="AN515" i="25"/>
  <c r="AM516" i="25"/>
  <c r="AQ514" i="25"/>
  <c r="AH516" i="25"/>
  <c r="AI515" i="25"/>
  <c r="AJ515" i="25"/>
  <c r="AK515" i="25"/>
  <c r="AG514" i="25"/>
  <c r="AF515" i="25"/>
  <c r="AC516" i="25"/>
  <c r="AD515" i="25"/>
  <c r="AE515" i="25"/>
  <c r="AB514" i="25"/>
  <c r="AA515" i="25"/>
  <c r="X516" i="25"/>
  <c r="Y515" i="25"/>
  <c r="Z515" i="25"/>
  <c r="W516" i="25"/>
  <c r="S518" i="25"/>
  <c r="T517" i="25"/>
  <c r="U517" i="25"/>
  <c r="V517" i="25"/>
  <c r="N564" i="36"/>
  <c r="M515" i="25" s="1"/>
  <c r="J566" i="36"/>
  <c r="I517" i="25" s="1"/>
  <c r="K565" i="36"/>
  <c r="J516" i="25" s="1"/>
  <c r="M565" i="36"/>
  <c r="L516" i="25" s="1"/>
  <c r="L565" i="36"/>
  <c r="K516" i="25" s="1"/>
  <c r="BF517" i="25" l="1"/>
  <c r="BB519" i="25"/>
  <c r="BC518" i="25"/>
  <c r="BE518" i="25"/>
  <c r="BD518" i="25"/>
  <c r="AW517" i="25"/>
  <c r="AX516" i="25"/>
  <c r="AY516" i="25"/>
  <c r="AZ516" i="25"/>
  <c r="BA515" i="25"/>
  <c r="AV515" i="25"/>
  <c r="AT516" i="25"/>
  <c r="AU516" i="25"/>
  <c r="AR517" i="25"/>
  <c r="AS516" i="25"/>
  <c r="AQ515" i="25"/>
  <c r="AM517" i="25"/>
  <c r="AN516" i="25"/>
  <c r="AO516" i="25"/>
  <c r="AP516" i="25"/>
  <c r="AL515" i="25"/>
  <c r="AI516" i="25"/>
  <c r="AJ516" i="25"/>
  <c r="AK516" i="25"/>
  <c r="AH517" i="25"/>
  <c r="AG515" i="25"/>
  <c r="AE516" i="25"/>
  <c r="AC517" i="25"/>
  <c r="AD516" i="25"/>
  <c r="AF516" i="25"/>
  <c r="Z516" i="25"/>
  <c r="AA516" i="25"/>
  <c r="Y516" i="25"/>
  <c r="X517" i="25"/>
  <c r="AB515" i="25"/>
  <c r="W517" i="25"/>
  <c r="S519" i="25"/>
  <c r="T518" i="25"/>
  <c r="U518" i="25"/>
  <c r="V518" i="25"/>
  <c r="M566" i="36"/>
  <c r="L517" i="25" s="1"/>
  <c r="L566" i="36"/>
  <c r="K517" i="25" s="1"/>
  <c r="J567" i="36"/>
  <c r="I518" i="25" s="1"/>
  <c r="K566" i="36"/>
  <c r="J517" i="25" s="1"/>
  <c r="N565" i="36"/>
  <c r="M516" i="25" s="1"/>
  <c r="BF518" i="25" l="1"/>
  <c r="BE519" i="25"/>
  <c r="BC519" i="25"/>
  <c r="BB520" i="25"/>
  <c r="BD519" i="25"/>
  <c r="BA516" i="25"/>
  <c r="AZ517" i="25"/>
  <c r="AW518" i="25"/>
  <c r="AX517" i="25"/>
  <c r="AY517" i="25"/>
  <c r="AV516" i="25"/>
  <c r="AR518" i="25"/>
  <c r="AS517" i="25"/>
  <c r="AU517" i="25"/>
  <c r="AT517" i="25"/>
  <c r="AM518" i="25"/>
  <c r="AN517" i="25"/>
  <c r="AO517" i="25"/>
  <c r="AP517" i="25"/>
  <c r="AQ516" i="25"/>
  <c r="AL516" i="25"/>
  <c r="AK517" i="25"/>
  <c r="AI517" i="25"/>
  <c r="AJ517" i="25"/>
  <c r="AH518" i="25"/>
  <c r="AG516" i="25"/>
  <c r="AC518" i="25"/>
  <c r="AD517" i="25"/>
  <c r="AF517" i="25"/>
  <c r="AE517" i="25"/>
  <c r="AB516" i="25"/>
  <c r="X518" i="25"/>
  <c r="Y517" i="25"/>
  <c r="Z517" i="25"/>
  <c r="AA517" i="25"/>
  <c r="W518" i="25"/>
  <c r="V519" i="25"/>
  <c r="S520" i="25"/>
  <c r="U519" i="25"/>
  <c r="T519" i="25"/>
  <c r="N566" i="36"/>
  <c r="M517" i="25" s="1"/>
  <c r="L567" i="36"/>
  <c r="K518" i="25" s="1"/>
  <c r="M567" i="36"/>
  <c r="L518" i="25" s="1"/>
  <c r="J568" i="36"/>
  <c r="I519" i="25" s="1"/>
  <c r="K567" i="36"/>
  <c r="J518" i="25" s="1"/>
  <c r="BE520" i="25" l="1"/>
  <c r="BC520" i="25"/>
  <c r="BB521" i="25"/>
  <c r="BD520" i="25"/>
  <c r="BF519" i="25"/>
  <c r="AY518" i="25"/>
  <c r="AZ518" i="25"/>
  <c r="AW519" i="25"/>
  <c r="AX518" i="25"/>
  <c r="BA517" i="25"/>
  <c r="AV517" i="25"/>
  <c r="AU518" i="25"/>
  <c r="AS518" i="25"/>
  <c r="AT518" i="25"/>
  <c r="AR519" i="25"/>
  <c r="AQ517" i="25"/>
  <c r="AP518" i="25"/>
  <c r="AM519" i="25"/>
  <c r="AN518" i="25"/>
  <c r="AO518" i="25"/>
  <c r="AJ518" i="25"/>
  <c r="AI518" i="25"/>
  <c r="AK518" i="25"/>
  <c r="AH519" i="25"/>
  <c r="AL517" i="25"/>
  <c r="AE518" i="25"/>
  <c r="AF518" i="25"/>
  <c r="AC519" i="25"/>
  <c r="AD518" i="25"/>
  <c r="AG517" i="25"/>
  <c r="AB517" i="25"/>
  <c r="X519" i="25"/>
  <c r="Y518" i="25"/>
  <c r="Z518" i="25"/>
  <c r="AA518" i="25"/>
  <c r="U520" i="25"/>
  <c r="V520" i="25"/>
  <c r="T520" i="25"/>
  <c r="S521" i="25"/>
  <c r="W519" i="25"/>
  <c r="N567" i="36"/>
  <c r="M518" i="25" s="1"/>
  <c r="J569" i="36"/>
  <c r="I520" i="25" s="1"/>
  <c r="K568" i="36"/>
  <c r="J519" i="25" s="1"/>
  <c r="L568" i="36"/>
  <c r="K519" i="25" s="1"/>
  <c r="M568" i="36"/>
  <c r="L519" i="25" s="1"/>
  <c r="BD521" i="25" l="1"/>
  <c r="BC521" i="25"/>
  <c r="BB522" i="25"/>
  <c r="BE521" i="25"/>
  <c r="BF520" i="25"/>
  <c r="BA518" i="25"/>
  <c r="AY519" i="25"/>
  <c r="AX519" i="25"/>
  <c r="AZ519" i="25"/>
  <c r="AW520" i="25"/>
  <c r="AV518" i="25"/>
  <c r="AU519" i="25"/>
  <c r="AS519" i="25"/>
  <c r="AT519" i="25"/>
  <c r="AR520" i="25"/>
  <c r="AO519" i="25"/>
  <c r="AP519" i="25"/>
  <c r="AM520" i="25"/>
  <c r="AN519" i="25"/>
  <c r="AQ518" i="25"/>
  <c r="AL518" i="25"/>
  <c r="AH520" i="25"/>
  <c r="AI519" i="25"/>
  <c r="AJ519" i="25"/>
  <c r="AK519" i="25"/>
  <c r="AG518" i="25"/>
  <c r="AF519" i="25"/>
  <c r="AC520" i="25"/>
  <c r="AD519" i="25"/>
  <c r="AE519" i="25"/>
  <c r="AB518" i="25"/>
  <c r="AA519" i="25"/>
  <c r="Y519" i="25"/>
  <c r="X520" i="25"/>
  <c r="Z519" i="25"/>
  <c r="W520" i="25"/>
  <c r="S522" i="25"/>
  <c r="T521" i="25"/>
  <c r="U521" i="25"/>
  <c r="V521" i="25"/>
  <c r="J570" i="36"/>
  <c r="I521" i="25" s="1"/>
  <c r="K569" i="36"/>
  <c r="J520" i="25" s="1"/>
  <c r="M569" i="36"/>
  <c r="L520" i="25" s="1"/>
  <c r="L569" i="36"/>
  <c r="K520" i="25" s="1"/>
  <c r="N568" i="36"/>
  <c r="M519" i="25" s="1"/>
  <c r="BF521" i="25" l="1"/>
  <c r="BB523" i="25"/>
  <c r="BC522" i="25"/>
  <c r="BD522" i="25"/>
  <c r="BE522" i="25"/>
  <c r="BA519" i="25"/>
  <c r="AW521" i="25"/>
  <c r="AX520" i="25"/>
  <c r="AY520" i="25"/>
  <c r="AZ520" i="25"/>
  <c r="AV519" i="25"/>
  <c r="AT520" i="25"/>
  <c r="AS520" i="25"/>
  <c r="AU520" i="25"/>
  <c r="AR521" i="25"/>
  <c r="AQ519" i="25"/>
  <c r="AM521" i="25"/>
  <c r="AN520" i="25"/>
  <c r="AO520" i="25"/>
  <c r="AP520" i="25"/>
  <c r="AJ520" i="25"/>
  <c r="AK520" i="25"/>
  <c r="AH521" i="25"/>
  <c r="AI520" i="25"/>
  <c r="AL519" i="25"/>
  <c r="AE520" i="25"/>
  <c r="AC521" i="25"/>
  <c r="AD520" i="25"/>
  <c r="AF520" i="25"/>
  <c r="AG519" i="25"/>
  <c r="Z520" i="25"/>
  <c r="AA520" i="25"/>
  <c r="X521" i="25"/>
  <c r="Y520" i="25"/>
  <c r="AB519" i="25"/>
  <c r="W521" i="25"/>
  <c r="S523" i="25"/>
  <c r="T522" i="25"/>
  <c r="U522" i="25"/>
  <c r="V522" i="25"/>
  <c r="M570" i="36"/>
  <c r="L521" i="25" s="1"/>
  <c r="L570" i="36"/>
  <c r="K521" i="25" s="1"/>
  <c r="K570" i="36"/>
  <c r="J521" i="25" s="1"/>
  <c r="J571" i="36"/>
  <c r="I522" i="25" s="1"/>
  <c r="N569" i="36"/>
  <c r="M520" i="25" s="1"/>
  <c r="BF522" i="25" l="1"/>
  <c r="BB524" i="25"/>
  <c r="BD523" i="25"/>
  <c r="BC523" i="25"/>
  <c r="BE523" i="25"/>
  <c r="BA520" i="25"/>
  <c r="AY521" i="25"/>
  <c r="AZ521" i="25"/>
  <c r="AW522" i="25"/>
  <c r="AX521" i="25"/>
  <c r="AV520" i="25"/>
  <c r="AR522" i="25"/>
  <c r="AS521" i="25"/>
  <c r="AT521" i="25"/>
  <c r="AU521" i="25"/>
  <c r="AQ520" i="25"/>
  <c r="AM522" i="25"/>
  <c r="AN521" i="25"/>
  <c r="AO521" i="25"/>
  <c r="AP521" i="25"/>
  <c r="AL520" i="25"/>
  <c r="AK521" i="25"/>
  <c r="AJ521" i="25"/>
  <c r="AH522" i="25"/>
  <c r="AI521" i="25"/>
  <c r="AG520" i="25"/>
  <c r="AC522" i="25"/>
  <c r="AD521" i="25"/>
  <c r="AF521" i="25"/>
  <c r="AE521" i="25"/>
  <c r="AB520" i="25"/>
  <c r="X522" i="25"/>
  <c r="Y521" i="25"/>
  <c r="Z521" i="25"/>
  <c r="AA521" i="25"/>
  <c r="W522" i="25"/>
  <c r="V523" i="25"/>
  <c r="T523" i="25"/>
  <c r="U523" i="25"/>
  <c r="S524" i="25"/>
  <c r="N570" i="36"/>
  <c r="M521" i="25" s="1"/>
  <c r="L571" i="36"/>
  <c r="K522" i="25" s="1"/>
  <c r="M571" i="36"/>
  <c r="L522" i="25" s="1"/>
  <c r="J572" i="36"/>
  <c r="I523" i="25" s="1"/>
  <c r="K571" i="36"/>
  <c r="J522" i="25" s="1"/>
  <c r="BE524" i="25" l="1"/>
  <c r="BB525" i="25"/>
  <c r="BD524" i="25"/>
  <c r="BC524" i="25"/>
  <c r="BF523" i="25"/>
  <c r="BA521" i="25"/>
  <c r="AZ522" i="25"/>
  <c r="AY522" i="25"/>
  <c r="AW523" i="25"/>
  <c r="AX522" i="25"/>
  <c r="AV521" i="25"/>
  <c r="AR523" i="25"/>
  <c r="AT522" i="25"/>
  <c r="AU522" i="25"/>
  <c r="AS522" i="25"/>
  <c r="AQ521" i="25"/>
  <c r="AP522" i="25"/>
  <c r="AM523" i="25"/>
  <c r="AN522" i="25"/>
  <c r="AO522" i="25"/>
  <c r="AL521" i="25"/>
  <c r="AJ522" i="25"/>
  <c r="AK522" i="25"/>
  <c r="AH523" i="25"/>
  <c r="AI522" i="25"/>
  <c r="AE522" i="25"/>
  <c r="AF522" i="25"/>
  <c r="AC523" i="25"/>
  <c r="AD522" i="25"/>
  <c r="AG521" i="25"/>
  <c r="AB521" i="25"/>
  <c r="X523" i="25"/>
  <c r="Y522" i="25"/>
  <c r="Z522" i="25"/>
  <c r="AA522" i="25"/>
  <c r="U524" i="25"/>
  <c r="V524" i="25"/>
  <c r="S525" i="25"/>
  <c r="T524" i="25"/>
  <c r="W523" i="25"/>
  <c r="N571" i="36"/>
  <c r="M522" i="25" s="1"/>
  <c r="J573" i="36"/>
  <c r="I524" i="25" s="1"/>
  <c r="K572" i="36"/>
  <c r="J523" i="25" s="1"/>
  <c r="L572" i="36"/>
  <c r="K523" i="25" s="1"/>
  <c r="M572" i="36"/>
  <c r="L523" i="25" s="1"/>
  <c r="BF524" i="25" l="1"/>
  <c r="BD525" i="25"/>
  <c r="BB526" i="25"/>
  <c r="BE525" i="25"/>
  <c r="BC525" i="25"/>
  <c r="AY523" i="25"/>
  <c r="AZ523" i="25"/>
  <c r="AW524" i="25"/>
  <c r="AX523" i="25"/>
  <c r="BA522" i="25"/>
  <c r="AV522" i="25"/>
  <c r="AU523" i="25"/>
  <c r="AR524" i="25"/>
  <c r="AT523" i="25"/>
  <c r="AS523" i="25"/>
  <c r="AO523" i="25"/>
  <c r="AP523" i="25"/>
  <c r="AN523" i="25"/>
  <c r="AM524" i="25"/>
  <c r="AQ522" i="25"/>
  <c r="AL522" i="25"/>
  <c r="AH524" i="25"/>
  <c r="AI523" i="25"/>
  <c r="AK523" i="25"/>
  <c r="AJ523" i="25"/>
  <c r="AG522" i="25"/>
  <c r="AF523" i="25"/>
  <c r="AC524" i="25"/>
  <c r="AD523" i="25"/>
  <c r="AE523" i="25"/>
  <c r="AB522" i="25"/>
  <c r="AA523" i="25"/>
  <c r="X524" i="25"/>
  <c r="Y523" i="25"/>
  <c r="Z523" i="25"/>
  <c r="W524" i="25"/>
  <c r="S526" i="25"/>
  <c r="T525" i="25"/>
  <c r="U525" i="25"/>
  <c r="V525" i="25"/>
  <c r="N572" i="36"/>
  <c r="M523" i="25" s="1"/>
  <c r="J574" i="36"/>
  <c r="I525" i="25" s="1"/>
  <c r="K573" i="36"/>
  <c r="J524" i="25" s="1"/>
  <c r="M573" i="36"/>
  <c r="L524" i="25" s="1"/>
  <c r="L573" i="36"/>
  <c r="K524" i="25" s="1"/>
  <c r="BE526" i="25" l="1"/>
  <c r="BB527" i="25"/>
  <c r="BC526" i="25"/>
  <c r="BD526" i="25"/>
  <c r="BF525" i="25"/>
  <c r="BA523" i="25"/>
  <c r="AW525" i="25"/>
  <c r="AX524" i="25"/>
  <c r="AZ524" i="25"/>
  <c r="AY524" i="25"/>
  <c r="AT524" i="25"/>
  <c r="AR525" i="25"/>
  <c r="AU524" i="25"/>
  <c r="AS524" i="25"/>
  <c r="AV523" i="25"/>
  <c r="AQ523" i="25"/>
  <c r="AM525" i="25"/>
  <c r="AN524" i="25"/>
  <c r="AO524" i="25"/>
  <c r="AP524" i="25"/>
  <c r="AL523" i="25"/>
  <c r="AK524" i="25"/>
  <c r="AH525" i="25"/>
  <c r="AI524" i="25"/>
  <c r="AJ524" i="25"/>
  <c r="AE524" i="25"/>
  <c r="AC525" i="25"/>
  <c r="AD524" i="25"/>
  <c r="AF524" i="25"/>
  <c r="AG523" i="25"/>
  <c r="Z524" i="25"/>
  <c r="AA524" i="25"/>
  <c r="Y524" i="25"/>
  <c r="X525" i="25"/>
  <c r="AB523" i="25"/>
  <c r="S527" i="25"/>
  <c r="T526" i="25"/>
  <c r="U526" i="25"/>
  <c r="V526" i="25"/>
  <c r="W525" i="25"/>
  <c r="M574" i="36"/>
  <c r="L525" i="25" s="1"/>
  <c r="L574" i="36"/>
  <c r="K525" i="25" s="1"/>
  <c r="K574" i="36"/>
  <c r="J525" i="25" s="1"/>
  <c r="J575" i="36"/>
  <c r="I526" i="25" s="1"/>
  <c r="N573" i="36"/>
  <c r="M524" i="25" s="1"/>
  <c r="BD527" i="25" l="1"/>
  <c r="BE527" i="25"/>
  <c r="BB528" i="25"/>
  <c r="BC527" i="25"/>
  <c r="BF526" i="25"/>
  <c r="AZ525" i="25"/>
  <c r="AW526" i="25"/>
  <c r="AX525" i="25"/>
  <c r="AY525" i="25"/>
  <c r="BA524" i="25"/>
  <c r="AV524" i="25"/>
  <c r="AR526" i="25"/>
  <c r="AS525" i="25"/>
  <c r="AU525" i="25"/>
  <c r="AT525" i="25"/>
  <c r="AM526" i="25"/>
  <c r="AN525" i="25"/>
  <c r="AO525" i="25"/>
  <c r="AP525" i="25"/>
  <c r="AQ524" i="25"/>
  <c r="AK525" i="25"/>
  <c r="AH526" i="25"/>
  <c r="AI525" i="25"/>
  <c r="AJ525" i="25"/>
  <c r="AL524" i="25"/>
  <c r="AG524" i="25"/>
  <c r="AC526" i="25"/>
  <c r="AD525" i="25"/>
  <c r="AF525" i="25"/>
  <c r="AE525" i="25"/>
  <c r="AB524" i="25"/>
  <c r="X526" i="25"/>
  <c r="Y525" i="25"/>
  <c r="Z525" i="25"/>
  <c r="AA525" i="25"/>
  <c r="W526" i="25"/>
  <c r="V527" i="25"/>
  <c r="S528" i="25"/>
  <c r="T527" i="25"/>
  <c r="U527" i="25"/>
  <c r="N574" i="36"/>
  <c r="M525" i="25" s="1"/>
  <c r="L575" i="36"/>
  <c r="K526" i="25" s="1"/>
  <c r="M575" i="36"/>
  <c r="L526" i="25" s="1"/>
  <c r="J576" i="36"/>
  <c r="I527" i="25" s="1"/>
  <c r="K575" i="36"/>
  <c r="J526" i="25" s="1"/>
  <c r="BF527" i="25" l="1"/>
  <c r="BB529" i="25"/>
  <c r="BC528" i="25"/>
  <c r="BE528" i="25"/>
  <c r="BD528" i="25"/>
  <c r="AZ526" i="25"/>
  <c r="AW527" i="25"/>
  <c r="AX526" i="25"/>
  <c r="AY526" i="25"/>
  <c r="BA525" i="25"/>
  <c r="AV525" i="25"/>
  <c r="AS526" i="25"/>
  <c r="AU526" i="25"/>
  <c r="AR527" i="25"/>
  <c r="AT526" i="25"/>
  <c r="AQ525" i="25"/>
  <c r="AP526" i="25"/>
  <c r="AM527" i="25"/>
  <c r="AN526" i="25"/>
  <c r="AO526" i="25"/>
  <c r="AJ526" i="25"/>
  <c r="AH527" i="25"/>
  <c r="AI526" i="25"/>
  <c r="AK526" i="25"/>
  <c r="AL525" i="25"/>
  <c r="AE526" i="25"/>
  <c r="AF526" i="25"/>
  <c r="AD526" i="25"/>
  <c r="AC527" i="25"/>
  <c r="AG525" i="25"/>
  <c r="AB525" i="25"/>
  <c r="X527" i="25"/>
  <c r="Y526" i="25"/>
  <c r="Z526" i="25"/>
  <c r="AA526" i="25"/>
  <c r="U528" i="25"/>
  <c r="V528" i="25"/>
  <c r="T528" i="25"/>
  <c r="S529" i="25"/>
  <c r="W527" i="25"/>
  <c r="N575" i="36"/>
  <c r="M526" i="25" s="1"/>
  <c r="J577" i="36"/>
  <c r="I528" i="25" s="1"/>
  <c r="K576" i="36"/>
  <c r="J527" i="25" s="1"/>
  <c r="L576" i="36"/>
  <c r="K527" i="25" s="1"/>
  <c r="M576" i="36"/>
  <c r="L527" i="25" s="1"/>
  <c r="BD529" i="25" l="1"/>
  <c r="BE529" i="25"/>
  <c r="BB530" i="25"/>
  <c r="BC529" i="25"/>
  <c r="BF528" i="25"/>
  <c r="AY527" i="25"/>
  <c r="AW528" i="25"/>
  <c r="AX527" i="25"/>
  <c r="AZ527" i="25"/>
  <c r="BA526" i="25"/>
  <c r="AU527" i="25"/>
  <c r="AS527" i="25"/>
  <c r="AR528" i="25"/>
  <c r="AT527" i="25"/>
  <c r="AV526" i="25"/>
  <c r="AO527" i="25"/>
  <c r="AP527" i="25"/>
  <c r="AN527" i="25"/>
  <c r="AM528" i="25"/>
  <c r="AQ526" i="25"/>
  <c r="AL526" i="25"/>
  <c r="AH528" i="25"/>
  <c r="AI527" i="25"/>
  <c r="AJ527" i="25"/>
  <c r="AK527" i="25"/>
  <c r="AG526" i="25"/>
  <c r="AF527" i="25"/>
  <c r="AC528" i="25"/>
  <c r="AD527" i="25"/>
  <c r="AE527" i="25"/>
  <c r="AB526" i="25"/>
  <c r="AA527" i="25"/>
  <c r="Y527" i="25"/>
  <c r="Z527" i="25"/>
  <c r="X528" i="25"/>
  <c r="W528" i="25"/>
  <c r="S530" i="25"/>
  <c r="T529" i="25"/>
  <c r="U529" i="25"/>
  <c r="V529" i="25"/>
  <c r="N576" i="36"/>
  <c r="M527" i="25" s="1"/>
  <c r="J578" i="36"/>
  <c r="I529" i="25" s="1"/>
  <c r="K577" i="36"/>
  <c r="J528" i="25" s="1"/>
  <c r="M577" i="36"/>
  <c r="L528" i="25" s="1"/>
  <c r="L577" i="36"/>
  <c r="K528" i="25" s="1"/>
  <c r="BF529" i="25" l="1"/>
  <c r="BE530" i="25"/>
  <c r="BB531" i="25"/>
  <c r="BC530" i="25"/>
  <c r="BD530" i="25"/>
  <c r="BA527" i="25"/>
  <c r="AW529" i="25"/>
  <c r="AX528" i="25"/>
  <c r="AY528" i="25"/>
  <c r="AZ528" i="25"/>
  <c r="AT528" i="25"/>
  <c r="AS528" i="25"/>
  <c r="AR529" i="25"/>
  <c r="AU528" i="25"/>
  <c r="AV527" i="25"/>
  <c r="AQ527" i="25"/>
  <c r="AM529" i="25"/>
  <c r="AN528" i="25"/>
  <c r="AO528" i="25"/>
  <c r="AP528" i="25"/>
  <c r="AL527" i="25"/>
  <c r="AH529" i="25"/>
  <c r="AI528" i="25"/>
  <c r="AJ528" i="25"/>
  <c r="AK528" i="25"/>
  <c r="AE528" i="25"/>
  <c r="AC529" i="25"/>
  <c r="AD528" i="25"/>
  <c r="AF528" i="25"/>
  <c r="AG527" i="25"/>
  <c r="AB527" i="25"/>
  <c r="Z528" i="25"/>
  <c r="AA528" i="25"/>
  <c r="X529" i="25"/>
  <c r="Y528" i="25"/>
  <c r="W529" i="25"/>
  <c r="S531" i="25"/>
  <c r="T530" i="25"/>
  <c r="U530" i="25"/>
  <c r="V530" i="25"/>
  <c r="M578" i="36"/>
  <c r="L529" i="25" s="1"/>
  <c r="L578" i="36"/>
  <c r="K529" i="25" s="1"/>
  <c r="K578" i="36"/>
  <c r="J529" i="25" s="1"/>
  <c r="J579" i="36"/>
  <c r="I530" i="25" s="1"/>
  <c r="N577" i="36"/>
  <c r="M528" i="25" s="1"/>
  <c r="AG528" i="25" l="1"/>
  <c r="BD531" i="25"/>
  <c r="BB532" i="25"/>
  <c r="BC531" i="25"/>
  <c r="BE531" i="25"/>
  <c r="BF530" i="25"/>
  <c r="BA528" i="25"/>
  <c r="AW530" i="25"/>
  <c r="AX529" i="25"/>
  <c r="AY529" i="25"/>
  <c r="AZ529" i="25"/>
  <c r="AV528" i="25"/>
  <c r="AR530" i="25"/>
  <c r="AS529" i="25"/>
  <c r="AT529" i="25"/>
  <c r="AU529" i="25"/>
  <c r="AM530" i="25"/>
  <c r="AN529" i="25"/>
  <c r="AO529" i="25"/>
  <c r="AP529" i="25"/>
  <c r="AQ528" i="25"/>
  <c r="AL528" i="25"/>
  <c r="AK529" i="25"/>
  <c r="AH530" i="25"/>
  <c r="AI529" i="25"/>
  <c r="AJ529" i="25"/>
  <c r="AC530" i="25"/>
  <c r="AD529" i="25"/>
  <c r="AF529" i="25"/>
  <c r="AE529" i="25"/>
  <c r="AB528" i="25"/>
  <c r="X530" i="25"/>
  <c r="Y529" i="25"/>
  <c r="Z529" i="25"/>
  <c r="AA529" i="25"/>
  <c r="W530" i="25"/>
  <c r="V531" i="25"/>
  <c r="T531" i="25"/>
  <c r="U531" i="25"/>
  <c r="S532" i="25"/>
  <c r="N578" i="36"/>
  <c r="M529" i="25" s="1"/>
  <c r="L579" i="36"/>
  <c r="K530" i="25" s="1"/>
  <c r="M579" i="36"/>
  <c r="L530" i="25" s="1"/>
  <c r="J580" i="36"/>
  <c r="I531" i="25" s="1"/>
  <c r="K579" i="36"/>
  <c r="J530" i="25" s="1"/>
  <c r="BF531" i="25" l="1"/>
  <c r="BB533" i="25"/>
  <c r="BC532" i="25"/>
  <c r="BE532" i="25"/>
  <c r="BD532" i="25"/>
  <c r="BA529" i="25"/>
  <c r="AZ530" i="25"/>
  <c r="AW531" i="25"/>
  <c r="AX530" i="25"/>
  <c r="AY530" i="25"/>
  <c r="AV529" i="25"/>
  <c r="AT530" i="25"/>
  <c r="AR531" i="25"/>
  <c r="AS530" i="25"/>
  <c r="AU530" i="25"/>
  <c r="AQ529" i="25"/>
  <c r="AP530" i="25"/>
  <c r="AM531" i="25"/>
  <c r="AN530" i="25"/>
  <c r="AO530" i="25"/>
  <c r="AJ530" i="25"/>
  <c r="AH531" i="25"/>
  <c r="AI530" i="25"/>
  <c r="AK530" i="25"/>
  <c r="AL529" i="25"/>
  <c r="AE530" i="25"/>
  <c r="AF530" i="25"/>
  <c r="AD530" i="25"/>
  <c r="AC531" i="25"/>
  <c r="AG529" i="25"/>
  <c r="AB529" i="25"/>
  <c r="X531" i="25"/>
  <c r="Y530" i="25"/>
  <c r="Z530" i="25"/>
  <c r="AA530" i="25"/>
  <c r="W531" i="25"/>
  <c r="U532" i="25"/>
  <c r="V532" i="25"/>
  <c r="S533" i="25"/>
  <c r="T532" i="25"/>
  <c r="N579" i="36"/>
  <c r="M530" i="25" s="1"/>
  <c r="J581" i="36"/>
  <c r="I532" i="25" s="1"/>
  <c r="K580" i="36"/>
  <c r="J531" i="25" s="1"/>
  <c r="L580" i="36"/>
  <c r="K531" i="25" s="1"/>
  <c r="M580" i="36"/>
  <c r="L531" i="25" s="1"/>
  <c r="BD533" i="25" l="1"/>
  <c r="BE533" i="25"/>
  <c r="BC533" i="25"/>
  <c r="BB534" i="25"/>
  <c r="BF532" i="25"/>
  <c r="AY531" i="25"/>
  <c r="AZ531" i="25"/>
  <c r="AX531" i="25"/>
  <c r="AW532" i="25"/>
  <c r="BA530" i="25"/>
  <c r="AV530" i="25"/>
  <c r="AU531" i="25"/>
  <c r="AT531" i="25"/>
  <c r="AR532" i="25"/>
  <c r="AS531" i="25"/>
  <c r="AO531" i="25"/>
  <c r="AP531" i="25"/>
  <c r="AN531" i="25"/>
  <c r="AM532" i="25"/>
  <c r="AQ530" i="25"/>
  <c r="AL530" i="25"/>
  <c r="AH532" i="25"/>
  <c r="AI531" i="25"/>
  <c r="AJ531" i="25"/>
  <c r="AK531" i="25"/>
  <c r="AG530" i="25"/>
  <c r="AF531" i="25"/>
  <c r="AC532" i="25"/>
  <c r="AD531" i="25"/>
  <c r="AE531" i="25"/>
  <c r="AB530" i="25"/>
  <c r="AA531" i="25"/>
  <c r="X532" i="25"/>
  <c r="Y531" i="25"/>
  <c r="Z531" i="25"/>
  <c r="W532" i="25"/>
  <c r="S534" i="25"/>
  <c r="T533" i="25"/>
  <c r="U533" i="25"/>
  <c r="V533" i="25"/>
  <c r="N580" i="36"/>
  <c r="M531" i="25" s="1"/>
  <c r="J582" i="36"/>
  <c r="I533" i="25" s="1"/>
  <c r="K581" i="36"/>
  <c r="J532" i="25" s="1"/>
  <c r="M581" i="36"/>
  <c r="L532" i="25" s="1"/>
  <c r="L581" i="36"/>
  <c r="K532" i="25" s="1"/>
  <c r="BF533" i="25" l="1"/>
  <c r="BE534" i="25"/>
  <c r="BB535" i="25"/>
  <c r="BC534" i="25"/>
  <c r="BD534" i="25"/>
  <c r="BA531" i="25"/>
  <c r="AW533" i="25"/>
  <c r="AX532" i="25"/>
  <c r="AY532" i="25"/>
  <c r="AZ532" i="25"/>
  <c r="AV531" i="25"/>
  <c r="AT532" i="25"/>
  <c r="AU532" i="25"/>
  <c r="AR533" i="25"/>
  <c r="AS532" i="25"/>
  <c r="AQ531" i="25"/>
  <c r="AM533" i="25"/>
  <c r="AN532" i="25"/>
  <c r="AO532" i="25"/>
  <c r="AP532" i="25"/>
  <c r="AL531" i="25"/>
  <c r="AI532" i="25"/>
  <c r="AJ532" i="25"/>
  <c r="AK532" i="25"/>
  <c r="AH533" i="25"/>
  <c r="AE532" i="25"/>
  <c r="AC533" i="25"/>
  <c r="AD532" i="25"/>
  <c r="AF532" i="25"/>
  <c r="AG531" i="25"/>
  <c r="Z532" i="25"/>
  <c r="AA532" i="25"/>
  <c r="Y532" i="25"/>
  <c r="X533" i="25"/>
  <c r="AB531" i="25"/>
  <c r="W533" i="25"/>
  <c r="S535" i="25"/>
  <c r="T534" i="25"/>
  <c r="U534" i="25"/>
  <c r="V534" i="25"/>
  <c r="M582" i="36"/>
  <c r="L533" i="25" s="1"/>
  <c r="L582" i="36"/>
  <c r="K533" i="25" s="1"/>
  <c r="J583" i="36"/>
  <c r="I534" i="25" s="1"/>
  <c r="K582" i="36"/>
  <c r="J533" i="25" s="1"/>
  <c r="N581" i="36"/>
  <c r="M532" i="25" s="1"/>
  <c r="BD535" i="25" l="1"/>
  <c r="BB536" i="25"/>
  <c r="BC535" i="25"/>
  <c r="BE535" i="25"/>
  <c r="BF534" i="25"/>
  <c r="BA532" i="25"/>
  <c r="AW534" i="25"/>
  <c r="AX533" i="25"/>
  <c r="AY533" i="25"/>
  <c r="AZ533" i="25"/>
  <c r="AV532" i="25"/>
  <c r="AR534" i="25"/>
  <c r="AS533" i="25"/>
  <c r="AU533" i="25"/>
  <c r="AT533" i="25"/>
  <c r="AM534" i="25"/>
  <c r="AN533" i="25"/>
  <c r="AO533" i="25"/>
  <c r="AP533" i="25"/>
  <c r="AQ532" i="25"/>
  <c r="AL532" i="25"/>
  <c r="AK533" i="25"/>
  <c r="AI533" i="25"/>
  <c r="AJ533" i="25"/>
  <c r="AH534" i="25"/>
  <c r="AG532" i="25"/>
  <c r="AC534" i="25"/>
  <c r="AD533" i="25"/>
  <c r="AF533" i="25"/>
  <c r="AE533" i="25"/>
  <c r="AB532" i="25"/>
  <c r="X534" i="25"/>
  <c r="Y533" i="25"/>
  <c r="Z533" i="25"/>
  <c r="AA533" i="25"/>
  <c r="W534" i="25"/>
  <c r="V535" i="25"/>
  <c r="S536" i="25"/>
  <c r="U535" i="25"/>
  <c r="T535" i="25"/>
  <c r="N582" i="36"/>
  <c r="M533" i="25" s="1"/>
  <c r="L583" i="36"/>
  <c r="K534" i="25" s="1"/>
  <c r="M583" i="36"/>
  <c r="L534" i="25" s="1"/>
  <c r="J584" i="36"/>
  <c r="I535" i="25" s="1"/>
  <c r="K583" i="36"/>
  <c r="J534" i="25" s="1"/>
  <c r="BF535" i="25" l="1"/>
  <c r="BB537" i="25"/>
  <c r="BC536" i="25"/>
  <c r="BE536" i="25"/>
  <c r="BD536" i="25"/>
  <c r="BA533" i="25"/>
  <c r="AZ534" i="25"/>
  <c r="AW535" i="25"/>
  <c r="AX534" i="25"/>
  <c r="AY534" i="25"/>
  <c r="AR535" i="25"/>
  <c r="AS534" i="25"/>
  <c r="AU534" i="25"/>
  <c r="AT534" i="25"/>
  <c r="AV533" i="25"/>
  <c r="AQ533" i="25"/>
  <c r="AP534" i="25"/>
  <c r="AM535" i="25"/>
  <c r="AN534" i="25"/>
  <c r="AO534" i="25"/>
  <c r="AL533" i="25"/>
  <c r="AJ534" i="25"/>
  <c r="AI534" i="25"/>
  <c r="AK534" i="25"/>
  <c r="AH535" i="25"/>
  <c r="AE534" i="25"/>
  <c r="AF534" i="25"/>
  <c r="AC535" i="25"/>
  <c r="AD534" i="25"/>
  <c r="AG533" i="25"/>
  <c r="AB533" i="25"/>
  <c r="X535" i="25"/>
  <c r="Y534" i="25"/>
  <c r="Z534" i="25"/>
  <c r="AA534" i="25"/>
  <c r="U536" i="25"/>
  <c r="V536" i="25"/>
  <c r="T536" i="25"/>
  <c r="S537" i="25"/>
  <c r="W535" i="25"/>
  <c r="N583" i="36"/>
  <c r="M534" i="25" s="1"/>
  <c r="J585" i="36"/>
  <c r="I536" i="25" s="1"/>
  <c r="K584" i="36"/>
  <c r="J535" i="25" s="1"/>
  <c r="L584" i="36"/>
  <c r="K535" i="25" s="1"/>
  <c r="M584" i="36"/>
  <c r="L535" i="25" s="1"/>
  <c r="BD537" i="25" l="1"/>
  <c r="BE537" i="25"/>
  <c r="BB538" i="25"/>
  <c r="BC537" i="25"/>
  <c r="BF536" i="25"/>
  <c r="AY535" i="25"/>
  <c r="AZ535" i="25"/>
  <c r="AW536" i="25"/>
  <c r="AX535" i="25"/>
  <c r="BA534" i="25"/>
  <c r="AU535" i="25"/>
  <c r="AT535" i="25"/>
  <c r="AS535" i="25"/>
  <c r="AR536" i="25"/>
  <c r="AV534" i="25"/>
  <c r="AO535" i="25"/>
  <c r="AP535" i="25"/>
  <c r="AM536" i="25"/>
  <c r="AN535" i="25"/>
  <c r="AQ534" i="25"/>
  <c r="AL534" i="25"/>
  <c r="AH536" i="25"/>
  <c r="AI535" i="25"/>
  <c r="AJ535" i="25"/>
  <c r="AK535" i="25"/>
  <c r="AG534" i="25"/>
  <c r="AF535" i="25"/>
  <c r="AC536" i="25"/>
  <c r="AD535" i="25"/>
  <c r="AE535" i="25"/>
  <c r="AB534" i="25"/>
  <c r="AA535" i="25"/>
  <c r="Y535" i="25"/>
  <c r="X536" i="25"/>
  <c r="Z535" i="25"/>
  <c r="W536" i="25"/>
  <c r="S538" i="25"/>
  <c r="T537" i="25"/>
  <c r="U537" i="25"/>
  <c r="V537" i="25"/>
  <c r="J586" i="36"/>
  <c r="I537" i="25" s="1"/>
  <c r="K585" i="36"/>
  <c r="J536" i="25" s="1"/>
  <c r="M585" i="36"/>
  <c r="L536" i="25" s="1"/>
  <c r="L585" i="36"/>
  <c r="K536" i="25" s="1"/>
  <c r="N584" i="36"/>
  <c r="M535" i="25" s="1"/>
  <c r="BF537" i="25" l="1"/>
  <c r="BE538" i="25"/>
  <c r="BB539" i="25"/>
  <c r="BC538" i="25"/>
  <c r="BD538" i="25"/>
  <c r="BA535" i="25"/>
  <c r="AW537" i="25"/>
  <c r="AX536" i="25"/>
  <c r="AY536" i="25"/>
  <c r="AZ536" i="25"/>
  <c r="AV535" i="25"/>
  <c r="AT536" i="25"/>
  <c r="AU536" i="25"/>
  <c r="AR537" i="25"/>
  <c r="AS536" i="25"/>
  <c r="AQ535" i="25"/>
  <c r="AM537" i="25"/>
  <c r="AN536" i="25"/>
  <c r="AO536" i="25"/>
  <c r="AP536" i="25"/>
  <c r="AJ536" i="25"/>
  <c r="AK536" i="25"/>
  <c r="AH537" i="25"/>
  <c r="AI536" i="25"/>
  <c r="AL535" i="25"/>
  <c r="AE536" i="25"/>
  <c r="AC537" i="25"/>
  <c r="AD536" i="25"/>
  <c r="AF536" i="25"/>
  <c r="AG535" i="25"/>
  <c r="Z536" i="25"/>
  <c r="AA536" i="25"/>
  <c r="X537" i="25"/>
  <c r="Y536" i="25"/>
  <c r="AB535" i="25"/>
  <c r="W537" i="25"/>
  <c r="S539" i="25"/>
  <c r="T538" i="25"/>
  <c r="U538" i="25"/>
  <c r="V538" i="25"/>
  <c r="M586" i="36"/>
  <c r="L537" i="25" s="1"/>
  <c r="L586" i="36"/>
  <c r="K537" i="25" s="1"/>
  <c r="K586" i="36"/>
  <c r="J537" i="25" s="1"/>
  <c r="J587" i="36"/>
  <c r="I538" i="25" s="1"/>
  <c r="N585" i="36"/>
  <c r="M536" i="25" s="1"/>
  <c r="BD539" i="25" l="1"/>
  <c r="BB540" i="25"/>
  <c r="BC539" i="25"/>
  <c r="BE539" i="25"/>
  <c r="BF538" i="25"/>
  <c r="AW538" i="25"/>
  <c r="AX537" i="25"/>
  <c r="AY537" i="25"/>
  <c r="AZ537" i="25"/>
  <c r="BA536" i="25"/>
  <c r="AV536" i="25"/>
  <c r="AR538" i="25"/>
  <c r="AS537" i="25"/>
  <c r="AT537" i="25"/>
  <c r="AU537" i="25"/>
  <c r="AQ536" i="25"/>
  <c r="AM538" i="25"/>
  <c r="AN537" i="25"/>
  <c r="AO537" i="25"/>
  <c r="AP537" i="25"/>
  <c r="AL536" i="25"/>
  <c r="AK537" i="25"/>
  <c r="AJ537" i="25"/>
  <c r="AH538" i="25"/>
  <c r="AI537" i="25"/>
  <c r="AG536" i="25"/>
  <c r="AC538" i="25"/>
  <c r="AD537" i="25"/>
  <c r="AF537" i="25"/>
  <c r="AE537" i="25"/>
  <c r="AB536" i="25"/>
  <c r="X538" i="25"/>
  <c r="Y537" i="25"/>
  <c r="Z537" i="25"/>
  <c r="AA537" i="25"/>
  <c r="W538" i="25"/>
  <c r="V539" i="25"/>
  <c r="T539" i="25"/>
  <c r="U539" i="25"/>
  <c r="S540" i="25"/>
  <c r="N586" i="36"/>
  <c r="M537" i="25" s="1"/>
  <c r="L587" i="36"/>
  <c r="K538" i="25" s="1"/>
  <c r="M587" i="36"/>
  <c r="L538" i="25" s="1"/>
  <c r="J588" i="36"/>
  <c r="I539" i="25" s="1"/>
  <c r="K587" i="36"/>
  <c r="J538" i="25" s="1"/>
  <c r="BF539" i="25" l="1"/>
  <c r="BB541" i="25"/>
  <c r="BC540" i="25"/>
  <c r="BE540" i="25"/>
  <c r="BD540" i="25"/>
  <c r="BA537" i="25"/>
  <c r="AZ538" i="25"/>
  <c r="AW539" i="25"/>
  <c r="AX538" i="25"/>
  <c r="AY538" i="25"/>
  <c r="AR539" i="25"/>
  <c r="AS538" i="25"/>
  <c r="AU538" i="25"/>
  <c r="AT538" i="25"/>
  <c r="AV537" i="25"/>
  <c r="AQ537" i="25"/>
  <c r="AP538" i="25"/>
  <c r="AM539" i="25"/>
  <c r="AN538" i="25"/>
  <c r="AO538" i="25"/>
  <c r="AL537" i="25"/>
  <c r="AJ538" i="25"/>
  <c r="AK538" i="25"/>
  <c r="AH539" i="25"/>
  <c r="AI538" i="25"/>
  <c r="AE538" i="25"/>
  <c r="AF538" i="25"/>
  <c r="AC539" i="25"/>
  <c r="AD538" i="25"/>
  <c r="AG537" i="25"/>
  <c r="AB537" i="25"/>
  <c r="X539" i="25"/>
  <c r="Y538" i="25"/>
  <c r="Z538" i="25"/>
  <c r="AA538" i="25"/>
  <c r="W539" i="25"/>
  <c r="U540" i="25"/>
  <c r="V540" i="25"/>
  <c r="S541" i="25"/>
  <c r="T540" i="25"/>
  <c r="N587" i="36"/>
  <c r="M538" i="25" s="1"/>
  <c r="J589" i="36"/>
  <c r="I540" i="25" s="1"/>
  <c r="K588" i="36"/>
  <c r="J539" i="25" s="1"/>
  <c r="L588" i="36"/>
  <c r="K539" i="25" s="1"/>
  <c r="M588" i="36"/>
  <c r="L539" i="25" s="1"/>
  <c r="BD541" i="25" l="1"/>
  <c r="BE541" i="25"/>
  <c r="BC541" i="25"/>
  <c r="BB542" i="25"/>
  <c r="BF540" i="25"/>
  <c r="AY539" i="25"/>
  <c r="AZ539" i="25"/>
  <c r="AX539" i="25"/>
  <c r="AW540" i="25"/>
  <c r="BA538" i="25"/>
  <c r="AV538" i="25"/>
  <c r="AU539" i="25"/>
  <c r="AT539" i="25"/>
  <c r="AR540" i="25"/>
  <c r="AS539" i="25"/>
  <c r="AO539" i="25"/>
  <c r="AP539" i="25"/>
  <c r="AN539" i="25"/>
  <c r="AM540" i="25"/>
  <c r="AQ538" i="25"/>
  <c r="AL538" i="25"/>
  <c r="AH540" i="25"/>
  <c r="AI539" i="25"/>
  <c r="AK539" i="25"/>
  <c r="AJ539" i="25"/>
  <c r="AG538" i="25"/>
  <c r="AF539" i="25"/>
  <c r="AC540" i="25"/>
  <c r="AD539" i="25"/>
  <c r="AE539" i="25"/>
  <c r="AB538" i="25"/>
  <c r="AA539" i="25"/>
  <c r="X540" i="25"/>
  <c r="Y539" i="25"/>
  <c r="Z539" i="25"/>
  <c r="W540" i="25"/>
  <c r="S542" i="25"/>
  <c r="T541" i="25"/>
  <c r="U541" i="25"/>
  <c r="V541" i="25"/>
  <c r="N588" i="36"/>
  <c r="M539" i="25" s="1"/>
  <c r="J590" i="36"/>
  <c r="I541" i="25" s="1"/>
  <c r="K589" i="36"/>
  <c r="J540" i="25" s="1"/>
  <c r="M589" i="36"/>
  <c r="L540" i="25" s="1"/>
  <c r="L589" i="36"/>
  <c r="K540" i="25" s="1"/>
  <c r="BF541" i="25" l="1"/>
  <c r="BE542" i="25"/>
  <c r="BB543" i="25"/>
  <c r="BC542" i="25"/>
  <c r="BD542" i="25"/>
  <c r="BA539" i="25"/>
  <c r="AW541" i="25"/>
  <c r="AX540" i="25"/>
  <c r="AY540" i="25"/>
  <c r="AZ540" i="25"/>
  <c r="AV539" i="25"/>
  <c r="AT540" i="25"/>
  <c r="AU540" i="25"/>
  <c r="AR541" i="25"/>
  <c r="AS540" i="25"/>
  <c r="AQ539" i="25"/>
  <c r="AM541" i="25"/>
  <c r="AN540" i="25"/>
  <c r="AO540" i="25"/>
  <c r="AP540" i="25"/>
  <c r="AL539" i="25"/>
  <c r="AK540" i="25"/>
  <c r="AH541" i="25"/>
  <c r="AI540" i="25"/>
  <c r="AJ540" i="25"/>
  <c r="AE540" i="25"/>
  <c r="AC541" i="25"/>
  <c r="AD540" i="25"/>
  <c r="AF540" i="25"/>
  <c r="AG539" i="25"/>
  <c r="Z540" i="25"/>
  <c r="AA540" i="25"/>
  <c r="Y540" i="25"/>
  <c r="X541" i="25"/>
  <c r="AB539" i="25"/>
  <c r="W541" i="25"/>
  <c r="S543" i="25"/>
  <c r="T542" i="25"/>
  <c r="U542" i="25"/>
  <c r="V542" i="25"/>
  <c r="M590" i="36"/>
  <c r="L541" i="25" s="1"/>
  <c r="L590" i="36"/>
  <c r="K541" i="25" s="1"/>
  <c r="K590" i="36"/>
  <c r="J541" i="25" s="1"/>
  <c r="J591" i="36"/>
  <c r="I542" i="25" s="1"/>
  <c r="N589" i="36"/>
  <c r="M540" i="25" s="1"/>
  <c r="BD543" i="25" l="1"/>
  <c r="BB544" i="25"/>
  <c r="BC543" i="25"/>
  <c r="BE543" i="25"/>
  <c r="BF542" i="25"/>
  <c r="BA540" i="25"/>
  <c r="AW542" i="25"/>
  <c r="AX541" i="25"/>
  <c r="AY541" i="25"/>
  <c r="AZ541" i="25"/>
  <c r="AV540" i="25"/>
  <c r="AR542" i="25"/>
  <c r="AS541" i="25"/>
  <c r="AT541" i="25"/>
  <c r="AU541" i="25"/>
  <c r="AM542" i="25"/>
  <c r="AN541" i="25"/>
  <c r="AO541" i="25"/>
  <c r="AP541" i="25"/>
  <c r="AQ540" i="25"/>
  <c r="AK541" i="25"/>
  <c r="AH542" i="25"/>
  <c r="AI541" i="25"/>
  <c r="AJ541" i="25"/>
  <c r="AL540" i="25"/>
  <c r="AG540" i="25"/>
  <c r="AC542" i="25"/>
  <c r="AD541" i="25"/>
  <c r="AF541" i="25"/>
  <c r="AE541" i="25"/>
  <c r="AB540" i="25"/>
  <c r="X542" i="25"/>
  <c r="Y541" i="25"/>
  <c r="Z541" i="25"/>
  <c r="AA541" i="25"/>
  <c r="W542" i="25"/>
  <c r="V543" i="25"/>
  <c r="S544" i="25"/>
  <c r="T543" i="25"/>
  <c r="U543" i="25"/>
  <c r="N590" i="36"/>
  <c r="M541" i="25" s="1"/>
  <c r="L591" i="36"/>
  <c r="K542" i="25" s="1"/>
  <c r="M591" i="36"/>
  <c r="L542" i="25" s="1"/>
  <c r="J592" i="36"/>
  <c r="I543" i="25" s="1"/>
  <c r="K591" i="36"/>
  <c r="J542" i="25" s="1"/>
  <c r="BF543" i="25" l="1"/>
  <c r="BB545" i="25"/>
  <c r="BC544" i="25"/>
  <c r="BE544" i="25"/>
  <c r="BD544" i="25"/>
  <c r="BA541" i="25"/>
  <c r="AZ542" i="25"/>
  <c r="AW543" i="25"/>
  <c r="AX542" i="25"/>
  <c r="AY542" i="25"/>
  <c r="AR543" i="25"/>
  <c r="AS542" i="25"/>
  <c r="AU542" i="25"/>
  <c r="AT542" i="25"/>
  <c r="AV541" i="25"/>
  <c r="AQ541" i="25"/>
  <c r="AP542" i="25"/>
  <c r="AM543" i="25"/>
  <c r="AN542" i="25"/>
  <c r="AO542" i="25"/>
  <c r="AJ542" i="25"/>
  <c r="AH543" i="25"/>
  <c r="AI542" i="25"/>
  <c r="AK542" i="25"/>
  <c r="AL541" i="25"/>
  <c r="AE542" i="25"/>
  <c r="AF542" i="25"/>
  <c r="AD542" i="25"/>
  <c r="AC543" i="25"/>
  <c r="AG541" i="25"/>
  <c r="AB541" i="25"/>
  <c r="X543" i="25"/>
  <c r="Y542" i="25"/>
  <c r="Z542" i="25"/>
  <c r="AA542" i="25"/>
  <c r="U544" i="25"/>
  <c r="V544" i="25"/>
  <c r="T544" i="25"/>
  <c r="S545" i="25"/>
  <c r="W543" i="25"/>
  <c r="N591" i="36"/>
  <c r="M542" i="25" s="1"/>
  <c r="J593" i="36"/>
  <c r="I544" i="25" s="1"/>
  <c r="K592" i="36"/>
  <c r="J543" i="25" s="1"/>
  <c r="L592" i="36"/>
  <c r="K543" i="25" s="1"/>
  <c r="M592" i="36"/>
  <c r="L543" i="25" s="1"/>
  <c r="BD545" i="25" l="1"/>
  <c r="BE545" i="25"/>
  <c r="BB546" i="25"/>
  <c r="BC545" i="25"/>
  <c r="BF544" i="25"/>
  <c r="AY543" i="25"/>
  <c r="AZ543" i="25"/>
  <c r="AX543" i="25"/>
  <c r="AW544" i="25"/>
  <c r="BA542" i="25"/>
  <c r="AU543" i="25"/>
  <c r="AT543" i="25"/>
  <c r="AS543" i="25"/>
  <c r="AR544" i="25"/>
  <c r="AV542" i="25"/>
  <c r="AO543" i="25"/>
  <c r="AP543" i="25"/>
  <c r="AN543" i="25"/>
  <c r="AM544" i="25"/>
  <c r="AQ542" i="25"/>
  <c r="AL542" i="25"/>
  <c r="AH544" i="25"/>
  <c r="AI543" i="25"/>
  <c r="AJ543" i="25"/>
  <c r="AK543" i="25"/>
  <c r="AG542" i="25"/>
  <c r="AF543" i="25"/>
  <c r="AC544" i="25"/>
  <c r="AD543" i="25"/>
  <c r="AE543" i="25"/>
  <c r="AB542" i="25"/>
  <c r="AA543" i="25"/>
  <c r="Y543" i="25"/>
  <c r="Z543" i="25"/>
  <c r="X544" i="25"/>
  <c r="W544" i="25"/>
  <c r="S546" i="25"/>
  <c r="T545" i="25"/>
  <c r="U545" i="25"/>
  <c r="V545" i="25"/>
  <c r="N592" i="36"/>
  <c r="M543" i="25" s="1"/>
  <c r="J594" i="36"/>
  <c r="I545" i="25" s="1"/>
  <c r="K593" i="36"/>
  <c r="J544" i="25" s="1"/>
  <c r="M593" i="36"/>
  <c r="L544" i="25" s="1"/>
  <c r="L593" i="36"/>
  <c r="K544" i="25" s="1"/>
  <c r="BF545" i="25" l="1"/>
  <c r="BE546" i="25"/>
  <c r="BB547" i="25"/>
  <c r="BC546" i="25"/>
  <c r="BD546" i="25"/>
  <c r="BA543" i="25"/>
  <c r="AW545" i="25"/>
  <c r="AX544" i="25"/>
  <c r="AY544" i="25"/>
  <c r="AZ544" i="25"/>
  <c r="AV543" i="25"/>
  <c r="AT544" i="25"/>
  <c r="AU544" i="25"/>
  <c r="AR545" i="25"/>
  <c r="AS544" i="25"/>
  <c r="AQ543" i="25"/>
  <c r="AM545" i="25"/>
  <c r="AN544" i="25"/>
  <c r="AO544" i="25"/>
  <c r="AP544" i="25"/>
  <c r="AL543" i="25"/>
  <c r="AH545" i="25"/>
  <c r="AI544" i="25"/>
  <c r="AJ544" i="25"/>
  <c r="AK544" i="25"/>
  <c r="AE544" i="25"/>
  <c r="AC545" i="25"/>
  <c r="AD544" i="25"/>
  <c r="AF544" i="25"/>
  <c r="AG543" i="25"/>
  <c r="AB543" i="25"/>
  <c r="Z544" i="25"/>
  <c r="AA544" i="25"/>
  <c r="X545" i="25"/>
  <c r="Y544" i="25"/>
  <c r="W545" i="25"/>
  <c r="S547" i="25"/>
  <c r="T546" i="25"/>
  <c r="U546" i="25"/>
  <c r="V546" i="25"/>
  <c r="M594" i="36"/>
  <c r="L545" i="25" s="1"/>
  <c r="L594" i="36"/>
  <c r="K545" i="25" s="1"/>
  <c r="K594" i="36"/>
  <c r="J545" i="25" s="1"/>
  <c r="J595" i="36"/>
  <c r="I546" i="25" s="1"/>
  <c r="N593" i="36"/>
  <c r="M544" i="25" s="1"/>
  <c r="BD547" i="25" l="1"/>
  <c r="BB548" i="25"/>
  <c r="BC547" i="25"/>
  <c r="BE547" i="25"/>
  <c r="BF546" i="25"/>
  <c r="BA544" i="25"/>
  <c r="AW546" i="25"/>
  <c r="AX545" i="25"/>
  <c r="AY545" i="25"/>
  <c r="AZ545" i="25"/>
  <c r="AV544" i="25"/>
  <c r="AR546" i="25"/>
  <c r="AS545" i="25"/>
  <c r="AT545" i="25"/>
  <c r="AU545" i="25"/>
  <c r="AM546" i="25"/>
  <c r="AN545" i="25"/>
  <c r="AO545" i="25"/>
  <c r="AP545" i="25"/>
  <c r="AQ544" i="25"/>
  <c r="AL544" i="25"/>
  <c r="AK545" i="25"/>
  <c r="AH546" i="25"/>
  <c r="AI545" i="25"/>
  <c r="AJ545" i="25"/>
  <c r="AG544" i="25"/>
  <c r="AC546" i="25"/>
  <c r="AD545" i="25"/>
  <c r="AF545" i="25"/>
  <c r="AE545" i="25"/>
  <c r="AB544" i="25"/>
  <c r="X546" i="25"/>
  <c r="Y545" i="25"/>
  <c r="Z545" i="25"/>
  <c r="AA545" i="25"/>
  <c r="W546" i="25"/>
  <c r="V547" i="25"/>
  <c r="T547" i="25"/>
  <c r="U547" i="25"/>
  <c r="S548" i="25"/>
  <c r="N594" i="36"/>
  <c r="M545" i="25" s="1"/>
  <c r="L595" i="36"/>
  <c r="K546" i="25" s="1"/>
  <c r="M595" i="36"/>
  <c r="L546" i="25" s="1"/>
  <c r="J596" i="36"/>
  <c r="I547" i="25" s="1"/>
  <c r="K595" i="36"/>
  <c r="J546" i="25" s="1"/>
  <c r="BF547" i="25" l="1"/>
  <c r="BB549" i="25"/>
  <c r="BC548" i="25"/>
  <c r="BE548" i="25"/>
  <c r="BD548" i="25"/>
  <c r="BA545" i="25"/>
  <c r="AZ546" i="25"/>
  <c r="AW547" i="25"/>
  <c r="AX546" i="25"/>
  <c r="AY546" i="25"/>
  <c r="AR547" i="25"/>
  <c r="AS546" i="25"/>
  <c r="AU546" i="25"/>
  <c r="AT546" i="25"/>
  <c r="AV545" i="25"/>
  <c r="AQ545" i="25"/>
  <c r="AP546" i="25"/>
  <c r="AM547" i="25"/>
  <c r="AN546" i="25"/>
  <c r="AO546" i="25"/>
  <c r="AJ546" i="25"/>
  <c r="AH547" i="25"/>
  <c r="AI546" i="25"/>
  <c r="AK546" i="25"/>
  <c r="AL545" i="25"/>
  <c r="AE546" i="25"/>
  <c r="AF546" i="25"/>
  <c r="AD546" i="25"/>
  <c r="AC547" i="25"/>
  <c r="AG545" i="25"/>
  <c r="AB545" i="25"/>
  <c r="X547" i="25"/>
  <c r="Y546" i="25"/>
  <c r="Z546" i="25"/>
  <c r="AA546" i="25"/>
  <c r="W547" i="25"/>
  <c r="U548" i="25"/>
  <c r="V548" i="25"/>
  <c r="S549" i="25"/>
  <c r="T548" i="25"/>
  <c r="N595" i="36"/>
  <c r="M546" i="25" s="1"/>
  <c r="J597" i="36"/>
  <c r="I548" i="25" s="1"/>
  <c r="K596" i="36"/>
  <c r="J547" i="25" s="1"/>
  <c r="L596" i="36"/>
  <c r="K547" i="25" s="1"/>
  <c r="M596" i="36"/>
  <c r="L547" i="25" s="1"/>
  <c r="AL546" i="25" l="1"/>
  <c r="BD549" i="25"/>
  <c r="BE549" i="25"/>
  <c r="BC549" i="25"/>
  <c r="BB550" i="25"/>
  <c r="BF548" i="25"/>
  <c r="AY547" i="25"/>
  <c r="AZ547" i="25"/>
  <c r="AX547" i="25"/>
  <c r="AW548" i="25"/>
  <c r="BA546" i="25"/>
  <c r="AU547" i="25"/>
  <c r="AT547" i="25"/>
  <c r="AR548" i="25"/>
  <c r="AS547" i="25"/>
  <c r="AV546" i="25"/>
  <c r="AO547" i="25"/>
  <c r="AP547" i="25"/>
  <c r="AN547" i="25"/>
  <c r="AM548" i="25"/>
  <c r="AQ546" i="25"/>
  <c r="AH548" i="25"/>
  <c r="AI547" i="25"/>
  <c r="AJ547" i="25"/>
  <c r="AK547" i="25"/>
  <c r="AG546" i="25"/>
  <c r="AF547" i="25"/>
  <c r="AC548" i="25"/>
  <c r="AD547" i="25"/>
  <c r="AE547" i="25"/>
  <c r="AB546" i="25"/>
  <c r="AA547" i="25"/>
  <c r="X548" i="25"/>
  <c r="Y547" i="25"/>
  <c r="Z547" i="25"/>
  <c r="W548" i="25"/>
  <c r="S550" i="25"/>
  <c r="T549" i="25"/>
  <c r="U549" i="25"/>
  <c r="V549" i="25"/>
  <c r="J598" i="36"/>
  <c r="I549" i="25" s="1"/>
  <c r="K597" i="36"/>
  <c r="J548" i="25" s="1"/>
  <c r="M597" i="36"/>
  <c r="L548" i="25" s="1"/>
  <c r="L597" i="36"/>
  <c r="K548" i="25" s="1"/>
  <c r="N596" i="36"/>
  <c r="M547" i="25" s="1"/>
  <c r="BF549" i="25" l="1"/>
  <c r="BE550" i="25"/>
  <c r="BB551" i="25"/>
  <c r="BC550" i="25"/>
  <c r="BD550" i="25"/>
  <c r="BA547" i="25"/>
  <c r="AW549" i="25"/>
  <c r="AX548" i="25"/>
  <c r="AY548" i="25"/>
  <c r="AZ548" i="25"/>
  <c r="AV547" i="25"/>
  <c r="AT548" i="25"/>
  <c r="AU548" i="25"/>
  <c r="AR549" i="25"/>
  <c r="AS548" i="25"/>
  <c r="AQ547" i="25"/>
  <c r="AM549" i="25"/>
  <c r="AN548" i="25"/>
  <c r="AO548" i="25"/>
  <c r="AP548" i="25"/>
  <c r="AL547" i="25"/>
  <c r="AI548" i="25"/>
  <c r="AJ548" i="25"/>
  <c r="AK548" i="25"/>
  <c r="AH549" i="25"/>
  <c r="AG547" i="25"/>
  <c r="AE548" i="25"/>
  <c r="AC549" i="25"/>
  <c r="AD548" i="25"/>
  <c r="AF548" i="25"/>
  <c r="Z548" i="25"/>
  <c r="AA548" i="25"/>
  <c r="Y548" i="25"/>
  <c r="X549" i="25"/>
  <c r="AB547" i="25"/>
  <c r="W549" i="25"/>
  <c r="S551" i="25"/>
  <c r="T550" i="25"/>
  <c r="U550" i="25"/>
  <c r="V550" i="25"/>
  <c r="M598" i="36"/>
  <c r="L549" i="25" s="1"/>
  <c r="L598" i="36"/>
  <c r="K549" i="25" s="1"/>
  <c r="J599" i="36"/>
  <c r="I550" i="25" s="1"/>
  <c r="K598" i="36"/>
  <c r="J549" i="25" s="1"/>
  <c r="N597" i="36"/>
  <c r="M548" i="25" s="1"/>
  <c r="AV548" i="25" l="1"/>
  <c r="BD551" i="25"/>
  <c r="BB552" i="25"/>
  <c r="BC551" i="25"/>
  <c r="BE551" i="25"/>
  <c r="BF550" i="25"/>
  <c r="BA548" i="25"/>
  <c r="AW550" i="25"/>
  <c r="AX549" i="25"/>
  <c r="AY549" i="25"/>
  <c r="AZ549" i="25"/>
  <c r="AR550" i="25"/>
  <c r="AS549" i="25"/>
  <c r="AT549" i="25"/>
  <c r="AU549" i="25"/>
  <c r="AQ548" i="25"/>
  <c r="AM550" i="25"/>
  <c r="AN549" i="25"/>
  <c r="AO549" i="25"/>
  <c r="AP549" i="25"/>
  <c r="AL548" i="25"/>
  <c r="AK549" i="25"/>
  <c r="AI549" i="25"/>
  <c r="AJ549" i="25"/>
  <c r="AH550" i="25"/>
  <c r="AG548" i="25"/>
  <c r="AC550" i="25"/>
  <c r="AD549" i="25"/>
  <c r="AF549" i="25"/>
  <c r="AE549" i="25"/>
  <c r="AB548" i="25"/>
  <c r="X550" i="25"/>
  <c r="Y549" i="25"/>
  <c r="Z549" i="25"/>
  <c r="AA549" i="25"/>
  <c r="W550" i="25"/>
  <c r="U551" i="25"/>
  <c r="S552" i="25"/>
  <c r="V551" i="25"/>
  <c r="T551" i="25"/>
  <c r="L599" i="36"/>
  <c r="K550" i="25" s="1"/>
  <c r="M599" i="36"/>
  <c r="L550" i="25" s="1"/>
  <c r="J600" i="36"/>
  <c r="I551" i="25" s="1"/>
  <c r="K599" i="36"/>
  <c r="J550" i="25" s="1"/>
  <c r="N598" i="36"/>
  <c r="M549" i="25" s="1"/>
  <c r="BF551" i="25" l="1"/>
  <c r="BB553" i="25"/>
  <c r="BC552" i="25"/>
  <c r="BE552" i="25"/>
  <c r="BD552" i="25"/>
  <c r="BA549" i="25"/>
  <c r="AZ550" i="25"/>
  <c r="AW551" i="25"/>
  <c r="AX550" i="25"/>
  <c r="AY550" i="25"/>
  <c r="AV549" i="25"/>
  <c r="AR551" i="25"/>
  <c r="AS550" i="25"/>
  <c r="AU550" i="25"/>
  <c r="AT550" i="25"/>
  <c r="AQ549" i="25"/>
  <c r="AP550" i="25"/>
  <c r="AM551" i="25"/>
  <c r="AN550" i="25"/>
  <c r="AO550" i="25"/>
  <c r="AJ550" i="25"/>
  <c r="AI550" i="25"/>
  <c r="AK550" i="25"/>
  <c r="AH551" i="25"/>
  <c r="AL549" i="25"/>
  <c r="AE550" i="25"/>
  <c r="AF550" i="25"/>
  <c r="AC551" i="25"/>
  <c r="AD550" i="25"/>
  <c r="AG549" i="25"/>
  <c r="AB549" i="25"/>
  <c r="X551" i="25"/>
  <c r="Y550" i="25"/>
  <c r="Z550" i="25"/>
  <c r="AA550" i="25"/>
  <c r="W551" i="25"/>
  <c r="S553" i="25"/>
  <c r="T552" i="25"/>
  <c r="U552" i="25"/>
  <c r="V552" i="25"/>
  <c r="N599" i="36"/>
  <c r="M550" i="25" s="1"/>
  <c r="J601" i="36"/>
  <c r="I552" i="25" s="1"/>
  <c r="K600" i="36"/>
  <c r="J551" i="25" s="1"/>
  <c r="L600" i="36"/>
  <c r="K551" i="25" s="1"/>
  <c r="M600" i="36"/>
  <c r="L551" i="25" s="1"/>
  <c r="BD553" i="25" l="1"/>
  <c r="BE553" i="25"/>
  <c r="BB554" i="25"/>
  <c r="BC553" i="25"/>
  <c r="BF552" i="25"/>
  <c r="AY551" i="25"/>
  <c r="AZ551" i="25"/>
  <c r="AW552" i="25"/>
  <c r="AX551" i="25"/>
  <c r="BA550" i="25"/>
  <c r="AU551" i="25"/>
  <c r="AT551" i="25"/>
  <c r="AS551" i="25"/>
  <c r="AR552" i="25"/>
  <c r="AV550" i="25"/>
  <c r="AO551" i="25"/>
  <c r="AP551" i="25"/>
  <c r="AM552" i="25"/>
  <c r="AN551" i="25"/>
  <c r="AQ550" i="25"/>
  <c r="AL550" i="25"/>
  <c r="AH552" i="25"/>
  <c r="AI551" i="25"/>
  <c r="AJ551" i="25"/>
  <c r="AK551" i="25"/>
  <c r="AG550" i="25"/>
  <c r="AF551" i="25"/>
  <c r="AC552" i="25"/>
  <c r="AD551" i="25"/>
  <c r="AE551" i="25"/>
  <c r="AB550" i="25"/>
  <c r="AA551" i="25"/>
  <c r="Y551" i="25"/>
  <c r="X552" i="25"/>
  <c r="Z551" i="25"/>
  <c r="W552" i="25"/>
  <c r="S554" i="25"/>
  <c r="T553" i="25"/>
  <c r="U553" i="25"/>
  <c r="V553" i="25"/>
  <c r="N600" i="36"/>
  <c r="M551" i="25" s="1"/>
  <c r="J602" i="36"/>
  <c r="I553" i="25" s="1"/>
  <c r="K601" i="36"/>
  <c r="J552" i="25" s="1"/>
  <c r="M601" i="36"/>
  <c r="L552" i="25" s="1"/>
  <c r="L601" i="36"/>
  <c r="K552" i="25" s="1"/>
  <c r="BF553" i="25" l="1"/>
  <c r="BE554" i="25"/>
  <c r="BB555" i="25"/>
  <c r="BC554" i="25"/>
  <c r="BD554" i="25"/>
  <c r="BA551" i="25"/>
  <c r="AW553" i="25"/>
  <c r="AX552" i="25"/>
  <c r="AY552" i="25"/>
  <c r="AZ552" i="25"/>
  <c r="AV551" i="25"/>
  <c r="AT552" i="25"/>
  <c r="AU552" i="25"/>
  <c r="AR553" i="25"/>
  <c r="AS552" i="25"/>
  <c r="AQ551" i="25"/>
  <c r="AM553" i="25"/>
  <c r="AN552" i="25"/>
  <c r="AO552" i="25"/>
  <c r="AP552" i="25"/>
  <c r="AJ552" i="25"/>
  <c r="AK552" i="25"/>
  <c r="AH553" i="25"/>
  <c r="AI552" i="25"/>
  <c r="AL551" i="25"/>
  <c r="AE552" i="25"/>
  <c r="AC553" i="25"/>
  <c r="AD552" i="25"/>
  <c r="AF552" i="25"/>
  <c r="AG551" i="25"/>
  <c r="Z552" i="25"/>
  <c r="AA552" i="25"/>
  <c r="X553" i="25"/>
  <c r="Y552" i="25"/>
  <c r="AB551" i="25"/>
  <c r="W553" i="25"/>
  <c r="V554" i="25"/>
  <c r="S555" i="25"/>
  <c r="T554" i="25"/>
  <c r="U554" i="25"/>
  <c r="N601" i="36"/>
  <c r="M552" i="25" s="1"/>
  <c r="M602" i="36"/>
  <c r="L553" i="25" s="1"/>
  <c r="L602" i="36"/>
  <c r="K553" i="25" s="1"/>
  <c r="K602" i="36"/>
  <c r="J553" i="25" s="1"/>
  <c r="J603" i="36"/>
  <c r="I554" i="25" s="1"/>
  <c r="BD555" i="25" l="1"/>
  <c r="BB556" i="25"/>
  <c r="BC555" i="25"/>
  <c r="BE555" i="25"/>
  <c r="BF554" i="25"/>
  <c r="BA552" i="25"/>
  <c r="AW554" i="25"/>
  <c r="AX553" i="25"/>
  <c r="AY553" i="25"/>
  <c r="AZ553" i="25"/>
  <c r="AV552" i="25"/>
  <c r="AR554" i="25"/>
  <c r="AS553" i="25"/>
  <c r="AT553" i="25"/>
  <c r="AU553" i="25"/>
  <c r="AM554" i="25"/>
  <c r="AN553" i="25"/>
  <c r="AO553" i="25"/>
  <c r="AP553" i="25"/>
  <c r="AQ552" i="25"/>
  <c r="AL552" i="25"/>
  <c r="AK553" i="25"/>
  <c r="AJ553" i="25"/>
  <c r="AH554" i="25"/>
  <c r="AI553" i="25"/>
  <c r="AG552" i="25"/>
  <c r="AC554" i="25"/>
  <c r="AD553" i="25"/>
  <c r="AF553" i="25"/>
  <c r="AE553" i="25"/>
  <c r="AB552" i="25"/>
  <c r="X554" i="25"/>
  <c r="Y553" i="25"/>
  <c r="Z553" i="25"/>
  <c r="AA553" i="25"/>
  <c r="U555" i="25"/>
  <c r="S556" i="25"/>
  <c r="T555" i="25"/>
  <c r="V555" i="25"/>
  <c r="W554" i="25"/>
  <c r="N602" i="36"/>
  <c r="M553" i="25" s="1"/>
  <c r="L603" i="36"/>
  <c r="K554" i="25" s="1"/>
  <c r="M603" i="36"/>
  <c r="L554" i="25" s="1"/>
  <c r="J604" i="36"/>
  <c r="I555" i="25" s="1"/>
  <c r="K603" i="36"/>
  <c r="J554" i="25" s="1"/>
  <c r="BF555" i="25" l="1"/>
  <c r="BB557" i="25"/>
  <c r="BC556" i="25"/>
  <c r="BE556" i="25"/>
  <c r="BD556" i="25"/>
  <c r="BA553" i="25"/>
  <c r="AZ554" i="25"/>
  <c r="AW555" i="25"/>
  <c r="AX554" i="25"/>
  <c r="AY554" i="25"/>
  <c r="AR555" i="25"/>
  <c r="AS554" i="25"/>
  <c r="AU554" i="25"/>
  <c r="AT554" i="25"/>
  <c r="AV553" i="25"/>
  <c r="AQ553" i="25"/>
  <c r="AP554" i="25"/>
  <c r="AM555" i="25"/>
  <c r="AN554" i="25"/>
  <c r="AO554" i="25"/>
  <c r="AL553" i="25"/>
  <c r="AJ554" i="25"/>
  <c r="AK554" i="25"/>
  <c r="AH555" i="25"/>
  <c r="AI554" i="25"/>
  <c r="AE554" i="25"/>
  <c r="AF554" i="25"/>
  <c r="AC555" i="25"/>
  <c r="AD554" i="25"/>
  <c r="AG553" i="25"/>
  <c r="AB553" i="25"/>
  <c r="X555" i="25"/>
  <c r="Y554" i="25"/>
  <c r="Z554" i="25"/>
  <c r="AA554" i="25"/>
  <c r="W555" i="25"/>
  <c r="S557" i="25"/>
  <c r="T556" i="25"/>
  <c r="U556" i="25"/>
  <c r="V556" i="25"/>
  <c r="N603" i="36"/>
  <c r="M554" i="25" s="1"/>
  <c r="J605" i="36"/>
  <c r="I556" i="25" s="1"/>
  <c r="K604" i="36"/>
  <c r="J555" i="25" s="1"/>
  <c r="L604" i="36"/>
  <c r="K555" i="25" s="1"/>
  <c r="M604" i="36"/>
  <c r="L555" i="25" s="1"/>
  <c r="BD557" i="25" l="1"/>
  <c r="BE557" i="25"/>
  <c r="BC557" i="25"/>
  <c r="BB558" i="25"/>
  <c r="BF556" i="25"/>
  <c r="AY555" i="25"/>
  <c r="AZ555" i="25"/>
  <c r="AX555" i="25"/>
  <c r="AW556" i="25"/>
  <c r="BA554" i="25"/>
  <c r="AU555" i="25"/>
  <c r="AT555" i="25"/>
  <c r="AR556" i="25"/>
  <c r="AS555" i="25"/>
  <c r="AV554" i="25"/>
  <c r="AO555" i="25"/>
  <c r="AP555" i="25"/>
  <c r="AN555" i="25"/>
  <c r="AM556" i="25"/>
  <c r="AQ554" i="25"/>
  <c r="AL554" i="25"/>
  <c r="AH556" i="25"/>
  <c r="AI555" i="25"/>
  <c r="AK555" i="25"/>
  <c r="AJ555" i="25"/>
  <c r="AG554" i="25"/>
  <c r="AF555" i="25"/>
  <c r="AC556" i="25"/>
  <c r="AD555" i="25"/>
  <c r="AE555" i="25"/>
  <c r="AB554" i="25"/>
  <c r="AA555" i="25"/>
  <c r="X556" i="25"/>
  <c r="Y555" i="25"/>
  <c r="Z555" i="25"/>
  <c r="W556" i="25"/>
  <c r="T557" i="25"/>
  <c r="U557" i="25"/>
  <c r="V557" i="25"/>
  <c r="S558" i="25"/>
  <c r="J606" i="36"/>
  <c r="I557" i="25" s="1"/>
  <c r="K605" i="36"/>
  <c r="J556" i="25" s="1"/>
  <c r="M605" i="36"/>
  <c r="L556" i="25" s="1"/>
  <c r="L605" i="36"/>
  <c r="K556" i="25" s="1"/>
  <c r="N604" i="36"/>
  <c r="M555" i="25" s="1"/>
  <c r="BF557" i="25" l="1"/>
  <c r="BE558" i="25"/>
  <c r="BB559" i="25"/>
  <c r="BC558" i="25"/>
  <c r="BD558" i="25"/>
  <c r="BA555" i="25"/>
  <c r="AW557" i="25"/>
  <c r="AX556" i="25"/>
  <c r="AY556" i="25"/>
  <c r="AZ556" i="25"/>
  <c r="AV555" i="25"/>
  <c r="AT556" i="25"/>
  <c r="AU556" i="25"/>
  <c r="AR557" i="25"/>
  <c r="AS556" i="25"/>
  <c r="AQ555" i="25"/>
  <c r="AM557" i="25"/>
  <c r="AN556" i="25"/>
  <c r="AO556" i="25"/>
  <c r="AP556" i="25"/>
  <c r="AL555" i="25"/>
  <c r="AK556" i="25"/>
  <c r="AH557" i="25"/>
  <c r="AI556" i="25"/>
  <c r="AJ556" i="25"/>
  <c r="AE556" i="25"/>
  <c r="AC557" i="25"/>
  <c r="AD556" i="25"/>
  <c r="AF556" i="25"/>
  <c r="AG555" i="25"/>
  <c r="Z556" i="25"/>
  <c r="AA556" i="25"/>
  <c r="Y556" i="25"/>
  <c r="X557" i="25"/>
  <c r="AB555" i="25"/>
  <c r="W557" i="25"/>
  <c r="V558" i="25"/>
  <c r="T558" i="25"/>
  <c r="U558" i="25"/>
  <c r="S559" i="25"/>
  <c r="M606" i="36"/>
  <c r="L557" i="25" s="1"/>
  <c r="L606" i="36"/>
  <c r="K557" i="25" s="1"/>
  <c r="J607" i="36"/>
  <c r="I558" i="25" s="1"/>
  <c r="K606" i="36"/>
  <c r="J557" i="25" s="1"/>
  <c r="N605" i="36"/>
  <c r="M556" i="25" s="1"/>
  <c r="BD559" i="25" l="1"/>
  <c r="BB560" i="25"/>
  <c r="BC559" i="25"/>
  <c r="BE559" i="25"/>
  <c r="BF558" i="25"/>
  <c r="BA556" i="25"/>
  <c r="AW558" i="25"/>
  <c r="AX557" i="25"/>
  <c r="AY557" i="25"/>
  <c r="AZ557" i="25"/>
  <c r="AV556" i="25"/>
  <c r="AR558" i="25"/>
  <c r="AS557" i="25"/>
  <c r="AT557" i="25"/>
  <c r="AU557" i="25"/>
  <c r="AM558" i="25"/>
  <c r="AN557" i="25"/>
  <c r="AO557" i="25"/>
  <c r="AP557" i="25"/>
  <c r="AQ556" i="25"/>
  <c r="AK557" i="25"/>
  <c r="AH558" i="25"/>
  <c r="AI557" i="25"/>
  <c r="AJ557" i="25"/>
  <c r="AL556" i="25"/>
  <c r="AG556" i="25"/>
  <c r="AC558" i="25"/>
  <c r="AD557" i="25"/>
  <c r="AF557" i="25"/>
  <c r="AE557" i="25"/>
  <c r="AB556" i="25"/>
  <c r="X558" i="25"/>
  <c r="Y557" i="25"/>
  <c r="Z557" i="25"/>
  <c r="AA557" i="25"/>
  <c r="W558" i="25"/>
  <c r="U559" i="25"/>
  <c r="T559" i="25"/>
  <c r="V559" i="25"/>
  <c r="S560" i="25"/>
  <c r="L607" i="36"/>
  <c r="K558" i="25" s="1"/>
  <c r="M607" i="36"/>
  <c r="L558" i="25" s="1"/>
  <c r="J608" i="36"/>
  <c r="I559" i="25" s="1"/>
  <c r="K607" i="36"/>
  <c r="J558" i="25" s="1"/>
  <c r="N606" i="36"/>
  <c r="M557" i="25" s="1"/>
  <c r="BF559" i="25" l="1"/>
  <c r="BB561" i="25"/>
  <c r="BC560" i="25"/>
  <c r="BE560" i="25"/>
  <c r="BD560" i="25"/>
  <c r="BA557" i="25"/>
  <c r="AZ558" i="25"/>
  <c r="AW559" i="25"/>
  <c r="AX558" i="25"/>
  <c r="AY558" i="25"/>
  <c r="AR559" i="25"/>
  <c r="AS558" i="25"/>
  <c r="AU558" i="25"/>
  <c r="AT558" i="25"/>
  <c r="AV557" i="25"/>
  <c r="AQ557" i="25"/>
  <c r="AP558" i="25"/>
  <c r="AM559" i="25"/>
  <c r="AN558" i="25"/>
  <c r="AO558" i="25"/>
  <c r="AJ558" i="25"/>
  <c r="AH559" i="25"/>
  <c r="AI558" i="25"/>
  <c r="AK558" i="25"/>
  <c r="AL557" i="25"/>
  <c r="AE558" i="25"/>
  <c r="AF558" i="25"/>
  <c r="AD558" i="25"/>
  <c r="AC559" i="25"/>
  <c r="AG557" i="25"/>
  <c r="AB557" i="25"/>
  <c r="X559" i="25"/>
  <c r="Y558" i="25"/>
  <c r="Z558" i="25"/>
  <c r="AA558" i="25"/>
  <c r="W559" i="25"/>
  <c r="S561" i="25"/>
  <c r="T560" i="25"/>
  <c r="U560" i="25"/>
  <c r="V560" i="25"/>
  <c r="N607" i="36"/>
  <c r="M558" i="25" s="1"/>
  <c r="J609" i="36"/>
  <c r="I560" i="25" s="1"/>
  <c r="K608" i="36"/>
  <c r="J559" i="25" s="1"/>
  <c r="L608" i="36"/>
  <c r="K559" i="25" s="1"/>
  <c r="M608" i="36"/>
  <c r="L559" i="25" s="1"/>
  <c r="BD561" i="25" l="1"/>
  <c r="BE561" i="25"/>
  <c r="BB562" i="25"/>
  <c r="BC561" i="25"/>
  <c r="BF560" i="25"/>
  <c r="AY559" i="25"/>
  <c r="AZ559" i="25"/>
  <c r="AX559" i="25"/>
  <c r="AW560" i="25"/>
  <c r="BA558" i="25"/>
  <c r="AU559" i="25"/>
  <c r="AT559" i="25"/>
  <c r="AS559" i="25"/>
  <c r="AR560" i="25"/>
  <c r="AV558" i="25"/>
  <c r="AO559" i="25"/>
  <c r="AP559" i="25"/>
  <c r="AN559" i="25"/>
  <c r="AM560" i="25"/>
  <c r="AQ558" i="25"/>
  <c r="AL558" i="25"/>
  <c r="AH560" i="25"/>
  <c r="AI559" i="25"/>
  <c r="AJ559" i="25"/>
  <c r="AK559" i="25"/>
  <c r="AG558" i="25"/>
  <c r="AF559" i="25"/>
  <c r="AC560" i="25"/>
  <c r="AD559" i="25"/>
  <c r="AE559" i="25"/>
  <c r="AB558" i="25"/>
  <c r="AA559" i="25"/>
  <c r="Y559" i="25"/>
  <c r="Z559" i="25"/>
  <c r="X560" i="25"/>
  <c r="W560" i="25"/>
  <c r="U561" i="25"/>
  <c r="V561" i="25"/>
  <c r="T561" i="25"/>
  <c r="S562" i="25"/>
  <c r="J610" i="36"/>
  <c r="I561" i="25" s="1"/>
  <c r="K609" i="36"/>
  <c r="J560" i="25" s="1"/>
  <c r="M609" i="36"/>
  <c r="L560" i="25" s="1"/>
  <c r="L609" i="36"/>
  <c r="K560" i="25" s="1"/>
  <c r="N608" i="36"/>
  <c r="M559" i="25" s="1"/>
  <c r="BF561" i="25" l="1"/>
  <c r="BE562" i="25"/>
  <c r="BB563" i="25"/>
  <c r="BC562" i="25"/>
  <c r="BD562" i="25"/>
  <c r="BA559" i="25"/>
  <c r="AW561" i="25"/>
  <c r="AX560" i="25"/>
  <c r="AY560" i="25"/>
  <c r="AZ560" i="25"/>
  <c r="AV559" i="25"/>
  <c r="AT560" i="25"/>
  <c r="AU560" i="25"/>
  <c r="AR561" i="25"/>
  <c r="AS560" i="25"/>
  <c r="AQ559" i="25"/>
  <c r="AM561" i="25"/>
  <c r="AN560" i="25"/>
  <c r="AO560" i="25"/>
  <c r="AP560" i="25"/>
  <c r="AL559" i="25"/>
  <c r="AH561" i="25"/>
  <c r="AI560" i="25"/>
  <c r="AJ560" i="25"/>
  <c r="AK560" i="25"/>
  <c r="AG559" i="25"/>
  <c r="AE560" i="25"/>
  <c r="AC561" i="25"/>
  <c r="AD560" i="25"/>
  <c r="AF560" i="25"/>
  <c r="AB559" i="25"/>
  <c r="Z560" i="25"/>
  <c r="AA560" i="25"/>
  <c r="X561" i="25"/>
  <c r="Y560" i="25"/>
  <c r="W561" i="25"/>
  <c r="V562" i="25"/>
  <c r="U562" i="25"/>
  <c r="S563" i="25"/>
  <c r="T562" i="25"/>
  <c r="M610" i="36"/>
  <c r="L561" i="25" s="1"/>
  <c r="L610" i="36"/>
  <c r="K561" i="25" s="1"/>
  <c r="K610" i="36"/>
  <c r="J561" i="25" s="1"/>
  <c r="J611" i="36"/>
  <c r="I562" i="25" s="1"/>
  <c r="N609" i="36"/>
  <c r="M560" i="25" s="1"/>
  <c r="BD563" i="25" l="1"/>
  <c r="BB564" i="25"/>
  <c r="BC563" i="25"/>
  <c r="BE563" i="25"/>
  <c r="BF562" i="25"/>
  <c r="BA560" i="25"/>
  <c r="AW562" i="25"/>
  <c r="AX561" i="25"/>
  <c r="AY561" i="25"/>
  <c r="AZ561" i="25"/>
  <c r="AV560" i="25"/>
  <c r="AR562" i="25"/>
  <c r="AS561" i="25"/>
  <c r="AT561" i="25"/>
  <c r="AU561" i="25"/>
  <c r="AM562" i="25"/>
  <c r="AN561" i="25"/>
  <c r="AO561" i="25"/>
  <c r="AP561" i="25"/>
  <c r="AQ560" i="25"/>
  <c r="AL560" i="25"/>
  <c r="AK561" i="25"/>
  <c r="AH562" i="25"/>
  <c r="AI561" i="25"/>
  <c r="AJ561" i="25"/>
  <c r="AG560" i="25"/>
  <c r="AC562" i="25"/>
  <c r="AD561" i="25"/>
  <c r="AF561" i="25"/>
  <c r="AE561" i="25"/>
  <c r="AB560" i="25"/>
  <c r="X562" i="25"/>
  <c r="Y561" i="25"/>
  <c r="Z561" i="25"/>
  <c r="AA561" i="25"/>
  <c r="W562" i="25"/>
  <c r="U563" i="25"/>
  <c r="V563" i="25"/>
  <c r="T563" i="25"/>
  <c r="S564" i="25"/>
  <c r="N610" i="36"/>
  <c r="M561" i="25" s="1"/>
  <c r="L611" i="36"/>
  <c r="K562" i="25" s="1"/>
  <c r="M611" i="36"/>
  <c r="L562" i="25" s="1"/>
  <c r="J612" i="36"/>
  <c r="I563" i="25" s="1"/>
  <c r="K611" i="36"/>
  <c r="J562" i="25" s="1"/>
  <c r="BF563" i="25" l="1"/>
  <c r="BB565" i="25"/>
  <c r="BC564" i="25"/>
  <c r="BE564" i="25"/>
  <c r="BD564" i="25"/>
  <c r="BA561" i="25"/>
  <c r="AZ562" i="25"/>
  <c r="AW563" i="25"/>
  <c r="AX562" i="25"/>
  <c r="AY562" i="25"/>
  <c r="AR563" i="25"/>
  <c r="AS562" i="25"/>
  <c r="AU562" i="25"/>
  <c r="AT562" i="25"/>
  <c r="AV561" i="25"/>
  <c r="AQ561" i="25"/>
  <c r="AP562" i="25"/>
  <c r="AM563" i="25"/>
  <c r="AN562" i="25"/>
  <c r="AO562" i="25"/>
  <c r="AJ562" i="25"/>
  <c r="AH563" i="25"/>
  <c r="AI562" i="25"/>
  <c r="AK562" i="25"/>
  <c r="AL561" i="25"/>
  <c r="AE562" i="25"/>
  <c r="AF562" i="25"/>
  <c r="AD562" i="25"/>
  <c r="AC563" i="25"/>
  <c r="AG561" i="25"/>
  <c r="AB561" i="25"/>
  <c r="X563" i="25"/>
  <c r="Y562" i="25"/>
  <c r="Z562" i="25"/>
  <c r="AA562" i="25"/>
  <c r="S565" i="25"/>
  <c r="T564" i="25"/>
  <c r="V564" i="25"/>
  <c r="U564" i="25"/>
  <c r="W563" i="25"/>
  <c r="N611" i="36"/>
  <c r="M562" i="25" s="1"/>
  <c r="J613" i="36"/>
  <c r="I564" i="25" s="1"/>
  <c r="K612" i="36"/>
  <c r="J563" i="25" s="1"/>
  <c r="L612" i="36"/>
  <c r="K563" i="25" s="1"/>
  <c r="M612" i="36"/>
  <c r="L563" i="25" s="1"/>
  <c r="BD565" i="25" l="1"/>
  <c r="BE565" i="25"/>
  <c r="BC565" i="25"/>
  <c r="BB566" i="25"/>
  <c r="BF564" i="25"/>
  <c r="AY563" i="25"/>
  <c r="AZ563" i="25"/>
  <c r="AX563" i="25"/>
  <c r="AW564" i="25"/>
  <c r="BA562" i="25"/>
  <c r="AU563" i="25"/>
  <c r="AT563" i="25"/>
  <c r="AR564" i="25"/>
  <c r="AS563" i="25"/>
  <c r="AV562" i="25"/>
  <c r="AO563" i="25"/>
  <c r="AP563" i="25"/>
  <c r="AN563" i="25"/>
  <c r="AM564" i="25"/>
  <c r="AQ562" i="25"/>
  <c r="AL562" i="25"/>
  <c r="AH564" i="25"/>
  <c r="AI563" i="25"/>
  <c r="AJ563" i="25"/>
  <c r="AK563" i="25"/>
  <c r="AG562" i="25"/>
  <c r="AF563" i="25"/>
  <c r="AC564" i="25"/>
  <c r="AD563" i="25"/>
  <c r="AE563" i="25"/>
  <c r="AB562" i="25"/>
  <c r="AA563" i="25"/>
  <c r="X564" i="25"/>
  <c r="Y563" i="25"/>
  <c r="Z563" i="25"/>
  <c r="V565" i="25"/>
  <c r="S566" i="25"/>
  <c r="T565" i="25"/>
  <c r="U565" i="25"/>
  <c r="W564" i="25"/>
  <c r="N612" i="36"/>
  <c r="M563" i="25" s="1"/>
  <c r="J614" i="36"/>
  <c r="I565" i="25" s="1"/>
  <c r="K613" i="36"/>
  <c r="J564" i="25" s="1"/>
  <c r="M613" i="36"/>
  <c r="L564" i="25" s="1"/>
  <c r="L613" i="36"/>
  <c r="K564" i="25" s="1"/>
  <c r="BF565" i="25" l="1"/>
  <c r="BE566" i="25"/>
  <c r="BB567" i="25"/>
  <c r="BC566" i="25"/>
  <c r="BD566" i="25"/>
  <c r="BA563" i="25"/>
  <c r="AW565" i="25"/>
  <c r="AX564" i="25"/>
  <c r="AY564" i="25"/>
  <c r="AZ564" i="25"/>
  <c r="AT564" i="25"/>
  <c r="AU564" i="25"/>
  <c r="AR565" i="25"/>
  <c r="AS564" i="25"/>
  <c r="AV563" i="25"/>
  <c r="AQ563" i="25"/>
  <c r="AM565" i="25"/>
  <c r="AN564" i="25"/>
  <c r="AO564" i="25"/>
  <c r="AP564" i="25"/>
  <c r="AL563" i="25"/>
  <c r="AI564" i="25"/>
  <c r="AJ564" i="25"/>
  <c r="AK564" i="25"/>
  <c r="AH565" i="25"/>
  <c r="AE564" i="25"/>
  <c r="AC565" i="25"/>
  <c r="AD564" i="25"/>
  <c r="AF564" i="25"/>
  <c r="AG563" i="25"/>
  <c r="Z564" i="25"/>
  <c r="AA564" i="25"/>
  <c r="Y564" i="25"/>
  <c r="X565" i="25"/>
  <c r="AB563" i="25"/>
  <c r="V566" i="25"/>
  <c r="S567" i="25"/>
  <c r="T566" i="25"/>
  <c r="U566" i="25"/>
  <c r="W565" i="25"/>
  <c r="M614" i="36"/>
  <c r="L565" i="25" s="1"/>
  <c r="L614" i="36"/>
  <c r="K565" i="25" s="1"/>
  <c r="J615" i="36"/>
  <c r="I566" i="25" s="1"/>
  <c r="K614" i="36"/>
  <c r="J565" i="25" s="1"/>
  <c r="N613" i="36"/>
  <c r="M564" i="25" s="1"/>
  <c r="BD567" i="25" l="1"/>
  <c r="BB568" i="25"/>
  <c r="BC567" i="25"/>
  <c r="BE567" i="25"/>
  <c r="BF566" i="25"/>
  <c r="BA564" i="25"/>
  <c r="AW566" i="25"/>
  <c r="AX565" i="25"/>
  <c r="AY565" i="25"/>
  <c r="AZ565" i="25"/>
  <c r="AV564" i="25"/>
  <c r="AR566" i="25"/>
  <c r="AS565" i="25"/>
  <c r="AT565" i="25"/>
  <c r="AU565" i="25"/>
  <c r="AM566" i="25"/>
  <c r="AN565" i="25"/>
  <c r="AO565" i="25"/>
  <c r="AP565" i="25"/>
  <c r="AQ564" i="25"/>
  <c r="AL564" i="25"/>
  <c r="AK565" i="25"/>
  <c r="AI565" i="25"/>
  <c r="AJ565" i="25"/>
  <c r="AH566" i="25"/>
  <c r="AG564" i="25"/>
  <c r="AC566" i="25"/>
  <c r="AD565" i="25"/>
  <c r="AF565" i="25"/>
  <c r="AE565" i="25"/>
  <c r="AB564" i="25"/>
  <c r="X566" i="25"/>
  <c r="Y565" i="25"/>
  <c r="Z565" i="25"/>
  <c r="AA565" i="25"/>
  <c r="U567" i="25"/>
  <c r="S568" i="25"/>
  <c r="T567" i="25"/>
  <c r="V567" i="25"/>
  <c r="W566" i="25"/>
  <c r="L615" i="36"/>
  <c r="K566" i="25" s="1"/>
  <c r="M615" i="36"/>
  <c r="L566" i="25" s="1"/>
  <c r="J616" i="36"/>
  <c r="I567" i="25" s="1"/>
  <c r="K615" i="36"/>
  <c r="J566" i="25" s="1"/>
  <c r="N614" i="36"/>
  <c r="M565" i="25" s="1"/>
  <c r="BF567" i="25" l="1"/>
  <c r="BB569" i="25"/>
  <c r="BC568" i="25"/>
  <c r="BE568" i="25"/>
  <c r="BD568" i="25"/>
  <c r="BA565" i="25"/>
  <c r="AZ566" i="25"/>
  <c r="AW567" i="25"/>
  <c r="AX566" i="25"/>
  <c r="AY566" i="25"/>
  <c r="AV565" i="25"/>
  <c r="AR567" i="25"/>
  <c r="AS566" i="25"/>
  <c r="AU566" i="25"/>
  <c r="AT566" i="25"/>
  <c r="AQ565" i="25"/>
  <c r="AP566" i="25"/>
  <c r="AM567" i="25"/>
  <c r="AN566" i="25"/>
  <c r="AO566" i="25"/>
  <c r="AL565" i="25"/>
  <c r="AJ566" i="25"/>
  <c r="AI566" i="25"/>
  <c r="AK566" i="25"/>
  <c r="AH567" i="25"/>
  <c r="AE566" i="25"/>
  <c r="AF566" i="25"/>
  <c r="AC567" i="25"/>
  <c r="AD566" i="25"/>
  <c r="AG565" i="25"/>
  <c r="AB565" i="25"/>
  <c r="X567" i="25"/>
  <c r="Y566" i="25"/>
  <c r="Z566" i="25"/>
  <c r="AA566" i="25"/>
  <c r="W567" i="25"/>
  <c r="S569" i="25"/>
  <c r="T568" i="25"/>
  <c r="U568" i="25"/>
  <c r="V568" i="25"/>
  <c r="N615" i="36"/>
  <c r="M566" i="25" s="1"/>
  <c r="J617" i="36"/>
  <c r="I568" i="25" s="1"/>
  <c r="K616" i="36"/>
  <c r="J567" i="25" s="1"/>
  <c r="L616" i="36"/>
  <c r="K567" i="25" s="1"/>
  <c r="M616" i="36"/>
  <c r="L567" i="25" s="1"/>
  <c r="BD569" i="25" l="1"/>
  <c r="BE569" i="25"/>
  <c r="BB570" i="25"/>
  <c r="BC569" i="25"/>
  <c r="BF568" i="25"/>
  <c r="AY567" i="25"/>
  <c r="AZ567" i="25"/>
  <c r="AW568" i="25"/>
  <c r="AX567" i="25"/>
  <c r="BA566" i="25"/>
  <c r="AU567" i="25"/>
  <c r="AT567" i="25"/>
  <c r="AS567" i="25"/>
  <c r="AR568" i="25"/>
  <c r="AV566" i="25"/>
  <c r="AO567" i="25"/>
  <c r="AP567" i="25"/>
  <c r="AM568" i="25"/>
  <c r="AN567" i="25"/>
  <c r="AQ566" i="25"/>
  <c r="AH568" i="25"/>
  <c r="AI567" i="25"/>
  <c r="AJ567" i="25"/>
  <c r="AK567" i="25"/>
  <c r="AL566" i="25"/>
  <c r="AG566" i="25"/>
  <c r="AF567" i="25"/>
  <c r="AC568" i="25"/>
  <c r="AD567" i="25"/>
  <c r="AE567" i="25"/>
  <c r="AB566" i="25"/>
  <c r="AA567" i="25"/>
  <c r="Y567" i="25"/>
  <c r="X568" i="25"/>
  <c r="Z567" i="25"/>
  <c r="W568" i="25"/>
  <c r="S570" i="25"/>
  <c r="T569" i="25"/>
  <c r="U569" i="25"/>
  <c r="V569" i="25"/>
  <c r="N616" i="36"/>
  <c r="M567" i="25" s="1"/>
  <c r="J618" i="36"/>
  <c r="I569" i="25" s="1"/>
  <c r="K617" i="36"/>
  <c r="J568" i="25" s="1"/>
  <c r="M617" i="36"/>
  <c r="L568" i="25" s="1"/>
  <c r="L617" i="36"/>
  <c r="K568" i="25" s="1"/>
  <c r="BF569" i="25" l="1"/>
  <c r="BE570" i="25"/>
  <c r="BB571" i="25"/>
  <c r="BC570" i="25"/>
  <c r="BD570" i="25"/>
  <c r="BA567" i="25"/>
  <c r="AW569" i="25"/>
  <c r="AX568" i="25"/>
  <c r="AY568" i="25"/>
  <c r="AZ568" i="25"/>
  <c r="AV567" i="25"/>
  <c r="AT568" i="25"/>
  <c r="AU568" i="25"/>
  <c r="AR569" i="25"/>
  <c r="AS568" i="25"/>
  <c r="AQ567" i="25"/>
  <c r="AM569" i="25"/>
  <c r="AN568" i="25"/>
  <c r="AO568" i="25"/>
  <c r="AP568" i="25"/>
  <c r="AL567" i="25"/>
  <c r="AJ568" i="25"/>
  <c r="AK568" i="25"/>
  <c r="AH569" i="25"/>
  <c r="AI568" i="25"/>
  <c r="AE568" i="25"/>
  <c r="AC569" i="25"/>
  <c r="AD568" i="25"/>
  <c r="AF568" i="25"/>
  <c r="AG567" i="25"/>
  <c r="Z568" i="25"/>
  <c r="AA568" i="25"/>
  <c r="X569" i="25"/>
  <c r="Y568" i="25"/>
  <c r="AB567" i="25"/>
  <c r="W569" i="25"/>
  <c r="V570" i="25"/>
  <c r="S571" i="25"/>
  <c r="T570" i="25"/>
  <c r="U570" i="25"/>
  <c r="N617" i="36"/>
  <c r="M568" i="25" s="1"/>
  <c r="M618" i="36"/>
  <c r="L569" i="25" s="1"/>
  <c r="L618" i="36"/>
  <c r="K569" i="25" s="1"/>
  <c r="K618" i="36"/>
  <c r="J569" i="25" s="1"/>
  <c r="J619" i="36"/>
  <c r="I570" i="25" s="1"/>
  <c r="BD571" i="25" l="1"/>
  <c r="BB572" i="25"/>
  <c r="BC571" i="25"/>
  <c r="BE571" i="25"/>
  <c r="BF570" i="25"/>
  <c r="BA568" i="25"/>
  <c r="AW570" i="25"/>
  <c r="AX569" i="25"/>
  <c r="AY569" i="25"/>
  <c r="AZ569" i="25"/>
  <c r="AV568" i="25"/>
  <c r="AR570" i="25"/>
  <c r="AS569" i="25"/>
  <c r="AT569" i="25"/>
  <c r="AU569" i="25"/>
  <c r="AM570" i="25"/>
  <c r="AN569" i="25"/>
  <c r="AO569" i="25"/>
  <c r="AP569" i="25"/>
  <c r="AQ568" i="25"/>
  <c r="AL568" i="25"/>
  <c r="AK569" i="25"/>
  <c r="AJ569" i="25"/>
  <c r="AH570" i="25"/>
  <c r="AI569" i="25"/>
  <c r="AG568" i="25"/>
  <c r="AC570" i="25"/>
  <c r="AD569" i="25"/>
  <c r="AF569" i="25"/>
  <c r="AE569" i="25"/>
  <c r="AB568" i="25"/>
  <c r="X570" i="25"/>
  <c r="Y569" i="25"/>
  <c r="Z569" i="25"/>
  <c r="AA569" i="25"/>
  <c r="U571" i="25"/>
  <c r="S572" i="25"/>
  <c r="T571" i="25"/>
  <c r="V571" i="25"/>
  <c r="W570" i="25"/>
  <c r="N618" i="36"/>
  <c r="M569" i="25" s="1"/>
  <c r="L619" i="36"/>
  <c r="K570" i="25" s="1"/>
  <c r="M619" i="36"/>
  <c r="L570" i="25" s="1"/>
  <c r="J620" i="36"/>
  <c r="I571" i="25" s="1"/>
  <c r="K619" i="36"/>
  <c r="J570" i="25" s="1"/>
  <c r="W571" i="25" l="1"/>
  <c r="BF571" i="25"/>
  <c r="BB573" i="25"/>
  <c r="BC572" i="25"/>
  <c r="BE572" i="25"/>
  <c r="BD572" i="25"/>
  <c r="BA569" i="25"/>
  <c r="AZ570" i="25"/>
  <c r="AW571" i="25"/>
  <c r="AX570" i="25"/>
  <c r="AY570" i="25"/>
  <c r="AR571" i="25"/>
  <c r="AS570" i="25"/>
  <c r="AU570" i="25"/>
  <c r="AT570" i="25"/>
  <c r="AV569" i="25"/>
  <c r="AQ569" i="25"/>
  <c r="AP570" i="25"/>
  <c r="AM571" i="25"/>
  <c r="AN570" i="25"/>
  <c r="AO570" i="25"/>
  <c r="AJ570" i="25"/>
  <c r="AK570" i="25"/>
  <c r="AH571" i="25"/>
  <c r="AI570" i="25"/>
  <c r="AL569" i="25"/>
  <c r="AG569" i="25"/>
  <c r="AE570" i="25"/>
  <c r="AF570" i="25"/>
  <c r="AC571" i="25"/>
  <c r="AD570" i="25"/>
  <c r="AB569" i="25"/>
  <c r="X571" i="25"/>
  <c r="Y570" i="25"/>
  <c r="Z570" i="25"/>
  <c r="AA570" i="25"/>
  <c r="S573" i="25"/>
  <c r="T572" i="25"/>
  <c r="U572" i="25"/>
  <c r="V572" i="25"/>
  <c r="N619" i="36"/>
  <c r="M570" i="25" s="1"/>
  <c r="J621" i="36"/>
  <c r="I572" i="25" s="1"/>
  <c r="K620" i="36"/>
  <c r="J571" i="25" s="1"/>
  <c r="L620" i="36"/>
  <c r="K571" i="25" s="1"/>
  <c r="M620" i="36"/>
  <c r="L571" i="25" s="1"/>
  <c r="BD573" i="25" l="1"/>
  <c r="BE573" i="25"/>
  <c r="BC573" i="25"/>
  <c r="BB574" i="25"/>
  <c r="BF572" i="25"/>
  <c r="AY571" i="25"/>
  <c r="AZ571" i="25"/>
  <c r="AX571" i="25"/>
  <c r="AW572" i="25"/>
  <c r="BA570" i="25"/>
  <c r="AU571" i="25"/>
  <c r="AT571" i="25"/>
  <c r="AR572" i="25"/>
  <c r="AS571" i="25"/>
  <c r="AV570" i="25"/>
  <c r="AO571" i="25"/>
  <c r="AP571" i="25"/>
  <c r="AN571" i="25"/>
  <c r="AM572" i="25"/>
  <c r="AQ570" i="25"/>
  <c r="AL570" i="25"/>
  <c r="AH572" i="25"/>
  <c r="AI571" i="25"/>
  <c r="AK571" i="25"/>
  <c r="AJ571" i="25"/>
  <c r="AG570" i="25"/>
  <c r="AF571" i="25"/>
  <c r="AC572" i="25"/>
  <c r="AD571" i="25"/>
  <c r="AE571" i="25"/>
  <c r="AB570" i="25"/>
  <c r="AA571" i="25"/>
  <c r="X572" i="25"/>
  <c r="Y571" i="25"/>
  <c r="Z571" i="25"/>
  <c r="W572" i="25"/>
  <c r="T573" i="25"/>
  <c r="U573" i="25"/>
  <c r="V573" i="25"/>
  <c r="S574" i="25"/>
  <c r="N620" i="36"/>
  <c r="M571" i="25" s="1"/>
  <c r="J622" i="36"/>
  <c r="I573" i="25" s="1"/>
  <c r="K621" i="36"/>
  <c r="J572" i="25" s="1"/>
  <c r="M621" i="36"/>
  <c r="L572" i="25" s="1"/>
  <c r="L621" i="36"/>
  <c r="K572" i="25" s="1"/>
  <c r="BF573" i="25" l="1"/>
  <c r="BE574" i="25"/>
  <c r="BB575" i="25"/>
  <c r="BC574" i="25"/>
  <c r="BD574" i="25"/>
  <c r="BA571" i="25"/>
  <c r="AW573" i="25"/>
  <c r="AX572" i="25"/>
  <c r="AY572" i="25"/>
  <c r="AZ572" i="25"/>
  <c r="AV571" i="25"/>
  <c r="AT572" i="25"/>
  <c r="AU572" i="25"/>
  <c r="AR573" i="25"/>
  <c r="AS572" i="25"/>
  <c r="AQ571" i="25"/>
  <c r="AM573" i="25"/>
  <c r="AN572" i="25"/>
  <c r="AO572" i="25"/>
  <c r="AP572" i="25"/>
  <c r="AK572" i="25"/>
  <c r="AH573" i="25"/>
  <c r="AI572" i="25"/>
  <c r="AJ572" i="25"/>
  <c r="AL571" i="25"/>
  <c r="AE572" i="25"/>
  <c r="AC573" i="25"/>
  <c r="AD572" i="25"/>
  <c r="AF572" i="25"/>
  <c r="AG571" i="25"/>
  <c r="Z572" i="25"/>
  <c r="AA572" i="25"/>
  <c r="Y572" i="25"/>
  <c r="X573" i="25"/>
  <c r="AB571" i="25"/>
  <c r="W573" i="25"/>
  <c r="V574" i="25"/>
  <c r="T574" i="25"/>
  <c r="U574" i="25"/>
  <c r="S575" i="25"/>
  <c r="M622" i="36"/>
  <c r="L573" i="25" s="1"/>
  <c r="L622" i="36"/>
  <c r="K573" i="25" s="1"/>
  <c r="K622" i="36"/>
  <c r="J573" i="25" s="1"/>
  <c r="J623" i="36"/>
  <c r="I574" i="25" s="1"/>
  <c r="N621" i="36"/>
  <c r="M572" i="25" s="1"/>
  <c r="BD575" i="25" l="1"/>
  <c r="BB576" i="25"/>
  <c r="BC575" i="25"/>
  <c r="BE575" i="25"/>
  <c r="BF574" i="25"/>
  <c r="BA572" i="25"/>
  <c r="AW574" i="25"/>
  <c r="AX573" i="25"/>
  <c r="AY573" i="25"/>
  <c r="AZ573" i="25"/>
  <c r="AV572" i="25"/>
  <c r="AR574" i="25"/>
  <c r="AS573" i="25"/>
  <c r="AT573" i="25"/>
  <c r="AU573" i="25"/>
  <c r="AM574" i="25"/>
  <c r="AN573" i="25"/>
  <c r="AO573" i="25"/>
  <c r="AP573" i="25"/>
  <c r="AQ572" i="25"/>
  <c r="AK573" i="25"/>
  <c r="AH574" i="25"/>
  <c r="AI573" i="25"/>
  <c r="AJ573" i="25"/>
  <c r="AL572" i="25"/>
  <c r="AG572" i="25"/>
  <c r="AC574" i="25"/>
  <c r="AD573" i="25"/>
  <c r="AF573" i="25"/>
  <c r="AE573" i="25"/>
  <c r="AB572" i="25"/>
  <c r="X574" i="25"/>
  <c r="Y573" i="25"/>
  <c r="Z573" i="25"/>
  <c r="AA573" i="25"/>
  <c r="W574" i="25"/>
  <c r="U575" i="25"/>
  <c r="T575" i="25"/>
  <c r="V575" i="25"/>
  <c r="S576" i="25"/>
  <c r="N622" i="36"/>
  <c r="M573" i="25" s="1"/>
  <c r="L623" i="36"/>
  <c r="K574" i="25" s="1"/>
  <c r="M623" i="36"/>
  <c r="L574" i="25" s="1"/>
  <c r="J624" i="36"/>
  <c r="I575" i="25" s="1"/>
  <c r="K623" i="36"/>
  <c r="J574" i="25" s="1"/>
  <c r="BF575" i="25" l="1"/>
  <c r="BB577" i="25"/>
  <c r="BC576" i="25"/>
  <c r="BE576" i="25"/>
  <c r="BD576" i="25"/>
  <c r="BA573" i="25"/>
  <c r="AZ574" i="25"/>
  <c r="AW575" i="25"/>
  <c r="AX574" i="25"/>
  <c r="AY574" i="25"/>
  <c r="AR575" i="25"/>
  <c r="AS574" i="25"/>
  <c r="AU574" i="25"/>
  <c r="AT574" i="25"/>
  <c r="AV573" i="25"/>
  <c r="AQ573" i="25"/>
  <c r="AP574" i="25"/>
  <c r="AM575" i="25"/>
  <c r="AN574" i="25"/>
  <c r="AO574" i="25"/>
  <c r="AJ574" i="25"/>
  <c r="AH575" i="25"/>
  <c r="AI574" i="25"/>
  <c r="AK574" i="25"/>
  <c r="AL573" i="25"/>
  <c r="AG573" i="25"/>
  <c r="AE574" i="25"/>
  <c r="AF574" i="25"/>
  <c r="AD574" i="25"/>
  <c r="AC575" i="25"/>
  <c r="AB573" i="25"/>
  <c r="X575" i="25"/>
  <c r="Y574" i="25"/>
  <c r="Z574" i="25"/>
  <c r="AA574" i="25"/>
  <c r="W575" i="25"/>
  <c r="S577" i="25"/>
  <c r="T576" i="25"/>
  <c r="U576" i="25"/>
  <c r="V576" i="25"/>
  <c r="N623" i="36"/>
  <c r="M574" i="25" s="1"/>
  <c r="J625" i="36"/>
  <c r="I576" i="25" s="1"/>
  <c r="K624" i="36"/>
  <c r="J575" i="25" s="1"/>
  <c r="L624" i="36"/>
  <c r="K575" i="25" s="1"/>
  <c r="M624" i="36"/>
  <c r="L575" i="25" s="1"/>
  <c r="BD577" i="25" l="1"/>
  <c r="BE577" i="25"/>
  <c r="BB578" i="25"/>
  <c r="BC577" i="25"/>
  <c r="BF576" i="25"/>
  <c r="AY575" i="25"/>
  <c r="AZ575" i="25"/>
  <c r="AX575" i="25"/>
  <c r="AW576" i="25"/>
  <c r="BA574" i="25"/>
  <c r="AV574" i="25"/>
  <c r="AU575" i="25"/>
  <c r="AT575" i="25"/>
  <c r="AS575" i="25"/>
  <c r="AR576" i="25"/>
  <c r="AO575" i="25"/>
  <c r="AP575" i="25"/>
  <c r="AN575" i="25"/>
  <c r="AM576" i="25"/>
  <c r="AQ574" i="25"/>
  <c r="AL574" i="25"/>
  <c r="AH576" i="25"/>
  <c r="AI575" i="25"/>
  <c r="AJ575" i="25"/>
  <c r="AK575" i="25"/>
  <c r="AG574" i="25"/>
  <c r="AF575" i="25"/>
  <c r="AC576" i="25"/>
  <c r="AD575" i="25"/>
  <c r="AE575" i="25"/>
  <c r="AB574" i="25"/>
  <c r="AA575" i="25"/>
  <c r="Y575" i="25"/>
  <c r="Z575" i="25"/>
  <c r="X576" i="25"/>
  <c r="W576" i="25"/>
  <c r="U577" i="25"/>
  <c r="V577" i="25"/>
  <c r="S578" i="25"/>
  <c r="T577" i="25"/>
  <c r="N624" i="36"/>
  <c r="M575" i="25" s="1"/>
  <c r="J626" i="36"/>
  <c r="I577" i="25" s="1"/>
  <c r="K625" i="36"/>
  <c r="J576" i="25" s="1"/>
  <c r="M625" i="36"/>
  <c r="L576" i="25" s="1"/>
  <c r="L625" i="36"/>
  <c r="K576" i="25" s="1"/>
  <c r="BF577" i="25" l="1"/>
  <c r="BE578" i="25"/>
  <c r="BB579" i="25"/>
  <c r="BC578" i="25"/>
  <c r="BD578" i="25"/>
  <c r="BA575" i="25"/>
  <c r="AW577" i="25"/>
  <c r="AX576" i="25"/>
  <c r="AY576" i="25"/>
  <c r="AZ576" i="25"/>
  <c r="AT576" i="25"/>
  <c r="AU576" i="25"/>
  <c r="AR577" i="25"/>
  <c r="AS576" i="25"/>
  <c r="AV575" i="25"/>
  <c r="AQ575" i="25"/>
  <c r="AM577" i="25"/>
  <c r="AN576" i="25"/>
  <c r="AO576" i="25"/>
  <c r="AP576" i="25"/>
  <c r="AL575" i="25"/>
  <c r="AH577" i="25"/>
  <c r="AI576" i="25"/>
  <c r="AJ576" i="25"/>
  <c r="AK576" i="25"/>
  <c r="AE576" i="25"/>
  <c r="AC577" i="25"/>
  <c r="AD576" i="25"/>
  <c r="AF576" i="25"/>
  <c r="AG575" i="25"/>
  <c r="AB575" i="25"/>
  <c r="Z576" i="25"/>
  <c r="AA576" i="25"/>
  <c r="X577" i="25"/>
  <c r="Y576" i="25"/>
  <c r="W577" i="25"/>
  <c r="V578" i="25"/>
  <c r="U578" i="25"/>
  <c r="T578" i="25"/>
  <c r="S579" i="25"/>
  <c r="M626" i="36"/>
  <c r="L577" i="25" s="1"/>
  <c r="L626" i="36"/>
  <c r="K577" i="25" s="1"/>
  <c r="K626" i="36"/>
  <c r="J577" i="25" s="1"/>
  <c r="J627" i="36"/>
  <c r="I578" i="25" s="1"/>
  <c r="N625" i="36"/>
  <c r="M576" i="25" s="1"/>
  <c r="BD579" i="25" l="1"/>
  <c r="BB580" i="25"/>
  <c r="BC579" i="25"/>
  <c r="BE579" i="25"/>
  <c r="BF578" i="25"/>
  <c r="BA576" i="25"/>
  <c r="AW578" i="25"/>
  <c r="AX577" i="25"/>
  <c r="AY577" i="25"/>
  <c r="AZ577" i="25"/>
  <c r="AV576" i="25"/>
  <c r="AR578" i="25"/>
  <c r="AS577" i="25"/>
  <c r="AT577" i="25"/>
  <c r="AU577" i="25"/>
  <c r="AM578" i="25"/>
  <c r="AN577" i="25"/>
  <c r="AO577" i="25"/>
  <c r="AP577" i="25"/>
  <c r="AQ576" i="25"/>
  <c r="AL576" i="25"/>
  <c r="AK577" i="25"/>
  <c r="AH578" i="25"/>
  <c r="AI577" i="25"/>
  <c r="AJ577" i="25"/>
  <c r="AG576" i="25"/>
  <c r="AC578" i="25"/>
  <c r="AD577" i="25"/>
  <c r="AF577" i="25"/>
  <c r="AE577" i="25"/>
  <c r="AB576" i="25"/>
  <c r="X578" i="25"/>
  <c r="Y577" i="25"/>
  <c r="Z577" i="25"/>
  <c r="AA577" i="25"/>
  <c r="W578" i="25"/>
  <c r="U579" i="25"/>
  <c r="V579" i="25"/>
  <c r="S580" i="25"/>
  <c r="T579" i="25"/>
  <c r="N626" i="36"/>
  <c r="M577" i="25" s="1"/>
  <c r="L627" i="36"/>
  <c r="K578" i="25" s="1"/>
  <c r="M627" i="36"/>
  <c r="L578" i="25" s="1"/>
  <c r="J628" i="36"/>
  <c r="I579" i="25" s="1"/>
  <c r="K627" i="36"/>
  <c r="J578" i="25" s="1"/>
  <c r="BF579" i="25" l="1"/>
  <c r="BB581" i="25"/>
  <c r="BC580" i="25"/>
  <c r="BE580" i="25"/>
  <c r="BD580" i="25"/>
  <c r="BA577" i="25"/>
  <c r="AZ578" i="25"/>
  <c r="AW579" i="25"/>
  <c r="AX578" i="25"/>
  <c r="AY578" i="25"/>
  <c r="AV577" i="25"/>
  <c r="AR579" i="25"/>
  <c r="AS578" i="25"/>
  <c r="AU578" i="25"/>
  <c r="AT578" i="25"/>
  <c r="AQ577" i="25"/>
  <c r="AP578" i="25"/>
  <c r="AM579" i="25"/>
  <c r="AN578" i="25"/>
  <c r="AO578" i="25"/>
  <c r="AJ578" i="25"/>
  <c r="AH579" i="25"/>
  <c r="AI578" i="25"/>
  <c r="AK578" i="25"/>
  <c r="AL577" i="25"/>
  <c r="AG577" i="25"/>
  <c r="AE578" i="25"/>
  <c r="AF578" i="25"/>
  <c r="AD578" i="25"/>
  <c r="AC579" i="25"/>
  <c r="AB577" i="25"/>
  <c r="X579" i="25"/>
  <c r="Y578" i="25"/>
  <c r="Z578" i="25"/>
  <c r="AA578" i="25"/>
  <c r="W579" i="25"/>
  <c r="S581" i="25"/>
  <c r="T580" i="25"/>
  <c r="V580" i="25"/>
  <c r="U580" i="25"/>
  <c r="N627" i="36"/>
  <c r="M578" i="25" s="1"/>
  <c r="J629" i="36"/>
  <c r="I580" i="25" s="1"/>
  <c r="K628" i="36"/>
  <c r="J579" i="25" s="1"/>
  <c r="L628" i="36"/>
  <c r="K579" i="25" s="1"/>
  <c r="M628" i="36"/>
  <c r="L579" i="25" s="1"/>
  <c r="BD581" i="25" l="1"/>
  <c r="BE581" i="25"/>
  <c r="BC581" i="25"/>
  <c r="BB582" i="25"/>
  <c r="BF580" i="25"/>
  <c r="AY579" i="25"/>
  <c r="AZ579" i="25"/>
  <c r="AX579" i="25"/>
  <c r="AW580" i="25"/>
  <c r="BA578" i="25"/>
  <c r="AU579" i="25"/>
  <c r="AT579" i="25"/>
  <c r="AR580" i="25"/>
  <c r="AS579" i="25"/>
  <c r="AV578" i="25"/>
  <c r="AO579" i="25"/>
  <c r="AP579" i="25"/>
  <c r="AN579" i="25"/>
  <c r="AM580" i="25"/>
  <c r="AQ578" i="25"/>
  <c r="AL578" i="25"/>
  <c r="AH580" i="25"/>
  <c r="AI579" i="25"/>
  <c r="AJ579" i="25"/>
  <c r="AK579" i="25"/>
  <c r="AG578" i="25"/>
  <c r="AF579" i="25"/>
  <c r="AC580" i="25"/>
  <c r="AD579" i="25"/>
  <c r="AE579" i="25"/>
  <c r="AB578" i="25"/>
  <c r="AA579" i="25"/>
  <c r="X580" i="25"/>
  <c r="Y579" i="25"/>
  <c r="Z579" i="25"/>
  <c r="V581" i="25"/>
  <c r="S582" i="25"/>
  <c r="U581" i="25"/>
  <c r="T581" i="25"/>
  <c r="W580" i="25"/>
  <c r="J630" i="36"/>
  <c r="I581" i="25" s="1"/>
  <c r="K629" i="36"/>
  <c r="J580" i="25" s="1"/>
  <c r="M629" i="36"/>
  <c r="L580" i="25" s="1"/>
  <c r="L629" i="36"/>
  <c r="K580" i="25" s="1"/>
  <c r="N628" i="36"/>
  <c r="M579" i="25" s="1"/>
  <c r="BF581" i="25" l="1"/>
  <c r="BE582" i="25"/>
  <c r="BB583" i="25"/>
  <c r="BC582" i="25"/>
  <c r="BD582" i="25"/>
  <c r="BA579" i="25"/>
  <c r="AW581" i="25"/>
  <c r="AX580" i="25"/>
  <c r="AY580" i="25"/>
  <c r="AZ580" i="25"/>
  <c r="AV579" i="25"/>
  <c r="AT580" i="25"/>
  <c r="AU580" i="25"/>
  <c r="AR581" i="25"/>
  <c r="AS580" i="25"/>
  <c r="AQ579" i="25"/>
  <c r="AM581" i="25"/>
  <c r="AN580" i="25"/>
  <c r="AO580" i="25"/>
  <c r="AP580" i="25"/>
  <c r="AL579" i="25"/>
  <c r="AI580" i="25"/>
  <c r="AJ580" i="25"/>
  <c r="AK580" i="25"/>
  <c r="AH581" i="25"/>
  <c r="AE580" i="25"/>
  <c r="AC581" i="25"/>
  <c r="AD580" i="25"/>
  <c r="AF580" i="25"/>
  <c r="AG579" i="25"/>
  <c r="Z580" i="25"/>
  <c r="AA580" i="25"/>
  <c r="Y580" i="25"/>
  <c r="X581" i="25"/>
  <c r="AB579" i="25"/>
  <c r="W581" i="25"/>
  <c r="V582" i="25"/>
  <c r="S583" i="25"/>
  <c r="T582" i="25"/>
  <c r="U582" i="25"/>
  <c r="M630" i="36"/>
  <c r="L581" i="25" s="1"/>
  <c r="L630" i="36"/>
  <c r="K581" i="25" s="1"/>
  <c r="J631" i="36"/>
  <c r="I582" i="25" s="1"/>
  <c r="K630" i="36"/>
  <c r="J581" i="25" s="1"/>
  <c r="N629" i="36"/>
  <c r="M580" i="25" s="1"/>
  <c r="BD583" i="25" l="1"/>
  <c r="BB584" i="25"/>
  <c r="BC583" i="25"/>
  <c r="BE583" i="25"/>
  <c r="BF582" i="25"/>
  <c r="BA580" i="25"/>
  <c r="AW582" i="25"/>
  <c r="AX581" i="25"/>
  <c r="AY581" i="25"/>
  <c r="AZ581" i="25"/>
  <c r="AV580" i="25"/>
  <c r="AR582" i="25"/>
  <c r="AS581" i="25"/>
  <c r="AT581" i="25"/>
  <c r="AU581" i="25"/>
  <c r="AM582" i="25"/>
  <c r="AN581" i="25"/>
  <c r="AO581" i="25"/>
  <c r="AP581" i="25"/>
  <c r="AQ580" i="25"/>
  <c r="AL580" i="25"/>
  <c r="AK581" i="25"/>
  <c r="AI581" i="25"/>
  <c r="AJ581" i="25"/>
  <c r="AH582" i="25"/>
  <c r="AG580" i="25"/>
  <c r="AC582" i="25"/>
  <c r="AD581" i="25"/>
  <c r="AF581" i="25"/>
  <c r="AE581" i="25"/>
  <c r="AB580" i="25"/>
  <c r="X582" i="25"/>
  <c r="Y581" i="25"/>
  <c r="Z581" i="25"/>
  <c r="AA581" i="25"/>
  <c r="U583" i="25"/>
  <c r="S584" i="25"/>
  <c r="T583" i="25"/>
  <c r="V583" i="25"/>
  <c r="W582" i="25"/>
  <c r="L631" i="36"/>
  <c r="K582" i="25" s="1"/>
  <c r="M631" i="36"/>
  <c r="L582" i="25" s="1"/>
  <c r="J632" i="36"/>
  <c r="I583" i="25" s="1"/>
  <c r="K631" i="36"/>
  <c r="J582" i="25" s="1"/>
  <c r="N630" i="36"/>
  <c r="M581" i="25" s="1"/>
  <c r="BF583" i="25" l="1"/>
  <c r="BB585" i="25"/>
  <c r="BC584" i="25"/>
  <c r="BE584" i="25"/>
  <c r="BD584" i="25"/>
  <c r="BA581" i="25"/>
  <c r="AZ582" i="25"/>
  <c r="AW583" i="25"/>
  <c r="AX582" i="25"/>
  <c r="AY582" i="25"/>
  <c r="AV581" i="25"/>
  <c r="AR583" i="25"/>
  <c r="AS582" i="25"/>
  <c r="AU582" i="25"/>
  <c r="AT582" i="25"/>
  <c r="AQ581" i="25"/>
  <c r="AP582" i="25"/>
  <c r="AM583" i="25"/>
  <c r="AN582" i="25"/>
  <c r="AO582" i="25"/>
  <c r="AL581" i="25"/>
  <c r="AJ582" i="25"/>
  <c r="AI582" i="25"/>
  <c r="AK582" i="25"/>
  <c r="AH583" i="25"/>
  <c r="AE582" i="25"/>
  <c r="AF582" i="25"/>
  <c r="AC583" i="25"/>
  <c r="AD582" i="25"/>
  <c r="AG581" i="25"/>
  <c r="AB581" i="25"/>
  <c r="X583" i="25"/>
  <c r="Y582" i="25"/>
  <c r="Z582" i="25"/>
  <c r="AA582" i="25"/>
  <c r="W583" i="25"/>
  <c r="S585" i="25"/>
  <c r="T584" i="25"/>
  <c r="U584" i="25"/>
  <c r="V584" i="25"/>
  <c r="N631" i="36"/>
  <c r="M582" i="25" s="1"/>
  <c r="J633" i="36"/>
  <c r="I584" i="25" s="1"/>
  <c r="K632" i="36"/>
  <c r="J583" i="25" s="1"/>
  <c r="L632" i="36"/>
  <c r="K583" i="25" s="1"/>
  <c r="M632" i="36"/>
  <c r="L583" i="25" s="1"/>
  <c r="BD585" i="25" l="1"/>
  <c r="BE585" i="25"/>
  <c r="BB586" i="25"/>
  <c r="BC585" i="25"/>
  <c r="BF584" i="25"/>
  <c r="AY583" i="25"/>
  <c r="AZ583" i="25"/>
  <c r="AW584" i="25"/>
  <c r="AX583" i="25"/>
  <c r="BA582" i="25"/>
  <c r="AV582" i="25"/>
  <c r="AU583" i="25"/>
  <c r="AT583" i="25"/>
  <c r="AS583" i="25"/>
  <c r="AR584" i="25"/>
  <c r="AO583" i="25"/>
  <c r="AP583" i="25"/>
  <c r="AM584" i="25"/>
  <c r="AN583" i="25"/>
  <c r="AQ582" i="25"/>
  <c r="AL582" i="25"/>
  <c r="AH584" i="25"/>
  <c r="AI583" i="25"/>
  <c r="AJ583" i="25"/>
  <c r="AK583" i="25"/>
  <c r="AG582" i="25"/>
  <c r="AF583" i="25"/>
  <c r="AC584" i="25"/>
  <c r="AD583" i="25"/>
  <c r="AE583" i="25"/>
  <c r="AB582" i="25"/>
  <c r="AA583" i="25"/>
  <c r="Y583" i="25"/>
  <c r="X584" i="25"/>
  <c r="Z583" i="25"/>
  <c r="W584" i="25"/>
  <c r="S586" i="25"/>
  <c r="T585" i="25"/>
  <c r="U585" i="25"/>
  <c r="V585" i="25"/>
  <c r="J634" i="36"/>
  <c r="I585" i="25" s="1"/>
  <c r="K633" i="36"/>
  <c r="J584" i="25" s="1"/>
  <c r="M633" i="36"/>
  <c r="L584" i="25" s="1"/>
  <c r="L633" i="36"/>
  <c r="K584" i="25" s="1"/>
  <c r="N632" i="36"/>
  <c r="M583" i="25" s="1"/>
  <c r="BF585" i="25" l="1"/>
  <c r="BE586" i="25"/>
  <c r="BB587" i="25"/>
  <c r="BC586" i="25"/>
  <c r="BD586" i="25"/>
  <c r="BA583" i="25"/>
  <c r="AW585" i="25"/>
  <c r="AX584" i="25"/>
  <c r="AY584" i="25"/>
  <c r="AZ584" i="25"/>
  <c r="AV583" i="25"/>
  <c r="AT584" i="25"/>
  <c r="AU584" i="25"/>
  <c r="AR585" i="25"/>
  <c r="AS584" i="25"/>
  <c r="AQ583" i="25"/>
  <c r="AM585" i="25"/>
  <c r="AN584" i="25"/>
  <c r="AO584" i="25"/>
  <c r="AP584" i="25"/>
  <c r="AJ584" i="25"/>
  <c r="AK584" i="25"/>
  <c r="AH585" i="25"/>
  <c r="AI584" i="25"/>
  <c r="AL583" i="25"/>
  <c r="AG583" i="25"/>
  <c r="AE584" i="25"/>
  <c r="AC585" i="25"/>
  <c r="AD584" i="25"/>
  <c r="AF584" i="25"/>
  <c r="Z584" i="25"/>
  <c r="AA584" i="25"/>
  <c r="X585" i="25"/>
  <c r="Y584" i="25"/>
  <c r="AB583" i="25"/>
  <c r="W585" i="25"/>
  <c r="V586" i="25"/>
  <c r="S587" i="25"/>
  <c r="T586" i="25"/>
  <c r="U586" i="25"/>
  <c r="M634" i="36"/>
  <c r="L585" i="25" s="1"/>
  <c r="L634" i="36"/>
  <c r="K585" i="25" s="1"/>
  <c r="K634" i="36"/>
  <c r="J585" i="25" s="1"/>
  <c r="J635" i="36"/>
  <c r="I586" i="25" s="1"/>
  <c r="N633" i="36"/>
  <c r="M584" i="25" s="1"/>
  <c r="AV584" i="25" l="1"/>
  <c r="BD587" i="25"/>
  <c r="BB588" i="25"/>
  <c r="BC587" i="25"/>
  <c r="BE587" i="25"/>
  <c r="BF586" i="25"/>
  <c r="BA584" i="25"/>
  <c r="AW586" i="25"/>
  <c r="AX585" i="25"/>
  <c r="AY585" i="25"/>
  <c r="AZ585" i="25"/>
  <c r="AR586" i="25"/>
  <c r="AS585" i="25"/>
  <c r="AT585" i="25"/>
  <c r="AU585" i="25"/>
  <c r="AM586" i="25"/>
  <c r="AN585" i="25"/>
  <c r="AO585" i="25"/>
  <c r="AP585" i="25"/>
  <c r="AQ584" i="25"/>
  <c r="AL584" i="25"/>
  <c r="AK585" i="25"/>
  <c r="AJ585" i="25"/>
  <c r="AH586" i="25"/>
  <c r="AI585" i="25"/>
  <c r="AC586" i="25"/>
  <c r="AD585" i="25"/>
  <c r="AF585" i="25"/>
  <c r="AE585" i="25"/>
  <c r="AG584" i="25"/>
  <c r="AB584" i="25"/>
  <c r="X586" i="25"/>
  <c r="Y585" i="25"/>
  <c r="Z585" i="25"/>
  <c r="AA585" i="25"/>
  <c r="U587" i="25"/>
  <c r="S588" i="25"/>
  <c r="T587" i="25"/>
  <c r="V587" i="25"/>
  <c r="W586" i="25"/>
  <c r="N634" i="36"/>
  <c r="M585" i="25" s="1"/>
  <c r="L635" i="36"/>
  <c r="K586" i="25" s="1"/>
  <c r="M635" i="36"/>
  <c r="L586" i="25" s="1"/>
  <c r="J636" i="36"/>
  <c r="I587" i="25" s="1"/>
  <c r="K635" i="36"/>
  <c r="J586" i="25" s="1"/>
  <c r="BF587" i="25" l="1"/>
  <c r="BB589" i="25"/>
  <c r="BC588" i="25"/>
  <c r="BE588" i="25"/>
  <c r="BD588" i="25"/>
  <c r="BA585" i="25"/>
  <c r="AZ586" i="25"/>
  <c r="AW587" i="25"/>
  <c r="AX586" i="25"/>
  <c r="AY586" i="25"/>
  <c r="AV585" i="25"/>
  <c r="AR587" i="25"/>
  <c r="AS586" i="25"/>
  <c r="AU586" i="25"/>
  <c r="AT586" i="25"/>
  <c r="AQ585" i="25"/>
  <c r="AP586" i="25"/>
  <c r="AM587" i="25"/>
  <c r="AN586" i="25"/>
  <c r="AO586" i="25"/>
  <c r="AL585" i="25"/>
  <c r="AJ586" i="25"/>
  <c r="AK586" i="25"/>
  <c r="AH587" i="25"/>
  <c r="AI586" i="25"/>
  <c r="AE586" i="25"/>
  <c r="AF586" i="25"/>
  <c r="AC587" i="25"/>
  <c r="AD586" i="25"/>
  <c r="AG585" i="25"/>
  <c r="AB585" i="25"/>
  <c r="X587" i="25"/>
  <c r="Y586" i="25"/>
  <c r="Z586" i="25"/>
  <c r="AA586" i="25"/>
  <c r="W587" i="25"/>
  <c r="S589" i="25"/>
  <c r="T588" i="25"/>
  <c r="U588" i="25"/>
  <c r="V588" i="25"/>
  <c r="N635" i="36"/>
  <c r="M586" i="25" s="1"/>
  <c r="J637" i="36"/>
  <c r="I588" i="25" s="1"/>
  <c r="K636" i="36"/>
  <c r="J587" i="25" s="1"/>
  <c r="L636" i="36"/>
  <c r="K587" i="25" s="1"/>
  <c r="M636" i="36"/>
  <c r="L587" i="25" s="1"/>
  <c r="BF588" i="25" l="1"/>
  <c r="BD589" i="25"/>
  <c r="BE589" i="25"/>
  <c r="BC589" i="25"/>
  <c r="BB590" i="25"/>
  <c r="AY587" i="25"/>
  <c r="AZ587" i="25"/>
  <c r="AX587" i="25"/>
  <c r="AW588" i="25"/>
  <c r="BA586" i="25"/>
  <c r="AV586" i="25"/>
  <c r="AU587" i="25"/>
  <c r="AT587" i="25"/>
  <c r="AR588" i="25"/>
  <c r="AS587" i="25"/>
  <c r="AO587" i="25"/>
  <c r="AP587" i="25"/>
  <c r="AN587" i="25"/>
  <c r="AM588" i="25"/>
  <c r="AQ586" i="25"/>
  <c r="AL586" i="25"/>
  <c r="AH588" i="25"/>
  <c r="AI587" i="25"/>
  <c r="AK587" i="25"/>
  <c r="AJ587" i="25"/>
  <c r="AG586" i="25"/>
  <c r="AF587" i="25"/>
  <c r="AC588" i="25"/>
  <c r="AD587" i="25"/>
  <c r="AE587" i="25"/>
  <c r="AB586" i="25"/>
  <c r="AA587" i="25"/>
  <c r="X588" i="25"/>
  <c r="Y587" i="25"/>
  <c r="Z587" i="25"/>
  <c r="W588" i="25"/>
  <c r="T589" i="25"/>
  <c r="U589" i="25"/>
  <c r="V589" i="25"/>
  <c r="S590" i="25"/>
  <c r="N636" i="36"/>
  <c r="M587" i="25" s="1"/>
  <c r="J638" i="36"/>
  <c r="I589" i="25" s="1"/>
  <c r="K637" i="36"/>
  <c r="J588" i="25" s="1"/>
  <c r="M637" i="36"/>
  <c r="L588" i="25" s="1"/>
  <c r="L637" i="36"/>
  <c r="K588" i="25" s="1"/>
  <c r="BE590" i="25" l="1"/>
  <c r="BB591" i="25"/>
  <c r="BC590" i="25"/>
  <c r="BD590" i="25"/>
  <c r="BF589" i="25"/>
  <c r="BA587" i="25"/>
  <c r="AW589" i="25"/>
  <c r="AX588" i="25"/>
  <c r="AY588" i="25"/>
  <c r="AZ588" i="25"/>
  <c r="AV587" i="25"/>
  <c r="AT588" i="25"/>
  <c r="AU588" i="25"/>
  <c r="AR589" i="25"/>
  <c r="AS588" i="25"/>
  <c r="AQ587" i="25"/>
  <c r="AM589" i="25"/>
  <c r="AN588" i="25"/>
  <c r="AO588" i="25"/>
  <c r="AP588" i="25"/>
  <c r="AL587" i="25"/>
  <c r="AK588" i="25"/>
  <c r="AH589" i="25"/>
  <c r="AI588" i="25"/>
  <c r="AJ588" i="25"/>
  <c r="AE588" i="25"/>
  <c r="AC589" i="25"/>
  <c r="AD588" i="25"/>
  <c r="AF588" i="25"/>
  <c r="AG587" i="25"/>
  <c r="Z588" i="25"/>
  <c r="AA588" i="25"/>
  <c r="Y588" i="25"/>
  <c r="X589" i="25"/>
  <c r="AB587" i="25"/>
  <c r="W589" i="25"/>
  <c r="V590" i="25"/>
  <c r="T590" i="25"/>
  <c r="U590" i="25"/>
  <c r="S591" i="25"/>
  <c r="M638" i="36"/>
  <c r="L589" i="25" s="1"/>
  <c r="L638" i="36"/>
  <c r="K589" i="25" s="1"/>
  <c r="K638" i="36"/>
  <c r="J589" i="25" s="1"/>
  <c r="J639" i="36"/>
  <c r="I590" i="25" s="1"/>
  <c r="N637" i="36"/>
  <c r="M588" i="25" s="1"/>
  <c r="BD591" i="25" l="1"/>
  <c r="BB592" i="25"/>
  <c r="BC591" i="25"/>
  <c r="BE591" i="25"/>
  <c r="BF590" i="25"/>
  <c r="AW590" i="25"/>
  <c r="AX589" i="25"/>
  <c r="AY589" i="25"/>
  <c r="AZ589" i="25"/>
  <c r="BA588" i="25"/>
  <c r="AV588" i="25"/>
  <c r="AR590" i="25"/>
  <c r="AS589" i="25"/>
  <c r="AT589" i="25"/>
  <c r="AU589" i="25"/>
  <c r="AM590" i="25"/>
  <c r="AN589" i="25"/>
  <c r="AO589" i="25"/>
  <c r="AP589" i="25"/>
  <c r="AQ588" i="25"/>
  <c r="AK589" i="25"/>
  <c r="AH590" i="25"/>
  <c r="AI589" i="25"/>
  <c r="AJ589" i="25"/>
  <c r="AL588" i="25"/>
  <c r="AG588" i="25"/>
  <c r="AC590" i="25"/>
  <c r="AD589" i="25"/>
  <c r="AF589" i="25"/>
  <c r="AE589" i="25"/>
  <c r="AB588" i="25"/>
  <c r="X590" i="25"/>
  <c r="Y589" i="25"/>
  <c r="Z589" i="25"/>
  <c r="AA589" i="25"/>
  <c r="W590" i="25"/>
  <c r="U591" i="25"/>
  <c r="T591" i="25"/>
  <c r="V591" i="25"/>
  <c r="S592" i="25"/>
  <c r="N638" i="36"/>
  <c r="M589" i="25" s="1"/>
  <c r="L639" i="36"/>
  <c r="K590" i="25" s="1"/>
  <c r="M639" i="36"/>
  <c r="L590" i="25" s="1"/>
  <c r="J640" i="36"/>
  <c r="I591" i="25" s="1"/>
  <c r="K639" i="36"/>
  <c r="J590" i="25" s="1"/>
  <c r="BF591" i="25" l="1"/>
  <c r="W591" i="25"/>
  <c r="BB593" i="25"/>
  <c r="BC592" i="25"/>
  <c r="BE592" i="25"/>
  <c r="BD592" i="25"/>
  <c r="BA589" i="25"/>
  <c r="AZ590" i="25"/>
  <c r="AW591" i="25"/>
  <c r="AX590" i="25"/>
  <c r="AY590" i="25"/>
  <c r="AR591" i="25"/>
  <c r="AS590" i="25"/>
  <c r="AU590" i="25"/>
  <c r="AT590" i="25"/>
  <c r="AV589" i="25"/>
  <c r="AQ589" i="25"/>
  <c r="AP590" i="25"/>
  <c r="AM591" i="25"/>
  <c r="AN590" i="25"/>
  <c r="AO590" i="25"/>
  <c r="AJ590" i="25"/>
  <c r="AH591" i="25"/>
  <c r="AI590" i="25"/>
  <c r="AK590" i="25"/>
  <c r="AL589" i="25"/>
  <c r="AE590" i="25"/>
  <c r="AF590" i="25"/>
  <c r="AD590" i="25"/>
  <c r="AC591" i="25"/>
  <c r="AG589" i="25"/>
  <c r="AB589" i="25"/>
  <c r="X591" i="25"/>
  <c r="Y590" i="25"/>
  <c r="Z590" i="25"/>
  <c r="AA590" i="25"/>
  <c r="S593" i="25"/>
  <c r="T592" i="25"/>
  <c r="U592" i="25"/>
  <c r="V592" i="25"/>
  <c r="N639" i="36"/>
  <c r="M590" i="25" s="1"/>
  <c r="J641" i="36"/>
  <c r="I592" i="25" s="1"/>
  <c r="K640" i="36"/>
  <c r="J591" i="25" s="1"/>
  <c r="L640" i="36"/>
  <c r="K591" i="25" s="1"/>
  <c r="M640" i="36"/>
  <c r="L591" i="25" s="1"/>
  <c r="W592" i="25" l="1"/>
  <c r="BF592" i="25"/>
  <c r="BD593" i="25"/>
  <c r="BE593" i="25"/>
  <c r="BB594" i="25"/>
  <c r="BC593" i="25"/>
  <c r="AY591" i="25"/>
  <c r="AZ591" i="25"/>
  <c r="AX591" i="25"/>
  <c r="AW592" i="25"/>
  <c r="BA590" i="25"/>
  <c r="AU591" i="25"/>
  <c r="AT591" i="25"/>
  <c r="AS591" i="25"/>
  <c r="AR592" i="25"/>
  <c r="AV590" i="25"/>
  <c r="AO591" i="25"/>
  <c r="AP591" i="25"/>
  <c r="AN591" i="25"/>
  <c r="AM592" i="25"/>
  <c r="AQ590" i="25"/>
  <c r="AL590" i="25"/>
  <c r="AH592" i="25"/>
  <c r="AI591" i="25"/>
  <c r="AJ591" i="25"/>
  <c r="AK591" i="25"/>
  <c r="AG590" i="25"/>
  <c r="AF591" i="25"/>
  <c r="AC592" i="25"/>
  <c r="AD591" i="25"/>
  <c r="AE591" i="25"/>
  <c r="AB590" i="25"/>
  <c r="AA591" i="25"/>
  <c r="Y591" i="25"/>
  <c r="Z591" i="25"/>
  <c r="X592" i="25"/>
  <c r="U593" i="25"/>
  <c r="V593" i="25"/>
  <c r="T593" i="25"/>
  <c r="S594" i="25"/>
  <c r="J642" i="36"/>
  <c r="I593" i="25" s="1"/>
  <c r="K641" i="36"/>
  <c r="J592" i="25" s="1"/>
  <c r="M641" i="36"/>
  <c r="L592" i="25" s="1"/>
  <c r="L641" i="36"/>
  <c r="K592" i="25" s="1"/>
  <c r="N640" i="36"/>
  <c r="M591" i="25" s="1"/>
  <c r="BE594" i="25" l="1"/>
  <c r="BB595" i="25"/>
  <c r="BC594" i="25"/>
  <c r="BD594" i="25"/>
  <c r="BF593" i="25"/>
  <c r="BA591" i="25"/>
  <c r="AW593" i="25"/>
  <c r="AX592" i="25"/>
  <c r="AY592" i="25"/>
  <c r="AZ592" i="25"/>
  <c r="AV591" i="25"/>
  <c r="AT592" i="25"/>
  <c r="AU592" i="25"/>
  <c r="AR593" i="25"/>
  <c r="AS592" i="25"/>
  <c r="AQ591" i="25"/>
  <c r="AM593" i="25"/>
  <c r="AN592" i="25"/>
  <c r="AO592" i="25"/>
  <c r="AP592" i="25"/>
  <c r="AL591" i="25"/>
  <c r="AH593" i="25"/>
  <c r="AI592" i="25"/>
  <c r="AJ592" i="25"/>
  <c r="AK592" i="25"/>
  <c r="AE592" i="25"/>
  <c r="AC593" i="25"/>
  <c r="AD592" i="25"/>
  <c r="AF592" i="25"/>
  <c r="AG591" i="25"/>
  <c r="AB591" i="25"/>
  <c r="Z592" i="25"/>
  <c r="AA592" i="25"/>
  <c r="X593" i="25"/>
  <c r="Y592" i="25"/>
  <c r="W593" i="25"/>
  <c r="V594" i="25"/>
  <c r="U594" i="25"/>
  <c r="S595" i="25"/>
  <c r="T594" i="25"/>
  <c r="M642" i="36"/>
  <c r="L593" i="25" s="1"/>
  <c r="L642" i="36"/>
  <c r="K593" i="25" s="1"/>
  <c r="K642" i="36"/>
  <c r="J593" i="25" s="1"/>
  <c r="J643" i="36"/>
  <c r="I594" i="25" s="1"/>
  <c r="N641" i="36"/>
  <c r="M592" i="25" s="1"/>
  <c r="BD595" i="25" l="1"/>
  <c r="BB596" i="25"/>
  <c r="BC595" i="25"/>
  <c r="BE595" i="25"/>
  <c r="BF594" i="25"/>
  <c r="AW594" i="25"/>
  <c r="AX593" i="25"/>
  <c r="AY593" i="25"/>
  <c r="AZ593" i="25"/>
  <c r="BA592" i="25"/>
  <c r="AV592" i="25"/>
  <c r="AR594" i="25"/>
  <c r="AS593" i="25"/>
  <c r="AT593" i="25"/>
  <c r="AU593" i="25"/>
  <c r="AQ592" i="25"/>
  <c r="AM594" i="25"/>
  <c r="AN593" i="25"/>
  <c r="AO593" i="25"/>
  <c r="AP593" i="25"/>
  <c r="AL592" i="25"/>
  <c r="AK593" i="25"/>
  <c r="AH594" i="25"/>
  <c r="AI593" i="25"/>
  <c r="AJ593" i="25"/>
  <c r="AG592" i="25"/>
  <c r="AC594" i="25"/>
  <c r="AD593" i="25"/>
  <c r="AF593" i="25"/>
  <c r="AE593" i="25"/>
  <c r="AB592" i="25"/>
  <c r="X594" i="25"/>
  <c r="Y593" i="25"/>
  <c r="Z593" i="25"/>
  <c r="AA593" i="25"/>
  <c r="U595" i="25"/>
  <c r="V595" i="25"/>
  <c r="T595" i="25"/>
  <c r="S596" i="25"/>
  <c r="W594" i="25"/>
  <c r="N642" i="36"/>
  <c r="M593" i="25" s="1"/>
  <c r="L643" i="36"/>
  <c r="K594" i="25" s="1"/>
  <c r="M643" i="36"/>
  <c r="L594" i="25" s="1"/>
  <c r="J644" i="36"/>
  <c r="I595" i="25" s="1"/>
  <c r="K643" i="36"/>
  <c r="J594" i="25" s="1"/>
  <c r="BF595" i="25" l="1"/>
  <c r="BB597" i="25"/>
  <c r="BC596" i="25"/>
  <c r="BE596" i="25"/>
  <c r="BD596" i="25"/>
  <c r="BA593" i="25"/>
  <c r="AZ594" i="25"/>
  <c r="AW595" i="25"/>
  <c r="AX594" i="25"/>
  <c r="AY594" i="25"/>
  <c r="AR595" i="25"/>
  <c r="AS594" i="25"/>
  <c r="AU594" i="25"/>
  <c r="AT594" i="25"/>
  <c r="AV593" i="25"/>
  <c r="AQ593" i="25"/>
  <c r="AP594" i="25"/>
  <c r="AM595" i="25"/>
  <c r="AN594" i="25"/>
  <c r="AO594" i="25"/>
  <c r="AJ594" i="25"/>
  <c r="AH595" i="25"/>
  <c r="AI594" i="25"/>
  <c r="AK594" i="25"/>
  <c r="AL593" i="25"/>
  <c r="AE594" i="25"/>
  <c r="AF594" i="25"/>
  <c r="AD594" i="25"/>
  <c r="AC595" i="25"/>
  <c r="AG593" i="25"/>
  <c r="AB593" i="25"/>
  <c r="X595" i="25"/>
  <c r="Y594" i="25"/>
  <c r="Z594" i="25"/>
  <c r="AA594" i="25"/>
  <c r="W595" i="25"/>
  <c r="S597" i="25"/>
  <c r="T596" i="25"/>
  <c r="V596" i="25"/>
  <c r="U596" i="25"/>
  <c r="N643" i="36"/>
  <c r="M594" i="25" s="1"/>
  <c r="J645" i="36"/>
  <c r="I596" i="25" s="1"/>
  <c r="K644" i="36"/>
  <c r="J595" i="25" s="1"/>
  <c r="L644" i="36"/>
  <c r="K595" i="25" s="1"/>
  <c r="M644" i="36"/>
  <c r="L595" i="25" s="1"/>
  <c r="BF596" i="25" l="1"/>
  <c r="BD597" i="25"/>
  <c r="BE597" i="25"/>
  <c r="BC597" i="25"/>
  <c r="BB598" i="25"/>
  <c r="AY595" i="25"/>
  <c r="AZ595" i="25"/>
  <c r="AX595" i="25"/>
  <c r="AW596" i="25"/>
  <c r="BA594" i="25"/>
  <c r="AU595" i="25"/>
  <c r="AT595" i="25"/>
  <c r="AR596" i="25"/>
  <c r="AS595" i="25"/>
  <c r="AV594" i="25"/>
  <c r="AO595" i="25"/>
  <c r="AP595" i="25"/>
  <c r="AN595" i="25"/>
  <c r="AM596" i="25"/>
  <c r="AQ594" i="25"/>
  <c r="AL594" i="25"/>
  <c r="AH596" i="25"/>
  <c r="AI595" i="25"/>
  <c r="AJ595" i="25"/>
  <c r="AK595" i="25"/>
  <c r="AG594" i="25"/>
  <c r="AF595" i="25"/>
  <c r="AC596" i="25"/>
  <c r="AD595" i="25"/>
  <c r="AE595" i="25"/>
  <c r="AB594" i="25"/>
  <c r="AA595" i="25"/>
  <c r="X596" i="25"/>
  <c r="Y595" i="25"/>
  <c r="Z595" i="25"/>
  <c r="V597" i="25"/>
  <c r="S598" i="25"/>
  <c r="T597" i="25"/>
  <c r="U597" i="25"/>
  <c r="W596" i="25"/>
  <c r="N644" i="36"/>
  <c r="M595" i="25" s="1"/>
  <c r="J646" i="36"/>
  <c r="I597" i="25" s="1"/>
  <c r="K645" i="36"/>
  <c r="J596" i="25" s="1"/>
  <c r="M645" i="36"/>
  <c r="L596" i="25" s="1"/>
  <c r="L645" i="36"/>
  <c r="K596" i="25" s="1"/>
  <c r="BE598" i="25" l="1"/>
  <c r="BB599" i="25"/>
  <c r="BC598" i="25"/>
  <c r="BD598" i="25"/>
  <c r="BF597" i="25"/>
  <c r="BA595" i="25"/>
  <c r="AW597" i="25"/>
  <c r="AX596" i="25"/>
  <c r="AY596" i="25"/>
  <c r="AZ596" i="25"/>
  <c r="AV595" i="25"/>
  <c r="AT596" i="25"/>
  <c r="AU596" i="25"/>
  <c r="AR597" i="25"/>
  <c r="AS596" i="25"/>
  <c r="AQ595" i="25"/>
  <c r="AM597" i="25"/>
  <c r="AN596" i="25"/>
  <c r="AO596" i="25"/>
  <c r="AP596" i="25"/>
  <c r="AL595" i="25"/>
  <c r="AI596" i="25"/>
  <c r="AJ596" i="25"/>
  <c r="AK596" i="25"/>
  <c r="AH597" i="25"/>
  <c r="AG595" i="25"/>
  <c r="AE596" i="25"/>
  <c r="AC597" i="25"/>
  <c r="AD596" i="25"/>
  <c r="AF596" i="25"/>
  <c r="Z596" i="25"/>
  <c r="AA596" i="25"/>
  <c r="Y596" i="25"/>
  <c r="X597" i="25"/>
  <c r="AB595" i="25"/>
  <c r="V598" i="25"/>
  <c r="S599" i="25"/>
  <c r="T598" i="25"/>
  <c r="U598" i="25"/>
  <c r="W597" i="25"/>
  <c r="N645" i="36"/>
  <c r="M596" i="25" s="1"/>
  <c r="M646" i="36"/>
  <c r="L597" i="25" s="1"/>
  <c r="L646" i="36"/>
  <c r="K597" i="25" s="1"/>
  <c r="J647" i="36"/>
  <c r="I598" i="25" s="1"/>
  <c r="K646" i="36"/>
  <c r="J597" i="25" s="1"/>
  <c r="BD599" i="25" l="1"/>
  <c r="BB600" i="25"/>
  <c r="BC599" i="25"/>
  <c r="BE599" i="25"/>
  <c r="BF598" i="25"/>
  <c r="AW598" i="25"/>
  <c r="AX597" i="25"/>
  <c r="AY597" i="25"/>
  <c r="AZ597" i="25"/>
  <c r="BA596" i="25"/>
  <c r="AV596" i="25"/>
  <c r="AR598" i="25"/>
  <c r="AS597" i="25"/>
  <c r="AT597" i="25"/>
  <c r="AU597" i="25"/>
  <c r="AQ596" i="25"/>
  <c r="AM598" i="25"/>
  <c r="AN597" i="25"/>
  <c r="AO597" i="25"/>
  <c r="AP597" i="25"/>
  <c r="AL596" i="25"/>
  <c r="AK597" i="25"/>
  <c r="AI597" i="25"/>
  <c r="AJ597" i="25"/>
  <c r="AH598" i="25"/>
  <c r="AG596" i="25"/>
  <c r="AC598" i="25"/>
  <c r="AD597" i="25"/>
  <c r="AF597" i="25"/>
  <c r="AE597" i="25"/>
  <c r="AB596" i="25"/>
  <c r="X598" i="25"/>
  <c r="Y597" i="25"/>
  <c r="Z597" i="25"/>
  <c r="AA597" i="25"/>
  <c r="U599" i="25"/>
  <c r="S600" i="25"/>
  <c r="T599" i="25"/>
  <c r="V599" i="25"/>
  <c r="W598" i="25"/>
  <c r="L647" i="36"/>
  <c r="K598" i="25" s="1"/>
  <c r="M647" i="36"/>
  <c r="L598" i="25" s="1"/>
  <c r="J648" i="36"/>
  <c r="I599" i="25" s="1"/>
  <c r="K647" i="36"/>
  <c r="J598" i="25" s="1"/>
  <c r="N646" i="36"/>
  <c r="M597" i="25" s="1"/>
  <c r="BF599" i="25" l="1"/>
  <c r="BB601" i="25"/>
  <c r="BC600" i="25"/>
  <c r="BE600" i="25"/>
  <c r="BD600" i="25"/>
  <c r="BA597" i="25"/>
  <c r="AZ598" i="25"/>
  <c r="AW599" i="25"/>
  <c r="AX598" i="25"/>
  <c r="AY598" i="25"/>
  <c r="AR599" i="25"/>
  <c r="AS598" i="25"/>
  <c r="AU598" i="25"/>
  <c r="AT598" i="25"/>
  <c r="AV597" i="25"/>
  <c r="AQ597" i="25"/>
  <c r="AP598" i="25"/>
  <c r="AM599" i="25"/>
  <c r="AN598" i="25"/>
  <c r="AO598" i="25"/>
  <c r="AL597" i="25"/>
  <c r="AJ598" i="25"/>
  <c r="AI598" i="25"/>
  <c r="AK598" i="25"/>
  <c r="AH599" i="25"/>
  <c r="AE598" i="25"/>
  <c r="AF598" i="25"/>
  <c r="AC599" i="25"/>
  <c r="AD598" i="25"/>
  <c r="AG597" i="25"/>
  <c r="AB597" i="25"/>
  <c r="X599" i="25"/>
  <c r="Y598" i="25"/>
  <c r="Z598" i="25"/>
  <c r="AA598" i="25"/>
  <c r="W599" i="25"/>
  <c r="S601" i="25"/>
  <c r="T600" i="25"/>
  <c r="U600" i="25"/>
  <c r="V600" i="25"/>
  <c r="N647" i="36"/>
  <c r="M598" i="25" s="1"/>
  <c r="J649" i="36"/>
  <c r="I600" i="25" s="1"/>
  <c r="K648" i="36"/>
  <c r="J599" i="25" s="1"/>
  <c r="L648" i="36"/>
  <c r="K599" i="25" s="1"/>
  <c r="M648" i="36"/>
  <c r="L599" i="25" s="1"/>
  <c r="BD601" i="25" l="1"/>
  <c r="BE601" i="25"/>
  <c r="BB602" i="25"/>
  <c r="BC601" i="25"/>
  <c r="BF600" i="25"/>
  <c r="AY599" i="25"/>
  <c r="AZ599" i="25"/>
  <c r="AW600" i="25"/>
  <c r="AX599" i="25"/>
  <c r="BA598" i="25"/>
  <c r="AU599" i="25"/>
  <c r="AT599" i="25"/>
  <c r="AS599" i="25"/>
  <c r="AR600" i="25"/>
  <c r="AV598" i="25"/>
  <c r="AO599" i="25"/>
  <c r="AP599" i="25"/>
  <c r="AM600" i="25"/>
  <c r="AN599" i="25"/>
  <c r="AQ598" i="25"/>
  <c r="AL598" i="25"/>
  <c r="AH600" i="25"/>
  <c r="AI599" i="25"/>
  <c r="AJ599" i="25"/>
  <c r="AK599" i="25"/>
  <c r="AG598" i="25"/>
  <c r="AF599" i="25"/>
  <c r="AC600" i="25"/>
  <c r="AD599" i="25"/>
  <c r="AE599" i="25"/>
  <c r="AB598" i="25"/>
  <c r="AA599" i="25"/>
  <c r="Y599" i="25"/>
  <c r="X600" i="25"/>
  <c r="Z599" i="25"/>
  <c r="W600" i="25"/>
  <c r="S602" i="25"/>
  <c r="T601" i="25"/>
  <c r="U601" i="25"/>
  <c r="V601" i="25"/>
  <c r="N648" i="36"/>
  <c r="M599" i="25" s="1"/>
  <c r="J650" i="36"/>
  <c r="I601" i="25" s="1"/>
  <c r="K649" i="36"/>
  <c r="J600" i="25" s="1"/>
  <c r="M649" i="36"/>
  <c r="L600" i="25" s="1"/>
  <c r="L649" i="36"/>
  <c r="K600" i="25" s="1"/>
  <c r="BF601" i="25" l="1"/>
  <c r="BE602" i="25"/>
  <c r="BB603" i="25"/>
  <c r="BC602" i="25"/>
  <c r="BD602" i="25"/>
  <c r="BA599" i="25"/>
  <c r="AW601" i="25"/>
  <c r="AX600" i="25"/>
  <c r="AY600" i="25"/>
  <c r="AZ600" i="25"/>
  <c r="AT600" i="25"/>
  <c r="AU600" i="25"/>
  <c r="AR601" i="25"/>
  <c r="AS600" i="25"/>
  <c r="AV599" i="25"/>
  <c r="AQ599" i="25"/>
  <c r="AM601" i="25"/>
  <c r="AN600" i="25"/>
  <c r="AO600" i="25"/>
  <c r="AP600" i="25"/>
  <c r="AJ600" i="25"/>
  <c r="AK600" i="25"/>
  <c r="AH601" i="25"/>
  <c r="AI600" i="25"/>
  <c r="AL599" i="25"/>
  <c r="AE600" i="25"/>
  <c r="AC601" i="25"/>
  <c r="AD600" i="25"/>
  <c r="AF600" i="25"/>
  <c r="AG599" i="25"/>
  <c r="Z600" i="25"/>
  <c r="AA600" i="25"/>
  <c r="X601" i="25"/>
  <c r="Y600" i="25"/>
  <c r="AB599" i="25"/>
  <c r="W601" i="25"/>
  <c r="V602" i="25"/>
  <c r="S603" i="25"/>
  <c r="T602" i="25"/>
  <c r="U602" i="25"/>
  <c r="N649" i="36"/>
  <c r="M600" i="25" s="1"/>
  <c r="M650" i="36"/>
  <c r="L601" i="25" s="1"/>
  <c r="L650" i="36"/>
  <c r="K601" i="25" s="1"/>
  <c r="K650" i="36"/>
  <c r="J601" i="25" s="1"/>
  <c r="J651" i="36"/>
  <c r="I602" i="25" s="1"/>
  <c r="BD603" i="25" l="1"/>
  <c r="BB604" i="25"/>
  <c r="BC603" i="25"/>
  <c r="BE603" i="25"/>
  <c r="BF602" i="25"/>
  <c r="BA600" i="25"/>
  <c r="AW602" i="25"/>
  <c r="AX601" i="25"/>
  <c r="AY601" i="25"/>
  <c r="AZ601" i="25"/>
  <c r="AV600" i="25"/>
  <c r="AR602" i="25"/>
  <c r="AS601" i="25"/>
  <c r="AT601" i="25"/>
  <c r="AU601" i="25"/>
  <c r="AQ600" i="25"/>
  <c r="AM602" i="25"/>
  <c r="AN601" i="25"/>
  <c r="AO601" i="25"/>
  <c r="AP601" i="25"/>
  <c r="AL600" i="25"/>
  <c r="AK601" i="25"/>
  <c r="AJ601" i="25"/>
  <c r="AH602" i="25"/>
  <c r="AI601" i="25"/>
  <c r="AG600" i="25"/>
  <c r="AC602" i="25"/>
  <c r="AD601" i="25"/>
  <c r="AF601" i="25"/>
  <c r="AE601" i="25"/>
  <c r="AB600" i="25"/>
  <c r="X602" i="25"/>
  <c r="Y601" i="25"/>
  <c r="Z601" i="25"/>
  <c r="AA601" i="25"/>
  <c r="U603" i="25"/>
  <c r="S604" i="25"/>
  <c r="T603" i="25"/>
  <c r="V603" i="25"/>
  <c r="W602" i="25"/>
  <c r="N650" i="36"/>
  <c r="M601" i="25" s="1"/>
  <c r="L651" i="36"/>
  <c r="K602" i="25" s="1"/>
  <c r="M651" i="36"/>
  <c r="L602" i="25" s="1"/>
  <c r="J652" i="36"/>
  <c r="I603" i="25" s="1"/>
  <c r="K651" i="36"/>
  <c r="J602" i="25" s="1"/>
  <c r="BF603" i="25" l="1"/>
  <c r="BB605" i="25"/>
  <c r="BC604" i="25"/>
  <c r="BE604" i="25"/>
  <c r="BD604" i="25"/>
  <c r="BA601" i="25"/>
  <c r="AZ602" i="25"/>
  <c r="AW603" i="25"/>
  <c r="AX602" i="25"/>
  <c r="AY602" i="25"/>
  <c r="AV601" i="25"/>
  <c r="AR603" i="25"/>
  <c r="AS602" i="25"/>
  <c r="AU602" i="25"/>
  <c r="AT602" i="25"/>
  <c r="AQ601" i="25"/>
  <c r="AP602" i="25"/>
  <c r="AM603" i="25"/>
  <c r="AN602" i="25"/>
  <c r="AO602" i="25"/>
  <c r="AL601" i="25"/>
  <c r="AJ602" i="25"/>
  <c r="AK602" i="25"/>
  <c r="AH603" i="25"/>
  <c r="AI602" i="25"/>
  <c r="AG601" i="25"/>
  <c r="AE602" i="25"/>
  <c r="AF602" i="25"/>
  <c r="AC603" i="25"/>
  <c r="AD602" i="25"/>
  <c r="AB601" i="25"/>
  <c r="X603" i="25"/>
  <c r="Y602" i="25"/>
  <c r="Z602" i="25"/>
  <c r="AA602" i="25"/>
  <c r="W603" i="25"/>
  <c r="S605" i="25"/>
  <c r="T604" i="25"/>
  <c r="U604" i="25"/>
  <c r="V604" i="25"/>
  <c r="N651" i="36"/>
  <c r="M602" i="25" s="1"/>
  <c r="J653" i="36"/>
  <c r="I604" i="25" s="1"/>
  <c r="K652" i="36"/>
  <c r="J603" i="25" s="1"/>
  <c r="L652" i="36"/>
  <c r="K603" i="25" s="1"/>
  <c r="M652" i="36"/>
  <c r="L603" i="25" s="1"/>
  <c r="AV602" i="25" l="1"/>
  <c r="BD605" i="25"/>
  <c r="BE605" i="25"/>
  <c r="BC605" i="25"/>
  <c r="BB606" i="25"/>
  <c r="BF604" i="25"/>
  <c r="AY603" i="25"/>
  <c r="AZ603" i="25"/>
  <c r="AX603" i="25"/>
  <c r="AW604" i="25"/>
  <c r="BA602" i="25"/>
  <c r="AU603" i="25"/>
  <c r="AT603" i="25"/>
  <c r="AR604" i="25"/>
  <c r="AS603" i="25"/>
  <c r="AO603" i="25"/>
  <c r="AP603" i="25"/>
  <c r="AN603" i="25"/>
  <c r="AM604" i="25"/>
  <c r="AQ602" i="25"/>
  <c r="AL602" i="25"/>
  <c r="AH604" i="25"/>
  <c r="AI603" i="25"/>
  <c r="AK603" i="25"/>
  <c r="AJ603" i="25"/>
  <c r="AG602" i="25"/>
  <c r="AF603" i="25"/>
  <c r="AC604" i="25"/>
  <c r="AD603" i="25"/>
  <c r="AE603" i="25"/>
  <c r="AB602" i="25"/>
  <c r="AA603" i="25"/>
  <c r="X604" i="25"/>
  <c r="Y603" i="25"/>
  <c r="Z603" i="25"/>
  <c r="W604" i="25"/>
  <c r="T605" i="25"/>
  <c r="U605" i="25"/>
  <c r="V605" i="25"/>
  <c r="S606" i="25"/>
  <c r="N652" i="36"/>
  <c r="M603" i="25" s="1"/>
  <c r="J654" i="36"/>
  <c r="I605" i="25" s="1"/>
  <c r="K653" i="36"/>
  <c r="J604" i="25" s="1"/>
  <c r="M653" i="36"/>
  <c r="L604" i="25" s="1"/>
  <c r="L653" i="36"/>
  <c r="K604" i="25" s="1"/>
  <c r="BF605" i="25" l="1"/>
  <c r="BE606" i="25"/>
  <c r="BB607" i="25"/>
  <c r="BC606" i="25"/>
  <c r="BD606" i="25"/>
  <c r="BA603" i="25"/>
  <c r="AW605" i="25"/>
  <c r="AX604" i="25"/>
  <c r="AY604" i="25"/>
  <c r="AZ604" i="25"/>
  <c r="AV603" i="25"/>
  <c r="AT604" i="25"/>
  <c r="AU604" i="25"/>
  <c r="AR605" i="25"/>
  <c r="AS604" i="25"/>
  <c r="AQ603" i="25"/>
  <c r="AM605" i="25"/>
  <c r="AN604" i="25"/>
  <c r="AO604" i="25"/>
  <c r="AP604" i="25"/>
  <c r="AL603" i="25"/>
  <c r="AK604" i="25"/>
  <c r="AH605" i="25"/>
  <c r="AI604" i="25"/>
  <c r="AJ604" i="25"/>
  <c r="AE604" i="25"/>
  <c r="AC605" i="25"/>
  <c r="AD604" i="25"/>
  <c r="AF604" i="25"/>
  <c r="AG603" i="25"/>
  <c r="Z604" i="25"/>
  <c r="AA604" i="25"/>
  <c r="Y604" i="25"/>
  <c r="X605" i="25"/>
  <c r="AB603" i="25"/>
  <c r="W605" i="25"/>
  <c r="V606" i="25"/>
  <c r="T606" i="25"/>
  <c r="U606" i="25"/>
  <c r="S607" i="25"/>
  <c r="M654" i="36"/>
  <c r="L605" i="25" s="1"/>
  <c r="L654" i="36"/>
  <c r="K605" i="25" s="1"/>
  <c r="K654" i="36"/>
  <c r="J605" i="25" s="1"/>
  <c r="J655" i="36"/>
  <c r="I606" i="25" s="1"/>
  <c r="N653" i="36"/>
  <c r="M604" i="25" s="1"/>
  <c r="BD607" i="25" l="1"/>
  <c r="BB608" i="25"/>
  <c r="BC607" i="25"/>
  <c r="BE607" i="25"/>
  <c r="BF606" i="25"/>
  <c r="AW606" i="25"/>
  <c r="AX605" i="25"/>
  <c r="AY605" i="25"/>
  <c r="AZ605" i="25"/>
  <c r="BA604" i="25"/>
  <c r="AV604" i="25"/>
  <c r="AR606" i="25"/>
  <c r="AS605" i="25"/>
  <c r="AT605" i="25"/>
  <c r="AU605" i="25"/>
  <c r="AM606" i="25"/>
  <c r="AN605" i="25"/>
  <c r="AO605" i="25"/>
  <c r="AP605" i="25"/>
  <c r="AQ604" i="25"/>
  <c r="AK605" i="25"/>
  <c r="AH606" i="25"/>
  <c r="AI605" i="25"/>
  <c r="AJ605" i="25"/>
  <c r="AL604" i="25"/>
  <c r="AG604" i="25"/>
  <c r="AC606" i="25"/>
  <c r="AD605" i="25"/>
  <c r="AF605" i="25"/>
  <c r="AE605" i="25"/>
  <c r="AB604" i="25"/>
  <c r="X606" i="25"/>
  <c r="Y605" i="25"/>
  <c r="Z605" i="25"/>
  <c r="AA605" i="25"/>
  <c r="U607" i="25"/>
  <c r="T607" i="25"/>
  <c r="V607" i="25"/>
  <c r="S608" i="25"/>
  <c r="W606" i="25"/>
  <c r="N654" i="36"/>
  <c r="M605" i="25" s="1"/>
  <c r="L655" i="36"/>
  <c r="K606" i="25" s="1"/>
  <c r="M655" i="36"/>
  <c r="L606" i="25" s="1"/>
  <c r="J656" i="36"/>
  <c r="I607" i="25" s="1"/>
  <c r="K655" i="36"/>
  <c r="J606" i="25" s="1"/>
  <c r="BF607" i="25" l="1"/>
  <c r="BB609" i="25"/>
  <c r="BC608" i="25"/>
  <c r="BE608" i="25"/>
  <c r="BD608" i="25"/>
  <c r="BA605" i="25"/>
  <c r="AZ606" i="25"/>
  <c r="AW607" i="25"/>
  <c r="AX606" i="25"/>
  <c r="AY606" i="25"/>
  <c r="AR607" i="25"/>
  <c r="AS606" i="25"/>
  <c r="AU606" i="25"/>
  <c r="AT606" i="25"/>
  <c r="AV605" i="25"/>
  <c r="AQ605" i="25"/>
  <c r="AP606" i="25"/>
  <c r="AM607" i="25"/>
  <c r="AN606" i="25"/>
  <c r="AO606" i="25"/>
  <c r="AJ606" i="25"/>
  <c r="AH607" i="25"/>
  <c r="AI606" i="25"/>
  <c r="AK606" i="25"/>
  <c r="AL605" i="25"/>
  <c r="AE606" i="25"/>
  <c r="AF606" i="25"/>
  <c r="AD606" i="25"/>
  <c r="AC607" i="25"/>
  <c r="AG605" i="25"/>
  <c r="AB605" i="25"/>
  <c r="X607" i="25"/>
  <c r="Y606" i="25"/>
  <c r="Z606" i="25"/>
  <c r="AA606" i="25"/>
  <c r="W607" i="25"/>
  <c r="S609" i="25"/>
  <c r="T608" i="25"/>
  <c r="U608" i="25"/>
  <c r="V608" i="25"/>
  <c r="N655" i="36"/>
  <c r="M606" i="25" s="1"/>
  <c r="J657" i="36"/>
  <c r="I608" i="25" s="1"/>
  <c r="K656" i="36"/>
  <c r="J607" i="25" s="1"/>
  <c r="L656" i="36"/>
  <c r="K607" i="25" s="1"/>
  <c r="M656" i="36"/>
  <c r="L607" i="25" s="1"/>
  <c r="BD609" i="25" l="1"/>
  <c r="BE609" i="25"/>
  <c r="BB610" i="25"/>
  <c r="BC609" i="25"/>
  <c r="BF608" i="25"/>
  <c r="AY607" i="25"/>
  <c r="AZ607" i="25"/>
  <c r="AX607" i="25"/>
  <c r="AW608" i="25"/>
  <c r="BA606" i="25"/>
  <c r="AU607" i="25"/>
  <c r="AT607" i="25"/>
  <c r="AS607" i="25"/>
  <c r="AR608" i="25"/>
  <c r="AV606" i="25"/>
  <c r="AO607" i="25"/>
  <c r="AP607" i="25"/>
  <c r="AN607" i="25"/>
  <c r="AM608" i="25"/>
  <c r="AQ606" i="25"/>
  <c r="AL606" i="25"/>
  <c r="AH608" i="25"/>
  <c r="AI607" i="25"/>
  <c r="AJ607" i="25"/>
  <c r="AK607" i="25"/>
  <c r="AG606" i="25"/>
  <c r="AF607" i="25"/>
  <c r="AC608" i="25"/>
  <c r="AD607" i="25"/>
  <c r="AE607" i="25"/>
  <c r="AB606" i="25"/>
  <c r="AA607" i="25"/>
  <c r="Y607" i="25"/>
  <c r="Z607" i="25"/>
  <c r="X608" i="25"/>
  <c r="W608" i="25"/>
  <c r="U609" i="25"/>
  <c r="V609" i="25"/>
  <c r="S610" i="25"/>
  <c r="T609" i="25"/>
  <c r="N656" i="36"/>
  <c r="M607" i="25" s="1"/>
  <c r="J658" i="36"/>
  <c r="I609" i="25" s="1"/>
  <c r="K657" i="36"/>
  <c r="J608" i="25" s="1"/>
  <c r="M657" i="36"/>
  <c r="L608" i="25" s="1"/>
  <c r="L657" i="36"/>
  <c r="K608" i="25" s="1"/>
  <c r="BF609" i="25" l="1"/>
  <c r="BE610" i="25"/>
  <c r="BB611" i="25"/>
  <c r="BC610" i="25"/>
  <c r="BD610" i="25"/>
  <c r="BA607" i="25"/>
  <c r="AW609" i="25"/>
  <c r="AX608" i="25"/>
  <c r="AY608" i="25"/>
  <c r="AZ608" i="25"/>
  <c r="AV607" i="25"/>
  <c r="AT608" i="25"/>
  <c r="AU608" i="25"/>
  <c r="AR609" i="25"/>
  <c r="AS608" i="25"/>
  <c r="AQ607" i="25"/>
  <c r="AM609" i="25"/>
  <c r="AN608" i="25"/>
  <c r="AO608" i="25"/>
  <c r="AP608" i="25"/>
  <c r="AL607" i="25"/>
  <c r="AH609" i="25"/>
  <c r="AI608" i="25"/>
  <c r="AJ608" i="25"/>
  <c r="AK608" i="25"/>
  <c r="AE608" i="25"/>
  <c r="AC609" i="25"/>
  <c r="AD608" i="25"/>
  <c r="AF608" i="25"/>
  <c r="AG607" i="25"/>
  <c r="AB607" i="25"/>
  <c r="Z608" i="25"/>
  <c r="AA608" i="25"/>
  <c r="X609" i="25"/>
  <c r="Y608" i="25"/>
  <c r="W609" i="25"/>
  <c r="V610" i="25"/>
  <c r="U610" i="25"/>
  <c r="T610" i="25"/>
  <c r="S611" i="25"/>
  <c r="M658" i="36"/>
  <c r="L609" i="25" s="1"/>
  <c r="L658" i="36"/>
  <c r="K609" i="25" s="1"/>
  <c r="K658" i="36"/>
  <c r="J609" i="25" s="1"/>
  <c r="J659" i="36"/>
  <c r="I610" i="25" s="1"/>
  <c r="N657" i="36"/>
  <c r="M608" i="25" s="1"/>
  <c r="BD611" i="25" l="1"/>
  <c r="BB612" i="25"/>
  <c r="BC611" i="25"/>
  <c r="BE611" i="25"/>
  <c r="BF610" i="25"/>
  <c r="AW610" i="25"/>
  <c r="AX609" i="25"/>
  <c r="AY609" i="25"/>
  <c r="AZ609" i="25"/>
  <c r="BA608" i="25"/>
  <c r="AV608" i="25"/>
  <c r="AR610" i="25"/>
  <c r="AS609" i="25"/>
  <c r="AT609" i="25"/>
  <c r="AU609" i="25"/>
  <c r="AM610" i="25"/>
  <c r="AN609" i="25"/>
  <c r="AO609" i="25"/>
  <c r="AP609" i="25"/>
  <c r="AQ608" i="25"/>
  <c r="AL608" i="25"/>
  <c r="AK609" i="25"/>
  <c r="AH610" i="25"/>
  <c r="AI609" i="25"/>
  <c r="AJ609" i="25"/>
  <c r="AG608" i="25"/>
  <c r="AC610" i="25"/>
  <c r="AD609" i="25"/>
  <c r="AF609" i="25"/>
  <c r="AE609" i="25"/>
  <c r="AB608" i="25"/>
  <c r="X610" i="25"/>
  <c r="Y609" i="25"/>
  <c r="Z609" i="25"/>
  <c r="AA609" i="25"/>
  <c r="W610" i="25"/>
  <c r="U611" i="25"/>
  <c r="V611" i="25"/>
  <c r="S612" i="25"/>
  <c r="T611" i="25"/>
  <c r="N658" i="36"/>
  <c r="M609" i="25" s="1"/>
  <c r="L659" i="36"/>
  <c r="K610" i="25" s="1"/>
  <c r="M659" i="36"/>
  <c r="L610" i="25" s="1"/>
  <c r="J660" i="36"/>
  <c r="I611" i="25" s="1"/>
  <c r="K659" i="36"/>
  <c r="J610" i="25" s="1"/>
  <c r="BF611" i="25" l="1"/>
  <c r="BB613" i="25"/>
  <c r="BC612" i="25"/>
  <c r="BE612" i="25"/>
  <c r="BD612" i="25"/>
  <c r="AZ610" i="25"/>
  <c r="AW611" i="25"/>
  <c r="AX610" i="25"/>
  <c r="AY610" i="25"/>
  <c r="BA609" i="25"/>
  <c r="AR611" i="25"/>
  <c r="AS610" i="25"/>
  <c r="AU610" i="25"/>
  <c r="AT610" i="25"/>
  <c r="AV609" i="25"/>
  <c r="AQ609" i="25"/>
  <c r="AP610" i="25"/>
  <c r="AM611" i="25"/>
  <c r="AN610" i="25"/>
  <c r="AO610" i="25"/>
  <c r="AJ610" i="25"/>
  <c r="AH611" i="25"/>
  <c r="AI610" i="25"/>
  <c r="AK610" i="25"/>
  <c r="AL609" i="25"/>
  <c r="AG609" i="25"/>
  <c r="AE610" i="25"/>
  <c r="AF610" i="25"/>
  <c r="AD610" i="25"/>
  <c r="AC611" i="25"/>
  <c r="AB609" i="25"/>
  <c r="X611" i="25"/>
  <c r="Y610" i="25"/>
  <c r="Z610" i="25"/>
  <c r="AA610" i="25"/>
  <c r="W611" i="25"/>
  <c r="S613" i="25"/>
  <c r="T612" i="25"/>
  <c r="V612" i="25"/>
  <c r="U612" i="25"/>
  <c r="N659" i="36"/>
  <c r="M610" i="25" s="1"/>
  <c r="J661" i="36"/>
  <c r="I612" i="25" s="1"/>
  <c r="K660" i="36"/>
  <c r="J611" i="25" s="1"/>
  <c r="L660" i="36"/>
  <c r="K611" i="25" s="1"/>
  <c r="M660" i="36"/>
  <c r="L611" i="25" s="1"/>
  <c r="BD613" i="25" l="1"/>
  <c r="BE613" i="25"/>
  <c r="BC613" i="25"/>
  <c r="BB614" i="25"/>
  <c r="BF612" i="25"/>
  <c r="AY611" i="25"/>
  <c r="AZ611" i="25"/>
  <c r="AX611" i="25"/>
  <c r="AW612" i="25"/>
  <c r="BA610" i="25"/>
  <c r="AU611" i="25"/>
  <c r="AT611" i="25"/>
  <c r="AR612" i="25"/>
  <c r="AS611" i="25"/>
  <c r="AV610" i="25"/>
  <c r="AO611" i="25"/>
  <c r="AP611" i="25"/>
  <c r="AN611" i="25"/>
  <c r="AM612" i="25"/>
  <c r="AQ610" i="25"/>
  <c r="AL610" i="25"/>
  <c r="AH612" i="25"/>
  <c r="AI611" i="25"/>
  <c r="AJ611" i="25"/>
  <c r="AK611" i="25"/>
  <c r="AG610" i="25"/>
  <c r="AF611" i="25"/>
  <c r="AC612" i="25"/>
  <c r="AD611" i="25"/>
  <c r="AE611" i="25"/>
  <c r="AB610" i="25"/>
  <c r="AA611" i="25"/>
  <c r="X612" i="25"/>
  <c r="Y611" i="25"/>
  <c r="Z611" i="25"/>
  <c r="W612" i="25"/>
  <c r="V613" i="25"/>
  <c r="S614" i="25"/>
  <c r="T613" i="25"/>
  <c r="U613" i="25"/>
  <c r="N660" i="36"/>
  <c r="M611" i="25" s="1"/>
  <c r="J662" i="36"/>
  <c r="I613" i="25" s="1"/>
  <c r="K661" i="36"/>
  <c r="J612" i="25" s="1"/>
  <c r="M661" i="36"/>
  <c r="L612" i="25" s="1"/>
  <c r="L661" i="36"/>
  <c r="K612" i="25" s="1"/>
  <c r="BF613" i="25" l="1"/>
  <c r="BE614" i="25"/>
  <c r="BB615" i="25"/>
  <c r="BC614" i="25"/>
  <c r="BD614" i="25"/>
  <c r="BA611" i="25"/>
  <c r="AW613" i="25"/>
  <c r="AX612" i="25"/>
  <c r="AY612" i="25"/>
  <c r="AZ612" i="25"/>
  <c r="AV611" i="25"/>
  <c r="AT612" i="25"/>
  <c r="AU612" i="25"/>
  <c r="AR613" i="25"/>
  <c r="AS612" i="25"/>
  <c r="AQ611" i="25"/>
  <c r="AM613" i="25"/>
  <c r="AN612" i="25"/>
  <c r="AO612" i="25"/>
  <c r="AP612" i="25"/>
  <c r="AL611" i="25"/>
  <c r="AI612" i="25"/>
  <c r="AJ612" i="25"/>
  <c r="AK612" i="25"/>
  <c r="AH613" i="25"/>
  <c r="AE612" i="25"/>
  <c r="AC613" i="25"/>
  <c r="AD612" i="25"/>
  <c r="AF612" i="25"/>
  <c r="AG611" i="25"/>
  <c r="Z612" i="25"/>
  <c r="AA612" i="25"/>
  <c r="Y612" i="25"/>
  <c r="X613" i="25"/>
  <c r="AB611" i="25"/>
  <c r="V614" i="25"/>
  <c r="S615" i="25"/>
  <c r="T614" i="25"/>
  <c r="U614" i="25"/>
  <c r="W613" i="25"/>
  <c r="M662" i="36"/>
  <c r="L613" i="25" s="1"/>
  <c r="L662" i="36"/>
  <c r="K613" i="25" s="1"/>
  <c r="J663" i="36"/>
  <c r="I614" i="25" s="1"/>
  <c r="K662" i="36"/>
  <c r="J613" i="25" s="1"/>
  <c r="N661" i="36"/>
  <c r="M612" i="25" s="1"/>
  <c r="BD615" i="25" l="1"/>
  <c r="BB616" i="25"/>
  <c r="BC615" i="25"/>
  <c r="BE615" i="25"/>
  <c r="BF614" i="25"/>
  <c r="AW614" i="25"/>
  <c r="AX613" i="25"/>
  <c r="AY613" i="25"/>
  <c r="AZ613" i="25"/>
  <c r="BA612" i="25"/>
  <c r="AV612" i="25"/>
  <c r="AR614" i="25"/>
  <c r="AS613" i="25"/>
  <c r="AT613" i="25"/>
  <c r="AU613" i="25"/>
  <c r="AM614" i="25"/>
  <c r="AN613" i="25"/>
  <c r="AO613" i="25"/>
  <c r="AP613" i="25"/>
  <c r="AQ612" i="25"/>
  <c r="AL612" i="25"/>
  <c r="AK613" i="25"/>
  <c r="AI613" i="25"/>
  <c r="AJ613" i="25"/>
  <c r="AH614" i="25"/>
  <c r="AG612" i="25"/>
  <c r="AC614" i="25"/>
  <c r="AD613" i="25"/>
  <c r="AF613" i="25"/>
  <c r="AE613" i="25"/>
  <c r="AB612" i="25"/>
  <c r="X614" i="25"/>
  <c r="Y613" i="25"/>
  <c r="Z613" i="25"/>
  <c r="AA613" i="25"/>
  <c r="U615" i="25"/>
  <c r="S616" i="25"/>
  <c r="V615" i="25"/>
  <c r="T615" i="25"/>
  <c r="W614" i="25"/>
  <c r="N662" i="36"/>
  <c r="M613" i="25" s="1"/>
  <c r="L663" i="36"/>
  <c r="K614" i="25" s="1"/>
  <c r="M663" i="36"/>
  <c r="L614" i="25" s="1"/>
  <c r="J664" i="36"/>
  <c r="I615" i="25" s="1"/>
  <c r="K663" i="36"/>
  <c r="J614" i="25" s="1"/>
  <c r="BF615" i="25" l="1"/>
  <c r="BB617" i="25"/>
  <c r="BC616" i="25"/>
  <c r="BE616" i="25"/>
  <c r="BD616" i="25"/>
  <c r="BA613" i="25"/>
  <c r="AZ614" i="25"/>
  <c r="AW615" i="25"/>
  <c r="AX614" i="25"/>
  <c r="AY614" i="25"/>
  <c r="AR615" i="25"/>
  <c r="AS614" i="25"/>
  <c r="AU614" i="25"/>
  <c r="AT614" i="25"/>
  <c r="AV613" i="25"/>
  <c r="AQ613" i="25"/>
  <c r="AP614" i="25"/>
  <c r="AM615" i="25"/>
  <c r="AN614" i="25"/>
  <c r="AO614" i="25"/>
  <c r="AL613" i="25"/>
  <c r="AJ614" i="25"/>
  <c r="AI614" i="25"/>
  <c r="AK614" i="25"/>
  <c r="AH615" i="25"/>
  <c r="AE614" i="25"/>
  <c r="AF614" i="25"/>
  <c r="AC615" i="25"/>
  <c r="AD614" i="25"/>
  <c r="AG613" i="25"/>
  <c r="AB613" i="25"/>
  <c r="X615" i="25"/>
  <c r="Y614" i="25"/>
  <c r="Z614" i="25"/>
  <c r="AA614" i="25"/>
  <c r="W615" i="25"/>
  <c r="S617" i="25"/>
  <c r="T616" i="25"/>
  <c r="U616" i="25"/>
  <c r="V616" i="25"/>
  <c r="N663" i="36"/>
  <c r="M614" i="25" s="1"/>
  <c r="J665" i="36"/>
  <c r="I616" i="25" s="1"/>
  <c r="K664" i="36"/>
  <c r="J615" i="25" s="1"/>
  <c r="L664" i="36"/>
  <c r="K615" i="25" s="1"/>
  <c r="M664" i="36"/>
  <c r="L615" i="25" s="1"/>
  <c r="BD617" i="25" l="1"/>
  <c r="BE617" i="25"/>
  <c r="BB618" i="25"/>
  <c r="BC617" i="25"/>
  <c r="BF616" i="25"/>
  <c r="AY615" i="25"/>
  <c r="AZ615" i="25"/>
  <c r="AW616" i="25"/>
  <c r="AX615" i="25"/>
  <c r="BA614" i="25"/>
  <c r="AU615" i="25"/>
  <c r="AT615" i="25"/>
  <c r="AS615" i="25"/>
  <c r="AR616" i="25"/>
  <c r="AV614" i="25"/>
  <c r="AO615" i="25"/>
  <c r="AP615" i="25"/>
  <c r="AM616" i="25"/>
  <c r="AN615" i="25"/>
  <c r="AQ614" i="25"/>
  <c r="AL614" i="25"/>
  <c r="AH616" i="25"/>
  <c r="AI615" i="25"/>
  <c r="AJ615" i="25"/>
  <c r="AK615" i="25"/>
  <c r="AG614" i="25"/>
  <c r="AF615" i="25"/>
  <c r="AC616" i="25"/>
  <c r="AD615" i="25"/>
  <c r="AE615" i="25"/>
  <c r="AB614" i="25"/>
  <c r="AA615" i="25"/>
  <c r="Y615" i="25"/>
  <c r="X616" i="25"/>
  <c r="Z615" i="25"/>
  <c r="W616" i="25"/>
  <c r="S618" i="25"/>
  <c r="T617" i="25"/>
  <c r="U617" i="25"/>
  <c r="V617" i="25"/>
  <c r="N664" i="36"/>
  <c r="M615" i="25" s="1"/>
  <c r="J666" i="36"/>
  <c r="I617" i="25" s="1"/>
  <c r="K665" i="36"/>
  <c r="J616" i="25" s="1"/>
  <c r="M665" i="36"/>
  <c r="L616" i="25" s="1"/>
  <c r="L665" i="36"/>
  <c r="K616" i="25" s="1"/>
  <c r="BF617" i="25" l="1"/>
  <c r="BE618" i="25"/>
  <c r="BB619" i="25"/>
  <c r="BC618" i="25"/>
  <c r="BD618" i="25"/>
  <c r="BA615" i="25"/>
  <c r="AW617" i="25"/>
  <c r="AX616" i="25"/>
  <c r="AY616" i="25"/>
  <c r="AZ616" i="25"/>
  <c r="AV615" i="25"/>
  <c r="AT616" i="25"/>
  <c r="AU616" i="25"/>
  <c r="AR617" i="25"/>
  <c r="AS616" i="25"/>
  <c r="AQ615" i="25"/>
  <c r="AM617" i="25"/>
  <c r="AN616" i="25"/>
  <c r="AO616" i="25"/>
  <c r="AP616" i="25"/>
  <c r="AJ616" i="25"/>
  <c r="AK616" i="25"/>
  <c r="AH617" i="25"/>
  <c r="AI616" i="25"/>
  <c r="AL615" i="25"/>
  <c r="AE616" i="25"/>
  <c r="AC617" i="25"/>
  <c r="AD616" i="25"/>
  <c r="AF616" i="25"/>
  <c r="AG615" i="25"/>
  <c r="Z616" i="25"/>
  <c r="AA616" i="25"/>
  <c r="X617" i="25"/>
  <c r="Y616" i="25"/>
  <c r="AB615" i="25"/>
  <c r="W617" i="25"/>
  <c r="V618" i="25"/>
  <c r="S619" i="25"/>
  <c r="T618" i="25"/>
  <c r="U618" i="25"/>
  <c r="M666" i="36"/>
  <c r="L617" i="25" s="1"/>
  <c r="L666" i="36"/>
  <c r="K617" i="25" s="1"/>
  <c r="K666" i="36"/>
  <c r="J617" i="25" s="1"/>
  <c r="J667" i="36"/>
  <c r="I618" i="25" s="1"/>
  <c r="N665" i="36"/>
  <c r="M616" i="25" s="1"/>
  <c r="BD619" i="25" l="1"/>
  <c r="BB620" i="25"/>
  <c r="BC619" i="25"/>
  <c r="BE619" i="25"/>
  <c r="BF618" i="25"/>
  <c r="AW618" i="25"/>
  <c r="AX617" i="25"/>
  <c r="AY617" i="25"/>
  <c r="AZ617" i="25"/>
  <c r="BA616" i="25"/>
  <c r="AV616" i="25"/>
  <c r="AR618" i="25"/>
  <c r="AS617" i="25"/>
  <c r="AT617" i="25"/>
  <c r="AU617" i="25"/>
  <c r="AQ616" i="25"/>
  <c r="AM618" i="25"/>
  <c r="AN617" i="25"/>
  <c r="AO617" i="25"/>
  <c r="AP617" i="25"/>
  <c r="AL616" i="25"/>
  <c r="AK617" i="25"/>
  <c r="AJ617" i="25"/>
  <c r="AH618" i="25"/>
  <c r="AI617" i="25"/>
  <c r="AG616" i="25"/>
  <c r="AC618" i="25"/>
  <c r="AD617" i="25"/>
  <c r="AF617" i="25"/>
  <c r="AE617" i="25"/>
  <c r="AB616" i="25"/>
  <c r="X618" i="25"/>
  <c r="Y617" i="25"/>
  <c r="Z617" i="25"/>
  <c r="AA617" i="25"/>
  <c r="U619" i="25"/>
  <c r="S620" i="25"/>
  <c r="T619" i="25"/>
  <c r="V619" i="25"/>
  <c r="W618" i="25"/>
  <c r="N666" i="36"/>
  <c r="M617" i="25" s="1"/>
  <c r="L667" i="36"/>
  <c r="K618" i="25" s="1"/>
  <c r="M667" i="36"/>
  <c r="L618" i="25" s="1"/>
  <c r="J668" i="36"/>
  <c r="I619" i="25" s="1"/>
  <c r="K667" i="36"/>
  <c r="J618" i="25" s="1"/>
  <c r="BF619" i="25" l="1"/>
  <c r="BB621" i="25"/>
  <c r="BC620" i="25"/>
  <c r="BE620" i="25"/>
  <c r="BD620" i="25"/>
  <c r="AZ618" i="25"/>
  <c r="AW619" i="25"/>
  <c r="AX618" i="25"/>
  <c r="AY618" i="25"/>
  <c r="BA617" i="25"/>
  <c r="AR619" i="25"/>
  <c r="AS618" i="25"/>
  <c r="AU618" i="25"/>
  <c r="AT618" i="25"/>
  <c r="AV617" i="25"/>
  <c r="AQ617" i="25"/>
  <c r="AP618" i="25"/>
  <c r="AM619" i="25"/>
  <c r="AN618" i="25"/>
  <c r="AO618" i="25"/>
  <c r="AL617" i="25"/>
  <c r="AJ618" i="25"/>
  <c r="AK618" i="25"/>
  <c r="AH619" i="25"/>
  <c r="AI618" i="25"/>
  <c r="AE618" i="25"/>
  <c r="AF618" i="25"/>
  <c r="AC619" i="25"/>
  <c r="AD618" i="25"/>
  <c r="AG617" i="25"/>
  <c r="AB617" i="25"/>
  <c r="X619" i="25"/>
  <c r="Y618" i="25"/>
  <c r="Z618" i="25"/>
  <c r="AA618" i="25"/>
  <c r="W619" i="25"/>
  <c r="S621" i="25"/>
  <c r="T620" i="25"/>
  <c r="U620" i="25"/>
  <c r="V620" i="25"/>
  <c r="N667" i="36"/>
  <c r="M618" i="25" s="1"/>
  <c r="J669" i="36"/>
  <c r="I620" i="25" s="1"/>
  <c r="K668" i="36"/>
  <c r="J619" i="25" s="1"/>
  <c r="L668" i="36"/>
  <c r="K619" i="25" s="1"/>
  <c r="M668" i="36"/>
  <c r="L619" i="25" s="1"/>
  <c r="BD621" i="25" l="1"/>
  <c r="BE621" i="25"/>
  <c r="BC621" i="25"/>
  <c r="BB622" i="25"/>
  <c r="BF620" i="25"/>
  <c r="AY619" i="25"/>
  <c r="AZ619" i="25"/>
  <c r="AX619" i="25"/>
  <c r="AW620" i="25"/>
  <c r="BA618" i="25"/>
  <c r="AU619" i="25"/>
  <c r="AT619" i="25"/>
  <c r="AR620" i="25"/>
  <c r="AS619" i="25"/>
  <c r="AV618" i="25"/>
  <c r="AO619" i="25"/>
  <c r="AP619" i="25"/>
  <c r="AN619" i="25"/>
  <c r="AM620" i="25"/>
  <c r="AQ618" i="25"/>
  <c r="AL618" i="25"/>
  <c r="AH620" i="25"/>
  <c r="AI619" i="25"/>
  <c r="AK619" i="25"/>
  <c r="AJ619" i="25"/>
  <c r="AG618" i="25"/>
  <c r="AF619" i="25"/>
  <c r="AC620" i="25"/>
  <c r="AD619" i="25"/>
  <c r="AE619" i="25"/>
  <c r="AB618" i="25"/>
  <c r="AA619" i="25"/>
  <c r="X620" i="25"/>
  <c r="Y619" i="25"/>
  <c r="Z619" i="25"/>
  <c r="W620" i="25"/>
  <c r="T621" i="25"/>
  <c r="U621" i="25"/>
  <c r="V621" i="25"/>
  <c r="S622" i="25"/>
  <c r="N668" i="36"/>
  <c r="M619" i="25" s="1"/>
  <c r="J670" i="36"/>
  <c r="I621" i="25" s="1"/>
  <c r="K669" i="36"/>
  <c r="J620" i="25" s="1"/>
  <c r="M669" i="36"/>
  <c r="L620" i="25" s="1"/>
  <c r="L669" i="36"/>
  <c r="K620" i="25" s="1"/>
  <c r="BF621" i="25" l="1"/>
  <c r="BE622" i="25"/>
  <c r="BB623" i="25"/>
  <c r="BC622" i="25"/>
  <c r="BD622" i="25"/>
  <c r="BA619" i="25"/>
  <c r="AW621" i="25"/>
  <c r="AX620" i="25"/>
  <c r="AY620" i="25"/>
  <c r="AZ620" i="25"/>
  <c r="AV619" i="25"/>
  <c r="AT620" i="25"/>
  <c r="AU620" i="25"/>
  <c r="AR621" i="25"/>
  <c r="AS620" i="25"/>
  <c r="AQ619" i="25"/>
  <c r="AM621" i="25"/>
  <c r="AN620" i="25"/>
  <c r="AO620" i="25"/>
  <c r="AP620" i="25"/>
  <c r="AL619" i="25"/>
  <c r="AK620" i="25"/>
  <c r="AH621" i="25"/>
  <c r="AI620" i="25"/>
  <c r="AJ620" i="25"/>
  <c r="AE620" i="25"/>
  <c r="AC621" i="25"/>
  <c r="AD620" i="25"/>
  <c r="AF620" i="25"/>
  <c r="AG619" i="25"/>
  <c r="Z620" i="25"/>
  <c r="AA620" i="25"/>
  <c r="Y620" i="25"/>
  <c r="X621" i="25"/>
  <c r="AB619" i="25"/>
  <c r="W621" i="25"/>
  <c r="V622" i="25"/>
  <c r="T622" i="25"/>
  <c r="U622" i="25"/>
  <c r="S623" i="25"/>
  <c r="M670" i="36"/>
  <c r="L621" i="25" s="1"/>
  <c r="L670" i="36"/>
  <c r="K621" i="25" s="1"/>
  <c r="K670" i="36"/>
  <c r="J621" i="25" s="1"/>
  <c r="J671" i="36"/>
  <c r="I622" i="25" s="1"/>
  <c r="N669" i="36"/>
  <c r="M620" i="25" s="1"/>
  <c r="BD623" i="25" l="1"/>
  <c r="BB624" i="25"/>
  <c r="BC623" i="25"/>
  <c r="BE623" i="25"/>
  <c r="BF622" i="25"/>
  <c r="BA620" i="25"/>
  <c r="AW622" i="25"/>
  <c r="AX621" i="25"/>
  <c r="AY621" i="25"/>
  <c r="AZ621" i="25"/>
  <c r="AV620" i="25"/>
  <c r="AR622" i="25"/>
  <c r="AS621" i="25"/>
  <c r="AT621" i="25"/>
  <c r="AU621" i="25"/>
  <c r="AM622" i="25"/>
  <c r="AN621" i="25"/>
  <c r="AO621" i="25"/>
  <c r="AP621" i="25"/>
  <c r="AQ620" i="25"/>
  <c r="AK621" i="25"/>
  <c r="AH622" i="25"/>
  <c r="AI621" i="25"/>
  <c r="AJ621" i="25"/>
  <c r="AL620" i="25"/>
  <c r="AG620" i="25"/>
  <c r="AC622" i="25"/>
  <c r="AD621" i="25"/>
  <c r="AF621" i="25"/>
  <c r="AE621" i="25"/>
  <c r="AB620" i="25"/>
  <c r="X622" i="25"/>
  <c r="Y621" i="25"/>
  <c r="Z621" i="25"/>
  <c r="AA621" i="25"/>
  <c r="W622" i="25"/>
  <c r="U623" i="25"/>
  <c r="T623" i="25"/>
  <c r="V623" i="25"/>
  <c r="S624" i="25"/>
  <c r="N670" i="36"/>
  <c r="M621" i="25" s="1"/>
  <c r="L671" i="36"/>
  <c r="K622" i="25" s="1"/>
  <c r="M671" i="36"/>
  <c r="L622" i="25" s="1"/>
  <c r="J672" i="36"/>
  <c r="I623" i="25" s="1"/>
  <c r="K671" i="36"/>
  <c r="J622" i="25" s="1"/>
  <c r="BF623" i="25" l="1"/>
  <c r="BB625" i="25"/>
  <c r="BC624" i="25"/>
  <c r="BE624" i="25"/>
  <c r="BD624" i="25"/>
  <c r="AZ622" i="25"/>
  <c r="AW623" i="25"/>
  <c r="AX622" i="25"/>
  <c r="AY622" i="25"/>
  <c r="BA621" i="25"/>
  <c r="AR623" i="25"/>
  <c r="AS622" i="25"/>
  <c r="AU622" i="25"/>
  <c r="AT622" i="25"/>
  <c r="AV621" i="25"/>
  <c r="AQ621" i="25"/>
  <c r="AP622" i="25"/>
  <c r="AM623" i="25"/>
  <c r="AN622" i="25"/>
  <c r="AO622" i="25"/>
  <c r="AJ622" i="25"/>
  <c r="AH623" i="25"/>
  <c r="AI622" i="25"/>
  <c r="AK622" i="25"/>
  <c r="AL621" i="25"/>
  <c r="AE622" i="25"/>
  <c r="AF622" i="25"/>
  <c r="AD622" i="25"/>
  <c r="AC623" i="25"/>
  <c r="AG621" i="25"/>
  <c r="AB621" i="25"/>
  <c r="X623" i="25"/>
  <c r="Y622" i="25"/>
  <c r="Z622" i="25"/>
  <c r="AA622" i="25"/>
  <c r="W623" i="25"/>
  <c r="S625" i="25"/>
  <c r="T624" i="25"/>
  <c r="U624" i="25"/>
  <c r="V624" i="25"/>
  <c r="N671" i="36"/>
  <c r="M622" i="25" s="1"/>
  <c r="J673" i="36"/>
  <c r="I624" i="25" s="1"/>
  <c r="K672" i="36"/>
  <c r="J623" i="25" s="1"/>
  <c r="L672" i="36"/>
  <c r="K623" i="25" s="1"/>
  <c r="M672" i="36"/>
  <c r="L623" i="25" s="1"/>
  <c r="BD625" i="25" l="1"/>
  <c r="BE625" i="25"/>
  <c r="BB626" i="25"/>
  <c r="BC625" i="25"/>
  <c r="BF624" i="25"/>
  <c r="AY623" i="25"/>
  <c r="AZ623" i="25"/>
  <c r="AX623" i="25"/>
  <c r="AW624" i="25"/>
  <c r="BA622" i="25"/>
  <c r="AU623" i="25"/>
  <c r="AT623" i="25"/>
  <c r="AS623" i="25"/>
  <c r="AR624" i="25"/>
  <c r="AV622" i="25"/>
  <c r="AO623" i="25"/>
  <c r="AP623" i="25"/>
  <c r="AN623" i="25"/>
  <c r="AM624" i="25"/>
  <c r="AQ622" i="25"/>
  <c r="AL622" i="25"/>
  <c r="AH624" i="25"/>
  <c r="AI623" i="25"/>
  <c r="AJ623" i="25"/>
  <c r="AK623" i="25"/>
  <c r="AG622" i="25"/>
  <c r="AF623" i="25"/>
  <c r="AC624" i="25"/>
  <c r="AD623" i="25"/>
  <c r="AE623" i="25"/>
  <c r="AB622" i="25"/>
  <c r="AA623" i="25"/>
  <c r="Y623" i="25"/>
  <c r="Z623" i="25"/>
  <c r="X624" i="25"/>
  <c r="U625" i="25"/>
  <c r="V625" i="25"/>
  <c r="T625" i="25"/>
  <c r="S626" i="25"/>
  <c r="W624" i="25"/>
  <c r="N672" i="36"/>
  <c r="M623" i="25" s="1"/>
  <c r="J674" i="36"/>
  <c r="I625" i="25" s="1"/>
  <c r="K673" i="36"/>
  <c r="J624" i="25" s="1"/>
  <c r="M673" i="36"/>
  <c r="L624" i="25" s="1"/>
  <c r="L673" i="36"/>
  <c r="K624" i="25" s="1"/>
  <c r="BF625" i="25" l="1"/>
  <c r="BE626" i="25"/>
  <c r="BB627" i="25"/>
  <c r="BC626" i="25"/>
  <c r="BD626" i="25"/>
  <c r="BA623" i="25"/>
  <c r="AW625" i="25"/>
  <c r="AX624" i="25"/>
  <c r="AY624" i="25"/>
  <c r="AZ624" i="25"/>
  <c r="AV623" i="25"/>
  <c r="AT624" i="25"/>
  <c r="AU624" i="25"/>
  <c r="AR625" i="25"/>
  <c r="AS624" i="25"/>
  <c r="AQ623" i="25"/>
  <c r="AM625" i="25"/>
  <c r="AN624" i="25"/>
  <c r="AO624" i="25"/>
  <c r="AP624" i="25"/>
  <c r="AL623" i="25"/>
  <c r="AH625" i="25"/>
  <c r="AI624" i="25"/>
  <c r="AJ624" i="25"/>
  <c r="AK624" i="25"/>
  <c r="AE624" i="25"/>
  <c r="AC625" i="25"/>
  <c r="AD624" i="25"/>
  <c r="AF624" i="25"/>
  <c r="AG623" i="25"/>
  <c r="AB623" i="25"/>
  <c r="Z624" i="25"/>
  <c r="AA624" i="25"/>
  <c r="X625" i="25"/>
  <c r="Y624" i="25"/>
  <c r="W625" i="25"/>
  <c r="V626" i="25"/>
  <c r="U626" i="25"/>
  <c r="S627" i="25"/>
  <c r="T626" i="25"/>
  <c r="N673" i="36"/>
  <c r="M624" i="25" s="1"/>
  <c r="M674" i="36"/>
  <c r="L625" i="25" s="1"/>
  <c r="L674" i="36"/>
  <c r="K625" i="25" s="1"/>
  <c r="J675" i="36"/>
  <c r="I626" i="25" s="1"/>
  <c r="K674" i="36"/>
  <c r="J625" i="25" s="1"/>
  <c r="BD627" i="25" l="1"/>
  <c r="BB628" i="25"/>
  <c r="BC627" i="25"/>
  <c r="BE627" i="25"/>
  <c r="BF626" i="25"/>
  <c r="BA624" i="25"/>
  <c r="AW626" i="25"/>
  <c r="AX625" i="25"/>
  <c r="AY625" i="25"/>
  <c r="AZ625" i="25"/>
  <c r="AV624" i="25"/>
  <c r="AR626" i="25"/>
  <c r="AS625" i="25"/>
  <c r="AT625" i="25"/>
  <c r="AU625" i="25"/>
  <c r="AQ624" i="25"/>
  <c r="AP625" i="25"/>
  <c r="AM626" i="25"/>
  <c r="AN625" i="25"/>
  <c r="AO625" i="25"/>
  <c r="AL624" i="25"/>
  <c r="AK625" i="25"/>
  <c r="AH626" i="25"/>
  <c r="AI625" i="25"/>
  <c r="AJ625" i="25"/>
  <c r="AG624" i="25"/>
  <c r="AC626" i="25"/>
  <c r="AD625" i="25"/>
  <c r="AF625" i="25"/>
  <c r="AE625" i="25"/>
  <c r="AB624" i="25"/>
  <c r="X626" i="25"/>
  <c r="Y625" i="25"/>
  <c r="Z625" i="25"/>
  <c r="AA625" i="25"/>
  <c r="U627" i="25"/>
  <c r="V627" i="25"/>
  <c r="T627" i="25"/>
  <c r="S628" i="25"/>
  <c r="W626" i="25"/>
  <c r="L675" i="36"/>
  <c r="K626" i="25" s="1"/>
  <c r="M675" i="36"/>
  <c r="L626" i="25" s="1"/>
  <c r="J676" i="36"/>
  <c r="I627" i="25" s="1"/>
  <c r="K675" i="36"/>
  <c r="J626" i="25" s="1"/>
  <c r="N674" i="36"/>
  <c r="M625" i="25" s="1"/>
  <c r="BF627" i="25" l="1"/>
  <c r="BB629" i="25"/>
  <c r="BC628" i="25"/>
  <c r="BE628" i="25"/>
  <c r="BD628" i="25"/>
  <c r="AZ626" i="25"/>
  <c r="AW627" i="25"/>
  <c r="AX626" i="25"/>
  <c r="AY626" i="25"/>
  <c r="BA625" i="25"/>
  <c r="AV625" i="25"/>
  <c r="AR627" i="25"/>
  <c r="AS626" i="25"/>
  <c r="AU626" i="25"/>
  <c r="AT626" i="25"/>
  <c r="AO626" i="25"/>
  <c r="AM627" i="25"/>
  <c r="AN626" i="25"/>
  <c r="AP626" i="25"/>
  <c r="AQ625" i="25"/>
  <c r="AJ626" i="25"/>
  <c r="AH627" i="25"/>
  <c r="AI626" i="25"/>
  <c r="AK626" i="25"/>
  <c r="AL625" i="25"/>
  <c r="AE626" i="25"/>
  <c r="AF626" i="25"/>
  <c r="AD626" i="25"/>
  <c r="AC627" i="25"/>
  <c r="AG625" i="25"/>
  <c r="AB625" i="25"/>
  <c r="X627" i="25"/>
  <c r="Y626" i="25"/>
  <c r="Z626" i="25"/>
  <c r="AA626" i="25"/>
  <c r="W627" i="25"/>
  <c r="S629" i="25"/>
  <c r="T628" i="25"/>
  <c r="V628" i="25"/>
  <c r="U628" i="25"/>
  <c r="N675" i="36"/>
  <c r="M626" i="25" s="1"/>
  <c r="J677" i="36"/>
  <c r="I628" i="25" s="1"/>
  <c r="K676" i="36"/>
  <c r="J627" i="25" s="1"/>
  <c r="L676" i="36"/>
  <c r="K627" i="25" s="1"/>
  <c r="M676" i="36"/>
  <c r="L627" i="25" s="1"/>
  <c r="BD629" i="25" l="1"/>
  <c r="BE629" i="25"/>
  <c r="BC629" i="25"/>
  <c r="BB630" i="25"/>
  <c r="BF628" i="25"/>
  <c r="AY627" i="25"/>
  <c r="AZ627" i="25"/>
  <c r="AX627" i="25"/>
  <c r="AW628" i="25"/>
  <c r="BA626" i="25"/>
  <c r="AU627" i="25"/>
  <c r="AT627" i="25"/>
  <c r="AR628" i="25"/>
  <c r="AS627" i="25"/>
  <c r="AV626" i="25"/>
  <c r="AQ626" i="25"/>
  <c r="AM628" i="25"/>
  <c r="AN627" i="25"/>
  <c r="AO627" i="25"/>
  <c r="AP627" i="25"/>
  <c r="AL626" i="25"/>
  <c r="AH628" i="25"/>
  <c r="AI627" i="25"/>
  <c r="AJ627" i="25"/>
  <c r="AK627" i="25"/>
  <c r="AG626" i="25"/>
  <c r="AF627" i="25"/>
  <c r="AC628" i="25"/>
  <c r="AD627" i="25"/>
  <c r="AE627" i="25"/>
  <c r="AB626" i="25"/>
  <c r="AA627" i="25"/>
  <c r="X628" i="25"/>
  <c r="Y627" i="25"/>
  <c r="Z627" i="25"/>
  <c r="V629" i="25"/>
  <c r="S630" i="25"/>
  <c r="T629" i="25"/>
  <c r="U629" i="25"/>
  <c r="W628" i="25"/>
  <c r="J678" i="36"/>
  <c r="I629" i="25" s="1"/>
  <c r="K677" i="36"/>
  <c r="J628" i="25" s="1"/>
  <c r="M677" i="36"/>
  <c r="L628" i="25" s="1"/>
  <c r="L677" i="36"/>
  <c r="K628" i="25" s="1"/>
  <c r="N676" i="36"/>
  <c r="M627" i="25" s="1"/>
  <c r="BF629" i="25" l="1"/>
  <c r="BE630" i="25"/>
  <c r="BB631" i="25"/>
  <c r="BC630" i="25"/>
  <c r="BD630" i="25"/>
  <c r="BA627" i="25"/>
  <c r="AW629" i="25"/>
  <c r="AX628" i="25"/>
  <c r="AY628" i="25"/>
  <c r="AZ628" i="25"/>
  <c r="AV627" i="25"/>
  <c r="AT628" i="25"/>
  <c r="AU628" i="25"/>
  <c r="AR629" i="25"/>
  <c r="AS628" i="25"/>
  <c r="AQ627" i="25"/>
  <c r="AN628" i="25"/>
  <c r="AO628" i="25"/>
  <c r="AP628" i="25"/>
  <c r="AM629" i="25"/>
  <c r="AL627" i="25"/>
  <c r="AI628" i="25"/>
  <c r="AJ628" i="25"/>
  <c r="AK628" i="25"/>
  <c r="AH629" i="25"/>
  <c r="AG627" i="25"/>
  <c r="AE628" i="25"/>
  <c r="AC629" i="25"/>
  <c r="AD628" i="25"/>
  <c r="AF628" i="25"/>
  <c r="Z628" i="25"/>
  <c r="AA628" i="25"/>
  <c r="Y628" i="25"/>
  <c r="X629" i="25"/>
  <c r="AB627" i="25"/>
  <c r="V630" i="25"/>
  <c r="S631" i="25"/>
  <c r="T630" i="25"/>
  <c r="U630" i="25"/>
  <c r="W629" i="25"/>
  <c r="M678" i="36"/>
  <c r="L629" i="25" s="1"/>
  <c r="L678" i="36"/>
  <c r="K629" i="25" s="1"/>
  <c r="J679" i="36"/>
  <c r="I630" i="25" s="1"/>
  <c r="K678" i="36"/>
  <c r="J629" i="25" s="1"/>
  <c r="N677" i="36"/>
  <c r="M628" i="25" s="1"/>
  <c r="BD631" i="25" l="1"/>
  <c r="BB632" i="25"/>
  <c r="BC631" i="25"/>
  <c r="BE631" i="25"/>
  <c r="BF630" i="25"/>
  <c r="AW630" i="25"/>
  <c r="AX629" i="25"/>
  <c r="AY629" i="25"/>
  <c r="AZ629" i="25"/>
  <c r="BA628" i="25"/>
  <c r="AV628" i="25"/>
  <c r="AR630" i="25"/>
  <c r="AS629" i="25"/>
  <c r="AT629" i="25"/>
  <c r="AU629" i="25"/>
  <c r="AQ628" i="25"/>
  <c r="AP629" i="25"/>
  <c r="AN629" i="25"/>
  <c r="AO629" i="25"/>
  <c r="AM630" i="25"/>
  <c r="AL628" i="25"/>
  <c r="AK629" i="25"/>
  <c r="AI629" i="25"/>
  <c r="AJ629" i="25"/>
  <c r="AH630" i="25"/>
  <c r="AG628" i="25"/>
  <c r="AC630" i="25"/>
  <c r="AD629" i="25"/>
  <c r="AF629" i="25"/>
  <c r="AE629" i="25"/>
  <c r="AB628" i="25"/>
  <c r="X630" i="25"/>
  <c r="Y629" i="25"/>
  <c r="Z629" i="25"/>
  <c r="AA629" i="25"/>
  <c r="U631" i="25"/>
  <c r="S632" i="25"/>
  <c r="T631" i="25"/>
  <c r="V631" i="25"/>
  <c r="W630" i="25"/>
  <c r="L679" i="36"/>
  <c r="K630" i="25" s="1"/>
  <c r="M679" i="36"/>
  <c r="L630" i="25" s="1"/>
  <c r="J680" i="36"/>
  <c r="I631" i="25" s="1"/>
  <c r="K679" i="36"/>
  <c r="J630" i="25" s="1"/>
  <c r="N678" i="36"/>
  <c r="M629" i="25" s="1"/>
  <c r="BF631" i="25" l="1"/>
  <c r="BB633" i="25"/>
  <c r="BC632" i="25"/>
  <c r="BE632" i="25"/>
  <c r="BD632" i="25"/>
  <c r="BA629" i="25"/>
  <c r="AZ630" i="25"/>
  <c r="AW631" i="25"/>
  <c r="AX630" i="25"/>
  <c r="AY630" i="25"/>
  <c r="AR631" i="25"/>
  <c r="AS630" i="25"/>
  <c r="AU630" i="25"/>
  <c r="AT630" i="25"/>
  <c r="AV629" i="25"/>
  <c r="AQ629" i="25"/>
  <c r="AO630" i="25"/>
  <c r="AN630" i="25"/>
  <c r="AP630" i="25"/>
  <c r="AM631" i="25"/>
  <c r="AL629" i="25"/>
  <c r="AJ630" i="25"/>
  <c r="AI630" i="25"/>
  <c r="AK630" i="25"/>
  <c r="AH631" i="25"/>
  <c r="AE630" i="25"/>
  <c r="AF630" i="25"/>
  <c r="AC631" i="25"/>
  <c r="AD630" i="25"/>
  <c r="AG629" i="25"/>
  <c r="AB629" i="25"/>
  <c r="X631" i="25"/>
  <c r="Y630" i="25"/>
  <c r="Z630" i="25"/>
  <c r="AA630" i="25"/>
  <c r="W631" i="25"/>
  <c r="S633" i="25"/>
  <c r="T632" i="25"/>
  <c r="U632" i="25"/>
  <c r="V632" i="25"/>
  <c r="N679" i="36"/>
  <c r="M630" i="25" s="1"/>
  <c r="J681" i="36"/>
  <c r="I632" i="25" s="1"/>
  <c r="K680" i="36"/>
  <c r="J631" i="25" s="1"/>
  <c r="L680" i="36"/>
  <c r="K631" i="25" s="1"/>
  <c r="M680" i="36"/>
  <c r="L631" i="25" s="1"/>
  <c r="AQ630" i="25" l="1"/>
  <c r="BD633" i="25"/>
  <c r="BE633" i="25"/>
  <c r="BB634" i="25"/>
  <c r="BC633" i="25"/>
  <c r="BF632" i="25"/>
  <c r="AY631" i="25"/>
  <c r="AZ631" i="25"/>
  <c r="AW632" i="25"/>
  <c r="AX631" i="25"/>
  <c r="BA630" i="25"/>
  <c r="AU631" i="25"/>
  <c r="AT631" i="25"/>
  <c r="AS631" i="25"/>
  <c r="AR632" i="25"/>
  <c r="AV630" i="25"/>
  <c r="AM632" i="25"/>
  <c r="AN631" i="25"/>
  <c r="AO631" i="25"/>
  <c r="AP631" i="25"/>
  <c r="AL630" i="25"/>
  <c r="AH632" i="25"/>
  <c r="AI631" i="25"/>
  <c r="AJ631" i="25"/>
  <c r="AK631" i="25"/>
  <c r="AG630" i="25"/>
  <c r="AF631" i="25"/>
  <c r="AC632" i="25"/>
  <c r="AD631" i="25"/>
  <c r="AE631" i="25"/>
  <c r="AB630" i="25"/>
  <c r="AA631" i="25"/>
  <c r="Y631" i="25"/>
  <c r="X632" i="25"/>
  <c r="Z631" i="25"/>
  <c r="W632" i="25"/>
  <c r="S634" i="25"/>
  <c r="T633" i="25"/>
  <c r="U633" i="25"/>
  <c r="V633" i="25"/>
  <c r="J682" i="36"/>
  <c r="I633" i="25" s="1"/>
  <c r="K681" i="36"/>
  <c r="J632" i="25" s="1"/>
  <c r="M681" i="36"/>
  <c r="L632" i="25" s="1"/>
  <c r="L681" i="36"/>
  <c r="K632" i="25" s="1"/>
  <c r="N680" i="36"/>
  <c r="M631" i="25" s="1"/>
  <c r="BF633" i="25" l="1"/>
  <c r="BE634" i="25"/>
  <c r="BB635" i="25"/>
  <c r="BC634" i="25"/>
  <c r="BD634" i="25"/>
  <c r="BA631" i="25"/>
  <c r="AW633" i="25"/>
  <c r="AX632" i="25"/>
  <c r="AY632" i="25"/>
  <c r="AZ632" i="25"/>
  <c r="AV631" i="25"/>
  <c r="AT632" i="25"/>
  <c r="AU632" i="25"/>
  <c r="AR633" i="25"/>
  <c r="AS632" i="25"/>
  <c r="AQ631" i="25"/>
  <c r="AO632" i="25"/>
  <c r="AP632" i="25"/>
  <c r="AM633" i="25"/>
  <c r="AN632" i="25"/>
  <c r="AJ632" i="25"/>
  <c r="AK632" i="25"/>
  <c r="AH633" i="25"/>
  <c r="AI632" i="25"/>
  <c r="AL631" i="25"/>
  <c r="AE632" i="25"/>
  <c r="AC633" i="25"/>
  <c r="AD632" i="25"/>
  <c r="AF632" i="25"/>
  <c r="AG631" i="25"/>
  <c r="Z632" i="25"/>
  <c r="AA632" i="25"/>
  <c r="X633" i="25"/>
  <c r="Y632" i="25"/>
  <c r="AB631" i="25"/>
  <c r="W633" i="25"/>
  <c r="V634" i="25"/>
  <c r="S635" i="25"/>
  <c r="T634" i="25"/>
  <c r="U634" i="25"/>
  <c r="M682" i="36"/>
  <c r="L633" i="25" s="1"/>
  <c r="L682" i="36"/>
  <c r="K633" i="25" s="1"/>
  <c r="K682" i="36"/>
  <c r="J633" i="25" s="1"/>
  <c r="J683" i="36"/>
  <c r="I634" i="25" s="1"/>
  <c r="N681" i="36"/>
  <c r="M632" i="25" s="1"/>
  <c r="BD635" i="25" l="1"/>
  <c r="BB636" i="25"/>
  <c r="BC635" i="25"/>
  <c r="BE635" i="25"/>
  <c r="BF634" i="25"/>
  <c r="BA632" i="25"/>
  <c r="AW634" i="25"/>
  <c r="AX633" i="25"/>
  <c r="AY633" i="25"/>
  <c r="AZ633" i="25"/>
  <c r="AV632" i="25"/>
  <c r="AR634" i="25"/>
  <c r="AS633" i="25"/>
  <c r="AT633" i="25"/>
  <c r="AU633" i="25"/>
  <c r="AQ632" i="25"/>
  <c r="AP633" i="25"/>
  <c r="AO633" i="25"/>
  <c r="AM634" i="25"/>
  <c r="AN633" i="25"/>
  <c r="AL632" i="25"/>
  <c r="AK633" i="25"/>
  <c r="AJ633" i="25"/>
  <c r="AH634" i="25"/>
  <c r="AI633" i="25"/>
  <c r="AG632" i="25"/>
  <c r="AC634" i="25"/>
  <c r="AD633" i="25"/>
  <c r="AF633" i="25"/>
  <c r="AE633" i="25"/>
  <c r="AB632" i="25"/>
  <c r="X634" i="25"/>
  <c r="Y633" i="25"/>
  <c r="Z633" i="25"/>
  <c r="AA633" i="25"/>
  <c r="U635" i="25"/>
  <c r="S636" i="25"/>
  <c r="T635" i="25"/>
  <c r="V635" i="25"/>
  <c r="W634" i="25"/>
  <c r="N682" i="36"/>
  <c r="M633" i="25" s="1"/>
  <c r="L683" i="36"/>
  <c r="K634" i="25" s="1"/>
  <c r="M683" i="36"/>
  <c r="L634" i="25" s="1"/>
  <c r="J684" i="36"/>
  <c r="I635" i="25" s="1"/>
  <c r="K683" i="36"/>
  <c r="J634" i="25" s="1"/>
  <c r="BF635" i="25" l="1"/>
  <c r="BB637" i="25"/>
  <c r="BC636" i="25"/>
  <c r="BE636" i="25"/>
  <c r="BD636" i="25"/>
  <c r="AZ634" i="25"/>
  <c r="AW635" i="25"/>
  <c r="AX634" i="25"/>
  <c r="AY634" i="25"/>
  <c r="BA633" i="25"/>
  <c r="AR635" i="25"/>
  <c r="AS634" i="25"/>
  <c r="AU634" i="25"/>
  <c r="AT634" i="25"/>
  <c r="AV633" i="25"/>
  <c r="AQ633" i="25"/>
  <c r="AO634" i="25"/>
  <c r="AP634" i="25"/>
  <c r="AM635" i="25"/>
  <c r="AN634" i="25"/>
  <c r="AL633" i="25"/>
  <c r="AJ634" i="25"/>
  <c r="AK634" i="25"/>
  <c r="AH635" i="25"/>
  <c r="AI634" i="25"/>
  <c r="AE634" i="25"/>
  <c r="AF634" i="25"/>
  <c r="AC635" i="25"/>
  <c r="AD634" i="25"/>
  <c r="AG633" i="25"/>
  <c r="AB633" i="25"/>
  <c r="X635" i="25"/>
  <c r="Y634" i="25"/>
  <c r="Z634" i="25"/>
  <c r="AA634" i="25"/>
  <c r="W635" i="25"/>
  <c r="S637" i="25"/>
  <c r="T636" i="25"/>
  <c r="U636" i="25"/>
  <c r="V636" i="25"/>
  <c r="N683" i="36"/>
  <c r="M634" i="25" s="1"/>
  <c r="J685" i="36"/>
  <c r="I636" i="25" s="1"/>
  <c r="K684" i="36"/>
  <c r="J635" i="25" s="1"/>
  <c r="L684" i="36"/>
  <c r="K635" i="25" s="1"/>
  <c r="M684" i="36"/>
  <c r="L635" i="25" s="1"/>
  <c r="AQ634" i="25" l="1"/>
  <c r="BD637" i="25"/>
  <c r="BE637" i="25"/>
  <c r="BC637" i="25"/>
  <c r="BB638" i="25"/>
  <c r="BF636" i="25"/>
  <c r="AY635" i="25"/>
  <c r="AZ635" i="25"/>
  <c r="AX635" i="25"/>
  <c r="AW636" i="25"/>
  <c r="BA634" i="25"/>
  <c r="AU635" i="25"/>
  <c r="AT635" i="25"/>
  <c r="AR636" i="25"/>
  <c r="AS635" i="25"/>
  <c r="AV634" i="25"/>
  <c r="AM636" i="25"/>
  <c r="AN635" i="25"/>
  <c r="AP635" i="25"/>
  <c r="AO635" i="25"/>
  <c r="AL634" i="25"/>
  <c r="AH636" i="25"/>
  <c r="AI635" i="25"/>
  <c r="AK635" i="25"/>
  <c r="AJ635" i="25"/>
  <c r="AG634" i="25"/>
  <c r="AF635" i="25"/>
  <c r="AC636" i="25"/>
  <c r="AD635" i="25"/>
  <c r="AE635" i="25"/>
  <c r="AB634" i="25"/>
  <c r="AA635" i="25"/>
  <c r="X636" i="25"/>
  <c r="Y635" i="25"/>
  <c r="Z635" i="25"/>
  <c r="W636" i="25"/>
  <c r="T637" i="25"/>
  <c r="U637" i="25"/>
  <c r="V637" i="25"/>
  <c r="S638" i="25"/>
  <c r="J686" i="36"/>
  <c r="I637" i="25" s="1"/>
  <c r="K685" i="36"/>
  <c r="J636" i="25" s="1"/>
  <c r="M685" i="36"/>
  <c r="L636" i="25" s="1"/>
  <c r="L685" i="36"/>
  <c r="K636" i="25" s="1"/>
  <c r="N684" i="36"/>
  <c r="M635" i="25" s="1"/>
  <c r="BF637" i="25" l="1"/>
  <c r="BE638" i="25"/>
  <c r="BB639" i="25"/>
  <c r="BC638" i="25"/>
  <c r="BD638" i="25"/>
  <c r="BA635" i="25"/>
  <c r="AW637" i="25"/>
  <c r="AX636" i="25"/>
  <c r="AY636" i="25"/>
  <c r="AZ636" i="25"/>
  <c r="AV635" i="25"/>
  <c r="AT636" i="25"/>
  <c r="AU636" i="25"/>
  <c r="AR637" i="25"/>
  <c r="AS636" i="25"/>
  <c r="AP636" i="25"/>
  <c r="AM637" i="25"/>
  <c r="AN636" i="25"/>
  <c r="AO636" i="25"/>
  <c r="AQ635" i="25"/>
  <c r="AK636" i="25"/>
  <c r="AH637" i="25"/>
  <c r="AI636" i="25"/>
  <c r="AJ636" i="25"/>
  <c r="AL635" i="25"/>
  <c r="AE636" i="25"/>
  <c r="AC637" i="25"/>
  <c r="AD636" i="25"/>
  <c r="AF636" i="25"/>
  <c r="AG635" i="25"/>
  <c r="Z636" i="25"/>
  <c r="AA636" i="25"/>
  <c r="Y636" i="25"/>
  <c r="X637" i="25"/>
  <c r="AB635" i="25"/>
  <c r="W637" i="25"/>
  <c r="V638" i="25"/>
  <c r="T638" i="25"/>
  <c r="U638" i="25"/>
  <c r="S639" i="25"/>
  <c r="M686" i="36"/>
  <c r="L637" i="25" s="1"/>
  <c r="L686" i="36"/>
  <c r="K637" i="25" s="1"/>
  <c r="J687" i="36"/>
  <c r="I638" i="25" s="1"/>
  <c r="K686" i="36"/>
  <c r="J637" i="25" s="1"/>
  <c r="N685" i="36"/>
  <c r="M636" i="25" s="1"/>
  <c r="BD639" i="25" l="1"/>
  <c r="BB640" i="25"/>
  <c r="BC639" i="25"/>
  <c r="BE639" i="25"/>
  <c r="BF638" i="25"/>
  <c r="AW638" i="25"/>
  <c r="AX637" i="25"/>
  <c r="AY637" i="25"/>
  <c r="AZ637" i="25"/>
  <c r="BA636" i="25"/>
  <c r="AV636" i="25"/>
  <c r="AR638" i="25"/>
  <c r="AS637" i="25"/>
  <c r="AT637" i="25"/>
  <c r="AU637" i="25"/>
  <c r="AP637" i="25"/>
  <c r="AM638" i="25"/>
  <c r="AN637" i="25"/>
  <c r="AO637" i="25"/>
  <c r="AQ636" i="25"/>
  <c r="AK637" i="25"/>
  <c r="AH638" i="25"/>
  <c r="AI637" i="25"/>
  <c r="AJ637" i="25"/>
  <c r="AL636" i="25"/>
  <c r="AG636" i="25"/>
  <c r="AC638" i="25"/>
  <c r="AD637" i="25"/>
  <c r="AF637" i="25"/>
  <c r="AE637" i="25"/>
  <c r="AB636" i="25"/>
  <c r="X638" i="25"/>
  <c r="Y637" i="25"/>
  <c r="Z637" i="25"/>
  <c r="AA637" i="25"/>
  <c r="W638" i="25"/>
  <c r="U639" i="25"/>
  <c r="T639" i="25"/>
  <c r="V639" i="25"/>
  <c r="S640" i="25"/>
  <c r="L687" i="36"/>
  <c r="K638" i="25" s="1"/>
  <c r="M687" i="36"/>
  <c r="L638" i="25" s="1"/>
  <c r="J688" i="36"/>
  <c r="I639" i="25" s="1"/>
  <c r="K687" i="36"/>
  <c r="J638" i="25" s="1"/>
  <c r="N686" i="36"/>
  <c r="M637" i="25" s="1"/>
  <c r="BF639" i="25" l="1"/>
  <c r="BB641" i="25"/>
  <c r="BC640" i="25"/>
  <c r="BE640" i="25"/>
  <c r="BD640" i="25"/>
  <c r="BA637" i="25"/>
  <c r="AZ638" i="25"/>
  <c r="AW639" i="25"/>
  <c r="AX638" i="25"/>
  <c r="AY638" i="25"/>
  <c r="AR639" i="25"/>
  <c r="AS638" i="25"/>
  <c r="AU638" i="25"/>
  <c r="AT638" i="25"/>
  <c r="AV637" i="25"/>
  <c r="AO638" i="25"/>
  <c r="AM639" i="25"/>
  <c r="AN638" i="25"/>
  <c r="AP638" i="25"/>
  <c r="AQ637" i="25"/>
  <c r="AJ638" i="25"/>
  <c r="AH639" i="25"/>
  <c r="AI638" i="25"/>
  <c r="AK638" i="25"/>
  <c r="AL637" i="25"/>
  <c r="AF638" i="25"/>
  <c r="AC639" i="25"/>
  <c r="AE638" i="25"/>
  <c r="AD638" i="25"/>
  <c r="AG637" i="25"/>
  <c r="AB637" i="25"/>
  <c r="X639" i="25"/>
  <c r="Y638" i="25"/>
  <c r="Z638" i="25"/>
  <c r="AA638" i="25"/>
  <c r="W639" i="25"/>
  <c r="S641" i="25"/>
  <c r="T640" i="25"/>
  <c r="U640" i="25"/>
  <c r="V640" i="25"/>
  <c r="N687" i="36"/>
  <c r="M638" i="25" s="1"/>
  <c r="J689" i="36"/>
  <c r="I640" i="25" s="1"/>
  <c r="K688" i="36"/>
  <c r="J639" i="25" s="1"/>
  <c r="L688" i="36"/>
  <c r="K639" i="25" s="1"/>
  <c r="M688" i="36"/>
  <c r="L639" i="25" s="1"/>
  <c r="BD641" i="25" l="1"/>
  <c r="BE641" i="25"/>
  <c r="BB642" i="25"/>
  <c r="BC641" i="25"/>
  <c r="BF640" i="25"/>
  <c r="AY639" i="25"/>
  <c r="AZ639" i="25"/>
  <c r="AX639" i="25"/>
  <c r="AW640" i="25"/>
  <c r="BA638" i="25"/>
  <c r="AV638" i="25"/>
  <c r="AU639" i="25"/>
  <c r="AT639" i="25"/>
  <c r="AS639" i="25"/>
  <c r="AR640" i="25"/>
  <c r="AQ638" i="25"/>
  <c r="AM640" i="25"/>
  <c r="AN639" i="25"/>
  <c r="AO639" i="25"/>
  <c r="AP639" i="25"/>
  <c r="AL638" i="25"/>
  <c r="AH640" i="25"/>
  <c r="AI639" i="25"/>
  <c r="AJ639" i="25"/>
  <c r="AK639" i="25"/>
  <c r="AE639" i="25"/>
  <c r="AC640" i="25"/>
  <c r="AF639" i="25"/>
  <c r="AD639" i="25"/>
  <c r="AG638" i="25"/>
  <c r="AB638" i="25"/>
  <c r="AA639" i="25"/>
  <c r="Y639" i="25"/>
  <c r="Z639" i="25"/>
  <c r="X640" i="25"/>
  <c r="W640" i="25"/>
  <c r="U641" i="25"/>
  <c r="V641" i="25"/>
  <c r="S642" i="25"/>
  <c r="T641" i="25"/>
  <c r="J690" i="36"/>
  <c r="I641" i="25" s="1"/>
  <c r="K689" i="36"/>
  <c r="J640" i="25" s="1"/>
  <c r="M689" i="36"/>
  <c r="L640" i="25" s="1"/>
  <c r="L689" i="36"/>
  <c r="K640" i="25" s="1"/>
  <c r="N688" i="36"/>
  <c r="M639" i="25" s="1"/>
  <c r="BF641" i="25" l="1"/>
  <c r="BE642" i="25"/>
  <c r="BB643" i="25"/>
  <c r="BC642" i="25"/>
  <c r="BD642" i="25"/>
  <c r="BA639" i="25"/>
  <c r="AW641" i="25"/>
  <c r="AX640" i="25"/>
  <c r="AY640" i="25"/>
  <c r="AZ640" i="25"/>
  <c r="AV639" i="25"/>
  <c r="AT640" i="25"/>
  <c r="AU640" i="25"/>
  <c r="AR641" i="25"/>
  <c r="AS640" i="25"/>
  <c r="AQ639" i="25"/>
  <c r="AM641" i="25"/>
  <c r="AN640" i="25"/>
  <c r="AO640" i="25"/>
  <c r="AP640" i="25"/>
  <c r="AL639" i="25"/>
  <c r="AH641" i="25"/>
  <c r="AI640" i="25"/>
  <c r="AJ640" i="25"/>
  <c r="AK640" i="25"/>
  <c r="AG639" i="25"/>
  <c r="AC641" i="25"/>
  <c r="AD640" i="25"/>
  <c r="AF640" i="25"/>
  <c r="AE640" i="25"/>
  <c r="AB639" i="25"/>
  <c r="Z640" i="25"/>
  <c r="AA640" i="25"/>
  <c r="X641" i="25"/>
  <c r="Y640" i="25"/>
  <c r="W641" i="25"/>
  <c r="V642" i="25"/>
  <c r="U642" i="25"/>
  <c r="T642" i="25"/>
  <c r="S643" i="25"/>
  <c r="M690" i="36"/>
  <c r="L641" i="25" s="1"/>
  <c r="L690" i="36"/>
  <c r="K641" i="25" s="1"/>
  <c r="K690" i="36"/>
  <c r="J641" i="25" s="1"/>
  <c r="J691" i="36"/>
  <c r="I642" i="25" s="1"/>
  <c r="N689" i="36"/>
  <c r="M640" i="25" s="1"/>
  <c r="BD643" i="25" l="1"/>
  <c r="BB644" i="25"/>
  <c r="BC643" i="25"/>
  <c r="BE643" i="25"/>
  <c r="BF642" i="25"/>
  <c r="AW642" i="25"/>
  <c r="AX641" i="25"/>
  <c r="AY641" i="25"/>
  <c r="AZ641" i="25"/>
  <c r="BA640" i="25"/>
  <c r="AV640" i="25"/>
  <c r="AR642" i="25"/>
  <c r="AS641" i="25"/>
  <c r="AT641" i="25"/>
  <c r="AU641" i="25"/>
  <c r="AQ640" i="25"/>
  <c r="AP641" i="25"/>
  <c r="AM642" i="25"/>
  <c r="AN641" i="25"/>
  <c r="AO641" i="25"/>
  <c r="AL640" i="25"/>
  <c r="AK641" i="25"/>
  <c r="AH642" i="25"/>
  <c r="AI641" i="25"/>
  <c r="AJ641" i="25"/>
  <c r="AG640" i="25"/>
  <c r="AD641" i="25"/>
  <c r="AF641" i="25"/>
  <c r="AC642" i="25"/>
  <c r="AE641" i="25"/>
  <c r="AB640" i="25"/>
  <c r="X642" i="25"/>
  <c r="Y641" i="25"/>
  <c r="Z641" i="25"/>
  <c r="AA641" i="25"/>
  <c r="W642" i="25"/>
  <c r="U643" i="25"/>
  <c r="V643" i="25"/>
  <c r="S644" i="25"/>
  <c r="T643" i="25"/>
  <c r="N690" i="36"/>
  <c r="M641" i="25" s="1"/>
  <c r="L691" i="36"/>
  <c r="K642" i="25" s="1"/>
  <c r="M691" i="36"/>
  <c r="L642" i="25" s="1"/>
  <c r="J692" i="36"/>
  <c r="I643" i="25" s="1"/>
  <c r="K691" i="36"/>
  <c r="J642" i="25" s="1"/>
  <c r="BF643" i="25" l="1"/>
  <c r="BB645" i="25"/>
  <c r="BC644" i="25"/>
  <c r="BE644" i="25"/>
  <c r="BD644" i="25"/>
  <c r="AZ642" i="25"/>
  <c r="AW643" i="25"/>
  <c r="AX642" i="25"/>
  <c r="AY642" i="25"/>
  <c r="BA641" i="25"/>
  <c r="AV641" i="25"/>
  <c r="AR643" i="25"/>
  <c r="AS642" i="25"/>
  <c r="AU642" i="25"/>
  <c r="AT642" i="25"/>
  <c r="AO642" i="25"/>
  <c r="AM643" i="25"/>
  <c r="AN642" i="25"/>
  <c r="AP642" i="25"/>
  <c r="AQ641" i="25"/>
  <c r="AJ642" i="25"/>
  <c r="AH643" i="25"/>
  <c r="AI642" i="25"/>
  <c r="AK642" i="25"/>
  <c r="AL641" i="25"/>
  <c r="AF642" i="25"/>
  <c r="AD642" i="25"/>
  <c r="AC643" i="25"/>
  <c r="AE642" i="25"/>
  <c r="AG641" i="25"/>
  <c r="AB641" i="25"/>
  <c r="X643" i="25"/>
  <c r="Y642" i="25"/>
  <c r="Z642" i="25"/>
  <c r="AA642" i="25"/>
  <c r="W643" i="25"/>
  <c r="S645" i="25"/>
  <c r="T644" i="25"/>
  <c r="V644" i="25"/>
  <c r="U644" i="25"/>
  <c r="N691" i="36"/>
  <c r="M642" i="25" s="1"/>
  <c r="J693" i="36"/>
  <c r="I644" i="25" s="1"/>
  <c r="K692" i="36"/>
  <c r="J643" i="25" s="1"/>
  <c r="L692" i="36"/>
  <c r="K643" i="25" s="1"/>
  <c r="M692" i="36"/>
  <c r="L643" i="25" s="1"/>
  <c r="AQ642" i="25" l="1"/>
  <c r="BD645" i="25"/>
  <c r="BE645" i="25"/>
  <c r="BC645" i="25"/>
  <c r="BB646" i="25"/>
  <c r="BF644" i="25"/>
  <c r="AY643" i="25"/>
  <c r="AZ643" i="25"/>
  <c r="AX643" i="25"/>
  <c r="AW644" i="25"/>
  <c r="BA642" i="25"/>
  <c r="AU643" i="25"/>
  <c r="AT643" i="25"/>
  <c r="AR644" i="25"/>
  <c r="AS643" i="25"/>
  <c r="AV642" i="25"/>
  <c r="AM644" i="25"/>
  <c r="AN643" i="25"/>
  <c r="AO643" i="25"/>
  <c r="AP643" i="25"/>
  <c r="AL642" i="25"/>
  <c r="AH644" i="25"/>
  <c r="AI643" i="25"/>
  <c r="AJ643" i="25"/>
  <c r="AK643" i="25"/>
  <c r="AE643" i="25"/>
  <c r="AD643" i="25"/>
  <c r="AC644" i="25"/>
  <c r="AF643" i="25"/>
  <c r="AG642" i="25"/>
  <c r="AB642" i="25"/>
  <c r="AA643" i="25"/>
  <c r="X644" i="25"/>
  <c r="Y643" i="25"/>
  <c r="Z643" i="25"/>
  <c r="W644" i="25"/>
  <c r="V645" i="25"/>
  <c r="S646" i="25"/>
  <c r="U645" i="25"/>
  <c r="T645" i="25"/>
  <c r="J694" i="36"/>
  <c r="I645" i="25" s="1"/>
  <c r="K693" i="36"/>
  <c r="J644" i="25" s="1"/>
  <c r="M693" i="36"/>
  <c r="L644" i="25" s="1"/>
  <c r="L693" i="36"/>
  <c r="K644" i="25" s="1"/>
  <c r="N692" i="36"/>
  <c r="M643" i="25" s="1"/>
  <c r="BF645" i="25" l="1"/>
  <c r="BE646" i="25"/>
  <c r="BB647" i="25"/>
  <c r="BC646" i="25"/>
  <c r="BD646" i="25"/>
  <c r="BA643" i="25"/>
  <c r="AW645" i="25"/>
  <c r="AX644" i="25"/>
  <c r="AY644" i="25"/>
  <c r="AZ644" i="25"/>
  <c r="AV643" i="25"/>
  <c r="AT644" i="25"/>
  <c r="AU644" i="25"/>
  <c r="AR645" i="25"/>
  <c r="AS644" i="25"/>
  <c r="AQ643" i="25"/>
  <c r="AN644" i="25"/>
  <c r="AO644" i="25"/>
  <c r="AP644" i="25"/>
  <c r="AM645" i="25"/>
  <c r="AL643" i="25"/>
  <c r="AI644" i="25"/>
  <c r="AJ644" i="25"/>
  <c r="AK644" i="25"/>
  <c r="AH645" i="25"/>
  <c r="AG643" i="25"/>
  <c r="AC645" i="25"/>
  <c r="AD644" i="25"/>
  <c r="AE644" i="25"/>
  <c r="AF644" i="25"/>
  <c r="Z644" i="25"/>
  <c r="AA644" i="25"/>
  <c r="Y644" i="25"/>
  <c r="X645" i="25"/>
  <c r="AB643" i="25"/>
  <c r="W645" i="25"/>
  <c r="V646" i="25"/>
  <c r="S647" i="25"/>
  <c r="T646" i="25"/>
  <c r="U646" i="25"/>
  <c r="M694" i="36"/>
  <c r="L645" i="25" s="1"/>
  <c r="L694" i="36"/>
  <c r="K645" i="25" s="1"/>
  <c r="J695" i="36"/>
  <c r="I646" i="25" s="1"/>
  <c r="K694" i="36"/>
  <c r="J645" i="25" s="1"/>
  <c r="N693" i="36"/>
  <c r="M644" i="25" s="1"/>
  <c r="BD647" i="25" l="1"/>
  <c r="BB648" i="25"/>
  <c r="BC647" i="25"/>
  <c r="BE647" i="25"/>
  <c r="BF646" i="25"/>
  <c r="AW646" i="25"/>
  <c r="AX645" i="25"/>
  <c r="AY645" i="25"/>
  <c r="AZ645" i="25"/>
  <c r="BA644" i="25"/>
  <c r="AV644" i="25"/>
  <c r="AR646" i="25"/>
  <c r="AS645" i="25"/>
  <c r="AT645" i="25"/>
  <c r="AU645" i="25"/>
  <c r="AQ644" i="25"/>
  <c r="AP645" i="25"/>
  <c r="AN645" i="25"/>
  <c r="AO645" i="25"/>
  <c r="AM646" i="25"/>
  <c r="AK645" i="25"/>
  <c r="AI645" i="25"/>
  <c r="AJ645" i="25"/>
  <c r="AH646" i="25"/>
  <c r="AL644" i="25"/>
  <c r="AG644" i="25"/>
  <c r="AE645" i="25"/>
  <c r="AC646" i="25"/>
  <c r="AD645" i="25"/>
  <c r="AF645" i="25"/>
  <c r="AB644" i="25"/>
  <c r="X646" i="25"/>
  <c r="Y645" i="25"/>
  <c r="Z645" i="25"/>
  <c r="AA645" i="25"/>
  <c r="W646" i="25"/>
  <c r="U647" i="25"/>
  <c r="S648" i="25"/>
  <c r="T647" i="25"/>
  <c r="V647" i="25"/>
  <c r="L695" i="36"/>
  <c r="K646" i="25" s="1"/>
  <c r="M695" i="36"/>
  <c r="L646" i="25" s="1"/>
  <c r="J696" i="36"/>
  <c r="I647" i="25" s="1"/>
  <c r="K695" i="36"/>
  <c r="J646" i="25" s="1"/>
  <c r="N694" i="36"/>
  <c r="M645" i="25" s="1"/>
  <c r="BF647" i="25" l="1"/>
  <c r="BB649" i="25"/>
  <c r="BC648" i="25"/>
  <c r="BE648" i="25"/>
  <c r="BD648" i="25"/>
  <c r="BA645" i="25"/>
  <c r="AZ646" i="25"/>
  <c r="AW647" i="25"/>
  <c r="AX646" i="25"/>
  <c r="AY646" i="25"/>
  <c r="AR647" i="25"/>
  <c r="AS646" i="25"/>
  <c r="AU646" i="25"/>
  <c r="AT646" i="25"/>
  <c r="AV645" i="25"/>
  <c r="AO646" i="25"/>
  <c r="AN646" i="25"/>
  <c r="AP646" i="25"/>
  <c r="AM647" i="25"/>
  <c r="AQ645" i="25"/>
  <c r="AL645" i="25"/>
  <c r="AJ646" i="25"/>
  <c r="AK646" i="25"/>
  <c r="AH647" i="25"/>
  <c r="AI646" i="25"/>
  <c r="AG645" i="25"/>
  <c r="AF646" i="25"/>
  <c r="AE646" i="25"/>
  <c r="AC647" i="25"/>
  <c r="AD646" i="25"/>
  <c r="AB645" i="25"/>
  <c r="X647" i="25"/>
  <c r="Y646" i="25"/>
  <c r="Z646" i="25"/>
  <c r="AA646" i="25"/>
  <c r="W647" i="25"/>
  <c r="S649" i="25"/>
  <c r="T648" i="25"/>
  <c r="U648" i="25"/>
  <c r="V648" i="25"/>
  <c r="N695" i="36"/>
  <c r="M646" i="25" s="1"/>
  <c r="J697" i="36"/>
  <c r="I648" i="25" s="1"/>
  <c r="K696" i="36"/>
  <c r="J647" i="25" s="1"/>
  <c r="L696" i="36"/>
  <c r="K647" i="25" s="1"/>
  <c r="M696" i="36"/>
  <c r="L647" i="25" s="1"/>
  <c r="BD649" i="25" l="1"/>
  <c r="BE649" i="25"/>
  <c r="BB650" i="25"/>
  <c r="BC649" i="25"/>
  <c r="BF648" i="25"/>
  <c r="AY647" i="25"/>
  <c r="AZ647" i="25"/>
  <c r="AW648" i="25"/>
  <c r="AX647" i="25"/>
  <c r="BA646" i="25"/>
  <c r="AU647" i="25"/>
  <c r="AT647" i="25"/>
  <c r="AS647" i="25"/>
  <c r="AR648" i="25"/>
  <c r="AV646" i="25"/>
  <c r="AQ646" i="25"/>
  <c r="AM648" i="25"/>
  <c r="AN647" i="25"/>
  <c r="AO647" i="25"/>
  <c r="AP647" i="25"/>
  <c r="AL646" i="25"/>
  <c r="AH648" i="25"/>
  <c r="AI647" i="25"/>
  <c r="AJ647" i="25"/>
  <c r="AK647" i="25"/>
  <c r="AE647" i="25"/>
  <c r="AF647" i="25"/>
  <c r="AC648" i="25"/>
  <c r="AD647" i="25"/>
  <c r="AG646" i="25"/>
  <c r="AB646" i="25"/>
  <c r="AA647" i="25"/>
  <c r="Y647" i="25"/>
  <c r="Z647" i="25"/>
  <c r="X648" i="25"/>
  <c r="W648" i="25"/>
  <c r="S650" i="25"/>
  <c r="T649" i="25"/>
  <c r="U649" i="25"/>
  <c r="V649" i="25"/>
  <c r="J698" i="36"/>
  <c r="I649" i="25" s="1"/>
  <c r="K697" i="36"/>
  <c r="J648" i="25" s="1"/>
  <c r="M697" i="36"/>
  <c r="L648" i="25" s="1"/>
  <c r="L697" i="36"/>
  <c r="K648" i="25" s="1"/>
  <c r="N696" i="36"/>
  <c r="M647" i="25" s="1"/>
  <c r="BF649" i="25" l="1"/>
  <c r="BE650" i="25"/>
  <c r="BB651" i="25"/>
  <c r="BC650" i="25"/>
  <c r="BD650" i="25"/>
  <c r="BA647" i="25"/>
  <c r="AW649" i="25"/>
  <c r="AX648" i="25"/>
  <c r="AY648" i="25"/>
  <c r="AZ648" i="25"/>
  <c r="AV647" i="25"/>
  <c r="AT648" i="25"/>
  <c r="AU648" i="25"/>
  <c r="AR649" i="25"/>
  <c r="AS648" i="25"/>
  <c r="AQ647" i="25"/>
  <c r="AO648" i="25"/>
  <c r="AP648" i="25"/>
  <c r="AM649" i="25"/>
  <c r="AN648" i="25"/>
  <c r="AL647" i="25"/>
  <c r="AH649" i="25"/>
  <c r="AI648" i="25"/>
  <c r="AJ648" i="25"/>
  <c r="AK648" i="25"/>
  <c r="AG647" i="25"/>
  <c r="AC649" i="25"/>
  <c r="AD648" i="25"/>
  <c r="AF648" i="25"/>
  <c r="AE648" i="25"/>
  <c r="AB647" i="25"/>
  <c r="Z648" i="25"/>
  <c r="AA648" i="25"/>
  <c r="X649" i="25"/>
  <c r="Y648" i="25"/>
  <c r="W649" i="25"/>
  <c r="V650" i="25"/>
  <c r="S651" i="25"/>
  <c r="T650" i="25"/>
  <c r="U650" i="25"/>
  <c r="M698" i="36"/>
  <c r="L649" i="25" s="1"/>
  <c r="L698" i="36"/>
  <c r="K649" i="25" s="1"/>
  <c r="K698" i="36"/>
  <c r="J649" i="25" s="1"/>
  <c r="J699" i="36"/>
  <c r="I650" i="25" s="1"/>
  <c r="N697" i="36"/>
  <c r="M648" i="25" s="1"/>
  <c r="BD651" i="25" l="1"/>
  <c r="BB652" i="25"/>
  <c r="BC651" i="25"/>
  <c r="BE651" i="25"/>
  <c r="BF650" i="25"/>
  <c r="BA648" i="25"/>
  <c r="AW650" i="25"/>
  <c r="AX649" i="25"/>
  <c r="AY649" i="25"/>
  <c r="AZ649" i="25"/>
  <c r="AV648" i="25"/>
  <c r="AR650" i="25"/>
  <c r="AS649" i="25"/>
  <c r="AT649" i="25"/>
  <c r="AU649" i="25"/>
  <c r="AQ648" i="25"/>
  <c r="AP649" i="25"/>
  <c r="AO649" i="25"/>
  <c r="AM650" i="25"/>
  <c r="AN649" i="25"/>
  <c r="AL648" i="25"/>
  <c r="AK649" i="25"/>
  <c r="AH650" i="25"/>
  <c r="AI649" i="25"/>
  <c r="AJ649" i="25"/>
  <c r="AF649" i="25"/>
  <c r="AD649" i="25"/>
  <c r="AE649" i="25"/>
  <c r="AC650" i="25"/>
  <c r="AG648" i="25"/>
  <c r="AB648" i="25"/>
  <c r="X650" i="25"/>
  <c r="Y649" i="25"/>
  <c r="Z649" i="25"/>
  <c r="AA649" i="25"/>
  <c r="U651" i="25"/>
  <c r="S652" i="25"/>
  <c r="T651" i="25"/>
  <c r="V651" i="25"/>
  <c r="W650" i="25"/>
  <c r="N698" i="36"/>
  <c r="M649" i="25" s="1"/>
  <c r="L699" i="36"/>
  <c r="K650" i="25" s="1"/>
  <c r="M699" i="36"/>
  <c r="L650" i="25" s="1"/>
  <c r="J700" i="36"/>
  <c r="I651" i="25" s="1"/>
  <c r="K699" i="36"/>
  <c r="J650" i="25" s="1"/>
  <c r="BF651" i="25" l="1"/>
  <c r="BB653" i="25"/>
  <c r="BC652" i="25"/>
  <c r="BE652" i="25"/>
  <c r="BD652" i="25"/>
  <c r="AZ650" i="25"/>
  <c r="AW651" i="25"/>
  <c r="AX650" i="25"/>
  <c r="AY650" i="25"/>
  <c r="BA649" i="25"/>
  <c r="AR651" i="25"/>
  <c r="AS650" i="25"/>
  <c r="AU650" i="25"/>
  <c r="AT650" i="25"/>
  <c r="AV649" i="25"/>
  <c r="AQ649" i="25"/>
  <c r="AO650" i="25"/>
  <c r="AP650" i="25"/>
  <c r="AM651" i="25"/>
  <c r="AN650" i="25"/>
  <c r="AJ650" i="25"/>
  <c r="AK650" i="25"/>
  <c r="AI650" i="25"/>
  <c r="AH651" i="25"/>
  <c r="AL649" i="25"/>
  <c r="AG649" i="25"/>
  <c r="AF650" i="25"/>
  <c r="AD650" i="25"/>
  <c r="AE650" i="25"/>
  <c r="AC651" i="25"/>
  <c r="AB649" i="25"/>
  <c r="X651" i="25"/>
  <c r="Y650" i="25"/>
  <c r="Z650" i="25"/>
  <c r="AA650" i="25"/>
  <c r="W651" i="25"/>
  <c r="S653" i="25"/>
  <c r="T652" i="25"/>
  <c r="U652" i="25"/>
  <c r="V652" i="25"/>
  <c r="N699" i="36"/>
  <c r="M650" i="25" s="1"/>
  <c r="J701" i="36"/>
  <c r="I652" i="25" s="1"/>
  <c r="K700" i="36"/>
  <c r="J651" i="25" s="1"/>
  <c r="L700" i="36"/>
  <c r="K651" i="25" s="1"/>
  <c r="M700" i="36"/>
  <c r="L651" i="25" s="1"/>
  <c r="BD653" i="25" l="1"/>
  <c r="BE653" i="25"/>
  <c r="BC653" i="25"/>
  <c r="BB654" i="25"/>
  <c r="BF652" i="25"/>
  <c r="AY651" i="25"/>
  <c r="AZ651" i="25"/>
  <c r="AX651" i="25"/>
  <c r="AW652" i="25"/>
  <c r="BA650" i="25"/>
  <c r="AV650" i="25"/>
  <c r="AU651" i="25"/>
  <c r="AT651" i="25"/>
  <c r="AR652" i="25"/>
  <c r="AS651" i="25"/>
  <c r="AQ650" i="25"/>
  <c r="AM652" i="25"/>
  <c r="AN651" i="25"/>
  <c r="AP651" i="25"/>
  <c r="AO651" i="25"/>
  <c r="AL650" i="25"/>
  <c r="AH652" i="25"/>
  <c r="AI651" i="25"/>
  <c r="AJ651" i="25"/>
  <c r="AK651" i="25"/>
  <c r="AE651" i="25"/>
  <c r="AD651" i="25"/>
  <c r="AF651" i="25"/>
  <c r="AC652" i="25"/>
  <c r="AG650" i="25"/>
  <c r="AB650" i="25"/>
  <c r="AA651" i="25"/>
  <c r="X652" i="25"/>
  <c r="Y651" i="25"/>
  <c r="Z651" i="25"/>
  <c r="W652" i="25"/>
  <c r="T653" i="25"/>
  <c r="U653" i="25"/>
  <c r="S654" i="25"/>
  <c r="V653" i="25"/>
  <c r="N700" i="36"/>
  <c r="M651" i="25" s="1"/>
  <c r="J702" i="36"/>
  <c r="I653" i="25" s="1"/>
  <c r="K701" i="36"/>
  <c r="J652" i="25" s="1"/>
  <c r="M701" i="36"/>
  <c r="L652" i="25" s="1"/>
  <c r="L701" i="36"/>
  <c r="K652" i="25" s="1"/>
  <c r="AQ651" i="25" l="1"/>
  <c r="BF653" i="25"/>
  <c r="BE654" i="25"/>
  <c r="BB655" i="25"/>
  <c r="BC654" i="25"/>
  <c r="BD654" i="25"/>
  <c r="BA651" i="25"/>
  <c r="AW653" i="25"/>
  <c r="AX652" i="25"/>
  <c r="AY652" i="25"/>
  <c r="AZ652" i="25"/>
  <c r="AV651" i="25"/>
  <c r="AT652" i="25"/>
  <c r="AU652" i="25"/>
  <c r="AR653" i="25"/>
  <c r="AS652" i="25"/>
  <c r="AP652" i="25"/>
  <c r="AM653" i="25"/>
  <c r="AN652" i="25"/>
  <c r="AO652" i="25"/>
  <c r="AL651" i="25"/>
  <c r="AH653" i="25"/>
  <c r="AI652" i="25"/>
  <c r="AJ652" i="25"/>
  <c r="AK652" i="25"/>
  <c r="AG651" i="25"/>
  <c r="AC653" i="25"/>
  <c r="AD652" i="25"/>
  <c r="AE652" i="25"/>
  <c r="AF652" i="25"/>
  <c r="Z652" i="25"/>
  <c r="AA652" i="25"/>
  <c r="Y652" i="25"/>
  <c r="X653" i="25"/>
  <c r="AB651" i="25"/>
  <c r="W653" i="25"/>
  <c r="V654" i="25"/>
  <c r="T654" i="25"/>
  <c r="U654" i="25"/>
  <c r="S655" i="25"/>
  <c r="M702" i="36"/>
  <c r="L653" i="25" s="1"/>
  <c r="L702" i="36"/>
  <c r="K653" i="25" s="1"/>
  <c r="K702" i="36"/>
  <c r="J653" i="25" s="1"/>
  <c r="J703" i="36"/>
  <c r="I654" i="25" s="1"/>
  <c r="N701" i="36"/>
  <c r="M652" i="25" s="1"/>
  <c r="BD655" i="25" l="1"/>
  <c r="BB656" i="25"/>
  <c r="BC655" i="25"/>
  <c r="BE655" i="25"/>
  <c r="BF654" i="25"/>
  <c r="AW654" i="25"/>
  <c r="AX653" i="25"/>
  <c r="AY653" i="25"/>
  <c r="AZ653" i="25"/>
  <c r="BA652" i="25"/>
  <c r="AV652" i="25"/>
  <c r="AR654" i="25"/>
  <c r="AS653" i="25"/>
  <c r="AT653" i="25"/>
  <c r="AU653" i="25"/>
  <c r="AP653" i="25"/>
  <c r="AM654" i="25"/>
  <c r="AN653" i="25"/>
  <c r="AO653" i="25"/>
  <c r="AQ652" i="25"/>
  <c r="AL652" i="25"/>
  <c r="AK653" i="25"/>
  <c r="AI653" i="25"/>
  <c r="AJ653" i="25"/>
  <c r="AH654" i="25"/>
  <c r="AG652" i="25"/>
  <c r="AC654" i="25"/>
  <c r="AE653" i="25"/>
  <c r="AF653" i="25"/>
  <c r="AD653" i="25"/>
  <c r="AB652" i="25"/>
  <c r="X654" i="25"/>
  <c r="Y653" i="25"/>
  <c r="Z653" i="25"/>
  <c r="AA653" i="25"/>
  <c r="W654" i="25"/>
  <c r="U655" i="25"/>
  <c r="T655" i="25"/>
  <c r="V655" i="25"/>
  <c r="S656" i="25"/>
  <c r="N702" i="36"/>
  <c r="M653" i="25" s="1"/>
  <c r="L703" i="36"/>
  <c r="K654" i="25" s="1"/>
  <c r="M703" i="36"/>
  <c r="L654" i="25" s="1"/>
  <c r="J704" i="36"/>
  <c r="I655" i="25" s="1"/>
  <c r="K703" i="36"/>
  <c r="J654" i="25" s="1"/>
  <c r="BF655" i="25" l="1"/>
  <c r="BB657" i="25"/>
  <c r="BC656" i="25"/>
  <c r="BE656" i="25"/>
  <c r="BD656" i="25"/>
  <c r="BA653" i="25"/>
  <c r="AZ654" i="25"/>
  <c r="AW655" i="25"/>
  <c r="AX654" i="25"/>
  <c r="AY654" i="25"/>
  <c r="AV653" i="25"/>
  <c r="AR655" i="25"/>
  <c r="AS654" i="25"/>
  <c r="AU654" i="25"/>
  <c r="AT654" i="25"/>
  <c r="AM655" i="25"/>
  <c r="AO654" i="25"/>
  <c r="AN654" i="25"/>
  <c r="AP654" i="25"/>
  <c r="AQ653" i="25"/>
  <c r="AL653" i="25"/>
  <c r="AJ654" i="25"/>
  <c r="AK654" i="25"/>
  <c r="AH655" i="25"/>
  <c r="AI654" i="25"/>
  <c r="AG653" i="25"/>
  <c r="AF654" i="25"/>
  <c r="AC655" i="25"/>
  <c r="AE654" i="25"/>
  <c r="AD654" i="25"/>
  <c r="AB653" i="25"/>
  <c r="X655" i="25"/>
  <c r="Y654" i="25"/>
  <c r="Z654" i="25"/>
  <c r="AA654" i="25"/>
  <c r="W655" i="25"/>
  <c r="S657" i="25"/>
  <c r="T656" i="25"/>
  <c r="U656" i="25"/>
  <c r="V656" i="25"/>
  <c r="N703" i="36"/>
  <c r="M654" i="25" s="1"/>
  <c r="J705" i="36"/>
  <c r="I656" i="25" s="1"/>
  <c r="K704" i="36"/>
  <c r="J655" i="25" s="1"/>
  <c r="L704" i="36"/>
  <c r="K655" i="25" s="1"/>
  <c r="M704" i="36"/>
  <c r="L655" i="25" s="1"/>
  <c r="AQ654" i="25" l="1"/>
  <c r="BD657" i="25"/>
  <c r="BE657" i="25"/>
  <c r="BB658" i="25"/>
  <c r="BC657" i="25"/>
  <c r="BF656" i="25"/>
  <c r="AY655" i="25"/>
  <c r="AZ655" i="25"/>
  <c r="AX655" i="25"/>
  <c r="AW656" i="25"/>
  <c r="BA654" i="25"/>
  <c r="AU655" i="25"/>
  <c r="AT655" i="25"/>
  <c r="AS655" i="25"/>
  <c r="AR656" i="25"/>
  <c r="AV654" i="25"/>
  <c r="AP655" i="25"/>
  <c r="AM656" i="25"/>
  <c r="AN655" i="25"/>
  <c r="AO655" i="25"/>
  <c r="AL654" i="25"/>
  <c r="AH656" i="25"/>
  <c r="AI655" i="25"/>
  <c r="AJ655" i="25"/>
  <c r="AK655" i="25"/>
  <c r="AE655" i="25"/>
  <c r="AC656" i="25"/>
  <c r="AF655" i="25"/>
  <c r="AD655" i="25"/>
  <c r="AG654" i="25"/>
  <c r="AB654" i="25"/>
  <c r="AA655" i="25"/>
  <c r="Y655" i="25"/>
  <c r="Z655" i="25"/>
  <c r="X656" i="25"/>
  <c r="U657" i="25"/>
  <c r="V657" i="25"/>
  <c r="T657" i="25"/>
  <c r="S658" i="25"/>
  <c r="W656" i="25"/>
  <c r="N704" i="36"/>
  <c r="M655" i="25" s="1"/>
  <c r="J706" i="36"/>
  <c r="I657" i="25" s="1"/>
  <c r="K705" i="36"/>
  <c r="J656" i="25" s="1"/>
  <c r="M705" i="36"/>
  <c r="L656" i="25" s="1"/>
  <c r="L705" i="36"/>
  <c r="K656" i="25" s="1"/>
  <c r="BF657" i="25" l="1"/>
  <c r="BE658" i="25"/>
  <c r="BB659" i="25"/>
  <c r="BC658" i="25"/>
  <c r="BD658" i="25"/>
  <c r="BA655" i="25"/>
  <c r="AW657" i="25"/>
  <c r="AX656" i="25"/>
  <c r="AY656" i="25"/>
  <c r="AZ656" i="25"/>
  <c r="AV655" i="25"/>
  <c r="AT656" i="25"/>
  <c r="AU656" i="25"/>
  <c r="AR657" i="25"/>
  <c r="AS656" i="25"/>
  <c r="AO656" i="25"/>
  <c r="AP656" i="25"/>
  <c r="AN656" i="25"/>
  <c r="AM657" i="25"/>
  <c r="AQ655" i="25"/>
  <c r="AL655" i="25"/>
  <c r="AH657" i="25"/>
  <c r="AI656" i="25"/>
  <c r="AJ656" i="25"/>
  <c r="AK656" i="25"/>
  <c r="AG655" i="25"/>
  <c r="AC657" i="25"/>
  <c r="AD656" i="25"/>
  <c r="AF656" i="25"/>
  <c r="AE656" i="25"/>
  <c r="AB655" i="25"/>
  <c r="Z656" i="25"/>
  <c r="AA656" i="25"/>
  <c r="X657" i="25"/>
  <c r="Y656" i="25"/>
  <c r="W657" i="25"/>
  <c r="V658" i="25"/>
  <c r="U658" i="25"/>
  <c r="S659" i="25"/>
  <c r="T658" i="25"/>
  <c r="N705" i="36"/>
  <c r="M656" i="25" s="1"/>
  <c r="M706" i="36"/>
  <c r="L657" i="25" s="1"/>
  <c r="L706" i="36"/>
  <c r="K657" i="25" s="1"/>
  <c r="J707" i="36"/>
  <c r="I658" i="25" s="1"/>
  <c r="K706" i="36"/>
  <c r="J657" i="25" s="1"/>
  <c r="BD659" i="25" l="1"/>
  <c r="BB660" i="25"/>
  <c r="BC659" i="25"/>
  <c r="BE659" i="25"/>
  <c r="BF658" i="25"/>
  <c r="BA656" i="25"/>
  <c r="AW658" i="25"/>
  <c r="AX657" i="25"/>
  <c r="AY657" i="25"/>
  <c r="AZ657" i="25"/>
  <c r="AV656" i="25"/>
  <c r="AR658" i="25"/>
  <c r="AS657" i="25"/>
  <c r="AT657" i="25"/>
  <c r="AU657" i="25"/>
  <c r="AQ656" i="25"/>
  <c r="AM658" i="25"/>
  <c r="AN657" i="25"/>
  <c r="AO657" i="25"/>
  <c r="AP657" i="25"/>
  <c r="AL656" i="25"/>
  <c r="AK657" i="25"/>
  <c r="AH658" i="25"/>
  <c r="AI657" i="25"/>
  <c r="AJ657" i="25"/>
  <c r="AG656" i="25"/>
  <c r="AE657" i="25"/>
  <c r="AD657" i="25"/>
  <c r="AC658" i="25"/>
  <c r="AF657" i="25"/>
  <c r="AB656" i="25"/>
  <c r="X658" i="25"/>
  <c r="Y657" i="25"/>
  <c r="Z657" i="25"/>
  <c r="AA657" i="25"/>
  <c r="W658" i="25"/>
  <c r="U659" i="25"/>
  <c r="V659" i="25"/>
  <c r="T659" i="25"/>
  <c r="S660" i="25"/>
  <c r="N706" i="36"/>
  <c r="M657" i="25" s="1"/>
  <c r="L707" i="36"/>
  <c r="K658" i="25" s="1"/>
  <c r="M707" i="36"/>
  <c r="L658" i="25" s="1"/>
  <c r="J708" i="36"/>
  <c r="I659" i="25" s="1"/>
  <c r="K707" i="36"/>
  <c r="J658" i="25" s="1"/>
  <c r="BF659" i="25" l="1"/>
  <c r="BB661" i="25"/>
  <c r="BC660" i="25"/>
  <c r="BE660" i="25"/>
  <c r="BD660" i="25"/>
  <c r="BA657" i="25"/>
  <c r="AY658" i="25"/>
  <c r="AW659" i="25"/>
  <c r="AX658" i="25"/>
  <c r="AZ658" i="25"/>
  <c r="AV657" i="25"/>
  <c r="AR659" i="25"/>
  <c r="AS658" i="25"/>
  <c r="AU658" i="25"/>
  <c r="AT658" i="25"/>
  <c r="AQ657" i="25"/>
  <c r="AM659" i="25"/>
  <c r="AN658" i="25"/>
  <c r="AO658" i="25"/>
  <c r="AP658" i="25"/>
  <c r="AJ658" i="25"/>
  <c r="AK658" i="25"/>
  <c r="AI658" i="25"/>
  <c r="AH659" i="25"/>
  <c r="AL657" i="25"/>
  <c r="AG657" i="25"/>
  <c r="AC659" i="25"/>
  <c r="AD658" i="25"/>
  <c r="AF658" i="25"/>
  <c r="AE658" i="25"/>
  <c r="AB657" i="25"/>
  <c r="X659" i="25"/>
  <c r="Y658" i="25"/>
  <c r="Z658" i="25"/>
  <c r="AA658" i="25"/>
  <c r="S661" i="25"/>
  <c r="T660" i="25"/>
  <c r="V660" i="25"/>
  <c r="U660" i="25"/>
  <c r="W659" i="25"/>
  <c r="N707" i="36"/>
  <c r="M658" i="25" s="1"/>
  <c r="J709" i="36"/>
  <c r="I660" i="25" s="1"/>
  <c r="K708" i="36"/>
  <c r="J659" i="25" s="1"/>
  <c r="L708" i="36"/>
  <c r="K659" i="25" s="1"/>
  <c r="M708" i="36"/>
  <c r="L659" i="25" s="1"/>
  <c r="BD661" i="25" l="1"/>
  <c r="BE661" i="25"/>
  <c r="BC661" i="25"/>
  <c r="BB662" i="25"/>
  <c r="BF660" i="25"/>
  <c r="BA658" i="25"/>
  <c r="AW660" i="25"/>
  <c r="AX659" i="25"/>
  <c r="AY659" i="25"/>
  <c r="AZ659" i="25"/>
  <c r="AU659" i="25"/>
  <c r="AT659" i="25"/>
  <c r="AR660" i="25"/>
  <c r="AS659" i="25"/>
  <c r="AV658" i="25"/>
  <c r="AQ658" i="25"/>
  <c r="AP659" i="25"/>
  <c r="AM660" i="25"/>
  <c r="AN659" i="25"/>
  <c r="AO659" i="25"/>
  <c r="AL658" i="25"/>
  <c r="AH660" i="25"/>
  <c r="AI659" i="25"/>
  <c r="AJ659" i="25"/>
  <c r="AK659" i="25"/>
  <c r="AE659" i="25"/>
  <c r="AF659" i="25"/>
  <c r="AC660" i="25"/>
  <c r="AD659" i="25"/>
  <c r="AG658" i="25"/>
  <c r="AB658" i="25"/>
  <c r="AA659" i="25"/>
  <c r="X660" i="25"/>
  <c r="Y659" i="25"/>
  <c r="Z659" i="25"/>
  <c r="V661" i="25"/>
  <c r="S662" i="25"/>
  <c r="T661" i="25"/>
  <c r="U661" i="25"/>
  <c r="W660" i="25"/>
  <c r="J710" i="36"/>
  <c r="I661" i="25" s="1"/>
  <c r="K709" i="36"/>
  <c r="J660" i="25" s="1"/>
  <c r="M709" i="36"/>
  <c r="L660" i="25" s="1"/>
  <c r="L709" i="36"/>
  <c r="K660" i="25" s="1"/>
  <c r="N708" i="36"/>
  <c r="M659" i="25" s="1"/>
  <c r="BF661" i="25" l="1"/>
  <c r="BE662" i="25"/>
  <c r="BB663" i="25"/>
  <c r="BC662" i="25"/>
  <c r="BD662" i="25"/>
  <c r="BA659" i="25"/>
  <c r="AW661" i="25"/>
  <c r="AX660" i="25"/>
  <c r="AY660" i="25"/>
  <c r="AZ660" i="25"/>
  <c r="AV659" i="25"/>
  <c r="AT660" i="25"/>
  <c r="AU660" i="25"/>
  <c r="AR661" i="25"/>
  <c r="AS660" i="25"/>
  <c r="AO660" i="25"/>
  <c r="AP660" i="25"/>
  <c r="AN660" i="25"/>
  <c r="AM661" i="25"/>
  <c r="AQ659" i="25"/>
  <c r="AL659" i="25"/>
  <c r="AH661" i="25"/>
  <c r="AI660" i="25"/>
  <c r="AJ660" i="25"/>
  <c r="AK660" i="25"/>
  <c r="AG659" i="25"/>
  <c r="AF660" i="25"/>
  <c r="AC661" i="25"/>
  <c r="AD660" i="25"/>
  <c r="AE660" i="25"/>
  <c r="Z660" i="25"/>
  <c r="AA660" i="25"/>
  <c r="Y660" i="25"/>
  <c r="X661" i="25"/>
  <c r="AB659" i="25"/>
  <c r="V662" i="25"/>
  <c r="S663" i="25"/>
  <c r="T662" i="25"/>
  <c r="U662" i="25"/>
  <c r="W661" i="25"/>
  <c r="M710" i="36"/>
  <c r="L661" i="25" s="1"/>
  <c r="L710" i="36"/>
  <c r="K661" i="25" s="1"/>
  <c r="J711" i="36"/>
  <c r="I662" i="25" s="1"/>
  <c r="K710" i="36"/>
  <c r="J661" i="25" s="1"/>
  <c r="N709" i="36"/>
  <c r="M660" i="25" s="1"/>
  <c r="BD663" i="25" l="1"/>
  <c r="BB664" i="25"/>
  <c r="BC663" i="25"/>
  <c r="BE663" i="25"/>
  <c r="BF662" i="25"/>
  <c r="BA660" i="25"/>
  <c r="AZ661" i="25"/>
  <c r="AW662" i="25"/>
  <c r="AX661" i="25"/>
  <c r="AY661" i="25"/>
  <c r="AV660" i="25"/>
  <c r="AR662" i="25"/>
  <c r="AS661" i="25"/>
  <c r="AT661" i="25"/>
  <c r="AU661" i="25"/>
  <c r="AQ660" i="25"/>
  <c r="AM662" i="25"/>
  <c r="AN661" i="25"/>
  <c r="AO661" i="25"/>
  <c r="AP661" i="25"/>
  <c r="AL660" i="25"/>
  <c r="AK661" i="25"/>
  <c r="AI661" i="25"/>
  <c r="AJ661" i="25"/>
  <c r="AH662" i="25"/>
  <c r="AE661" i="25"/>
  <c r="AC662" i="25"/>
  <c r="AD661" i="25"/>
  <c r="AF661" i="25"/>
  <c r="AG660" i="25"/>
  <c r="AB660" i="25"/>
  <c r="X662" i="25"/>
  <c r="Y661" i="25"/>
  <c r="Z661" i="25"/>
  <c r="AA661" i="25"/>
  <c r="U663" i="25"/>
  <c r="S664" i="25"/>
  <c r="T663" i="25"/>
  <c r="V663" i="25"/>
  <c r="W662" i="25"/>
  <c r="L711" i="36"/>
  <c r="K662" i="25" s="1"/>
  <c r="M711" i="36"/>
  <c r="L662" i="25" s="1"/>
  <c r="J712" i="36"/>
  <c r="I663" i="25" s="1"/>
  <c r="K711" i="36"/>
  <c r="J662" i="25" s="1"/>
  <c r="N710" i="36"/>
  <c r="M661" i="25" s="1"/>
  <c r="BF663" i="25" l="1"/>
  <c r="BE664" i="25"/>
  <c r="BC664" i="25"/>
  <c r="BB665" i="25"/>
  <c r="BD664" i="25"/>
  <c r="AY662" i="25"/>
  <c r="AW663" i="25"/>
  <c r="AX662" i="25"/>
  <c r="AZ662" i="25"/>
  <c r="BA661" i="25"/>
  <c r="AV661" i="25"/>
  <c r="AR663" i="25"/>
  <c r="AS662" i="25"/>
  <c r="AU662" i="25"/>
  <c r="AT662" i="25"/>
  <c r="AQ661" i="25"/>
  <c r="AM663" i="25"/>
  <c r="AN662" i="25"/>
  <c r="AO662" i="25"/>
  <c r="AP662" i="25"/>
  <c r="AL661" i="25"/>
  <c r="AJ662" i="25"/>
  <c r="AK662" i="25"/>
  <c r="AH663" i="25"/>
  <c r="AI662" i="25"/>
  <c r="AG661" i="25"/>
  <c r="AC663" i="25"/>
  <c r="AD662" i="25"/>
  <c r="AF662" i="25"/>
  <c r="AE662" i="25"/>
  <c r="AB661" i="25"/>
  <c r="X663" i="25"/>
  <c r="Y662" i="25"/>
  <c r="Z662" i="25"/>
  <c r="AA662" i="25"/>
  <c r="W663" i="25"/>
  <c r="S665" i="25"/>
  <c r="T664" i="25"/>
  <c r="U664" i="25"/>
  <c r="V664" i="25"/>
  <c r="N711" i="36"/>
  <c r="M662" i="25" s="1"/>
  <c r="J713" i="36"/>
  <c r="I664" i="25" s="1"/>
  <c r="K712" i="36"/>
  <c r="J663" i="25" s="1"/>
  <c r="L712" i="36"/>
  <c r="K663" i="25" s="1"/>
  <c r="M712" i="36"/>
  <c r="L663" i="25" s="1"/>
  <c r="BA662" i="25" l="1"/>
  <c r="BD665" i="25"/>
  <c r="BC665" i="25"/>
  <c r="BB666" i="25"/>
  <c r="BE665" i="25"/>
  <c r="BF664" i="25"/>
  <c r="AW664" i="25"/>
  <c r="AX663" i="25"/>
  <c r="AY663" i="25"/>
  <c r="AZ663" i="25"/>
  <c r="AR664" i="25"/>
  <c r="AS663" i="25"/>
  <c r="AU663" i="25"/>
  <c r="AT663" i="25"/>
  <c r="AV662" i="25"/>
  <c r="AQ662" i="25"/>
  <c r="AP663" i="25"/>
  <c r="AM664" i="25"/>
  <c r="AN663" i="25"/>
  <c r="AO663" i="25"/>
  <c r="AL662" i="25"/>
  <c r="AH664" i="25"/>
  <c r="AI663" i="25"/>
  <c r="AJ663" i="25"/>
  <c r="AK663" i="25"/>
  <c r="AE663" i="25"/>
  <c r="AF663" i="25"/>
  <c r="AC664" i="25"/>
  <c r="AD663" i="25"/>
  <c r="AG662" i="25"/>
  <c r="AB662" i="25"/>
  <c r="AA663" i="25"/>
  <c r="Y663" i="25"/>
  <c r="X664" i="25"/>
  <c r="Z663" i="25"/>
  <c r="W664" i="25"/>
  <c r="S666" i="25"/>
  <c r="T665" i="25"/>
  <c r="U665" i="25"/>
  <c r="V665" i="25"/>
  <c r="N712" i="36"/>
  <c r="M663" i="25" s="1"/>
  <c r="J714" i="36"/>
  <c r="I665" i="25" s="1"/>
  <c r="K713" i="36"/>
  <c r="J664" i="25" s="1"/>
  <c r="M713" i="36"/>
  <c r="L664" i="25" s="1"/>
  <c r="L713" i="36"/>
  <c r="K664" i="25" s="1"/>
  <c r="BF665" i="25" l="1"/>
  <c r="BB667" i="25"/>
  <c r="BC666" i="25"/>
  <c r="BD666" i="25"/>
  <c r="BE666" i="25"/>
  <c r="BA663" i="25"/>
  <c r="AX664" i="25"/>
  <c r="AY664" i="25"/>
  <c r="AZ664" i="25"/>
  <c r="AW665" i="25"/>
  <c r="AV663" i="25"/>
  <c r="AU664" i="25"/>
  <c r="AR665" i="25"/>
  <c r="AS664" i="25"/>
  <c r="AT664" i="25"/>
  <c r="AO664" i="25"/>
  <c r="AP664" i="25"/>
  <c r="AM665" i="25"/>
  <c r="AN664" i="25"/>
  <c r="AQ663" i="25"/>
  <c r="AL663" i="25"/>
  <c r="AH665" i="25"/>
  <c r="AI664" i="25"/>
  <c r="AJ664" i="25"/>
  <c r="AK664" i="25"/>
  <c r="AG663" i="25"/>
  <c r="AF664" i="25"/>
  <c r="AC665" i="25"/>
  <c r="AD664" i="25"/>
  <c r="AE664" i="25"/>
  <c r="Z664" i="25"/>
  <c r="AA664" i="25"/>
  <c r="X665" i="25"/>
  <c r="Y664" i="25"/>
  <c r="AB663" i="25"/>
  <c r="W665" i="25"/>
  <c r="V666" i="25"/>
  <c r="S667" i="25"/>
  <c r="T666" i="25"/>
  <c r="U666" i="25"/>
  <c r="N713" i="36"/>
  <c r="M664" i="25" s="1"/>
  <c r="M714" i="36"/>
  <c r="L665" i="25" s="1"/>
  <c r="L714" i="36"/>
  <c r="K665" i="25" s="1"/>
  <c r="K714" i="36"/>
  <c r="J665" i="25" s="1"/>
  <c r="J715" i="36"/>
  <c r="I666" i="25" s="1"/>
  <c r="BD667" i="25" l="1"/>
  <c r="BB668" i="25"/>
  <c r="BC667" i="25"/>
  <c r="BE667" i="25"/>
  <c r="BF666" i="25"/>
  <c r="BA664" i="25"/>
  <c r="AZ665" i="25"/>
  <c r="AX665" i="25"/>
  <c r="AY665" i="25"/>
  <c r="AW666" i="25"/>
  <c r="AT665" i="25"/>
  <c r="AR666" i="25"/>
  <c r="AS665" i="25"/>
  <c r="AU665" i="25"/>
  <c r="AV664" i="25"/>
  <c r="AQ664" i="25"/>
  <c r="AM666" i="25"/>
  <c r="AN665" i="25"/>
  <c r="AO665" i="25"/>
  <c r="AP665" i="25"/>
  <c r="AL664" i="25"/>
  <c r="AK665" i="25"/>
  <c r="AH666" i="25"/>
  <c r="AI665" i="25"/>
  <c r="AJ665" i="25"/>
  <c r="AE665" i="25"/>
  <c r="AC666" i="25"/>
  <c r="AD665" i="25"/>
  <c r="AF665" i="25"/>
  <c r="AG664" i="25"/>
  <c r="AB664" i="25"/>
  <c r="X666" i="25"/>
  <c r="Y665" i="25"/>
  <c r="Z665" i="25"/>
  <c r="AA665" i="25"/>
  <c r="U667" i="25"/>
  <c r="S668" i="25"/>
  <c r="T667" i="25"/>
  <c r="V667" i="25"/>
  <c r="W666" i="25"/>
  <c r="N714" i="36"/>
  <c r="M665" i="25" s="1"/>
  <c r="L715" i="36"/>
  <c r="K666" i="25" s="1"/>
  <c r="M715" i="36"/>
  <c r="L666" i="25" s="1"/>
  <c r="J716" i="36"/>
  <c r="I667" i="25" s="1"/>
  <c r="K715" i="36"/>
  <c r="J666" i="25" s="1"/>
  <c r="BF667" i="25" l="1"/>
  <c r="BE668" i="25"/>
  <c r="BD668" i="25"/>
  <c r="BB669" i="25"/>
  <c r="BC668" i="25"/>
  <c r="BA665" i="25"/>
  <c r="AY666" i="25"/>
  <c r="AX666" i="25"/>
  <c r="AZ666" i="25"/>
  <c r="AW667" i="25"/>
  <c r="AV665" i="25"/>
  <c r="AR667" i="25"/>
  <c r="AS666" i="25"/>
  <c r="AT666" i="25"/>
  <c r="AU666" i="25"/>
  <c r="AQ665" i="25"/>
  <c r="AM667" i="25"/>
  <c r="AN666" i="25"/>
  <c r="AO666" i="25"/>
  <c r="AP666" i="25"/>
  <c r="AJ666" i="25"/>
  <c r="AK666" i="25"/>
  <c r="AI666" i="25"/>
  <c r="AH667" i="25"/>
  <c r="AL665" i="25"/>
  <c r="AG665" i="25"/>
  <c r="AC667" i="25"/>
  <c r="AD666" i="25"/>
  <c r="AF666" i="25"/>
  <c r="AE666" i="25"/>
  <c r="AB665" i="25"/>
  <c r="X667" i="25"/>
  <c r="Y666" i="25"/>
  <c r="Z666" i="25"/>
  <c r="AA666" i="25"/>
  <c r="W667" i="25"/>
  <c r="S669" i="25"/>
  <c r="T668" i="25"/>
  <c r="U668" i="25"/>
  <c r="V668" i="25"/>
  <c r="N715" i="36"/>
  <c r="M666" i="25" s="1"/>
  <c r="J717" i="36"/>
  <c r="I668" i="25" s="1"/>
  <c r="K716" i="36"/>
  <c r="J667" i="25" s="1"/>
  <c r="L716" i="36"/>
  <c r="K667" i="25" s="1"/>
  <c r="M716" i="36"/>
  <c r="L667" i="25" s="1"/>
  <c r="BA666" i="25" l="1"/>
  <c r="BF668" i="25"/>
  <c r="BD669" i="25"/>
  <c r="BE669" i="25"/>
  <c r="BB670" i="25"/>
  <c r="BC669" i="25"/>
  <c r="AW668" i="25"/>
  <c r="AX667" i="25"/>
  <c r="AY667" i="25"/>
  <c r="AZ667" i="25"/>
  <c r="AV666" i="25"/>
  <c r="AS667" i="25"/>
  <c r="AT667" i="25"/>
  <c r="AR668" i="25"/>
  <c r="AU667" i="25"/>
  <c r="AQ666" i="25"/>
  <c r="AP667" i="25"/>
  <c r="AM668" i="25"/>
  <c r="AN667" i="25"/>
  <c r="AO667" i="25"/>
  <c r="AL666" i="25"/>
  <c r="AH668" i="25"/>
  <c r="AI667" i="25"/>
  <c r="AJ667" i="25"/>
  <c r="AK667" i="25"/>
  <c r="AE667" i="25"/>
  <c r="AF667" i="25"/>
  <c r="AD667" i="25"/>
  <c r="AC668" i="25"/>
  <c r="AG666" i="25"/>
  <c r="AB666" i="25"/>
  <c r="AA667" i="25"/>
  <c r="X668" i="25"/>
  <c r="Y667" i="25"/>
  <c r="Z667" i="25"/>
  <c r="T669" i="25"/>
  <c r="U669" i="25"/>
  <c r="V669" i="25"/>
  <c r="S670" i="25"/>
  <c r="W668" i="25"/>
  <c r="J718" i="36"/>
  <c r="I669" i="25" s="1"/>
  <c r="K717" i="36"/>
  <c r="J668" i="25" s="1"/>
  <c r="M717" i="36"/>
  <c r="L668" i="25" s="1"/>
  <c r="L717" i="36"/>
  <c r="K668" i="25" s="1"/>
  <c r="N716" i="36"/>
  <c r="M667" i="25" s="1"/>
  <c r="BF669" i="25" l="1"/>
  <c r="BB671" i="25"/>
  <c r="BC670" i="25"/>
  <c r="BE670" i="25"/>
  <c r="BD670" i="25"/>
  <c r="BA667" i="25"/>
  <c r="AY668" i="25"/>
  <c r="AZ668" i="25"/>
  <c r="AW669" i="25"/>
  <c r="AX668" i="25"/>
  <c r="AV667" i="25"/>
  <c r="AU668" i="25"/>
  <c r="AS668" i="25"/>
  <c r="AT668" i="25"/>
  <c r="AR669" i="25"/>
  <c r="AO668" i="25"/>
  <c r="AP668" i="25"/>
  <c r="AN668" i="25"/>
  <c r="AM669" i="25"/>
  <c r="AQ667" i="25"/>
  <c r="AL667" i="25"/>
  <c r="AH669" i="25"/>
  <c r="AI668" i="25"/>
  <c r="AJ668" i="25"/>
  <c r="AK668" i="25"/>
  <c r="AG667" i="25"/>
  <c r="AF668" i="25"/>
  <c r="AC669" i="25"/>
  <c r="AD668" i="25"/>
  <c r="AE668" i="25"/>
  <c r="Z668" i="25"/>
  <c r="AA668" i="25"/>
  <c r="Y668" i="25"/>
  <c r="X669" i="25"/>
  <c r="AB667" i="25"/>
  <c r="W669" i="25"/>
  <c r="V670" i="25"/>
  <c r="T670" i="25"/>
  <c r="U670" i="25"/>
  <c r="S671" i="25"/>
  <c r="M718" i="36"/>
  <c r="L669" i="25" s="1"/>
  <c r="L718" i="36"/>
  <c r="K669" i="25" s="1"/>
  <c r="K718" i="36"/>
  <c r="J669" i="25" s="1"/>
  <c r="J719" i="36"/>
  <c r="I670" i="25" s="1"/>
  <c r="N717" i="36"/>
  <c r="M668" i="25" s="1"/>
  <c r="BE671" i="25" l="1"/>
  <c r="BC671" i="25"/>
  <c r="BD671" i="25"/>
  <c r="BB672" i="25"/>
  <c r="BF670" i="25"/>
  <c r="BA668" i="25"/>
  <c r="AZ669" i="25"/>
  <c r="AY669" i="25"/>
  <c r="AW670" i="25"/>
  <c r="AX669" i="25"/>
  <c r="AV668" i="25"/>
  <c r="AT669" i="25"/>
  <c r="AS669" i="25"/>
  <c r="AU669" i="25"/>
  <c r="AR670" i="25"/>
  <c r="AQ668" i="25"/>
  <c r="AM670" i="25"/>
  <c r="AN669" i="25"/>
  <c r="AO669" i="25"/>
  <c r="AP669" i="25"/>
  <c r="AL668" i="25"/>
  <c r="AK669" i="25"/>
  <c r="AI669" i="25"/>
  <c r="AJ669" i="25"/>
  <c r="AH670" i="25"/>
  <c r="AE669" i="25"/>
  <c r="AC670" i="25"/>
  <c r="AD669" i="25"/>
  <c r="AF669" i="25"/>
  <c r="AG668" i="25"/>
  <c r="AB668" i="25"/>
  <c r="X670" i="25"/>
  <c r="Y669" i="25"/>
  <c r="Z669" i="25"/>
  <c r="AA669" i="25"/>
  <c r="U671" i="25"/>
  <c r="T671" i="25"/>
  <c r="V671" i="25"/>
  <c r="S672" i="25"/>
  <c r="W670" i="25"/>
  <c r="N718" i="36"/>
  <c r="M669" i="25" s="1"/>
  <c r="L719" i="36"/>
  <c r="K670" i="25" s="1"/>
  <c r="M719" i="36"/>
  <c r="L670" i="25" s="1"/>
  <c r="J720" i="36"/>
  <c r="I671" i="25" s="1"/>
  <c r="K719" i="36"/>
  <c r="J670" i="25" s="1"/>
  <c r="BF671" i="25" l="1"/>
  <c r="BE672" i="25"/>
  <c r="BC672" i="25"/>
  <c r="BD672" i="25"/>
  <c r="BB673" i="25"/>
  <c r="BA669" i="25"/>
  <c r="AY670" i="25"/>
  <c r="AZ670" i="25"/>
  <c r="AW671" i="25"/>
  <c r="AX670" i="25"/>
  <c r="AV669" i="25"/>
  <c r="AR671" i="25"/>
  <c r="AS670" i="25"/>
  <c r="AT670" i="25"/>
  <c r="AU670" i="25"/>
  <c r="AM671" i="25"/>
  <c r="AN670" i="25"/>
  <c r="AO670" i="25"/>
  <c r="AP670" i="25"/>
  <c r="AQ669" i="25"/>
  <c r="AL669" i="25"/>
  <c r="AJ670" i="25"/>
  <c r="AK670" i="25"/>
  <c r="AH671" i="25"/>
  <c r="AI670" i="25"/>
  <c r="AG669" i="25"/>
  <c r="AC671" i="25"/>
  <c r="AD670" i="25"/>
  <c r="AF670" i="25"/>
  <c r="AE670" i="25"/>
  <c r="AB669" i="25"/>
  <c r="X671" i="25"/>
  <c r="Y670" i="25"/>
  <c r="Z670" i="25"/>
  <c r="AA670" i="25"/>
  <c r="W671" i="25"/>
  <c r="S673" i="25"/>
  <c r="T672" i="25"/>
  <c r="U672" i="25"/>
  <c r="V672" i="25"/>
  <c r="N719" i="36"/>
  <c r="M670" i="25" s="1"/>
  <c r="J721" i="36"/>
  <c r="I672" i="25" s="1"/>
  <c r="K720" i="36"/>
  <c r="J671" i="25" s="1"/>
  <c r="L720" i="36"/>
  <c r="K671" i="25" s="1"/>
  <c r="M720" i="36"/>
  <c r="L671" i="25" s="1"/>
  <c r="BD673" i="25" l="1"/>
  <c r="BC673" i="25"/>
  <c r="BE673" i="25"/>
  <c r="BB674" i="25"/>
  <c r="BF672" i="25"/>
  <c r="BA670" i="25"/>
  <c r="AW672" i="25"/>
  <c r="AX671" i="25"/>
  <c r="AZ671" i="25"/>
  <c r="AY671" i="25"/>
  <c r="AV670" i="25"/>
  <c r="AT671" i="25"/>
  <c r="AU671" i="25"/>
  <c r="AS671" i="25"/>
  <c r="AR672" i="25"/>
  <c r="AQ670" i="25"/>
  <c r="AP671" i="25"/>
  <c r="AM672" i="25"/>
  <c r="AN671" i="25"/>
  <c r="AO671" i="25"/>
  <c r="AL670" i="25"/>
  <c r="AH672" i="25"/>
  <c r="AI671" i="25"/>
  <c r="AJ671" i="25"/>
  <c r="AK671" i="25"/>
  <c r="AE671" i="25"/>
  <c r="AF671" i="25"/>
  <c r="AC672" i="25"/>
  <c r="AD671" i="25"/>
  <c r="AG670" i="25"/>
  <c r="AB670" i="25"/>
  <c r="AA671" i="25"/>
  <c r="Y671" i="25"/>
  <c r="Z671" i="25"/>
  <c r="X672" i="25"/>
  <c r="U673" i="25"/>
  <c r="V673" i="25"/>
  <c r="S674" i="25"/>
  <c r="T673" i="25"/>
  <c r="W672" i="25"/>
  <c r="N720" i="36"/>
  <c r="M671" i="25" s="1"/>
  <c r="J722" i="36"/>
  <c r="I673" i="25" s="1"/>
  <c r="K721" i="36"/>
  <c r="J672" i="25" s="1"/>
  <c r="M721" i="36"/>
  <c r="L672" i="25" s="1"/>
  <c r="L721" i="36"/>
  <c r="K672" i="25" s="1"/>
  <c r="BF673" i="25" l="1"/>
  <c r="BB675" i="25"/>
  <c r="BC674" i="25"/>
  <c r="BD674" i="25"/>
  <c r="BE674" i="25"/>
  <c r="BA671" i="25"/>
  <c r="AZ672" i="25"/>
  <c r="AW673" i="25"/>
  <c r="AX672" i="25"/>
  <c r="AY672" i="25"/>
  <c r="AV671" i="25"/>
  <c r="AU672" i="25"/>
  <c r="AT672" i="25"/>
  <c r="AS672" i="25"/>
  <c r="AR673" i="25"/>
  <c r="AO672" i="25"/>
  <c r="AP672" i="25"/>
  <c r="AN672" i="25"/>
  <c r="AM673" i="25"/>
  <c r="AQ671" i="25"/>
  <c r="AL671" i="25"/>
  <c r="AH673" i="25"/>
  <c r="AI672" i="25"/>
  <c r="AJ672" i="25"/>
  <c r="AK672" i="25"/>
  <c r="AG671" i="25"/>
  <c r="AF672" i="25"/>
  <c r="AC673" i="25"/>
  <c r="AD672" i="25"/>
  <c r="AE672" i="25"/>
  <c r="AB671" i="25"/>
  <c r="Z672" i="25"/>
  <c r="AA672" i="25"/>
  <c r="X673" i="25"/>
  <c r="Y672" i="25"/>
  <c r="W673" i="25"/>
  <c r="V674" i="25"/>
  <c r="U674" i="25"/>
  <c r="T674" i="25"/>
  <c r="S675" i="25"/>
  <c r="N721" i="36"/>
  <c r="M672" i="25" s="1"/>
  <c r="M722" i="36"/>
  <c r="L673" i="25" s="1"/>
  <c r="L722" i="36"/>
  <c r="K673" i="25" s="1"/>
  <c r="K722" i="36"/>
  <c r="J673" i="25" s="1"/>
  <c r="J723" i="36"/>
  <c r="I674" i="25" s="1"/>
  <c r="BF674" i="25" l="1"/>
  <c r="BB676" i="25"/>
  <c r="BD675" i="25"/>
  <c r="BE675" i="25"/>
  <c r="BC675" i="25"/>
  <c r="AZ673" i="25"/>
  <c r="AW674" i="25"/>
  <c r="AX673" i="25"/>
  <c r="AY673" i="25"/>
  <c r="BA672" i="25"/>
  <c r="AV672" i="25"/>
  <c r="AT673" i="25"/>
  <c r="AU673" i="25"/>
  <c r="AS673" i="25"/>
  <c r="AR674" i="25"/>
  <c r="AQ672" i="25"/>
  <c r="AM674" i="25"/>
  <c r="AN673" i="25"/>
  <c r="AO673" i="25"/>
  <c r="AP673" i="25"/>
  <c r="AL672" i="25"/>
  <c r="AK673" i="25"/>
  <c r="AH674" i="25"/>
  <c r="AI673" i="25"/>
  <c r="AJ673" i="25"/>
  <c r="AG672" i="25"/>
  <c r="AE673" i="25"/>
  <c r="AC674" i="25"/>
  <c r="AD673" i="25"/>
  <c r="AF673" i="25"/>
  <c r="AB672" i="25"/>
  <c r="X674" i="25"/>
  <c r="Y673" i="25"/>
  <c r="Z673" i="25"/>
  <c r="AA673" i="25"/>
  <c r="U675" i="25"/>
  <c r="V675" i="25"/>
  <c r="S676" i="25"/>
  <c r="T675" i="25"/>
  <c r="W674" i="25"/>
  <c r="N722" i="36"/>
  <c r="M673" i="25" s="1"/>
  <c r="L723" i="36"/>
  <c r="K674" i="25" s="1"/>
  <c r="M723" i="36"/>
  <c r="L674" i="25" s="1"/>
  <c r="J724" i="36"/>
  <c r="I675" i="25" s="1"/>
  <c r="K723" i="36"/>
  <c r="J674" i="25" s="1"/>
  <c r="BF675" i="25" l="1"/>
  <c r="BE676" i="25"/>
  <c r="BB677" i="25"/>
  <c r="BD676" i="25"/>
  <c r="BC676" i="25"/>
  <c r="AY674" i="25"/>
  <c r="AW675" i="25"/>
  <c r="AX674" i="25"/>
  <c r="AZ674" i="25"/>
  <c r="BA673" i="25"/>
  <c r="AV673" i="25"/>
  <c r="AR675" i="25"/>
  <c r="AS674" i="25"/>
  <c r="AU674" i="25"/>
  <c r="AT674" i="25"/>
  <c r="AM675" i="25"/>
  <c r="AN674" i="25"/>
  <c r="AO674" i="25"/>
  <c r="AP674" i="25"/>
  <c r="AQ673" i="25"/>
  <c r="AJ674" i="25"/>
  <c r="AK674" i="25"/>
  <c r="AI674" i="25"/>
  <c r="AH675" i="25"/>
  <c r="AL673" i="25"/>
  <c r="AG673" i="25"/>
  <c r="AC675" i="25"/>
  <c r="AD674" i="25"/>
  <c r="AF674" i="25"/>
  <c r="AE674" i="25"/>
  <c r="AB673" i="25"/>
  <c r="X675" i="25"/>
  <c r="Y674" i="25"/>
  <c r="Z674" i="25"/>
  <c r="AA674" i="25"/>
  <c r="W675" i="25"/>
  <c r="S677" i="25"/>
  <c r="T676" i="25"/>
  <c r="V676" i="25"/>
  <c r="U676" i="25"/>
  <c r="N723" i="36"/>
  <c r="M674" i="25" s="1"/>
  <c r="J725" i="36"/>
  <c r="I676" i="25" s="1"/>
  <c r="K724" i="36"/>
  <c r="J675" i="25" s="1"/>
  <c r="L724" i="36"/>
  <c r="K675" i="25" s="1"/>
  <c r="M724" i="36"/>
  <c r="L675" i="25" s="1"/>
  <c r="BD677" i="25" l="1"/>
  <c r="BB678" i="25"/>
  <c r="BE677" i="25"/>
  <c r="BC677" i="25"/>
  <c r="BF676" i="25"/>
  <c r="BA674" i="25"/>
  <c r="AW676" i="25"/>
  <c r="AX675" i="25"/>
  <c r="AY675" i="25"/>
  <c r="AZ675" i="25"/>
  <c r="AU675" i="25"/>
  <c r="AR676" i="25"/>
  <c r="AT675" i="25"/>
  <c r="AS675" i="25"/>
  <c r="AV674" i="25"/>
  <c r="AQ674" i="25"/>
  <c r="AP675" i="25"/>
  <c r="AM676" i="25"/>
  <c r="AN675" i="25"/>
  <c r="AO675" i="25"/>
  <c r="AL674" i="25"/>
  <c r="AH676" i="25"/>
  <c r="AI675" i="25"/>
  <c r="AJ675" i="25"/>
  <c r="AK675" i="25"/>
  <c r="AE675" i="25"/>
  <c r="AF675" i="25"/>
  <c r="AD675" i="25"/>
  <c r="AC676" i="25"/>
  <c r="AG674" i="25"/>
  <c r="AB674" i="25"/>
  <c r="AA675" i="25"/>
  <c r="X676" i="25"/>
  <c r="Y675" i="25"/>
  <c r="Z675" i="25"/>
  <c r="W676" i="25"/>
  <c r="V677" i="25"/>
  <c r="S678" i="25"/>
  <c r="T677" i="25"/>
  <c r="U677" i="25"/>
  <c r="N724" i="36"/>
  <c r="M675" i="25" s="1"/>
  <c r="J726" i="36"/>
  <c r="I677" i="25" s="1"/>
  <c r="K725" i="36"/>
  <c r="J676" i="25" s="1"/>
  <c r="M725" i="36"/>
  <c r="L676" i="25" s="1"/>
  <c r="L725" i="36"/>
  <c r="K676" i="25" s="1"/>
  <c r="BF677" i="25" l="1"/>
  <c r="BB679" i="25"/>
  <c r="BC678" i="25"/>
  <c r="BE678" i="25"/>
  <c r="BD678" i="25"/>
  <c r="AW677" i="25"/>
  <c r="AX676" i="25"/>
  <c r="AY676" i="25"/>
  <c r="AZ676" i="25"/>
  <c r="BA675" i="25"/>
  <c r="AV675" i="25"/>
  <c r="AU676" i="25"/>
  <c r="AR677" i="25"/>
  <c r="AT676" i="25"/>
  <c r="AS676" i="25"/>
  <c r="AO676" i="25"/>
  <c r="AP676" i="25"/>
  <c r="AN676" i="25"/>
  <c r="AM677" i="25"/>
  <c r="AQ675" i="25"/>
  <c r="AL675" i="25"/>
  <c r="AH677" i="25"/>
  <c r="AI676" i="25"/>
  <c r="AJ676" i="25"/>
  <c r="AK676" i="25"/>
  <c r="AG675" i="25"/>
  <c r="AF676" i="25"/>
  <c r="AC677" i="25"/>
  <c r="AD676" i="25"/>
  <c r="AE676" i="25"/>
  <c r="Z676" i="25"/>
  <c r="AA676" i="25"/>
  <c r="Y676" i="25"/>
  <c r="X677" i="25"/>
  <c r="AB675" i="25"/>
  <c r="V678" i="25"/>
  <c r="S679" i="25"/>
  <c r="T678" i="25"/>
  <c r="U678" i="25"/>
  <c r="W677" i="25"/>
  <c r="M726" i="36"/>
  <c r="L677" i="25" s="1"/>
  <c r="L726" i="36"/>
  <c r="K677" i="25" s="1"/>
  <c r="J727" i="36"/>
  <c r="I678" i="25" s="1"/>
  <c r="K726" i="36"/>
  <c r="J677" i="25" s="1"/>
  <c r="N725" i="36"/>
  <c r="M676" i="25" s="1"/>
  <c r="BF678" i="25" l="1"/>
  <c r="BC679" i="25"/>
  <c r="BE679" i="25"/>
  <c r="BB680" i="25"/>
  <c r="BD679" i="25"/>
  <c r="BA676" i="25"/>
  <c r="AZ677" i="25"/>
  <c r="AW678" i="25"/>
  <c r="AX677" i="25"/>
  <c r="AY677" i="25"/>
  <c r="AV676" i="25"/>
  <c r="AT677" i="25"/>
  <c r="AR678" i="25"/>
  <c r="AU677" i="25"/>
  <c r="AS677" i="25"/>
  <c r="AQ676" i="25"/>
  <c r="AM678" i="25"/>
  <c r="AN677" i="25"/>
  <c r="AO677" i="25"/>
  <c r="AP677" i="25"/>
  <c r="AL676" i="25"/>
  <c r="AK677" i="25"/>
  <c r="AI677" i="25"/>
  <c r="AJ677" i="25"/>
  <c r="AH678" i="25"/>
  <c r="AE677" i="25"/>
  <c r="AC678" i="25"/>
  <c r="AD677" i="25"/>
  <c r="AF677" i="25"/>
  <c r="AG676" i="25"/>
  <c r="AB676" i="25"/>
  <c r="X678" i="25"/>
  <c r="Y677" i="25"/>
  <c r="Z677" i="25"/>
  <c r="AA677" i="25"/>
  <c r="U679" i="25"/>
  <c r="S680" i="25"/>
  <c r="V679" i="25"/>
  <c r="T679" i="25"/>
  <c r="W678" i="25"/>
  <c r="N726" i="36"/>
  <c r="M677" i="25" s="1"/>
  <c r="L727" i="36"/>
  <c r="K678" i="25" s="1"/>
  <c r="M727" i="36"/>
  <c r="L678" i="25" s="1"/>
  <c r="J728" i="36"/>
  <c r="I679" i="25" s="1"/>
  <c r="K727" i="36"/>
  <c r="J678" i="25" s="1"/>
  <c r="BE680" i="25" l="1"/>
  <c r="BC680" i="25"/>
  <c r="BB681" i="25"/>
  <c r="BD680" i="25"/>
  <c r="BF679" i="25"/>
  <c r="AY678" i="25"/>
  <c r="AW679" i="25"/>
  <c r="AX678" i="25"/>
  <c r="AZ678" i="25"/>
  <c r="BA677" i="25"/>
  <c r="AV677" i="25"/>
  <c r="AR679" i="25"/>
  <c r="AS678" i="25"/>
  <c r="AU678" i="25"/>
  <c r="AT678" i="25"/>
  <c r="AM679" i="25"/>
  <c r="AN678" i="25"/>
  <c r="AO678" i="25"/>
  <c r="AP678" i="25"/>
  <c r="AQ677" i="25"/>
  <c r="AL677" i="25"/>
  <c r="AJ678" i="25"/>
  <c r="AK678" i="25"/>
  <c r="AH679" i="25"/>
  <c r="AI678" i="25"/>
  <c r="AG677" i="25"/>
  <c r="AC679" i="25"/>
  <c r="AD678" i="25"/>
  <c r="AF678" i="25"/>
  <c r="AE678" i="25"/>
  <c r="AB677" i="25"/>
  <c r="X679" i="25"/>
  <c r="Y678" i="25"/>
  <c r="Z678" i="25"/>
  <c r="AA678" i="25"/>
  <c r="W679" i="25"/>
  <c r="S681" i="25"/>
  <c r="T680" i="25"/>
  <c r="U680" i="25"/>
  <c r="V680" i="25"/>
  <c r="N727" i="36"/>
  <c r="M678" i="25" s="1"/>
  <c r="J729" i="36"/>
  <c r="I680" i="25" s="1"/>
  <c r="K728" i="36"/>
  <c r="J679" i="25" s="1"/>
  <c r="L728" i="36"/>
  <c r="K679" i="25" s="1"/>
  <c r="M728" i="36"/>
  <c r="L679" i="25" s="1"/>
  <c r="BD681" i="25" l="1"/>
  <c r="BC681" i="25"/>
  <c r="BB682" i="25"/>
  <c r="BE681" i="25"/>
  <c r="BF680" i="25"/>
  <c r="BA678" i="25"/>
  <c r="AW680" i="25"/>
  <c r="AX679" i="25"/>
  <c r="AY679" i="25"/>
  <c r="AZ679" i="25"/>
  <c r="AR680" i="25"/>
  <c r="AS679" i="25"/>
  <c r="AU679" i="25"/>
  <c r="AT679" i="25"/>
  <c r="AV678" i="25"/>
  <c r="AQ678" i="25"/>
  <c r="AP679" i="25"/>
  <c r="AM680" i="25"/>
  <c r="AN679" i="25"/>
  <c r="AO679" i="25"/>
  <c r="AL678" i="25"/>
  <c r="AH680" i="25"/>
  <c r="AI679" i="25"/>
  <c r="AJ679" i="25"/>
  <c r="AK679" i="25"/>
  <c r="AE679" i="25"/>
  <c r="AF679" i="25"/>
  <c r="AC680" i="25"/>
  <c r="AD679" i="25"/>
  <c r="AG678" i="25"/>
  <c r="AB678" i="25"/>
  <c r="AA679" i="25"/>
  <c r="Y679" i="25"/>
  <c r="X680" i="25"/>
  <c r="Z679" i="25"/>
  <c r="W680" i="25"/>
  <c r="S682" i="25"/>
  <c r="T681" i="25"/>
  <c r="U681" i="25"/>
  <c r="V681" i="25"/>
  <c r="J730" i="36"/>
  <c r="I681" i="25" s="1"/>
  <c r="K729" i="36"/>
  <c r="J680" i="25" s="1"/>
  <c r="M729" i="36"/>
  <c r="L680" i="25" s="1"/>
  <c r="L729" i="36"/>
  <c r="K680" i="25" s="1"/>
  <c r="N728" i="36"/>
  <c r="M679" i="25" s="1"/>
  <c r="BF681" i="25" l="1"/>
  <c r="BB683" i="25"/>
  <c r="BC682" i="25"/>
  <c r="BD682" i="25"/>
  <c r="BE682" i="25"/>
  <c r="AX680" i="25"/>
  <c r="AY680" i="25"/>
  <c r="AZ680" i="25"/>
  <c r="AW681" i="25"/>
  <c r="BA679" i="25"/>
  <c r="AU680" i="25"/>
  <c r="AR681" i="25"/>
  <c r="AS680" i="25"/>
  <c r="AT680" i="25"/>
  <c r="AV679" i="25"/>
  <c r="AO680" i="25"/>
  <c r="AP680" i="25"/>
  <c r="AM681" i="25"/>
  <c r="AN680" i="25"/>
  <c r="AQ679" i="25"/>
  <c r="AL679" i="25"/>
  <c r="AH681" i="25"/>
  <c r="AI680" i="25"/>
  <c r="AJ680" i="25"/>
  <c r="AK680" i="25"/>
  <c r="AG679" i="25"/>
  <c r="AF680" i="25"/>
  <c r="AC681" i="25"/>
  <c r="AD680" i="25"/>
  <c r="AE680" i="25"/>
  <c r="Z680" i="25"/>
  <c r="AA680" i="25"/>
  <c r="X681" i="25"/>
  <c r="Y680" i="25"/>
  <c r="AB679" i="25"/>
  <c r="W681" i="25"/>
  <c r="V682" i="25"/>
  <c r="S683" i="25"/>
  <c r="T682" i="25"/>
  <c r="U682" i="25"/>
  <c r="M730" i="36"/>
  <c r="L681" i="25" s="1"/>
  <c r="L730" i="36"/>
  <c r="K681" i="25" s="1"/>
  <c r="K730" i="36"/>
  <c r="J681" i="25" s="1"/>
  <c r="J731" i="36"/>
  <c r="I682" i="25" s="1"/>
  <c r="N729" i="36"/>
  <c r="M680" i="25" s="1"/>
  <c r="BF682" i="25" l="1"/>
  <c r="BD683" i="25"/>
  <c r="BB684" i="25"/>
  <c r="BC683" i="25"/>
  <c r="BE683" i="25"/>
  <c r="BA680" i="25"/>
  <c r="AZ681" i="25"/>
  <c r="AX681" i="25"/>
  <c r="AY681" i="25"/>
  <c r="AW682" i="25"/>
  <c r="AT681" i="25"/>
  <c r="AR682" i="25"/>
  <c r="AS681" i="25"/>
  <c r="AU681" i="25"/>
  <c r="AV680" i="25"/>
  <c r="AQ680" i="25"/>
  <c r="AM682" i="25"/>
  <c r="AN681" i="25"/>
  <c r="AO681" i="25"/>
  <c r="AP681" i="25"/>
  <c r="AL680" i="25"/>
  <c r="AK681" i="25"/>
  <c r="AH682" i="25"/>
  <c r="AI681" i="25"/>
  <c r="AJ681" i="25"/>
  <c r="AE681" i="25"/>
  <c r="AC682" i="25"/>
  <c r="AD681" i="25"/>
  <c r="AF681" i="25"/>
  <c r="AG680" i="25"/>
  <c r="AB680" i="25"/>
  <c r="X682" i="25"/>
  <c r="Y681" i="25"/>
  <c r="Z681" i="25"/>
  <c r="AA681" i="25"/>
  <c r="U683" i="25"/>
  <c r="S684" i="25"/>
  <c r="T683" i="25"/>
  <c r="V683" i="25"/>
  <c r="W682" i="25"/>
  <c r="N730" i="36"/>
  <c r="M681" i="25" s="1"/>
  <c r="L731" i="36"/>
  <c r="K682" i="25" s="1"/>
  <c r="M731" i="36"/>
  <c r="L682" i="25" s="1"/>
  <c r="J732" i="36"/>
  <c r="I683" i="25" s="1"/>
  <c r="K731" i="36"/>
  <c r="J682" i="25" s="1"/>
  <c r="AG681" i="25" l="1"/>
  <c r="BF683" i="25"/>
  <c r="BE684" i="25"/>
  <c r="BD684" i="25"/>
  <c r="BB685" i="25"/>
  <c r="BC684" i="25"/>
  <c r="BA681" i="25"/>
  <c r="AY682" i="25"/>
  <c r="AX682" i="25"/>
  <c r="AZ682" i="25"/>
  <c r="AW683" i="25"/>
  <c r="AV681" i="25"/>
  <c r="AR683" i="25"/>
  <c r="AS682" i="25"/>
  <c r="AT682" i="25"/>
  <c r="AU682" i="25"/>
  <c r="AM683" i="25"/>
  <c r="AN682" i="25"/>
  <c r="AO682" i="25"/>
  <c r="AP682" i="25"/>
  <c r="AQ681" i="25"/>
  <c r="AJ682" i="25"/>
  <c r="AK682" i="25"/>
  <c r="AI682" i="25"/>
  <c r="AH683" i="25"/>
  <c r="AL681" i="25"/>
  <c r="AC683" i="25"/>
  <c r="AD682" i="25"/>
  <c r="AF682" i="25"/>
  <c r="AE682" i="25"/>
  <c r="AB681" i="25"/>
  <c r="X683" i="25"/>
  <c r="Y682" i="25"/>
  <c r="Z682" i="25"/>
  <c r="AA682" i="25"/>
  <c r="W683" i="25"/>
  <c r="S685" i="25"/>
  <c r="T684" i="25"/>
  <c r="U684" i="25"/>
  <c r="V684" i="25"/>
  <c r="N731" i="36"/>
  <c r="M682" i="25" s="1"/>
  <c r="J733" i="36"/>
  <c r="I684" i="25" s="1"/>
  <c r="K732" i="36"/>
  <c r="J683" i="25" s="1"/>
  <c r="L732" i="36"/>
  <c r="K683" i="25" s="1"/>
  <c r="M732" i="36"/>
  <c r="L683" i="25" s="1"/>
  <c r="BF684" i="25" l="1"/>
  <c r="BD685" i="25"/>
  <c r="BE685" i="25"/>
  <c r="BB686" i="25"/>
  <c r="BC685" i="25"/>
  <c r="BA682" i="25"/>
  <c r="AW684" i="25"/>
  <c r="AX683" i="25"/>
  <c r="AY683" i="25"/>
  <c r="AZ683" i="25"/>
  <c r="AV682" i="25"/>
  <c r="AS683" i="25"/>
  <c r="AT683" i="25"/>
  <c r="AR684" i="25"/>
  <c r="AU683" i="25"/>
  <c r="AQ682" i="25"/>
  <c r="AP683" i="25"/>
  <c r="AM684" i="25"/>
  <c r="AN683" i="25"/>
  <c r="AO683" i="25"/>
  <c r="AL682" i="25"/>
  <c r="AH684" i="25"/>
  <c r="AI683" i="25"/>
  <c r="AJ683" i="25"/>
  <c r="AK683" i="25"/>
  <c r="AE683" i="25"/>
  <c r="AF683" i="25"/>
  <c r="AD683" i="25"/>
  <c r="AC684" i="25"/>
  <c r="AG682" i="25"/>
  <c r="AB682" i="25"/>
  <c r="AA683" i="25"/>
  <c r="X684" i="25"/>
  <c r="Y683" i="25"/>
  <c r="Z683" i="25"/>
  <c r="W684" i="25"/>
  <c r="T685" i="25"/>
  <c r="U685" i="25"/>
  <c r="V685" i="25"/>
  <c r="S686" i="25"/>
  <c r="N732" i="36"/>
  <c r="M683" i="25" s="1"/>
  <c r="J734" i="36"/>
  <c r="I685" i="25" s="1"/>
  <c r="K733" i="36"/>
  <c r="J684" i="25" s="1"/>
  <c r="M733" i="36"/>
  <c r="L684" i="25" s="1"/>
  <c r="L733" i="36"/>
  <c r="K684" i="25" s="1"/>
  <c r="BF685" i="25" l="1"/>
  <c r="BB687" i="25"/>
  <c r="BC686" i="25"/>
  <c r="BE686" i="25"/>
  <c r="BD686" i="25"/>
  <c r="BA683" i="25"/>
  <c r="AY684" i="25"/>
  <c r="AZ684" i="25"/>
  <c r="AW685" i="25"/>
  <c r="AX684" i="25"/>
  <c r="AV683" i="25"/>
  <c r="AU684" i="25"/>
  <c r="AS684" i="25"/>
  <c r="AT684" i="25"/>
  <c r="AR685" i="25"/>
  <c r="AO684" i="25"/>
  <c r="AP684" i="25"/>
  <c r="AN684" i="25"/>
  <c r="AM685" i="25"/>
  <c r="AQ683" i="25"/>
  <c r="AL683" i="25"/>
  <c r="AH685" i="25"/>
  <c r="AI684" i="25"/>
  <c r="AJ684" i="25"/>
  <c r="AK684" i="25"/>
  <c r="AG683" i="25"/>
  <c r="AF684" i="25"/>
  <c r="AC685" i="25"/>
  <c r="AD684" i="25"/>
  <c r="AE684" i="25"/>
  <c r="Z684" i="25"/>
  <c r="AA684" i="25"/>
  <c r="Y684" i="25"/>
  <c r="X685" i="25"/>
  <c r="AB683" i="25"/>
  <c r="W685" i="25"/>
  <c r="V686" i="25"/>
  <c r="T686" i="25"/>
  <c r="U686" i="25"/>
  <c r="S687" i="25"/>
  <c r="N733" i="36"/>
  <c r="M684" i="25" s="1"/>
  <c r="M734" i="36"/>
  <c r="L685" i="25" s="1"/>
  <c r="L734" i="36"/>
  <c r="K685" i="25" s="1"/>
  <c r="K734" i="36"/>
  <c r="J685" i="25" s="1"/>
  <c r="J735" i="36"/>
  <c r="I686" i="25" s="1"/>
  <c r="BF686" i="25" l="1"/>
  <c r="BE687" i="25"/>
  <c r="BC687" i="25"/>
  <c r="BD687" i="25"/>
  <c r="BB688" i="25"/>
  <c r="BA684" i="25"/>
  <c r="AZ685" i="25"/>
  <c r="AY685" i="25"/>
  <c r="AW686" i="25"/>
  <c r="AX685" i="25"/>
  <c r="AV684" i="25"/>
  <c r="AT685" i="25"/>
  <c r="AS685" i="25"/>
  <c r="AU685" i="25"/>
  <c r="AR686" i="25"/>
  <c r="AQ684" i="25"/>
  <c r="AM686" i="25"/>
  <c r="AN685" i="25"/>
  <c r="AO685" i="25"/>
  <c r="AP685" i="25"/>
  <c r="AL684" i="25"/>
  <c r="AK685" i="25"/>
  <c r="AI685" i="25"/>
  <c r="AJ685" i="25"/>
  <c r="AH686" i="25"/>
  <c r="AG684" i="25"/>
  <c r="AE685" i="25"/>
  <c r="AC686" i="25"/>
  <c r="AD685" i="25"/>
  <c r="AF685" i="25"/>
  <c r="AB684" i="25"/>
  <c r="X686" i="25"/>
  <c r="Y685" i="25"/>
  <c r="Z685" i="25"/>
  <c r="AA685" i="25"/>
  <c r="W686" i="25"/>
  <c r="U687" i="25"/>
  <c r="T687" i="25"/>
  <c r="V687" i="25"/>
  <c r="S688" i="25"/>
  <c r="N734" i="36"/>
  <c r="M685" i="25" s="1"/>
  <c r="L735" i="36"/>
  <c r="K686" i="25" s="1"/>
  <c r="M735" i="36"/>
  <c r="L686" i="25" s="1"/>
  <c r="J736" i="36"/>
  <c r="I687" i="25" s="1"/>
  <c r="K735" i="36"/>
  <c r="J686" i="25" s="1"/>
  <c r="W687" i="25" l="1"/>
  <c r="BE688" i="25"/>
  <c r="BC688" i="25"/>
  <c r="BD688" i="25"/>
  <c r="BB689" i="25"/>
  <c r="BF687" i="25"/>
  <c r="BA685" i="25"/>
  <c r="AY686" i="25"/>
  <c r="AZ686" i="25"/>
  <c r="AW687" i="25"/>
  <c r="AX686" i="25"/>
  <c r="AV685" i="25"/>
  <c r="AR687" i="25"/>
  <c r="AS686" i="25"/>
  <c r="AT686" i="25"/>
  <c r="AU686" i="25"/>
  <c r="AM687" i="25"/>
  <c r="AN686" i="25"/>
  <c r="AO686" i="25"/>
  <c r="AP686" i="25"/>
  <c r="AQ685" i="25"/>
  <c r="AL685" i="25"/>
  <c r="AJ686" i="25"/>
  <c r="AK686" i="25"/>
  <c r="AH687" i="25"/>
  <c r="AI686" i="25"/>
  <c r="AG685" i="25"/>
  <c r="AC687" i="25"/>
  <c r="AD686" i="25"/>
  <c r="AF686" i="25"/>
  <c r="AE686" i="25"/>
  <c r="AB685" i="25"/>
  <c r="X687" i="25"/>
  <c r="Y686" i="25"/>
  <c r="Z686" i="25"/>
  <c r="AA686" i="25"/>
  <c r="S689" i="25"/>
  <c r="T688" i="25"/>
  <c r="U688" i="25"/>
  <c r="V688" i="25"/>
  <c r="N735" i="36"/>
  <c r="M686" i="25" s="1"/>
  <c r="J737" i="36"/>
  <c r="I688" i="25" s="1"/>
  <c r="K736" i="36"/>
  <c r="J687" i="25" s="1"/>
  <c r="L736" i="36"/>
  <c r="K687" i="25" s="1"/>
  <c r="M736" i="36"/>
  <c r="L687" i="25" s="1"/>
  <c r="BF688" i="25" l="1"/>
  <c r="BD689" i="25"/>
  <c r="BC689" i="25"/>
  <c r="BE689" i="25"/>
  <c r="BB690" i="25"/>
  <c r="BA686" i="25"/>
  <c r="AZ687" i="25"/>
  <c r="AW688" i="25"/>
  <c r="AX687" i="25"/>
  <c r="AY687" i="25"/>
  <c r="AV686" i="25"/>
  <c r="AT687" i="25"/>
  <c r="AU687" i="25"/>
  <c r="AS687" i="25"/>
  <c r="AR688" i="25"/>
  <c r="AQ686" i="25"/>
  <c r="AP687" i="25"/>
  <c r="AM688" i="25"/>
  <c r="AN687" i="25"/>
  <c r="AO687" i="25"/>
  <c r="AL686" i="25"/>
  <c r="AH688" i="25"/>
  <c r="AI687" i="25"/>
  <c r="AJ687" i="25"/>
  <c r="AK687" i="25"/>
  <c r="AE687" i="25"/>
  <c r="AF687" i="25"/>
  <c r="AC688" i="25"/>
  <c r="AD687" i="25"/>
  <c r="AG686" i="25"/>
  <c r="AB686" i="25"/>
  <c r="AA687" i="25"/>
  <c r="Y687" i="25"/>
  <c r="Z687" i="25"/>
  <c r="X688" i="25"/>
  <c r="W688" i="25"/>
  <c r="U689" i="25"/>
  <c r="V689" i="25"/>
  <c r="T689" i="25"/>
  <c r="S690" i="25"/>
  <c r="J738" i="36"/>
  <c r="I689" i="25" s="1"/>
  <c r="K737" i="36"/>
  <c r="J688" i="25" s="1"/>
  <c r="M737" i="36"/>
  <c r="L688" i="25" s="1"/>
  <c r="L737" i="36"/>
  <c r="K688" i="25" s="1"/>
  <c r="N736" i="36"/>
  <c r="M687" i="25" s="1"/>
  <c r="BB691" i="25" l="1"/>
  <c r="BC690" i="25"/>
  <c r="BD690" i="25"/>
  <c r="BE690" i="25"/>
  <c r="BF689" i="25"/>
  <c r="BA687" i="25"/>
  <c r="AY688" i="25"/>
  <c r="AZ688" i="25"/>
  <c r="AX688" i="25"/>
  <c r="AW689" i="25"/>
  <c r="AV687" i="25"/>
  <c r="AU688" i="25"/>
  <c r="AT688" i="25"/>
  <c r="AS688" i="25"/>
  <c r="AR689" i="25"/>
  <c r="AO688" i="25"/>
  <c r="AP688" i="25"/>
  <c r="AN688" i="25"/>
  <c r="AM689" i="25"/>
  <c r="AQ687" i="25"/>
  <c r="AL687" i="25"/>
  <c r="AH689" i="25"/>
  <c r="AI688" i="25"/>
  <c r="AJ688" i="25"/>
  <c r="AK688" i="25"/>
  <c r="AG687" i="25"/>
  <c r="AF688" i="25"/>
  <c r="AC689" i="25"/>
  <c r="AD688" i="25"/>
  <c r="AE688" i="25"/>
  <c r="AB687" i="25"/>
  <c r="Z688" i="25"/>
  <c r="AA688" i="25"/>
  <c r="X689" i="25"/>
  <c r="Y688" i="25"/>
  <c r="W689" i="25"/>
  <c r="V690" i="25"/>
  <c r="U690" i="25"/>
  <c r="S691" i="25"/>
  <c r="T690" i="25"/>
  <c r="N737" i="36"/>
  <c r="M688" i="25" s="1"/>
  <c r="M738" i="36"/>
  <c r="L689" i="25" s="1"/>
  <c r="L738" i="36"/>
  <c r="K689" i="25" s="1"/>
  <c r="K738" i="36"/>
  <c r="J689" i="25" s="1"/>
  <c r="J739" i="36"/>
  <c r="I690" i="25" s="1"/>
  <c r="BF690" i="25" l="1"/>
  <c r="BB692" i="25"/>
  <c r="BD691" i="25"/>
  <c r="BE691" i="25"/>
  <c r="BC691" i="25"/>
  <c r="BA688" i="25"/>
  <c r="AW690" i="25"/>
  <c r="AX689" i="25"/>
  <c r="AY689" i="25"/>
  <c r="AZ689" i="25"/>
  <c r="AV688" i="25"/>
  <c r="AT689" i="25"/>
  <c r="AU689" i="25"/>
  <c r="AS689" i="25"/>
  <c r="AR690" i="25"/>
  <c r="AQ688" i="25"/>
  <c r="AM690" i="25"/>
  <c r="AN689" i="25"/>
  <c r="AO689" i="25"/>
  <c r="AP689" i="25"/>
  <c r="AL688" i="25"/>
  <c r="AK689" i="25"/>
  <c r="AH690" i="25"/>
  <c r="AI689" i="25"/>
  <c r="AJ689" i="25"/>
  <c r="AE689" i="25"/>
  <c r="AC690" i="25"/>
  <c r="AD689" i="25"/>
  <c r="AF689" i="25"/>
  <c r="AG688" i="25"/>
  <c r="AB688" i="25"/>
  <c r="X690" i="25"/>
  <c r="Y689" i="25"/>
  <c r="Z689" i="25"/>
  <c r="AA689" i="25"/>
  <c r="W690" i="25"/>
  <c r="U691" i="25"/>
  <c r="V691" i="25"/>
  <c r="T691" i="25"/>
  <c r="S692" i="25"/>
  <c r="L739" i="36"/>
  <c r="K690" i="25" s="1"/>
  <c r="M739" i="36"/>
  <c r="L690" i="25" s="1"/>
  <c r="J740" i="36"/>
  <c r="I691" i="25" s="1"/>
  <c r="K739" i="36"/>
  <c r="J690" i="25" s="1"/>
  <c r="N738" i="36"/>
  <c r="M689" i="25" s="1"/>
  <c r="BF691" i="25" l="1"/>
  <c r="BE692" i="25"/>
  <c r="BB693" i="25"/>
  <c r="BD692" i="25"/>
  <c r="BC692" i="25"/>
  <c r="AW691" i="25"/>
  <c r="AX690" i="25"/>
  <c r="AY690" i="25"/>
  <c r="AZ690" i="25"/>
  <c r="BA689" i="25"/>
  <c r="AR691" i="25"/>
  <c r="AS690" i="25"/>
  <c r="AU690" i="25"/>
  <c r="AT690" i="25"/>
  <c r="AV689" i="25"/>
  <c r="AM691" i="25"/>
  <c r="AN690" i="25"/>
  <c r="AO690" i="25"/>
  <c r="AP690" i="25"/>
  <c r="AQ689" i="25"/>
  <c r="AJ690" i="25"/>
  <c r="AK690" i="25"/>
  <c r="AI690" i="25"/>
  <c r="AH691" i="25"/>
  <c r="AL689" i="25"/>
  <c r="AG689" i="25"/>
  <c r="AC691" i="25"/>
  <c r="AD690" i="25"/>
  <c r="AF690" i="25"/>
  <c r="AE690" i="25"/>
  <c r="AB689" i="25"/>
  <c r="X691" i="25"/>
  <c r="Y690" i="25"/>
  <c r="Z690" i="25"/>
  <c r="AA690" i="25"/>
  <c r="S693" i="25"/>
  <c r="T692" i="25"/>
  <c r="V692" i="25"/>
  <c r="U692" i="25"/>
  <c r="W691" i="25"/>
  <c r="N739" i="36"/>
  <c r="M690" i="25" s="1"/>
  <c r="J741" i="36"/>
  <c r="I692" i="25" s="1"/>
  <c r="K740" i="36"/>
  <c r="J691" i="25" s="1"/>
  <c r="L740" i="36"/>
  <c r="K691" i="25" s="1"/>
  <c r="M740" i="36"/>
  <c r="L691" i="25" s="1"/>
  <c r="BF692" i="25" l="1"/>
  <c r="BD693" i="25"/>
  <c r="BB694" i="25"/>
  <c r="BE693" i="25"/>
  <c r="BC693" i="25"/>
  <c r="BA690" i="25"/>
  <c r="AZ691" i="25"/>
  <c r="AW692" i="25"/>
  <c r="AX691" i="25"/>
  <c r="AY691" i="25"/>
  <c r="AU691" i="25"/>
  <c r="AR692" i="25"/>
  <c r="AT691" i="25"/>
  <c r="AS691" i="25"/>
  <c r="AV690" i="25"/>
  <c r="AQ690" i="25"/>
  <c r="AP691" i="25"/>
  <c r="AM692" i="25"/>
  <c r="AN691" i="25"/>
  <c r="AO691" i="25"/>
  <c r="AL690" i="25"/>
  <c r="AH692" i="25"/>
  <c r="AI691" i="25"/>
  <c r="AJ691" i="25"/>
  <c r="AK691" i="25"/>
  <c r="AE691" i="25"/>
  <c r="AF691" i="25"/>
  <c r="AD691" i="25"/>
  <c r="AC692" i="25"/>
  <c r="AG690" i="25"/>
  <c r="AB690" i="25"/>
  <c r="AA691" i="25"/>
  <c r="X692" i="25"/>
  <c r="Y691" i="25"/>
  <c r="Z691" i="25"/>
  <c r="V693" i="25"/>
  <c r="S694" i="25"/>
  <c r="T693" i="25"/>
  <c r="U693" i="25"/>
  <c r="W692" i="25"/>
  <c r="N740" i="36"/>
  <c r="M691" i="25" s="1"/>
  <c r="J742" i="36"/>
  <c r="I693" i="25" s="1"/>
  <c r="K741" i="36"/>
  <c r="J692" i="25" s="1"/>
  <c r="M741" i="36"/>
  <c r="L692" i="25" s="1"/>
  <c r="L741" i="36"/>
  <c r="K692" i="25" s="1"/>
  <c r="BF693" i="25" l="1"/>
  <c r="BB695" i="25"/>
  <c r="BC694" i="25"/>
  <c r="BE694" i="25"/>
  <c r="BD694" i="25"/>
  <c r="AY692" i="25"/>
  <c r="AZ692" i="25"/>
  <c r="AX692" i="25"/>
  <c r="AW693" i="25"/>
  <c r="BA691" i="25"/>
  <c r="AV691" i="25"/>
  <c r="AU692" i="25"/>
  <c r="AR693" i="25"/>
  <c r="AT692" i="25"/>
  <c r="AS692" i="25"/>
  <c r="AO692" i="25"/>
  <c r="AP692" i="25"/>
  <c r="AN692" i="25"/>
  <c r="AM693" i="25"/>
  <c r="AQ691" i="25"/>
  <c r="AL691" i="25"/>
  <c r="AH693" i="25"/>
  <c r="AI692" i="25"/>
  <c r="AJ692" i="25"/>
  <c r="AK692" i="25"/>
  <c r="AG691" i="25"/>
  <c r="AF692" i="25"/>
  <c r="AC693" i="25"/>
  <c r="AD692" i="25"/>
  <c r="AE692" i="25"/>
  <c r="Z692" i="25"/>
  <c r="AA692" i="25"/>
  <c r="Y692" i="25"/>
  <c r="X693" i="25"/>
  <c r="AB691" i="25"/>
  <c r="V694" i="25"/>
  <c r="S695" i="25"/>
  <c r="T694" i="25"/>
  <c r="U694" i="25"/>
  <c r="W693" i="25"/>
  <c r="N741" i="36"/>
  <c r="M692" i="25" s="1"/>
  <c r="M742" i="36"/>
  <c r="L693" i="25" s="1"/>
  <c r="L742" i="36"/>
  <c r="K693" i="25" s="1"/>
  <c r="J743" i="36"/>
  <c r="I694" i="25" s="1"/>
  <c r="K742" i="36"/>
  <c r="J693" i="25" s="1"/>
  <c r="BF694" i="25" l="1"/>
  <c r="BC695" i="25"/>
  <c r="BE695" i="25"/>
  <c r="BB696" i="25"/>
  <c r="BD695" i="25"/>
  <c r="BA692" i="25"/>
  <c r="AW694" i="25"/>
  <c r="AX693" i="25"/>
  <c r="AY693" i="25"/>
  <c r="AZ693" i="25"/>
  <c r="AT693" i="25"/>
  <c r="AR694" i="25"/>
  <c r="AU693" i="25"/>
  <c r="AS693" i="25"/>
  <c r="AV692" i="25"/>
  <c r="AQ692" i="25"/>
  <c r="AM694" i="25"/>
  <c r="AN693" i="25"/>
  <c r="AO693" i="25"/>
  <c r="AP693" i="25"/>
  <c r="AL692" i="25"/>
  <c r="AK693" i="25"/>
  <c r="AI693" i="25"/>
  <c r="AJ693" i="25"/>
  <c r="AH694" i="25"/>
  <c r="AE693" i="25"/>
  <c r="AC694" i="25"/>
  <c r="AD693" i="25"/>
  <c r="AF693" i="25"/>
  <c r="AG692" i="25"/>
  <c r="AB692" i="25"/>
  <c r="X694" i="25"/>
  <c r="Y693" i="25"/>
  <c r="Z693" i="25"/>
  <c r="AA693" i="25"/>
  <c r="U695" i="25"/>
  <c r="S696" i="25"/>
  <c r="T695" i="25"/>
  <c r="V695" i="25"/>
  <c r="W694" i="25"/>
  <c r="L743" i="36"/>
  <c r="K694" i="25" s="1"/>
  <c r="M743" i="36"/>
  <c r="L694" i="25" s="1"/>
  <c r="J744" i="36"/>
  <c r="I695" i="25" s="1"/>
  <c r="K743" i="36"/>
  <c r="J694" i="25" s="1"/>
  <c r="N742" i="36"/>
  <c r="M693" i="25" s="1"/>
  <c r="W695" i="25" l="1"/>
  <c r="BF695" i="25"/>
  <c r="BD696" i="25"/>
  <c r="BE696" i="25"/>
  <c r="BC696" i="25"/>
  <c r="BB697" i="25"/>
  <c r="AW695" i="25"/>
  <c r="AX694" i="25"/>
  <c r="AY694" i="25"/>
  <c r="AZ694" i="25"/>
  <c r="BA693" i="25"/>
  <c r="AV693" i="25"/>
  <c r="AR695" i="25"/>
  <c r="AS694" i="25"/>
  <c r="AU694" i="25"/>
  <c r="AT694" i="25"/>
  <c r="AM695" i="25"/>
  <c r="AN694" i="25"/>
  <c r="AO694" i="25"/>
  <c r="AP694" i="25"/>
  <c r="AQ693" i="25"/>
  <c r="AJ694" i="25"/>
  <c r="AK694" i="25"/>
  <c r="AH695" i="25"/>
  <c r="AI694" i="25"/>
  <c r="AL693" i="25"/>
  <c r="AG693" i="25"/>
  <c r="AC695" i="25"/>
  <c r="AD694" i="25"/>
  <c r="AF694" i="25"/>
  <c r="AE694" i="25"/>
  <c r="AB693" i="25"/>
  <c r="X695" i="25"/>
  <c r="Y694" i="25"/>
  <c r="Z694" i="25"/>
  <c r="AA694" i="25"/>
  <c r="S697" i="25"/>
  <c r="T696" i="25"/>
  <c r="U696" i="25"/>
  <c r="V696" i="25"/>
  <c r="N743" i="36"/>
  <c r="M694" i="25" s="1"/>
  <c r="J745" i="36"/>
  <c r="I696" i="25" s="1"/>
  <c r="K744" i="36"/>
  <c r="J695" i="25" s="1"/>
  <c r="L744" i="36"/>
  <c r="K695" i="25" s="1"/>
  <c r="M744" i="36"/>
  <c r="L695" i="25" s="1"/>
  <c r="BF696" i="25" l="1"/>
  <c r="BE697" i="25"/>
  <c r="BB698" i="25"/>
  <c r="BC697" i="25"/>
  <c r="BD697" i="25"/>
  <c r="BA694" i="25"/>
  <c r="AZ695" i="25"/>
  <c r="AW696" i="25"/>
  <c r="AX695" i="25"/>
  <c r="AY695" i="25"/>
  <c r="AR696" i="25"/>
  <c r="AS695" i="25"/>
  <c r="AU695" i="25"/>
  <c r="AT695" i="25"/>
  <c r="AV694" i="25"/>
  <c r="AQ694" i="25"/>
  <c r="AP695" i="25"/>
  <c r="AM696" i="25"/>
  <c r="AN695" i="25"/>
  <c r="AO695" i="25"/>
  <c r="AL694" i="25"/>
  <c r="AH696" i="25"/>
  <c r="AI695" i="25"/>
  <c r="AJ695" i="25"/>
  <c r="AK695" i="25"/>
  <c r="AE695" i="25"/>
  <c r="AF695" i="25"/>
  <c r="AC696" i="25"/>
  <c r="AD695" i="25"/>
  <c r="AG694" i="25"/>
  <c r="AB694" i="25"/>
  <c r="AA695" i="25"/>
  <c r="Y695" i="25"/>
  <c r="Z695" i="25"/>
  <c r="X696" i="25"/>
  <c r="W696" i="25"/>
  <c r="S698" i="25"/>
  <c r="T697" i="25"/>
  <c r="U697" i="25"/>
  <c r="V697" i="25"/>
  <c r="J746" i="36"/>
  <c r="I697" i="25" s="1"/>
  <c r="K745" i="36"/>
  <c r="J696" i="25" s="1"/>
  <c r="M745" i="36"/>
  <c r="L696" i="25" s="1"/>
  <c r="L745" i="36"/>
  <c r="K696" i="25" s="1"/>
  <c r="N744" i="36"/>
  <c r="M695" i="25" s="1"/>
  <c r="BD698" i="25" l="1"/>
  <c r="BB699" i="25"/>
  <c r="BC698" i="25"/>
  <c r="BE698" i="25"/>
  <c r="BF697" i="25"/>
  <c r="AY696" i="25"/>
  <c r="AZ696" i="25"/>
  <c r="AW697" i="25"/>
  <c r="AX696" i="25"/>
  <c r="BA695" i="25"/>
  <c r="AV695" i="25"/>
  <c r="AU696" i="25"/>
  <c r="AR697" i="25"/>
  <c r="AS696" i="25"/>
  <c r="AT696" i="25"/>
  <c r="AO696" i="25"/>
  <c r="AP696" i="25"/>
  <c r="AM697" i="25"/>
  <c r="AN696" i="25"/>
  <c r="AQ695" i="25"/>
  <c r="AL695" i="25"/>
  <c r="AH697" i="25"/>
  <c r="AI696" i="25"/>
  <c r="AJ696" i="25"/>
  <c r="AK696" i="25"/>
  <c r="AG695" i="25"/>
  <c r="AF696" i="25"/>
  <c r="AC697" i="25"/>
  <c r="AD696" i="25"/>
  <c r="AE696" i="25"/>
  <c r="AB695" i="25"/>
  <c r="Z696" i="25"/>
  <c r="AA696" i="25"/>
  <c r="X697" i="25"/>
  <c r="Y696" i="25"/>
  <c r="W697" i="25"/>
  <c r="V698" i="25"/>
  <c r="S699" i="25"/>
  <c r="T698" i="25"/>
  <c r="U698" i="25"/>
  <c r="M746" i="36"/>
  <c r="L697" i="25" s="1"/>
  <c r="L746" i="36"/>
  <c r="K697" i="25" s="1"/>
  <c r="K746" i="36"/>
  <c r="J697" i="25" s="1"/>
  <c r="J747" i="36"/>
  <c r="I698" i="25" s="1"/>
  <c r="N745" i="36"/>
  <c r="M696" i="25" s="1"/>
  <c r="BF698" i="25" l="1"/>
  <c r="BB700" i="25"/>
  <c r="BC699" i="25"/>
  <c r="BE699" i="25"/>
  <c r="BD699" i="25"/>
  <c r="BA696" i="25"/>
  <c r="AW698" i="25"/>
  <c r="AX697" i="25"/>
  <c r="AY697" i="25"/>
  <c r="AZ697" i="25"/>
  <c r="AT697" i="25"/>
  <c r="AR698" i="25"/>
  <c r="AS697" i="25"/>
  <c r="AU697" i="25"/>
  <c r="AV696" i="25"/>
  <c r="AQ696" i="25"/>
  <c r="AM698" i="25"/>
  <c r="AN697" i="25"/>
  <c r="AO697" i="25"/>
  <c r="AP697" i="25"/>
  <c r="AL696" i="25"/>
  <c r="AK697" i="25"/>
  <c r="AH698" i="25"/>
  <c r="AI697" i="25"/>
  <c r="AJ697" i="25"/>
  <c r="AE697" i="25"/>
  <c r="AC698" i="25"/>
  <c r="AD697" i="25"/>
  <c r="AF697" i="25"/>
  <c r="AG696" i="25"/>
  <c r="AB696" i="25"/>
  <c r="X698" i="25"/>
  <c r="Y697" i="25"/>
  <c r="Z697" i="25"/>
  <c r="AA697" i="25"/>
  <c r="U699" i="25"/>
  <c r="S700" i="25"/>
  <c r="T699" i="25"/>
  <c r="V699" i="25"/>
  <c r="W698" i="25"/>
  <c r="N746" i="36"/>
  <c r="M697" i="25" s="1"/>
  <c r="L747" i="36"/>
  <c r="K698" i="25" s="1"/>
  <c r="M747" i="36"/>
  <c r="L698" i="25" s="1"/>
  <c r="J748" i="36"/>
  <c r="I699" i="25" s="1"/>
  <c r="K747" i="36"/>
  <c r="J698" i="25" s="1"/>
  <c r="BD700" i="25" l="1"/>
  <c r="BE700" i="25"/>
  <c r="BB701" i="25"/>
  <c r="BC700" i="25"/>
  <c r="BF699" i="25"/>
  <c r="AW699" i="25"/>
  <c r="AX698" i="25"/>
  <c r="AY698" i="25"/>
  <c r="AZ698" i="25"/>
  <c r="BA697" i="25"/>
  <c r="AV697" i="25"/>
  <c r="AR699" i="25"/>
  <c r="AS698" i="25"/>
  <c r="AT698" i="25"/>
  <c r="AU698" i="25"/>
  <c r="AQ697" i="25"/>
  <c r="AM699" i="25"/>
  <c r="AN698" i="25"/>
  <c r="AO698" i="25"/>
  <c r="AP698" i="25"/>
  <c r="AJ698" i="25"/>
  <c r="AK698" i="25"/>
  <c r="AI698" i="25"/>
  <c r="AH699" i="25"/>
  <c r="AL697" i="25"/>
  <c r="AG697" i="25"/>
  <c r="AC699" i="25"/>
  <c r="AD698" i="25"/>
  <c r="AF698" i="25"/>
  <c r="AE698" i="25"/>
  <c r="AB697" i="25"/>
  <c r="X699" i="25"/>
  <c r="Y698" i="25"/>
  <c r="Z698" i="25"/>
  <c r="AA698" i="25"/>
  <c r="W699" i="25"/>
  <c r="S701" i="25"/>
  <c r="T700" i="25"/>
  <c r="U700" i="25"/>
  <c r="V700" i="25"/>
  <c r="N747" i="36"/>
  <c r="M698" i="25" s="1"/>
  <c r="J749" i="36"/>
  <c r="I700" i="25" s="1"/>
  <c r="K748" i="36"/>
  <c r="J699" i="25" s="1"/>
  <c r="L748" i="36"/>
  <c r="K699" i="25" s="1"/>
  <c r="M748" i="36"/>
  <c r="L699" i="25" s="1"/>
  <c r="BF700" i="25" l="1"/>
  <c r="BE701" i="25"/>
  <c r="BB702" i="25"/>
  <c r="BC701" i="25"/>
  <c r="BD701" i="25"/>
  <c r="BA698" i="25"/>
  <c r="AZ699" i="25"/>
  <c r="AW700" i="25"/>
  <c r="AX699" i="25"/>
  <c r="AY699" i="25"/>
  <c r="AV698" i="25"/>
  <c r="AS699" i="25"/>
  <c r="AT699" i="25"/>
  <c r="AR700" i="25"/>
  <c r="AU699" i="25"/>
  <c r="AQ698" i="25"/>
  <c r="AP699" i="25"/>
  <c r="AM700" i="25"/>
  <c r="AN699" i="25"/>
  <c r="AO699" i="25"/>
  <c r="AL698" i="25"/>
  <c r="AH700" i="25"/>
  <c r="AI699" i="25"/>
  <c r="AJ699" i="25"/>
  <c r="AK699" i="25"/>
  <c r="AE699" i="25"/>
  <c r="AF699" i="25"/>
  <c r="AD699" i="25"/>
  <c r="AC700" i="25"/>
  <c r="AG698" i="25"/>
  <c r="AB698" i="25"/>
  <c r="AA699" i="25"/>
  <c r="X700" i="25"/>
  <c r="Y699" i="25"/>
  <c r="Z699" i="25"/>
  <c r="W700" i="25"/>
  <c r="T701" i="25"/>
  <c r="U701" i="25"/>
  <c r="V701" i="25"/>
  <c r="S702" i="25"/>
  <c r="N748" i="36"/>
  <c r="M699" i="25" s="1"/>
  <c r="J750" i="36"/>
  <c r="I701" i="25" s="1"/>
  <c r="K749" i="36"/>
  <c r="J700" i="25" s="1"/>
  <c r="M749" i="36"/>
  <c r="L700" i="25" s="1"/>
  <c r="L749" i="36"/>
  <c r="K700" i="25" s="1"/>
  <c r="BD702" i="25" l="1"/>
  <c r="BB703" i="25"/>
  <c r="BC702" i="25"/>
  <c r="BE702" i="25"/>
  <c r="BF701" i="25"/>
  <c r="AY700" i="25"/>
  <c r="AZ700" i="25"/>
  <c r="AX700" i="25"/>
  <c r="AW701" i="25"/>
  <c r="BA699" i="25"/>
  <c r="AV699" i="25"/>
  <c r="AU700" i="25"/>
  <c r="AS700" i="25"/>
  <c r="AT700" i="25"/>
  <c r="AR701" i="25"/>
  <c r="AO700" i="25"/>
  <c r="AP700" i="25"/>
  <c r="AN700" i="25"/>
  <c r="AM701" i="25"/>
  <c r="AQ699" i="25"/>
  <c r="AL699" i="25"/>
  <c r="AH701" i="25"/>
  <c r="AI700" i="25"/>
  <c r="AJ700" i="25"/>
  <c r="AK700" i="25"/>
  <c r="AG699" i="25"/>
  <c r="AF700" i="25"/>
  <c r="AC701" i="25"/>
  <c r="AD700" i="25"/>
  <c r="AE700" i="25"/>
  <c r="AA700" i="25"/>
  <c r="Z700" i="25"/>
  <c r="X701" i="25"/>
  <c r="Y700" i="25"/>
  <c r="AB699" i="25"/>
  <c r="W701" i="25"/>
  <c r="V702" i="25"/>
  <c r="T702" i="25"/>
  <c r="U702" i="25"/>
  <c r="S703" i="25"/>
  <c r="M750" i="36"/>
  <c r="L701" i="25" s="1"/>
  <c r="L750" i="36"/>
  <c r="K701" i="25" s="1"/>
  <c r="J751" i="36"/>
  <c r="I702" i="25" s="1"/>
  <c r="K750" i="36"/>
  <c r="J701" i="25" s="1"/>
  <c r="N749" i="36"/>
  <c r="M700" i="25" s="1"/>
  <c r="BF702" i="25" l="1"/>
  <c r="BB704" i="25"/>
  <c r="BC703" i="25"/>
  <c r="BE703" i="25"/>
  <c r="BD703" i="25"/>
  <c r="BA700" i="25"/>
  <c r="AW702" i="25"/>
  <c r="AX701" i="25"/>
  <c r="AY701" i="25"/>
  <c r="AZ701" i="25"/>
  <c r="AV700" i="25"/>
  <c r="AT701" i="25"/>
  <c r="AS701" i="25"/>
  <c r="AU701" i="25"/>
  <c r="AR702" i="25"/>
  <c r="AQ700" i="25"/>
  <c r="AM702" i="25"/>
  <c r="AN701" i="25"/>
  <c r="AO701" i="25"/>
  <c r="AP701" i="25"/>
  <c r="AL700" i="25"/>
  <c r="AK701" i="25"/>
  <c r="AI701" i="25"/>
  <c r="AJ701" i="25"/>
  <c r="AH702" i="25"/>
  <c r="AG700" i="25"/>
  <c r="AE701" i="25"/>
  <c r="AC702" i="25"/>
  <c r="AD701" i="25"/>
  <c r="AF701" i="25"/>
  <c r="Z701" i="25"/>
  <c r="AA701" i="25"/>
  <c r="X702" i="25"/>
  <c r="Y701" i="25"/>
  <c r="AB700" i="25"/>
  <c r="U703" i="25"/>
  <c r="T703" i="25"/>
  <c r="V703" i="25"/>
  <c r="S704" i="25"/>
  <c r="W702" i="25"/>
  <c r="N750" i="36"/>
  <c r="M701" i="25" s="1"/>
  <c r="L751" i="36"/>
  <c r="K702" i="25" s="1"/>
  <c r="M751" i="36"/>
  <c r="L702" i="25" s="1"/>
  <c r="J752" i="36"/>
  <c r="I703" i="25" s="1"/>
  <c r="K751" i="36"/>
  <c r="J702" i="25" s="1"/>
  <c r="BD704" i="25" l="1"/>
  <c r="BE704" i="25"/>
  <c r="BC704" i="25"/>
  <c r="BB705" i="25"/>
  <c r="BF703" i="25"/>
  <c r="AW703" i="25"/>
  <c r="AX702" i="25"/>
  <c r="AY702" i="25"/>
  <c r="AZ702" i="25"/>
  <c r="BA701" i="25"/>
  <c r="AV701" i="25"/>
  <c r="AR703" i="25"/>
  <c r="AS702" i="25"/>
  <c r="AT702" i="25"/>
  <c r="AU702" i="25"/>
  <c r="AQ701" i="25"/>
  <c r="AM703" i="25"/>
  <c r="AN702" i="25"/>
  <c r="AO702" i="25"/>
  <c r="AP702" i="25"/>
  <c r="AL701" i="25"/>
  <c r="AJ702" i="25"/>
  <c r="AK702" i="25"/>
  <c r="AH703" i="25"/>
  <c r="AI702" i="25"/>
  <c r="AG701" i="25"/>
  <c r="AC703" i="25"/>
  <c r="AD702" i="25"/>
  <c r="AF702" i="25"/>
  <c r="AE702" i="25"/>
  <c r="AB701" i="25"/>
  <c r="X703" i="25"/>
  <c r="Y702" i="25"/>
  <c r="Z702" i="25"/>
  <c r="AA702" i="25"/>
  <c r="W703" i="25"/>
  <c r="S705" i="25"/>
  <c r="T704" i="25"/>
  <c r="U704" i="25"/>
  <c r="V704" i="25"/>
  <c r="N751" i="36"/>
  <c r="M702" i="25" s="1"/>
  <c r="J753" i="36"/>
  <c r="I704" i="25" s="1"/>
  <c r="K752" i="36"/>
  <c r="J703" i="25" s="1"/>
  <c r="L752" i="36"/>
  <c r="K703" i="25" s="1"/>
  <c r="M752" i="36"/>
  <c r="L703" i="25" s="1"/>
  <c r="BF704" i="25" l="1"/>
  <c r="BE705" i="25"/>
  <c r="BB706" i="25"/>
  <c r="BC705" i="25"/>
  <c r="BD705" i="25"/>
  <c r="BA702" i="25"/>
  <c r="AZ703" i="25"/>
  <c r="AW704" i="25"/>
  <c r="AX703" i="25"/>
  <c r="AY703" i="25"/>
  <c r="AT703" i="25"/>
  <c r="AU703" i="25"/>
  <c r="AS703" i="25"/>
  <c r="AR704" i="25"/>
  <c r="AV702" i="25"/>
  <c r="AQ702" i="25"/>
  <c r="AP703" i="25"/>
  <c r="AM704" i="25"/>
  <c r="AN703" i="25"/>
  <c r="AO703" i="25"/>
  <c r="AL702" i="25"/>
  <c r="AH704" i="25"/>
  <c r="AI703" i="25"/>
  <c r="AJ703" i="25"/>
  <c r="AK703" i="25"/>
  <c r="AE703" i="25"/>
  <c r="AF703" i="25"/>
  <c r="AC704" i="25"/>
  <c r="AD703" i="25"/>
  <c r="AG702" i="25"/>
  <c r="AB702" i="25"/>
  <c r="X704" i="25"/>
  <c r="Y703" i="25"/>
  <c r="Z703" i="25"/>
  <c r="AA703" i="25"/>
  <c r="W704" i="25"/>
  <c r="U705" i="25"/>
  <c r="V705" i="25"/>
  <c r="S706" i="25"/>
  <c r="T705" i="25"/>
  <c r="N752" i="36"/>
  <c r="M703" i="25" s="1"/>
  <c r="J754" i="36"/>
  <c r="I705" i="25" s="1"/>
  <c r="K753" i="36"/>
  <c r="J704" i="25" s="1"/>
  <c r="M753" i="36"/>
  <c r="L704" i="25" s="1"/>
  <c r="L753" i="36"/>
  <c r="K704" i="25" s="1"/>
  <c r="BD706" i="25" l="1"/>
  <c r="BB707" i="25"/>
  <c r="BC706" i="25"/>
  <c r="BE706" i="25"/>
  <c r="BF705" i="25"/>
  <c r="AY704" i="25"/>
  <c r="AZ704" i="25"/>
  <c r="AX704" i="25"/>
  <c r="AW705" i="25"/>
  <c r="BA703" i="25"/>
  <c r="AV703" i="25"/>
  <c r="AU704" i="25"/>
  <c r="AT704" i="25"/>
  <c r="AS704" i="25"/>
  <c r="AR705" i="25"/>
  <c r="AO704" i="25"/>
  <c r="AP704" i="25"/>
  <c r="AN704" i="25"/>
  <c r="AM705" i="25"/>
  <c r="AQ703" i="25"/>
  <c r="AL703" i="25"/>
  <c r="AH705" i="25"/>
  <c r="AI704" i="25"/>
  <c r="AJ704" i="25"/>
  <c r="AK704" i="25"/>
  <c r="AG703" i="25"/>
  <c r="AF704" i="25"/>
  <c r="AC705" i="25"/>
  <c r="AD704" i="25"/>
  <c r="AE704" i="25"/>
  <c r="AB703" i="25"/>
  <c r="AA704" i="25"/>
  <c r="X705" i="25"/>
  <c r="Y704" i="25"/>
  <c r="Z704" i="25"/>
  <c r="W705" i="25"/>
  <c r="V706" i="25"/>
  <c r="U706" i="25"/>
  <c r="T706" i="25"/>
  <c r="S707" i="25"/>
  <c r="N753" i="36"/>
  <c r="M704" i="25" s="1"/>
  <c r="M754" i="36"/>
  <c r="L705" i="25" s="1"/>
  <c r="L754" i="36"/>
  <c r="K705" i="25" s="1"/>
  <c r="J755" i="36"/>
  <c r="I706" i="25" s="1"/>
  <c r="K754" i="36"/>
  <c r="J705" i="25" s="1"/>
  <c r="BF706" i="25" l="1"/>
  <c r="BB708" i="25"/>
  <c r="BC707" i="25"/>
  <c r="BE707" i="25"/>
  <c r="BD707" i="25"/>
  <c r="BA704" i="25"/>
  <c r="AW706" i="25"/>
  <c r="AX705" i="25"/>
  <c r="AY705" i="25"/>
  <c r="AZ705" i="25"/>
  <c r="AV704" i="25"/>
  <c r="AT705" i="25"/>
  <c r="AU705" i="25"/>
  <c r="AS705" i="25"/>
  <c r="AR706" i="25"/>
  <c r="AQ704" i="25"/>
  <c r="AM706" i="25"/>
  <c r="AN705" i="25"/>
  <c r="AO705" i="25"/>
  <c r="AP705" i="25"/>
  <c r="AL704" i="25"/>
  <c r="AK705" i="25"/>
  <c r="AH706" i="25"/>
  <c r="AI705" i="25"/>
  <c r="AJ705" i="25"/>
  <c r="AE705" i="25"/>
  <c r="AC706" i="25"/>
  <c r="AD705" i="25"/>
  <c r="AF705" i="25"/>
  <c r="AG704" i="25"/>
  <c r="Z705" i="25"/>
  <c r="AA705" i="25"/>
  <c r="Y705" i="25"/>
  <c r="X706" i="25"/>
  <c r="AB704" i="25"/>
  <c r="W706" i="25"/>
  <c r="U707" i="25"/>
  <c r="V707" i="25"/>
  <c r="S708" i="25"/>
  <c r="T707" i="25"/>
  <c r="L755" i="36"/>
  <c r="K706" i="25" s="1"/>
  <c r="M755" i="36"/>
  <c r="L706" i="25" s="1"/>
  <c r="J756" i="36"/>
  <c r="I707" i="25" s="1"/>
  <c r="K755" i="36"/>
  <c r="J706" i="25" s="1"/>
  <c r="N754" i="36"/>
  <c r="M705" i="25" s="1"/>
  <c r="BD708" i="25" l="1"/>
  <c r="BE708" i="25"/>
  <c r="BB709" i="25"/>
  <c r="BC708" i="25"/>
  <c r="BF707" i="25"/>
  <c r="AW707" i="25"/>
  <c r="AX706" i="25"/>
  <c r="AY706" i="25"/>
  <c r="AZ706" i="25"/>
  <c r="BA705" i="25"/>
  <c r="AR707" i="25"/>
  <c r="AS706" i="25"/>
  <c r="AU706" i="25"/>
  <c r="AT706" i="25"/>
  <c r="AV705" i="25"/>
  <c r="AM707" i="25"/>
  <c r="AN706" i="25"/>
  <c r="AO706" i="25"/>
  <c r="AP706" i="25"/>
  <c r="AQ705" i="25"/>
  <c r="AJ706" i="25"/>
  <c r="AK706" i="25"/>
  <c r="AI706" i="25"/>
  <c r="AH707" i="25"/>
  <c r="AL705" i="25"/>
  <c r="AG705" i="25"/>
  <c r="AC707" i="25"/>
  <c r="AD706" i="25"/>
  <c r="AF706" i="25"/>
  <c r="AE706" i="25"/>
  <c r="AB705" i="25"/>
  <c r="X707" i="25"/>
  <c r="Y706" i="25"/>
  <c r="Z706" i="25"/>
  <c r="AA706" i="25"/>
  <c r="W707" i="25"/>
  <c r="S709" i="25"/>
  <c r="T708" i="25"/>
  <c r="V708" i="25"/>
  <c r="U708" i="25"/>
  <c r="N755" i="36"/>
  <c r="M706" i="25" s="1"/>
  <c r="J757" i="36"/>
  <c r="I708" i="25" s="1"/>
  <c r="K756" i="36"/>
  <c r="J707" i="25" s="1"/>
  <c r="L756" i="36"/>
  <c r="K707" i="25" s="1"/>
  <c r="M756" i="36"/>
  <c r="L707" i="25" s="1"/>
  <c r="BF708" i="25" l="1"/>
  <c r="BE709" i="25"/>
  <c r="BB710" i="25"/>
  <c r="BC709" i="25"/>
  <c r="BD709" i="25"/>
  <c r="BA706" i="25"/>
  <c r="AZ707" i="25"/>
  <c r="AW708" i="25"/>
  <c r="AX707" i="25"/>
  <c r="AY707" i="25"/>
  <c r="AU707" i="25"/>
  <c r="AR708" i="25"/>
  <c r="AT707" i="25"/>
  <c r="AS707" i="25"/>
  <c r="AV706" i="25"/>
  <c r="AQ706" i="25"/>
  <c r="AP707" i="25"/>
  <c r="AM708" i="25"/>
  <c r="AN707" i="25"/>
  <c r="AO707" i="25"/>
  <c r="AL706" i="25"/>
  <c r="AH708" i="25"/>
  <c r="AI707" i="25"/>
  <c r="AJ707" i="25"/>
  <c r="AK707" i="25"/>
  <c r="AE707" i="25"/>
  <c r="AF707" i="25"/>
  <c r="AD707" i="25"/>
  <c r="AC708" i="25"/>
  <c r="AG706" i="25"/>
  <c r="AB706" i="25"/>
  <c r="X708" i="25"/>
  <c r="Y707" i="25"/>
  <c r="Z707" i="25"/>
  <c r="AA707" i="25"/>
  <c r="W708" i="25"/>
  <c r="V709" i="25"/>
  <c r="S710" i="25"/>
  <c r="U709" i="25"/>
  <c r="T709" i="25"/>
  <c r="N756" i="36"/>
  <c r="M707" i="25" s="1"/>
  <c r="J758" i="36"/>
  <c r="I709" i="25" s="1"/>
  <c r="K757" i="36"/>
  <c r="J708" i="25" s="1"/>
  <c r="M757" i="36"/>
  <c r="L708" i="25" s="1"/>
  <c r="L757" i="36"/>
  <c r="K708" i="25" s="1"/>
  <c r="BD710" i="25" l="1"/>
  <c r="BB711" i="25"/>
  <c r="BC710" i="25"/>
  <c r="BE710" i="25"/>
  <c r="BF709" i="25"/>
  <c r="AY708" i="25"/>
  <c r="AZ708" i="25"/>
  <c r="AX708" i="25"/>
  <c r="AW709" i="25"/>
  <c r="BA707" i="25"/>
  <c r="AU708" i="25"/>
  <c r="AR709" i="25"/>
  <c r="AT708" i="25"/>
  <c r="AS708" i="25"/>
  <c r="AV707" i="25"/>
  <c r="AO708" i="25"/>
  <c r="AP708" i="25"/>
  <c r="AN708" i="25"/>
  <c r="AM709" i="25"/>
  <c r="AQ707" i="25"/>
  <c r="AL707" i="25"/>
  <c r="AH709" i="25"/>
  <c r="AI708" i="25"/>
  <c r="AJ708" i="25"/>
  <c r="AK708" i="25"/>
  <c r="AG707" i="25"/>
  <c r="AF708" i="25"/>
  <c r="AC709" i="25"/>
  <c r="AD708" i="25"/>
  <c r="AE708" i="25"/>
  <c r="AB707" i="25"/>
  <c r="AA708" i="25"/>
  <c r="Y708" i="25"/>
  <c r="Z708" i="25"/>
  <c r="X709" i="25"/>
  <c r="W709" i="25"/>
  <c r="V710" i="25"/>
  <c r="S711" i="25"/>
  <c r="T710" i="25"/>
  <c r="U710" i="25"/>
  <c r="N757" i="36"/>
  <c r="M708" i="25" s="1"/>
  <c r="M758" i="36"/>
  <c r="L709" i="25" s="1"/>
  <c r="L758" i="36"/>
  <c r="K709" i="25" s="1"/>
  <c r="J759" i="36"/>
  <c r="I710" i="25" s="1"/>
  <c r="K758" i="36"/>
  <c r="J709" i="25" s="1"/>
  <c r="BF710" i="25" l="1"/>
  <c r="BB712" i="25"/>
  <c r="BC711" i="25"/>
  <c r="BE711" i="25"/>
  <c r="BD711" i="25"/>
  <c r="BA708" i="25"/>
  <c r="AW710" i="25"/>
  <c r="AX709" i="25"/>
  <c r="AY709" i="25"/>
  <c r="AZ709" i="25"/>
  <c r="AV708" i="25"/>
  <c r="AT709" i="25"/>
  <c r="AR710" i="25"/>
  <c r="AU709" i="25"/>
  <c r="AS709" i="25"/>
  <c r="AQ708" i="25"/>
  <c r="AM710" i="25"/>
  <c r="AN709" i="25"/>
  <c r="AO709" i="25"/>
  <c r="AP709" i="25"/>
  <c r="AL708" i="25"/>
  <c r="AK709" i="25"/>
  <c r="AI709" i="25"/>
  <c r="AJ709" i="25"/>
  <c r="AH710" i="25"/>
  <c r="AE709" i="25"/>
  <c r="AC710" i="25"/>
  <c r="AD709" i="25"/>
  <c r="AF709" i="25"/>
  <c r="AG708" i="25"/>
  <c r="AB708" i="25"/>
  <c r="Z709" i="25"/>
  <c r="AA709" i="25"/>
  <c r="X710" i="25"/>
  <c r="Y709" i="25"/>
  <c r="U711" i="25"/>
  <c r="S712" i="25"/>
  <c r="T711" i="25"/>
  <c r="V711" i="25"/>
  <c r="W710" i="25"/>
  <c r="L759" i="36"/>
  <c r="K710" i="25" s="1"/>
  <c r="M759" i="36"/>
  <c r="L710" i="25" s="1"/>
  <c r="J760" i="36"/>
  <c r="I711" i="25" s="1"/>
  <c r="K759" i="36"/>
  <c r="J710" i="25" s="1"/>
  <c r="N758" i="36"/>
  <c r="M709" i="25" s="1"/>
  <c r="W711" i="25" l="1"/>
  <c r="BD712" i="25"/>
  <c r="BE712" i="25"/>
  <c r="BC712" i="25"/>
  <c r="BB713" i="25"/>
  <c r="BF711" i="25"/>
  <c r="AW711" i="25"/>
  <c r="AX710" i="25"/>
  <c r="AY710" i="25"/>
  <c r="AZ710" i="25"/>
  <c r="BA709" i="25"/>
  <c r="AV709" i="25"/>
  <c r="AR711" i="25"/>
  <c r="AS710" i="25"/>
  <c r="AT710" i="25"/>
  <c r="AU710" i="25"/>
  <c r="AQ709" i="25"/>
  <c r="AM711" i="25"/>
  <c r="AN710" i="25"/>
  <c r="AO710" i="25"/>
  <c r="AP710" i="25"/>
  <c r="AL709" i="25"/>
  <c r="AJ710" i="25"/>
  <c r="AK710" i="25"/>
  <c r="AH711" i="25"/>
  <c r="AI710" i="25"/>
  <c r="AG709" i="25"/>
  <c r="AC711" i="25"/>
  <c r="AD710" i="25"/>
  <c r="AF710" i="25"/>
  <c r="AE710" i="25"/>
  <c r="AB709" i="25"/>
  <c r="X711" i="25"/>
  <c r="Y710" i="25"/>
  <c r="Z710" i="25"/>
  <c r="AA710" i="25"/>
  <c r="S713" i="25"/>
  <c r="T712" i="25"/>
  <c r="U712" i="25"/>
  <c r="V712" i="25"/>
  <c r="N759" i="36"/>
  <c r="M710" i="25" s="1"/>
  <c r="J761" i="36"/>
  <c r="I712" i="25" s="1"/>
  <c r="K760" i="36"/>
  <c r="J711" i="25" s="1"/>
  <c r="L760" i="36"/>
  <c r="K711" i="25" s="1"/>
  <c r="M760" i="36"/>
  <c r="L711" i="25" s="1"/>
  <c r="BF712" i="25" l="1"/>
  <c r="BE713" i="25"/>
  <c r="BB714" i="25"/>
  <c r="BC713" i="25"/>
  <c r="BD713" i="25"/>
  <c r="BA710" i="25"/>
  <c r="AZ711" i="25"/>
  <c r="AW712" i="25"/>
  <c r="AX711" i="25"/>
  <c r="AY711" i="25"/>
  <c r="AV710" i="25"/>
  <c r="AR712" i="25"/>
  <c r="AS711" i="25"/>
  <c r="AU711" i="25"/>
  <c r="AT711" i="25"/>
  <c r="AQ710" i="25"/>
  <c r="AP711" i="25"/>
  <c r="AM712" i="25"/>
  <c r="AN711" i="25"/>
  <c r="AO711" i="25"/>
  <c r="AL710" i="25"/>
  <c r="AH712" i="25"/>
  <c r="AI711" i="25"/>
  <c r="AJ711" i="25"/>
  <c r="AK711" i="25"/>
  <c r="AE711" i="25"/>
  <c r="AF711" i="25"/>
  <c r="AC712" i="25"/>
  <c r="AD711" i="25"/>
  <c r="AG710" i="25"/>
  <c r="AB710" i="25"/>
  <c r="X712" i="25"/>
  <c r="Y711" i="25"/>
  <c r="Z711" i="25"/>
  <c r="AA711" i="25"/>
  <c r="W712" i="25"/>
  <c r="S714" i="25"/>
  <c r="T713" i="25"/>
  <c r="U713" i="25"/>
  <c r="V713" i="25"/>
  <c r="N760" i="36"/>
  <c r="M711" i="25" s="1"/>
  <c r="J762" i="36"/>
  <c r="I713" i="25" s="1"/>
  <c r="K761" i="36"/>
  <c r="J712" i="25" s="1"/>
  <c r="M761" i="36"/>
  <c r="L712" i="25" s="1"/>
  <c r="L761" i="36"/>
  <c r="K712" i="25" s="1"/>
  <c r="BD714" i="25" l="1"/>
  <c r="BB715" i="25"/>
  <c r="BC714" i="25"/>
  <c r="BE714" i="25"/>
  <c r="BF713" i="25"/>
  <c r="AY712" i="25"/>
  <c r="AZ712" i="25"/>
  <c r="AW713" i="25"/>
  <c r="AX712" i="25"/>
  <c r="BA711" i="25"/>
  <c r="AV711" i="25"/>
  <c r="AU712" i="25"/>
  <c r="AT712" i="25"/>
  <c r="AS712" i="25"/>
  <c r="AR713" i="25"/>
  <c r="AO712" i="25"/>
  <c r="AP712" i="25"/>
  <c r="AM713" i="25"/>
  <c r="AN712" i="25"/>
  <c r="AQ711" i="25"/>
  <c r="AL711" i="25"/>
  <c r="AH713" i="25"/>
  <c r="AI712" i="25"/>
  <c r="AJ712" i="25"/>
  <c r="AK712" i="25"/>
  <c r="AG711" i="25"/>
  <c r="AF712" i="25"/>
  <c r="AC713" i="25"/>
  <c r="AD712" i="25"/>
  <c r="AE712" i="25"/>
  <c r="AB711" i="25"/>
  <c r="AA712" i="25"/>
  <c r="X713" i="25"/>
  <c r="Y712" i="25"/>
  <c r="Z712" i="25"/>
  <c r="W713" i="25"/>
  <c r="V714" i="25"/>
  <c r="S715" i="25"/>
  <c r="T714" i="25"/>
  <c r="U714" i="25"/>
  <c r="N761" i="36"/>
  <c r="M712" i="25" s="1"/>
  <c r="M762" i="36"/>
  <c r="L713" i="25" s="1"/>
  <c r="L762" i="36"/>
  <c r="K713" i="25" s="1"/>
  <c r="K762" i="36"/>
  <c r="J713" i="25" s="1"/>
  <c r="J763" i="36"/>
  <c r="I714" i="25" s="1"/>
  <c r="BF714" i="25" l="1"/>
  <c r="BB716" i="25"/>
  <c r="BC715" i="25"/>
  <c r="BE715" i="25"/>
  <c r="BD715" i="25"/>
  <c r="BA712" i="25"/>
  <c r="AW714" i="25"/>
  <c r="AX713" i="25"/>
  <c r="AY713" i="25"/>
  <c r="AZ713" i="25"/>
  <c r="AV712" i="25"/>
  <c r="AT713" i="25"/>
  <c r="AU713" i="25"/>
  <c r="AR714" i="25"/>
  <c r="AS713" i="25"/>
  <c r="AQ712" i="25"/>
  <c r="AM714" i="25"/>
  <c r="AN713" i="25"/>
  <c r="AO713" i="25"/>
  <c r="AP713" i="25"/>
  <c r="AL712" i="25"/>
  <c r="AK713" i="25"/>
  <c r="AH714" i="25"/>
  <c r="AI713" i="25"/>
  <c r="AJ713" i="25"/>
  <c r="AE713" i="25"/>
  <c r="AC714" i="25"/>
  <c r="AD713" i="25"/>
  <c r="AF713" i="25"/>
  <c r="AG712" i="25"/>
  <c r="Z713" i="25"/>
  <c r="AA713" i="25"/>
  <c r="Y713" i="25"/>
  <c r="X714" i="25"/>
  <c r="AB712" i="25"/>
  <c r="U715" i="25"/>
  <c r="S716" i="25"/>
  <c r="T715" i="25"/>
  <c r="V715" i="25"/>
  <c r="W714" i="25"/>
  <c r="L763" i="36"/>
  <c r="K714" i="25" s="1"/>
  <c r="M763" i="36"/>
  <c r="L714" i="25" s="1"/>
  <c r="J764" i="36"/>
  <c r="I715" i="25" s="1"/>
  <c r="K763" i="36"/>
  <c r="J714" i="25" s="1"/>
  <c r="N762" i="36"/>
  <c r="M713" i="25" s="1"/>
  <c r="W715" i="25" l="1"/>
  <c r="BD716" i="25"/>
  <c r="BE716" i="25"/>
  <c r="BB717" i="25"/>
  <c r="BC716" i="25"/>
  <c r="BF715" i="25"/>
  <c r="AW715" i="25"/>
  <c r="AX714" i="25"/>
  <c r="AY714" i="25"/>
  <c r="AZ714" i="25"/>
  <c r="BA713" i="25"/>
  <c r="AV713" i="25"/>
  <c r="AR715" i="25"/>
  <c r="AS714" i="25"/>
  <c r="AT714" i="25"/>
  <c r="AU714" i="25"/>
  <c r="AM715" i="25"/>
  <c r="AN714" i="25"/>
  <c r="AO714" i="25"/>
  <c r="AP714" i="25"/>
  <c r="AQ713" i="25"/>
  <c r="AJ714" i="25"/>
  <c r="AK714" i="25"/>
  <c r="AI714" i="25"/>
  <c r="AH715" i="25"/>
  <c r="AL713" i="25"/>
  <c r="AG713" i="25"/>
  <c r="AC715" i="25"/>
  <c r="AD714" i="25"/>
  <c r="AF714" i="25"/>
  <c r="AE714" i="25"/>
  <c r="AB713" i="25"/>
  <c r="X715" i="25"/>
  <c r="Y714" i="25"/>
  <c r="Z714" i="25"/>
  <c r="AA714" i="25"/>
  <c r="S717" i="25"/>
  <c r="T716" i="25"/>
  <c r="U716" i="25"/>
  <c r="V716" i="25"/>
  <c r="N763" i="36"/>
  <c r="M714" i="25" s="1"/>
  <c r="J765" i="36"/>
  <c r="I716" i="25" s="1"/>
  <c r="K764" i="36"/>
  <c r="J715" i="25" s="1"/>
  <c r="L764" i="36"/>
  <c r="K715" i="25" s="1"/>
  <c r="M764" i="36"/>
  <c r="L715" i="25" s="1"/>
  <c r="BF716" i="25" l="1"/>
  <c r="BE717" i="25"/>
  <c r="BB718" i="25"/>
  <c r="BC717" i="25"/>
  <c r="BD717" i="25"/>
  <c r="BA714" i="25"/>
  <c r="AZ715" i="25"/>
  <c r="AW716" i="25"/>
  <c r="AX715" i="25"/>
  <c r="AY715" i="25"/>
  <c r="AV714" i="25"/>
  <c r="AR716" i="25"/>
  <c r="AS715" i="25"/>
  <c r="AU715" i="25"/>
  <c r="AT715" i="25"/>
  <c r="AQ714" i="25"/>
  <c r="AP715" i="25"/>
  <c r="AM716" i="25"/>
  <c r="AN715" i="25"/>
  <c r="AO715" i="25"/>
  <c r="AL714" i="25"/>
  <c r="AH716" i="25"/>
  <c r="AI715" i="25"/>
  <c r="AJ715" i="25"/>
  <c r="AK715" i="25"/>
  <c r="AE715" i="25"/>
  <c r="AF715" i="25"/>
  <c r="AD715" i="25"/>
  <c r="AC716" i="25"/>
  <c r="AG714" i="25"/>
  <c r="AB714" i="25"/>
  <c r="X716" i="25"/>
  <c r="Y715" i="25"/>
  <c r="Z715" i="25"/>
  <c r="AA715" i="25"/>
  <c r="W716" i="25"/>
  <c r="T717" i="25"/>
  <c r="U717" i="25"/>
  <c r="V717" i="25"/>
  <c r="S718" i="25"/>
  <c r="J766" i="36"/>
  <c r="I717" i="25" s="1"/>
  <c r="K765" i="36"/>
  <c r="J716" i="25" s="1"/>
  <c r="M765" i="36"/>
  <c r="L716" i="25" s="1"/>
  <c r="L765" i="36"/>
  <c r="K716" i="25" s="1"/>
  <c r="N764" i="36"/>
  <c r="M715" i="25" s="1"/>
  <c r="BD718" i="25" l="1"/>
  <c r="BB719" i="25"/>
  <c r="BC718" i="25"/>
  <c r="BE718" i="25"/>
  <c r="BF717" i="25"/>
  <c r="AY716" i="25"/>
  <c r="AZ716" i="25"/>
  <c r="AX716" i="25"/>
  <c r="AW717" i="25"/>
  <c r="BA715" i="25"/>
  <c r="AV715" i="25"/>
  <c r="AU716" i="25"/>
  <c r="AT716" i="25"/>
  <c r="AR717" i="25"/>
  <c r="AS716" i="25"/>
  <c r="AO716" i="25"/>
  <c r="AP716" i="25"/>
  <c r="AN716" i="25"/>
  <c r="AM717" i="25"/>
  <c r="AQ715" i="25"/>
  <c r="AL715" i="25"/>
  <c r="AH717" i="25"/>
  <c r="AI716" i="25"/>
  <c r="AJ716" i="25"/>
  <c r="AK716" i="25"/>
  <c r="AG715" i="25"/>
  <c r="AF716" i="25"/>
  <c r="AC717" i="25"/>
  <c r="AD716" i="25"/>
  <c r="AE716" i="25"/>
  <c r="AB715" i="25"/>
  <c r="AA716" i="25"/>
  <c r="Y716" i="25"/>
  <c r="Z716" i="25"/>
  <c r="X717" i="25"/>
  <c r="W717" i="25"/>
  <c r="V718" i="25"/>
  <c r="T718" i="25"/>
  <c r="U718" i="25"/>
  <c r="S719" i="25"/>
  <c r="M766" i="36"/>
  <c r="L717" i="25" s="1"/>
  <c r="L766" i="36"/>
  <c r="K717" i="25" s="1"/>
  <c r="K766" i="36"/>
  <c r="J717" i="25" s="1"/>
  <c r="J767" i="36"/>
  <c r="I718" i="25" s="1"/>
  <c r="N765" i="36"/>
  <c r="M716" i="25" s="1"/>
  <c r="BF718" i="25" l="1"/>
  <c r="BB720" i="25"/>
  <c r="BC719" i="25"/>
  <c r="BE719" i="25"/>
  <c r="BD719" i="25"/>
  <c r="BA716" i="25"/>
  <c r="AW718" i="25"/>
  <c r="AX717" i="25"/>
  <c r="AY717" i="25"/>
  <c r="AZ717" i="25"/>
  <c r="AV716" i="25"/>
  <c r="AT717" i="25"/>
  <c r="AU717" i="25"/>
  <c r="AR718" i="25"/>
  <c r="AS717" i="25"/>
  <c r="AQ716" i="25"/>
  <c r="AM718" i="25"/>
  <c r="AN717" i="25"/>
  <c r="AO717" i="25"/>
  <c r="AP717" i="25"/>
  <c r="AL716" i="25"/>
  <c r="AK717" i="25"/>
  <c r="AI717" i="25"/>
  <c r="AJ717" i="25"/>
  <c r="AH718" i="25"/>
  <c r="AE717" i="25"/>
  <c r="AC718" i="25"/>
  <c r="AD717" i="25"/>
  <c r="AF717" i="25"/>
  <c r="AG716" i="25"/>
  <c r="AB716" i="25"/>
  <c r="Z717" i="25"/>
  <c r="AA717" i="25"/>
  <c r="X718" i="25"/>
  <c r="Y717" i="25"/>
  <c r="W718" i="25"/>
  <c r="U719" i="25"/>
  <c r="T719" i="25"/>
  <c r="V719" i="25"/>
  <c r="S720" i="25"/>
  <c r="N766" i="36"/>
  <c r="M717" i="25" s="1"/>
  <c r="L767" i="36"/>
  <c r="K718" i="25" s="1"/>
  <c r="M767" i="36"/>
  <c r="L718" i="25" s="1"/>
  <c r="J768" i="36"/>
  <c r="I719" i="25" s="1"/>
  <c r="K767" i="36"/>
  <c r="J718" i="25" s="1"/>
  <c r="BD720" i="25" l="1"/>
  <c r="BE720" i="25"/>
  <c r="BC720" i="25"/>
  <c r="BB721" i="25"/>
  <c r="BF719" i="25"/>
  <c r="AW719" i="25"/>
  <c r="AX718" i="25"/>
  <c r="AY718" i="25"/>
  <c r="AZ718" i="25"/>
  <c r="BA717" i="25"/>
  <c r="AV717" i="25"/>
  <c r="AR719" i="25"/>
  <c r="AS718" i="25"/>
  <c r="AT718" i="25"/>
  <c r="AU718" i="25"/>
  <c r="AM719" i="25"/>
  <c r="AN718" i="25"/>
  <c r="AO718" i="25"/>
  <c r="AP718" i="25"/>
  <c r="AQ717" i="25"/>
  <c r="AL717" i="25"/>
  <c r="AJ718" i="25"/>
  <c r="AK718" i="25"/>
  <c r="AH719" i="25"/>
  <c r="AI718" i="25"/>
  <c r="AG717" i="25"/>
  <c r="AC719" i="25"/>
  <c r="AD718" i="25"/>
  <c r="AF718" i="25"/>
  <c r="AE718" i="25"/>
  <c r="AB717" i="25"/>
  <c r="X719" i="25"/>
  <c r="Y718" i="25"/>
  <c r="Z718" i="25"/>
  <c r="AA718" i="25"/>
  <c r="W719" i="25"/>
  <c r="S721" i="25"/>
  <c r="T720" i="25"/>
  <c r="U720" i="25"/>
  <c r="V720" i="25"/>
  <c r="N767" i="36"/>
  <c r="M718" i="25" s="1"/>
  <c r="J769" i="36"/>
  <c r="I720" i="25" s="1"/>
  <c r="K768" i="36"/>
  <c r="J719" i="25" s="1"/>
  <c r="L768" i="36"/>
  <c r="K719" i="25" s="1"/>
  <c r="M768" i="36"/>
  <c r="L719" i="25" s="1"/>
  <c r="BF720" i="25" l="1"/>
  <c r="BE721" i="25"/>
  <c r="BB722" i="25"/>
  <c r="BC721" i="25"/>
  <c r="BD721" i="25"/>
  <c r="BA718" i="25"/>
  <c r="AZ719" i="25"/>
  <c r="AW720" i="25"/>
  <c r="AX719" i="25"/>
  <c r="AY719" i="25"/>
  <c r="AV718" i="25"/>
  <c r="AR720" i="25"/>
  <c r="AS719" i="25"/>
  <c r="AU719" i="25"/>
  <c r="AT719" i="25"/>
  <c r="AQ718" i="25"/>
  <c r="AP719" i="25"/>
  <c r="AM720" i="25"/>
  <c r="AN719" i="25"/>
  <c r="AO719" i="25"/>
  <c r="AL718" i="25"/>
  <c r="AH720" i="25"/>
  <c r="AI719" i="25"/>
  <c r="AJ719" i="25"/>
  <c r="AK719" i="25"/>
  <c r="AE719" i="25"/>
  <c r="AF719" i="25"/>
  <c r="AC720" i="25"/>
  <c r="AD719" i="25"/>
  <c r="AG718" i="25"/>
  <c r="AB718" i="25"/>
  <c r="X720" i="25"/>
  <c r="Y719" i="25"/>
  <c r="Z719" i="25"/>
  <c r="AA719" i="25"/>
  <c r="W720" i="25"/>
  <c r="U721" i="25"/>
  <c r="V721" i="25"/>
  <c r="T721" i="25"/>
  <c r="S722" i="25"/>
  <c r="N768" i="36"/>
  <c r="M719" i="25" s="1"/>
  <c r="J770" i="36"/>
  <c r="I721" i="25" s="1"/>
  <c r="K769" i="36"/>
  <c r="J720" i="25" s="1"/>
  <c r="M769" i="36"/>
  <c r="L720" i="25" s="1"/>
  <c r="L769" i="36"/>
  <c r="K720" i="25" s="1"/>
  <c r="BD722" i="25" l="1"/>
  <c r="BB723" i="25"/>
  <c r="BC722" i="25"/>
  <c r="BE722" i="25"/>
  <c r="BF721" i="25"/>
  <c r="AY720" i="25"/>
  <c r="AZ720" i="25"/>
  <c r="AX720" i="25"/>
  <c r="AW721" i="25"/>
  <c r="BA719" i="25"/>
  <c r="AU720" i="25"/>
  <c r="AT720" i="25"/>
  <c r="AR721" i="25"/>
  <c r="AS720" i="25"/>
  <c r="AV719" i="25"/>
  <c r="AO720" i="25"/>
  <c r="AP720" i="25"/>
  <c r="AN720" i="25"/>
  <c r="AM721" i="25"/>
  <c r="AQ719" i="25"/>
  <c r="AH721" i="25"/>
  <c r="AI720" i="25"/>
  <c r="AJ720" i="25"/>
  <c r="AK720" i="25"/>
  <c r="AL719" i="25"/>
  <c r="AG719" i="25"/>
  <c r="AF720" i="25"/>
  <c r="AC721" i="25"/>
  <c r="AD720" i="25"/>
  <c r="AE720" i="25"/>
  <c r="AB719" i="25"/>
  <c r="AA720" i="25"/>
  <c r="X721" i="25"/>
  <c r="Y720" i="25"/>
  <c r="Z720" i="25"/>
  <c r="W721" i="25"/>
  <c r="V722" i="25"/>
  <c r="U722" i="25"/>
  <c r="S723" i="25"/>
  <c r="T722" i="25"/>
  <c r="M770" i="36"/>
  <c r="L721" i="25" s="1"/>
  <c r="L770" i="36"/>
  <c r="K721" i="25" s="1"/>
  <c r="K770" i="36"/>
  <c r="J721" i="25" s="1"/>
  <c r="J771" i="36"/>
  <c r="I722" i="25" s="1"/>
  <c r="N769" i="36"/>
  <c r="M720" i="25" s="1"/>
  <c r="BF722" i="25" l="1"/>
  <c r="BB724" i="25"/>
  <c r="BC723" i="25"/>
  <c r="BE723" i="25"/>
  <c r="BD723" i="25"/>
  <c r="BA720" i="25"/>
  <c r="AW722" i="25"/>
  <c r="AX721" i="25"/>
  <c r="AY721" i="25"/>
  <c r="AZ721" i="25"/>
  <c r="AV720" i="25"/>
  <c r="AT721" i="25"/>
  <c r="AU721" i="25"/>
  <c r="AR722" i="25"/>
  <c r="AS721" i="25"/>
  <c r="AQ720" i="25"/>
  <c r="AM722" i="25"/>
  <c r="AN721" i="25"/>
  <c r="AO721" i="25"/>
  <c r="AP721" i="25"/>
  <c r="AL720" i="25"/>
  <c r="AK721" i="25"/>
  <c r="AH722" i="25"/>
  <c r="AI721" i="25"/>
  <c r="AJ721" i="25"/>
  <c r="AE721" i="25"/>
  <c r="AC722" i="25"/>
  <c r="AD721" i="25"/>
  <c r="AF721" i="25"/>
  <c r="AG720" i="25"/>
  <c r="Z721" i="25"/>
  <c r="AA721" i="25"/>
  <c r="Y721" i="25"/>
  <c r="X722" i="25"/>
  <c r="AB720" i="25"/>
  <c r="W722" i="25"/>
  <c r="U723" i="25"/>
  <c r="V723" i="25"/>
  <c r="T723" i="25"/>
  <c r="S724" i="25"/>
  <c r="N770" i="36"/>
  <c r="M721" i="25" s="1"/>
  <c r="L771" i="36"/>
  <c r="K722" i="25" s="1"/>
  <c r="M771" i="36"/>
  <c r="L722" i="25" s="1"/>
  <c r="J772" i="36"/>
  <c r="I723" i="25" s="1"/>
  <c r="K771" i="36"/>
  <c r="J722" i="25" s="1"/>
  <c r="BD724" i="25" l="1"/>
  <c r="BE724" i="25"/>
  <c r="BB725" i="25"/>
  <c r="BC724" i="25"/>
  <c r="BF723" i="25"/>
  <c r="AW723" i="25"/>
  <c r="AX722" i="25"/>
  <c r="AY722" i="25"/>
  <c r="AZ722" i="25"/>
  <c r="BA721" i="25"/>
  <c r="AV721" i="25"/>
  <c r="AR723" i="25"/>
  <c r="AS722" i="25"/>
  <c r="AT722" i="25"/>
  <c r="AU722" i="25"/>
  <c r="AM723" i="25"/>
  <c r="AN722" i="25"/>
  <c r="AO722" i="25"/>
  <c r="AP722" i="25"/>
  <c r="AQ721" i="25"/>
  <c r="AJ722" i="25"/>
  <c r="AK722" i="25"/>
  <c r="AI722" i="25"/>
  <c r="AH723" i="25"/>
  <c r="AL721" i="25"/>
  <c r="AG721" i="25"/>
  <c r="AC723" i="25"/>
  <c r="AD722" i="25"/>
  <c r="AF722" i="25"/>
  <c r="AE722" i="25"/>
  <c r="AB721" i="25"/>
  <c r="X723" i="25"/>
  <c r="Y722" i="25"/>
  <c r="Z722" i="25"/>
  <c r="AA722" i="25"/>
  <c r="S725" i="25"/>
  <c r="T724" i="25"/>
  <c r="V724" i="25"/>
  <c r="U724" i="25"/>
  <c r="W723" i="25"/>
  <c r="N771" i="36"/>
  <c r="M722" i="25" s="1"/>
  <c r="J773" i="36"/>
  <c r="I724" i="25" s="1"/>
  <c r="K772" i="36"/>
  <c r="J723" i="25" s="1"/>
  <c r="L772" i="36"/>
  <c r="K723" i="25" s="1"/>
  <c r="M772" i="36"/>
  <c r="L723" i="25" s="1"/>
  <c r="BF724" i="25" l="1"/>
  <c r="BE725" i="25"/>
  <c r="BB726" i="25"/>
  <c r="BC725" i="25"/>
  <c r="BD725" i="25"/>
  <c r="BA722" i="25"/>
  <c r="AZ723" i="25"/>
  <c r="AW724" i="25"/>
  <c r="AX723" i="25"/>
  <c r="AY723" i="25"/>
  <c r="AR724" i="25"/>
  <c r="AS723" i="25"/>
  <c r="AU723" i="25"/>
  <c r="AT723" i="25"/>
  <c r="AV722" i="25"/>
  <c r="AQ722" i="25"/>
  <c r="AP723" i="25"/>
  <c r="AM724" i="25"/>
  <c r="AN723" i="25"/>
  <c r="AO723" i="25"/>
  <c r="AL722" i="25"/>
  <c r="AH724" i="25"/>
  <c r="AI723" i="25"/>
  <c r="AJ723" i="25"/>
  <c r="AK723" i="25"/>
  <c r="AE723" i="25"/>
  <c r="AF723" i="25"/>
  <c r="AD723" i="25"/>
  <c r="AC724" i="25"/>
  <c r="AG722" i="25"/>
  <c r="AB722" i="25"/>
  <c r="X724" i="25"/>
  <c r="Y723" i="25"/>
  <c r="Z723" i="25"/>
  <c r="AA723" i="25"/>
  <c r="V725" i="25"/>
  <c r="S726" i="25"/>
  <c r="T725" i="25"/>
  <c r="U725" i="25"/>
  <c r="W724" i="25"/>
  <c r="N772" i="36"/>
  <c r="M723" i="25" s="1"/>
  <c r="J774" i="36"/>
  <c r="I725" i="25" s="1"/>
  <c r="K773" i="36"/>
  <c r="J724" i="25" s="1"/>
  <c r="M773" i="36"/>
  <c r="L724" i="25" s="1"/>
  <c r="L773" i="36"/>
  <c r="K724" i="25" s="1"/>
  <c r="BD726" i="25" l="1"/>
  <c r="BB727" i="25"/>
  <c r="BC726" i="25"/>
  <c r="BE726" i="25"/>
  <c r="BF725" i="25"/>
  <c r="AY724" i="25"/>
  <c r="AZ724" i="25"/>
  <c r="AX724" i="25"/>
  <c r="AW725" i="25"/>
  <c r="BA723" i="25"/>
  <c r="AU724" i="25"/>
  <c r="AT724" i="25"/>
  <c r="AS724" i="25"/>
  <c r="AR725" i="25"/>
  <c r="AV723" i="25"/>
  <c r="AO724" i="25"/>
  <c r="AP724" i="25"/>
  <c r="AN724" i="25"/>
  <c r="AM725" i="25"/>
  <c r="AQ723" i="25"/>
  <c r="AL723" i="25"/>
  <c r="AH725" i="25"/>
  <c r="AI724" i="25"/>
  <c r="AJ724" i="25"/>
  <c r="AK724" i="25"/>
  <c r="AG723" i="25"/>
  <c r="AF724" i="25"/>
  <c r="AC725" i="25"/>
  <c r="AD724" i="25"/>
  <c r="AE724" i="25"/>
  <c r="AB723" i="25"/>
  <c r="AA724" i="25"/>
  <c r="Y724" i="25"/>
  <c r="Z724" i="25"/>
  <c r="X725" i="25"/>
  <c r="V726" i="25"/>
  <c r="S727" i="25"/>
  <c r="T726" i="25"/>
  <c r="U726" i="25"/>
  <c r="W725" i="25"/>
  <c r="M774" i="36"/>
  <c r="L725" i="25" s="1"/>
  <c r="L774" i="36"/>
  <c r="K725" i="25" s="1"/>
  <c r="J775" i="36"/>
  <c r="I726" i="25" s="1"/>
  <c r="K774" i="36"/>
  <c r="J725" i="25" s="1"/>
  <c r="N773" i="36"/>
  <c r="M724" i="25" s="1"/>
  <c r="BF726" i="25" l="1"/>
  <c r="BB728" i="25"/>
  <c r="BC727" i="25"/>
  <c r="BE727" i="25"/>
  <c r="BD727" i="25"/>
  <c r="BA724" i="25"/>
  <c r="AW726" i="25"/>
  <c r="AX725" i="25"/>
  <c r="AY725" i="25"/>
  <c r="AZ725" i="25"/>
  <c r="AV724" i="25"/>
  <c r="AT725" i="25"/>
  <c r="AU725" i="25"/>
  <c r="AR726" i="25"/>
  <c r="AS725" i="25"/>
  <c r="AQ724" i="25"/>
  <c r="AM726" i="25"/>
  <c r="AN725" i="25"/>
  <c r="AO725" i="25"/>
  <c r="AP725" i="25"/>
  <c r="AL724" i="25"/>
  <c r="AK725" i="25"/>
  <c r="AI725" i="25"/>
  <c r="AJ725" i="25"/>
  <c r="AH726" i="25"/>
  <c r="AE725" i="25"/>
  <c r="AC726" i="25"/>
  <c r="AD725" i="25"/>
  <c r="AF725" i="25"/>
  <c r="AG724" i="25"/>
  <c r="AB724" i="25"/>
  <c r="Z725" i="25"/>
  <c r="AA725" i="25"/>
  <c r="X726" i="25"/>
  <c r="Y725" i="25"/>
  <c r="U727" i="25"/>
  <c r="S728" i="25"/>
  <c r="T727" i="25"/>
  <c r="V727" i="25"/>
  <c r="W726" i="25"/>
  <c r="L775" i="36"/>
  <c r="K726" i="25" s="1"/>
  <c r="M775" i="36"/>
  <c r="L726" i="25" s="1"/>
  <c r="J776" i="36"/>
  <c r="I727" i="25" s="1"/>
  <c r="K775" i="36"/>
  <c r="J726" i="25" s="1"/>
  <c r="N774" i="36"/>
  <c r="M725" i="25" s="1"/>
  <c r="BD728" i="25" l="1"/>
  <c r="BE728" i="25"/>
  <c r="BC728" i="25"/>
  <c r="BB729" i="25"/>
  <c r="BF727" i="25"/>
  <c r="AW727" i="25"/>
  <c r="AX726" i="25"/>
  <c r="AY726" i="25"/>
  <c r="AZ726" i="25"/>
  <c r="BA725" i="25"/>
  <c r="AV725" i="25"/>
  <c r="AR727" i="25"/>
  <c r="AS726" i="25"/>
  <c r="AT726" i="25"/>
  <c r="AU726" i="25"/>
  <c r="AM727" i="25"/>
  <c r="AN726" i="25"/>
  <c r="AO726" i="25"/>
  <c r="AP726" i="25"/>
  <c r="AQ725" i="25"/>
  <c r="AL725" i="25"/>
  <c r="AJ726" i="25"/>
  <c r="AK726" i="25"/>
  <c r="AH727" i="25"/>
  <c r="AI726" i="25"/>
  <c r="AG725" i="25"/>
  <c r="AC727" i="25"/>
  <c r="AD726" i="25"/>
  <c r="AF726" i="25"/>
  <c r="AE726" i="25"/>
  <c r="AB725" i="25"/>
  <c r="X727" i="25"/>
  <c r="Y726" i="25"/>
  <c r="Z726" i="25"/>
  <c r="AA726" i="25"/>
  <c r="W727" i="25"/>
  <c r="S729" i="25"/>
  <c r="T728" i="25"/>
  <c r="U728" i="25"/>
  <c r="V728" i="25"/>
  <c r="N775" i="36"/>
  <c r="M726" i="25" s="1"/>
  <c r="J777" i="36"/>
  <c r="I728" i="25" s="1"/>
  <c r="K776" i="36"/>
  <c r="J727" i="25" s="1"/>
  <c r="L776" i="36"/>
  <c r="K727" i="25" s="1"/>
  <c r="M776" i="36"/>
  <c r="L727" i="25" s="1"/>
  <c r="BF728" i="25" l="1"/>
  <c r="BE729" i="25"/>
  <c r="BB730" i="25"/>
  <c r="BC729" i="25"/>
  <c r="BD729" i="25"/>
  <c r="BA726" i="25"/>
  <c r="AZ727" i="25"/>
  <c r="AW728" i="25"/>
  <c r="AX727" i="25"/>
  <c r="AY727" i="25"/>
  <c r="AV726" i="25"/>
  <c r="AR728" i="25"/>
  <c r="AS727" i="25"/>
  <c r="AU727" i="25"/>
  <c r="AT727" i="25"/>
  <c r="AQ726" i="25"/>
  <c r="AP727" i="25"/>
  <c r="AM728" i="25"/>
  <c r="AN727" i="25"/>
  <c r="AO727" i="25"/>
  <c r="AL726" i="25"/>
  <c r="AH728" i="25"/>
  <c r="AI727" i="25"/>
  <c r="AJ727" i="25"/>
  <c r="AK727" i="25"/>
  <c r="AG726" i="25"/>
  <c r="AE727" i="25"/>
  <c r="AF727" i="25"/>
  <c r="AC728" i="25"/>
  <c r="AD727" i="25"/>
  <c r="AB726" i="25"/>
  <c r="X728" i="25"/>
  <c r="Y727" i="25"/>
  <c r="Z727" i="25"/>
  <c r="AA727" i="25"/>
  <c r="W728" i="25"/>
  <c r="S730" i="25"/>
  <c r="T729" i="25"/>
  <c r="U729" i="25"/>
  <c r="V729" i="25"/>
  <c r="N776" i="36"/>
  <c r="M727" i="25" s="1"/>
  <c r="J778" i="36"/>
  <c r="I729" i="25" s="1"/>
  <c r="K777" i="36"/>
  <c r="J728" i="25" s="1"/>
  <c r="M777" i="36"/>
  <c r="L728" i="25" s="1"/>
  <c r="L777" i="36"/>
  <c r="K728" i="25" s="1"/>
  <c r="BD730" i="25" l="1"/>
  <c r="BB731" i="25"/>
  <c r="BC730" i="25"/>
  <c r="BE730" i="25"/>
  <c r="BF729" i="25"/>
  <c r="AY728" i="25"/>
  <c r="AZ728" i="25"/>
  <c r="AW729" i="25"/>
  <c r="AX728" i="25"/>
  <c r="BA727" i="25"/>
  <c r="AU728" i="25"/>
  <c r="AT728" i="25"/>
  <c r="AS728" i="25"/>
  <c r="AR729" i="25"/>
  <c r="AV727" i="25"/>
  <c r="AO728" i="25"/>
  <c r="AP728" i="25"/>
  <c r="AM729" i="25"/>
  <c r="AN728" i="25"/>
  <c r="AQ727" i="25"/>
  <c r="AL727" i="25"/>
  <c r="AH729" i="25"/>
  <c r="AI728" i="25"/>
  <c r="AJ728" i="25"/>
  <c r="AK728" i="25"/>
  <c r="AG727" i="25"/>
  <c r="AF728" i="25"/>
  <c r="AC729" i="25"/>
  <c r="AD728" i="25"/>
  <c r="AE728" i="25"/>
  <c r="AB727" i="25"/>
  <c r="AA728" i="25"/>
  <c r="X729" i="25"/>
  <c r="Y728" i="25"/>
  <c r="Z728" i="25"/>
  <c r="W729" i="25"/>
  <c r="V730" i="25"/>
  <c r="S731" i="25"/>
  <c r="T730" i="25"/>
  <c r="U730" i="25"/>
  <c r="M778" i="36"/>
  <c r="L729" i="25" s="1"/>
  <c r="L778" i="36"/>
  <c r="K729" i="25" s="1"/>
  <c r="K778" i="36"/>
  <c r="J729" i="25" s="1"/>
  <c r="J779" i="36"/>
  <c r="I730" i="25" s="1"/>
  <c r="N777" i="36"/>
  <c r="M728" i="25" s="1"/>
  <c r="BF730" i="25" l="1"/>
  <c r="BB732" i="25"/>
  <c r="BC731" i="25"/>
  <c r="BE731" i="25"/>
  <c r="BD731" i="25"/>
  <c r="BA728" i="25"/>
  <c r="AW730" i="25"/>
  <c r="AX729" i="25"/>
  <c r="AY729" i="25"/>
  <c r="AZ729" i="25"/>
  <c r="AV728" i="25"/>
  <c r="AT729" i="25"/>
  <c r="AU729" i="25"/>
  <c r="AR730" i="25"/>
  <c r="AS729" i="25"/>
  <c r="AQ728" i="25"/>
  <c r="AM730" i="25"/>
  <c r="AN729" i="25"/>
  <c r="AO729" i="25"/>
  <c r="AP729" i="25"/>
  <c r="AL728" i="25"/>
  <c r="AK729" i="25"/>
  <c r="AH730" i="25"/>
  <c r="AI729" i="25"/>
  <c r="AJ729" i="25"/>
  <c r="AE729" i="25"/>
  <c r="AC730" i="25"/>
  <c r="AD729" i="25"/>
  <c r="AF729" i="25"/>
  <c r="AG728" i="25"/>
  <c r="Z729" i="25"/>
  <c r="AA729" i="25"/>
  <c r="Y729" i="25"/>
  <c r="X730" i="25"/>
  <c r="AB728" i="25"/>
  <c r="U731" i="25"/>
  <c r="S732" i="25"/>
  <c r="T731" i="25"/>
  <c r="V731" i="25"/>
  <c r="W730" i="25"/>
  <c r="N778" i="36"/>
  <c r="M729" i="25" s="1"/>
  <c r="L779" i="36"/>
  <c r="K730" i="25" s="1"/>
  <c r="M779" i="36"/>
  <c r="L730" i="25" s="1"/>
  <c r="J780" i="36"/>
  <c r="I731" i="25" s="1"/>
  <c r="K779" i="36"/>
  <c r="J730" i="25" s="1"/>
  <c r="BD732" i="25" l="1"/>
  <c r="BE732" i="25"/>
  <c r="BB733" i="25"/>
  <c r="BC732" i="25"/>
  <c r="BF731" i="25"/>
  <c r="AW731" i="25"/>
  <c r="AX730" i="25"/>
  <c r="AY730" i="25"/>
  <c r="AZ730" i="25"/>
  <c r="BA729" i="25"/>
  <c r="AV729" i="25"/>
  <c r="AR731" i="25"/>
  <c r="AS730" i="25"/>
  <c r="AT730" i="25"/>
  <c r="AU730" i="25"/>
  <c r="AM731" i="25"/>
  <c r="AN730" i="25"/>
  <c r="AO730" i="25"/>
  <c r="AP730" i="25"/>
  <c r="AQ729" i="25"/>
  <c r="AJ730" i="25"/>
  <c r="AK730" i="25"/>
  <c r="AI730" i="25"/>
  <c r="AH731" i="25"/>
  <c r="AL729" i="25"/>
  <c r="AG729" i="25"/>
  <c r="AC731" i="25"/>
  <c r="AD730" i="25"/>
  <c r="AF730" i="25"/>
  <c r="AE730" i="25"/>
  <c r="AB729" i="25"/>
  <c r="X731" i="25"/>
  <c r="Y730" i="25"/>
  <c r="Z730" i="25"/>
  <c r="AA730" i="25"/>
  <c r="W731" i="25"/>
  <c r="S733" i="25"/>
  <c r="T732" i="25"/>
  <c r="U732" i="25"/>
  <c r="V732" i="25"/>
  <c r="N779" i="36"/>
  <c r="M730" i="25" s="1"/>
  <c r="J781" i="36"/>
  <c r="I732" i="25" s="1"/>
  <c r="K780" i="36"/>
  <c r="J731" i="25" s="1"/>
  <c r="L780" i="36"/>
  <c r="K731" i="25" s="1"/>
  <c r="M780" i="36"/>
  <c r="L731" i="25" s="1"/>
  <c r="BF732" i="25" l="1"/>
  <c r="BE733" i="25"/>
  <c r="BB734" i="25"/>
  <c r="BC733" i="25"/>
  <c r="BD733" i="25"/>
  <c r="BA730" i="25"/>
  <c r="AZ731" i="25"/>
  <c r="AW732" i="25"/>
  <c r="AX731" i="25"/>
  <c r="AY731" i="25"/>
  <c r="AR732" i="25"/>
  <c r="AS731" i="25"/>
  <c r="AU731" i="25"/>
  <c r="AT731" i="25"/>
  <c r="AV730" i="25"/>
  <c r="AQ730" i="25"/>
  <c r="AP731" i="25"/>
  <c r="AM732" i="25"/>
  <c r="AN731" i="25"/>
  <c r="AO731" i="25"/>
  <c r="AL730" i="25"/>
  <c r="AH732" i="25"/>
  <c r="AI731" i="25"/>
  <c r="AJ731" i="25"/>
  <c r="AK731" i="25"/>
  <c r="AE731" i="25"/>
  <c r="AF731" i="25"/>
  <c r="AD731" i="25"/>
  <c r="AC732" i="25"/>
  <c r="AG730" i="25"/>
  <c r="AB730" i="25"/>
  <c r="X732" i="25"/>
  <c r="Y731" i="25"/>
  <c r="Z731" i="25"/>
  <c r="AA731" i="25"/>
  <c r="W732" i="25"/>
  <c r="T733" i="25"/>
  <c r="U733" i="25"/>
  <c r="V733" i="25"/>
  <c r="S734" i="25"/>
  <c r="N780" i="36"/>
  <c r="M731" i="25" s="1"/>
  <c r="J782" i="36"/>
  <c r="I733" i="25" s="1"/>
  <c r="K781" i="36"/>
  <c r="J732" i="25" s="1"/>
  <c r="M781" i="36"/>
  <c r="L732" i="25" s="1"/>
  <c r="L781" i="36"/>
  <c r="K732" i="25" s="1"/>
  <c r="BD734" i="25" l="1"/>
  <c r="BB735" i="25"/>
  <c r="BC734" i="25"/>
  <c r="BE734" i="25"/>
  <c r="BF733" i="25"/>
  <c r="AY732" i="25"/>
  <c r="AZ732" i="25"/>
  <c r="AX732" i="25"/>
  <c r="AW733" i="25"/>
  <c r="BA731" i="25"/>
  <c r="AU732" i="25"/>
  <c r="AT732" i="25"/>
  <c r="AR733" i="25"/>
  <c r="AS732" i="25"/>
  <c r="AV731" i="25"/>
  <c r="AO732" i="25"/>
  <c r="AP732" i="25"/>
  <c r="AN732" i="25"/>
  <c r="AM733" i="25"/>
  <c r="AQ731" i="25"/>
  <c r="AL731" i="25"/>
  <c r="AH733" i="25"/>
  <c r="AI732" i="25"/>
  <c r="AJ732" i="25"/>
  <c r="AK732" i="25"/>
  <c r="AG731" i="25"/>
  <c r="AF732" i="25"/>
  <c r="AC733" i="25"/>
  <c r="AD732" i="25"/>
  <c r="AE732" i="25"/>
  <c r="AB731" i="25"/>
  <c r="AA732" i="25"/>
  <c r="Y732" i="25"/>
  <c r="Z732" i="25"/>
  <c r="X733" i="25"/>
  <c r="W733" i="25"/>
  <c r="V734" i="25"/>
  <c r="T734" i="25"/>
  <c r="U734" i="25"/>
  <c r="S735" i="25"/>
  <c r="N781" i="36"/>
  <c r="M732" i="25" s="1"/>
  <c r="M782" i="36"/>
  <c r="L733" i="25" s="1"/>
  <c r="L782" i="36"/>
  <c r="K733" i="25" s="1"/>
  <c r="K782" i="36"/>
  <c r="J733" i="25" s="1"/>
  <c r="J783" i="36"/>
  <c r="I734" i="25" s="1"/>
  <c r="BF734" i="25" l="1"/>
  <c r="BB736" i="25"/>
  <c r="BC735" i="25"/>
  <c r="BE735" i="25"/>
  <c r="BD735" i="25"/>
  <c r="BA732" i="25"/>
  <c r="AW734" i="25"/>
  <c r="AX733" i="25"/>
  <c r="AY733" i="25"/>
  <c r="AZ733" i="25"/>
  <c r="AV732" i="25"/>
  <c r="AT733" i="25"/>
  <c r="AU733" i="25"/>
  <c r="AR734" i="25"/>
  <c r="AS733" i="25"/>
  <c r="AQ732" i="25"/>
  <c r="AM734" i="25"/>
  <c r="AN733" i="25"/>
  <c r="AO733" i="25"/>
  <c r="AP733" i="25"/>
  <c r="AL732" i="25"/>
  <c r="AK733" i="25"/>
  <c r="AI733" i="25"/>
  <c r="AJ733" i="25"/>
  <c r="AH734" i="25"/>
  <c r="AG732" i="25"/>
  <c r="AE733" i="25"/>
  <c r="AC734" i="25"/>
  <c r="AD733" i="25"/>
  <c r="AF733" i="25"/>
  <c r="AB732" i="25"/>
  <c r="Z733" i="25"/>
  <c r="AA733" i="25"/>
  <c r="X734" i="25"/>
  <c r="Y733" i="25"/>
  <c r="U735" i="25"/>
  <c r="T735" i="25"/>
  <c r="V735" i="25"/>
  <c r="S736" i="25"/>
  <c r="W734" i="25"/>
  <c r="N782" i="36"/>
  <c r="M733" i="25" s="1"/>
  <c r="L783" i="36"/>
  <c r="K734" i="25" s="1"/>
  <c r="M783" i="36"/>
  <c r="L734" i="25" s="1"/>
  <c r="J784" i="36"/>
  <c r="I735" i="25" s="1"/>
  <c r="K783" i="36"/>
  <c r="J734" i="25" s="1"/>
  <c r="BD736" i="25" l="1"/>
  <c r="BE736" i="25"/>
  <c r="BC736" i="25"/>
  <c r="BB737" i="25"/>
  <c r="BF735" i="25"/>
  <c r="BA733" i="25"/>
  <c r="AW735" i="25"/>
  <c r="AX734" i="25"/>
  <c r="AY734" i="25"/>
  <c r="AZ734" i="25"/>
  <c r="AV733" i="25"/>
  <c r="AR735" i="25"/>
  <c r="AS734" i="25"/>
  <c r="AT734" i="25"/>
  <c r="AU734" i="25"/>
  <c r="AM735" i="25"/>
  <c r="AN734" i="25"/>
  <c r="AO734" i="25"/>
  <c r="AP734" i="25"/>
  <c r="AQ733" i="25"/>
  <c r="AL733" i="25"/>
  <c r="AJ734" i="25"/>
  <c r="AK734" i="25"/>
  <c r="AH735" i="25"/>
  <c r="AI734" i="25"/>
  <c r="AG733" i="25"/>
  <c r="AC735" i="25"/>
  <c r="AD734" i="25"/>
  <c r="AF734" i="25"/>
  <c r="AE734" i="25"/>
  <c r="AB733" i="25"/>
  <c r="X735" i="25"/>
  <c r="Y734" i="25"/>
  <c r="Z734" i="25"/>
  <c r="AA734" i="25"/>
  <c r="W735" i="25"/>
  <c r="S737" i="25"/>
  <c r="T736" i="25"/>
  <c r="U736" i="25"/>
  <c r="V736" i="25"/>
  <c r="N783" i="36"/>
  <c r="M734" i="25" s="1"/>
  <c r="J785" i="36"/>
  <c r="I736" i="25" s="1"/>
  <c r="K784" i="36"/>
  <c r="J735" i="25" s="1"/>
  <c r="L784" i="36"/>
  <c r="K735" i="25" s="1"/>
  <c r="M784" i="36"/>
  <c r="L735" i="25" s="1"/>
  <c r="BF736" i="25" l="1"/>
  <c r="BE737" i="25"/>
  <c r="BB738" i="25"/>
  <c r="BC737" i="25"/>
  <c r="BD737" i="25"/>
  <c r="AZ735" i="25"/>
  <c r="AW736" i="25"/>
  <c r="AX735" i="25"/>
  <c r="AY735" i="25"/>
  <c r="BA734" i="25"/>
  <c r="AR736" i="25"/>
  <c r="AS735" i="25"/>
  <c r="AU735" i="25"/>
  <c r="AT735" i="25"/>
  <c r="AV734" i="25"/>
  <c r="AQ734" i="25"/>
  <c r="AP735" i="25"/>
  <c r="AM736" i="25"/>
  <c r="AN735" i="25"/>
  <c r="AO735" i="25"/>
  <c r="AL734" i="25"/>
  <c r="AH736" i="25"/>
  <c r="AI735" i="25"/>
  <c r="AJ735" i="25"/>
  <c r="AK735" i="25"/>
  <c r="AE735" i="25"/>
  <c r="AF735" i="25"/>
  <c r="AC736" i="25"/>
  <c r="AD735" i="25"/>
  <c r="AG734" i="25"/>
  <c r="AB734" i="25"/>
  <c r="X736" i="25"/>
  <c r="Y735" i="25"/>
  <c r="Z735" i="25"/>
  <c r="AA735" i="25"/>
  <c r="W736" i="25"/>
  <c r="U737" i="25"/>
  <c r="V737" i="25"/>
  <c r="S738" i="25"/>
  <c r="T737" i="25"/>
  <c r="N784" i="36"/>
  <c r="M735" i="25" s="1"/>
  <c r="J786" i="36"/>
  <c r="I737" i="25" s="1"/>
  <c r="K785" i="36"/>
  <c r="J736" i="25" s="1"/>
  <c r="M785" i="36"/>
  <c r="L736" i="25" s="1"/>
  <c r="L785" i="36"/>
  <c r="K736" i="25" s="1"/>
  <c r="BD738" i="25" l="1"/>
  <c r="BB739" i="25"/>
  <c r="BC738" i="25"/>
  <c r="BE738" i="25"/>
  <c r="BF737" i="25"/>
  <c r="AY736" i="25"/>
  <c r="AZ736" i="25"/>
  <c r="AX736" i="25"/>
  <c r="AW737" i="25"/>
  <c r="BA735" i="25"/>
  <c r="AU736" i="25"/>
  <c r="AT736" i="25"/>
  <c r="AR737" i="25"/>
  <c r="AS736" i="25"/>
  <c r="AV735" i="25"/>
  <c r="AO736" i="25"/>
  <c r="AP736" i="25"/>
  <c r="AN736" i="25"/>
  <c r="AM737" i="25"/>
  <c r="AQ735" i="25"/>
  <c r="AL735" i="25"/>
  <c r="AH737" i="25"/>
  <c r="AI736" i="25"/>
  <c r="AJ736" i="25"/>
  <c r="AK736" i="25"/>
  <c r="AG735" i="25"/>
  <c r="AF736" i="25"/>
  <c r="AC737" i="25"/>
  <c r="AD736" i="25"/>
  <c r="AE736" i="25"/>
  <c r="AB735" i="25"/>
  <c r="AA736" i="25"/>
  <c r="X737" i="25"/>
  <c r="Y736" i="25"/>
  <c r="Z736" i="25"/>
  <c r="W737" i="25"/>
  <c r="V738" i="25"/>
  <c r="U738" i="25"/>
  <c r="T738" i="25"/>
  <c r="S739" i="25"/>
  <c r="M786" i="36"/>
  <c r="L737" i="25" s="1"/>
  <c r="L786" i="36"/>
  <c r="K737" i="25" s="1"/>
  <c r="J787" i="36"/>
  <c r="I738" i="25" s="1"/>
  <c r="K786" i="36"/>
  <c r="J737" i="25" s="1"/>
  <c r="N785" i="36"/>
  <c r="M736" i="25" s="1"/>
  <c r="BF738" i="25" l="1"/>
  <c r="BB740" i="25"/>
  <c r="BC739" i="25"/>
  <c r="BE739" i="25"/>
  <c r="BD739" i="25"/>
  <c r="BA736" i="25"/>
  <c r="AW738" i="25"/>
  <c r="AX737" i="25"/>
  <c r="AY737" i="25"/>
  <c r="AZ737" i="25"/>
  <c r="AV736" i="25"/>
  <c r="AT737" i="25"/>
  <c r="AU737" i="25"/>
  <c r="AR738" i="25"/>
  <c r="AS737" i="25"/>
  <c r="AQ736" i="25"/>
  <c r="AM738" i="25"/>
  <c r="AN737" i="25"/>
  <c r="AO737" i="25"/>
  <c r="AP737" i="25"/>
  <c r="AL736" i="25"/>
  <c r="AK737" i="25"/>
  <c r="AH738" i="25"/>
  <c r="AI737" i="25"/>
  <c r="AJ737" i="25"/>
  <c r="AG736" i="25"/>
  <c r="AE737" i="25"/>
  <c r="AC738" i="25"/>
  <c r="AD737" i="25"/>
  <c r="AF737" i="25"/>
  <c r="Z737" i="25"/>
  <c r="AA737" i="25"/>
  <c r="Y737" i="25"/>
  <c r="X738" i="25"/>
  <c r="AB736" i="25"/>
  <c r="W738" i="25"/>
  <c r="U739" i="25"/>
  <c r="V739" i="25"/>
  <c r="S740" i="25"/>
  <c r="T739" i="25"/>
  <c r="L787" i="36"/>
  <c r="K738" i="25" s="1"/>
  <c r="M787" i="36"/>
  <c r="L738" i="25" s="1"/>
  <c r="J788" i="36"/>
  <c r="I739" i="25" s="1"/>
  <c r="K787" i="36"/>
  <c r="J738" i="25" s="1"/>
  <c r="N786" i="36"/>
  <c r="M737" i="25" s="1"/>
  <c r="BD740" i="25" l="1"/>
  <c r="BE740" i="25"/>
  <c r="BB741" i="25"/>
  <c r="BC740" i="25"/>
  <c r="BF739" i="25"/>
  <c r="AW739" i="25"/>
  <c r="AX738" i="25"/>
  <c r="AY738" i="25"/>
  <c r="AZ738" i="25"/>
  <c r="BA737" i="25"/>
  <c r="AV737" i="25"/>
  <c r="AR739" i="25"/>
  <c r="AS738" i="25"/>
  <c r="AT738" i="25"/>
  <c r="AU738" i="25"/>
  <c r="AQ737" i="25"/>
  <c r="AM739" i="25"/>
  <c r="AN738" i="25"/>
  <c r="AO738" i="25"/>
  <c r="AP738" i="25"/>
  <c r="AJ738" i="25"/>
  <c r="AK738" i="25"/>
  <c r="AI738" i="25"/>
  <c r="AH739" i="25"/>
  <c r="AL737" i="25"/>
  <c r="AG737" i="25"/>
  <c r="AC739" i="25"/>
  <c r="AD738" i="25"/>
  <c r="AF738" i="25"/>
  <c r="AE738" i="25"/>
  <c r="AB737" i="25"/>
  <c r="X739" i="25"/>
  <c r="Y738" i="25"/>
  <c r="Z738" i="25"/>
  <c r="AA738" i="25"/>
  <c r="W739" i="25"/>
  <c r="S741" i="25"/>
  <c r="T740" i="25"/>
  <c r="V740" i="25"/>
  <c r="U740" i="25"/>
  <c r="N787" i="36"/>
  <c r="M738" i="25" s="1"/>
  <c r="J789" i="36"/>
  <c r="I740" i="25" s="1"/>
  <c r="K788" i="36"/>
  <c r="J739" i="25" s="1"/>
  <c r="L788" i="36"/>
  <c r="K739" i="25" s="1"/>
  <c r="M788" i="36"/>
  <c r="L739" i="25" s="1"/>
  <c r="W740" i="25" l="1"/>
  <c r="BF740" i="25"/>
  <c r="BE741" i="25"/>
  <c r="BB742" i="25"/>
  <c r="BC741" i="25"/>
  <c r="BD741" i="25"/>
  <c r="BA738" i="25"/>
  <c r="AZ739" i="25"/>
  <c r="AW740" i="25"/>
  <c r="AX739" i="25"/>
  <c r="AY739" i="25"/>
  <c r="AV738" i="25"/>
  <c r="AR740" i="25"/>
  <c r="AS739" i="25"/>
  <c r="AU739" i="25"/>
  <c r="AT739" i="25"/>
  <c r="AQ738" i="25"/>
  <c r="AP739" i="25"/>
  <c r="AM740" i="25"/>
  <c r="AN739" i="25"/>
  <c r="AO739" i="25"/>
  <c r="AL738" i="25"/>
  <c r="AH740" i="25"/>
  <c r="AI739" i="25"/>
  <c r="AJ739" i="25"/>
  <c r="AK739" i="25"/>
  <c r="AE739" i="25"/>
  <c r="AF739" i="25"/>
  <c r="AD739" i="25"/>
  <c r="AC740" i="25"/>
  <c r="AG738" i="25"/>
  <c r="AB738" i="25"/>
  <c r="X740" i="25"/>
  <c r="Y739" i="25"/>
  <c r="Z739" i="25"/>
  <c r="AA739" i="25"/>
  <c r="V741" i="25"/>
  <c r="S742" i="25"/>
  <c r="T741" i="25"/>
  <c r="U741" i="25"/>
  <c r="N788" i="36"/>
  <c r="M739" i="25" s="1"/>
  <c r="J790" i="36"/>
  <c r="I741" i="25" s="1"/>
  <c r="K789" i="36"/>
  <c r="J740" i="25" s="1"/>
  <c r="M789" i="36"/>
  <c r="L740" i="25" s="1"/>
  <c r="L789" i="36"/>
  <c r="K740" i="25" s="1"/>
  <c r="BD742" i="25" l="1"/>
  <c r="BB743" i="25"/>
  <c r="BC742" i="25"/>
  <c r="BE742" i="25"/>
  <c r="BF741" i="25"/>
  <c r="AY740" i="25"/>
  <c r="AZ740" i="25"/>
  <c r="AX740" i="25"/>
  <c r="AW741" i="25"/>
  <c r="BA739" i="25"/>
  <c r="AU740" i="25"/>
  <c r="AT740" i="25"/>
  <c r="AS740" i="25"/>
  <c r="AR741" i="25"/>
  <c r="AV739" i="25"/>
  <c r="AO740" i="25"/>
  <c r="AP740" i="25"/>
  <c r="AN740" i="25"/>
  <c r="AM741" i="25"/>
  <c r="AQ739" i="25"/>
  <c r="AL739" i="25"/>
  <c r="AH741" i="25"/>
  <c r="AI740" i="25"/>
  <c r="AJ740" i="25"/>
  <c r="AK740" i="25"/>
  <c r="AG739" i="25"/>
  <c r="AF740" i="25"/>
  <c r="AC741" i="25"/>
  <c r="AD740" i="25"/>
  <c r="AE740" i="25"/>
  <c r="AB739" i="25"/>
  <c r="AA740" i="25"/>
  <c r="Y740" i="25"/>
  <c r="Z740" i="25"/>
  <c r="X741" i="25"/>
  <c r="V742" i="25"/>
  <c r="S743" i="25"/>
  <c r="T742" i="25"/>
  <c r="U742" i="25"/>
  <c r="W741" i="25"/>
  <c r="N789" i="36"/>
  <c r="M740" i="25" s="1"/>
  <c r="M790" i="36"/>
  <c r="L741" i="25" s="1"/>
  <c r="L790" i="36"/>
  <c r="K741" i="25" s="1"/>
  <c r="J791" i="36"/>
  <c r="I742" i="25" s="1"/>
  <c r="K790" i="36"/>
  <c r="J741" i="25" s="1"/>
  <c r="BF742" i="25" l="1"/>
  <c r="BB744" i="25"/>
  <c r="BC743" i="25"/>
  <c r="BE743" i="25"/>
  <c r="BD743" i="25"/>
  <c r="BA740" i="25"/>
  <c r="AW742" i="25"/>
  <c r="AX741" i="25"/>
  <c r="AY741" i="25"/>
  <c r="AZ741" i="25"/>
  <c r="AV740" i="25"/>
  <c r="AT741" i="25"/>
  <c r="AU741" i="25"/>
  <c r="AR742" i="25"/>
  <c r="AS741" i="25"/>
  <c r="AQ740" i="25"/>
  <c r="AM742" i="25"/>
  <c r="AN741" i="25"/>
  <c r="AO741" i="25"/>
  <c r="AP741" i="25"/>
  <c r="AL740" i="25"/>
  <c r="AK741" i="25"/>
  <c r="AI741" i="25"/>
  <c r="AJ741" i="25"/>
  <c r="AH742" i="25"/>
  <c r="AG740" i="25"/>
  <c r="AE741" i="25"/>
  <c r="AC742" i="25"/>
  <c r="AD741" i="25"/>
  <c r="AF741" i="25"/>
  <c r="AB740" i="25"/>
  <c r="Z741" i="25"/>
  <c r="AA741" i="25"/>
  <c r="X742" i="25"/>
  <c r="Y741" i="25"/>
  <c r="U743" i="25"/>
  <c r="S744" i="25"/>
  <c r="T743" i="25"/>
  <c r="V743" i="25"/>
  <c r="W742" i="25"/>
  <c r="L791" i="36"/>
  <c r="K742" i="25" s="1"/>
  <c r="M791" i="36"/>
  <c r="L742" i="25" s="1"/>
  <c r="J792" i="36"/>
  <c r="I743" i="25" s="1"/>
  <c r="K791" i="36"/>
  <c r="J742" i="25" s="1"/>
  <c r="N790" i="36"/>
  <c r="M741" i="25" s="1"/>
  <c r="BD744" i="25" l="1"/>
  <c r="BE744" i="25"/>
  <c r="BC744" i="25"/>
  <c r="BB745" i="25"/>
  <c r="BF743" i="25"/>
  <c r="AW743" i="25"/>
  <c r="AX742" i="25"/>
  <c r="AY742" i="25"/>
  <c r="AZ742" i="25"/>
  <c r="BA741" i="25"/>
  <c r="AV741" i="25"/>
  <c r="AR743" i="25"/>
  <c r="AS742" i="25"/>
  <c r="AT742" i="25"/>
  <c r="AU742" i="25"/>
  <c r="AM743" i="25"/>
  <c r="AN742" i="25"/>
  <c r="AO742" i="25"/>
  <c r="AP742" i="25"/>
  <c r="AQ741" i="25"/>
  <c r="AL741" i="25"/>
  <c r="AJ742" i="25"/>
  <c r="AK742" i="25"/>
  <c r="AH743" i="25"/>
  <c r="AI742" i="25"/>
  <c r="AG741" i="25"/>
  <c r="AC743" i="25"/>
  <c r="AD742" i="25"/>
  <c r="AF742" i="25"/>
  <c r="AE742" i="25"/>
  <c r="AB741" i="25"/>
  <c r="X743" i="25"/>
  <c r="Y742" i="25"/>
  <c r="Z742" i="25"/>
  <c r="AA742" i="25"/>
  <c r="W743" i="25"/>
  <c r="S745" i="25"/>
  <c r="T744" i="25"/>
  <c r="U744" i="25"/>
  <c r="V744" i="25"/>
  <c r="N791" i="36"/>
  <c r="M742" i="25" s="1"/>
  <c r="J793" i="36"/>
  <c r="I744" i="25" s="1"/>
  <c r="K792" i="36"/>
  <c r="J743" i="25" s="1"/>
  <c r="L792" i="36"/>
  <c r="K743" i="25" s="1"/>
  <c r="M792" i="36"/>
  <c r="L743" i="25" s="1"/>
  <c r="BF744" i="25" l="1"/>
  <c r="BE745" i="25"/>
  <c r="BB746" i="25"/>
  <c r="BC745" i="25"/>
  <c r="BD745" i="25"/>
  <c r="BA742" i="25"/>
  <c r="AZ743" i="25"/>
  <c r="AW744" i="25"/>
  <c r="AX743" i="25"/>
  <c r="AY743" i="25"/>
  <c r="AR744" i="25"/>
  <c r="AS743" i="25"/>
  <c r="AU743" i="25"/>
  <c r="AT743" i="25"/>
  <c r="AV742" i="25"/>
  <c r="AQ742" i="25"/>
  <c r="AP743" i="25"/>
  <c r="AM744" i="25"/>
  <c r="AN743" i="25"/>
  <c r="AO743" i="25"/>
  <c r="AL742" i="25"/>
  <c r="AH744" i="25"/>
  <c r="AI743" i="25"/>
  <c r="AJ743" i="25"/>
  <c r="AK743" i="25"/>
  <c r="AG742" i="25"/>
  <c r="AE743" i="25"/>
  <c r="AF743" i="25"/>
  <c r="AC744" i="25"/>
  <c r="AD743" i="25"/>
  <c r="AB742" i="25"/>
  <c r="X744" i="25"/>
  <c r="Y743" i="25"/>
  <c r="Z743" i="25"/>
  <c r="AA743" i="25"/>
  <c r="W744" i="25"/>
  <c r="S746" i="25"/>
  <c r="T745" i="25"/>
  <c r="U745" i="25"/>
  <c r="V745" i="25"/>
  <c r="N792" i="36"/>
  <c r="M743" i="25" s="1"/>
  <c r="J794" i="36"/>
  <c r="I745" i="25" s="1"/>
  <c r="K793" i="36"/>
  <c r="J744" i="25" s="1"/>
  <c r="M793" i="36"/>
  <c r="L744" i="25" s="1"/>
  <c r="L793" i="36"/>
  <c r="K744" i="25" s="1"/>
  <c r="BD746" i="25" l="1"/>
  <c r="BB747" i="25"/>
  <c r="BC746" i="25"/>
  <c r="BE746" i="25"/>
  <c r="BF745" i="25"/>
  <c r="AY744" i="25"/>
  <c r="AZ744" i="25"/>
  <c r="AW745" i="25"/>
  <c r="AX744" i="25"/>
  <c r="BA743" i="25"/>
  <c r="AU744" i="25"/>
  <c r="AT744" i="25"/>
  <c r="AS744" i="25"/>
  <c r="AR745" i="25"/>
  <c r="AV743" i="25"/>
  <c r="AO744" i="25"/>
  <c r="AP744" i="25"/>
  <c r="AM745" i="25"/>
  <c r="AN744" i="25"/>
  <c r="AQ743" i="25"/>
  <c r="AL743" i="25"/>
  <c r="AH745" i="25"/>
  <c r="AI744" i="25"/>
  <c r="AJ744" i="25"/>
  <c r="AK744" i="25"/>
  <c r="AG743" i="25"/>
  <c r="AF744" i="25"/>
  <c r="AC745" i="25"/>
  <c r="AD744" i="25"/>
  <c r="AE744" i="25"/>
  <c r="AB743" i="25"/>
  <c r="AA744" i="25"/>
  <c r="X745" i="25"/>
  <c r="Y744" i="25"/>
  <c r="Z744" i="25"/>
  <c r="W745" i="25"/>
  <c r="V746" i="25"/>
  <c r="S747" i="25"/>
  <c r="T746" i="25"/>
  <c r="U746" i="25"/>
  <c r="M794" i="36"/>
  <c r="L745" i="25" s="1"/>
  <c r="L794" i="36"/>
  <c r="K745" i="25" s="1"/>
  <c r="K794" i="36"/>
  <c r="J745" i="25" s="1"/>
  <c r="J795" i="36"/>
  <c r="I746" i="25" s="1"/>
  <c r="N793" i="36"/>
  <c r="M744" i="25" s="1"/>
  <c r="BF746" i="25" l="1"/>
  <c r="BB748" i="25"/>
  <c r="BC747" i="25"/>
  <c r="BE747" i="25"/>
  <c r="BD747" i="25"/>
  <c r="BA744" i="25"/>
  <c r="AW746" i="25"/>
  <c r="AX745" i="25"/>
  <c r="AY745" i="25"/>
  <c r="AZ745" i="25"/>
  <c r="AV744" i="25"/>
  <c r="AT745" i="25"/>
  <c r="AU745" i="25"/>
  <c r="AR746" i="25"/>
  <c r="AS745" i="25"/>
  <c r="AQ744" i="25"/>
  <c r="AM746" i="25"/>
  <c r="AN745" i="25"/>
  <c r="AO745" i="25"/>
  <c r="AP745" i="25"/>
  <c r="AL744" i="25"/>
  <c r="AK745" i="25"/>
  <c r="AH746" i="25"/>
  <c r="AI745" i="25"/>
  <c r="AJ745" i="25"/>
  <c r="AG744" i="25"/>
  <c r="AE745" i="25"/>
  <c r="AC746" i="25"/>
  <c r="AD745" i="25"/>
  <c r="AF745" i="25"/>
  <c r="Z745" i="25"/>
  <c r="AA745" i="25"/>
  <c r="Y745" i="25"/>
  <c r="X746" i="25"/>
  <c r="AB744" i="25"/>
  <c r="S748" i="25"/>
  <c r="U747" i="25"/>
  <c r="T747" i="25"/>
  <c r="V747" i="25"/>
  <c r="W746" i="25"/>
  <c r="N794" i="36"/>
  <c r="M745" i="25" s="1"/>
  <c r="L795" i="36"/>
  <c r="K746" i="25" s="1"/>
  <c r="M795" i="36"/>
  <c r="L746" i="25" s="1"/>
  <c r="J796" i="36"/>
  <c r="I747" i="25" s="1"/>
  <c r="K795" i="36"/>
  <c r="J746" i="25" s="1"/>
  <c r="BD748" i="25" l="1"/>
  <c r="BE748" i="25"/>
  <c r="BB749" i="25"/>
  <c r="BC748" i="25"/>
  <c r="BF747" i="25"/>
  <c r="BA745" i="25"/>
  <c r="AW747" i="25"/>
  <c r="AX746" i="25"/>
  <c r="AY746" i="25"/>
  <c r="AZ746" i="25"/>
  <c r="AV745" i="25"/>
  <c r="AR747" i="25"/>
  <c r="AS746" i="25"/>
  <c r="AT746" i="25"/>
  <c r="AU746" i="25"/>
  <c r="AQ745" i="25"/>
  <c r="AM747" i="25"/>
  <c r="AN746" i="25"/>
  <c r="AO746" i="25"/>
  <c r="AP746" i="25"/>
  <c r="AJ746" i="25"/>
  <c r="AH747" i="25"/>
  <c r="AI746" i="25"/>
  <c r="AK746" i="25"/>
  <c r="AL745" i="25"/>
  <c r="AG745" i="25"/>
  <c r="AC747" i="25"/>
  <c r="AD746" i="25"/>
  <c r="AF746" i="25"/>
  <c r="AE746" i="25"/>
  <c r="AB745" i="25"/>
  <c r="X747" i="25"/>
  <c r="Y746" i="25"/>
  <c r="Z746" i="25"/>
  <c r="AA746" i="25"/>
  <c r="W747" i="25"/>
  <c r="S749" i="25"/>
  <c r="T748" i="25"/>
  <c r="U748" i="25"/>
  <c r="V748" i="25"/>
  <c r="N795" i="36"/>
  <c r="M746" i="25" s="1"/>
  <c r="J797" i="36"/>
  <c r="I748" i="25" s="1"/>
  <c r="K796" i="36"/>
  <c r="J747" i="25" s="1"/>
  <c r="L796" i="36"/>
  <c r="K747" i="25" s="1"/>
  <c r="M796" i="36"/>
  <c r="L747" i="25" s="1"/>
  <c r="BF748" i="25" l="1"/>
  <c r="BE749" i="25"/>
  <c r="BB750" i="25"/>
  <c r="BC749" i="25"/>
  <c r="BD749" i="25"/>
  <c r="BA746" i="25"/>
  <c r="AZ747" i="25"/>
  <c r="AW748" i="25"/>
  <c r="AX747" i="25"/>
  <c r="AY747" i="25"/>
  <c r="AR748" i="25"/>
  <c r="AS747" i="25"/>
  <c r="AU747" i="25"/>
  <c r="AT747" i="25"/>
  <c r="AV746" i="25"/>
  <c r="AQ746" i="25"/>
  <c r="AP747" i="25"/>
  <c r="AM748" i="25"/>
  <c r="AN747" i="25"/>
  <c r="AO747" i="25"/>
  <c r="AL746" i="25"/>
  <c r="AH748" i="25"/>
  <c r="AI747" i="25"/>
  <c r="AJ747" i="25"/>
  <c r="AK747" i="25"/>
  <c r="AE747" i="25"/>
  <c r="AF747" i="25"/>
  <c r="AD747" i="25"/>
  <c r="AC748" i="25"/>
  <c r="AG746" i="25"/>
  <c r="AB746" i="25"/>
  <c r="X748" i="25"/>
  <c r="Y747" i="25"/>
  <c r="Z747" i="25"/>
  <c r="AA747" i="25"/>
  <c r="W748" i="25"/>
  <c r="V749" i="25"/>
  <c r="S750" i="25"/>
  <c r="T749" i="25"/>
  <c r="U749" i="25"/>
  <c r="J798" i="36"/>
  <c r="I749" i="25" s="1"/>
  <c r="K797" i="36"/>
  <c r="J748" i="25" s="1"/>
  <c r="M797" i="36"/>
  <c r="L748" i="25" s="1"/>
  <c r="L797" i="36"/>
  <c r="K748" i="25" s="1"/>
  <c r="N796" i="36"/>
  <c r="M747" i="25" s="1"/>
  <c r="BD750" i="25" l="1"/>
  <c r="BB751" i="25"/>
  <c r="BC750" i="25"/>
  <c r="BE750" i="25"/>
  <c r="BF749" i="25"/>
  <c r="AY748" i="25"/>
  <c r="AZ748" i="25"/>
  <c r="AX748" i="25"/>
  <c r="AW749" i="25"/>
  <c r="BA747" i="25"/>
  <c r="AV747" i="25"/>
  <c r="AU748" i="25"/>
  <c r="AT748" i="25"/>
  <c r="AR749" i="25"/>
  <c r="AS748" i="25"/>
  <c r="AO748" i="25"/>
  <c r="AP748" i="25"/>
  <c r="AN748" i="25"/>
  <c r="AM749" i="25"/>
  <c r="AQ747" i="25"/>
  <c r="AL747" i="25"/>
  <c r="AH749" i="25"/>
  <c r="AI748" i="25"/>
  <c r="AJ748" i="25"/>
  <c r="AK748" i="25"/>
  <c r="AG747" i="25"/>
  <c r="AF748" i="25"/>
  <c r="AC749" i="25"/>
  <c r="AD748" i="25"/>
  <c r="AE748" i="25"/>
  <c r="AB747" i="25"/>
  <c r="AA748" i="25"/>
  <c r="Y748" i="25"/>
  <c r="Z748" i="25"/>
  <c r="X749" i="25"/>
  <c r="U750" i="25"/>
  <c r="V750" i="25"/>
  <c r="T750" i="25"/>
  <c r="S751" i="25"/>
  <c r="W749" i="25"/>
  <c r="M798" i="36"/>
  <c r="L749" i="25" s="1"/>
  <c r="L798" i="36"/>
  <c r="K749" i="25" s="1"/>
  <c r="J799" i="36"/>
  <c r="I750" i="25" s="1"/>
  <c r="K798" i="36"/>
  <c r="J749" i="25" s="1"/>
  <c r="N797" i="36"/>
  <c r="M748" i="25" s="1"/>
  <c r="BF750" i="25" l="1"/>
  <c r="BB752" i="25"/>
  <c r="BC751" i="25"/>
  <c r="BE751" i="25"/>
  <c r="BD751" i="25"/>
  <c r="BA748" i="25"/>
  <c r="AW750" i="25"/>
  <c r="AX749" i="25"/>
  <c r="AY749" i="25"/>
  <c r="AZ749" i="25"/>
  <c r="AV748" i="25"/>
  <c r="AT749" i="25"/>
  <c r="AU749" i="25"/>
  <c r="AR750" i="25"/>
  <c r="AS749" i="25"/>
  <c r="AQ748" i="25"/>
  <c r="AM750" i="25"/>
  <c r="AN749" i="25"/>
  <c r="AO749" i="25"/>
  <c r="AP749" i="25"/>
  <c r="AL748" i="25"/>
  <c r="AK749" i="25"/>
  <c r="AH750" i="25"/>
  <c r="AI749" i="25"/>
  <c r="AJ749" i="25"/>
  <c r="AE749" i="25"/>
  <c r="AC750" i="25"/>
  <c r="AD749" i="25"/>
  <c r="AF749" i="25"/>
  <c r="AG748" i="25"/>
  <c r="AB748" i="25"/>
  <c r="Z749" i="25"/>
  <c r="AA749" i="25"/>
  <c r="X750" i="25"/>
  <c r="Y749" i="25"/>
  <c r="W750" i="25"/>
  <c r="S752" i="25"/>
  <c r="T751" i="25"/>
  <c r="U751" i="25"/>
  <c r="V751" i="25"/>
  <c r="L799" i="36"/>
  <c r="K750" i="25" s="1"/>
  <c r="M799" i="36"/>
  <c r="L750" i="25" s="1"/>
  <c r="J800" i="36"/>
  <c r="I751" i="25" s="1"/>
  <c r="K799" i="36"/>
  <c r="J750" i="25" s="1"/>
  <c r="N798" i="36"/>
  <c r="M749" i="25" s="1"/>
  <c r="BD752" i="25" l="1"/>
  <c r="BE752" i="25"/>
  <c r="BC752" i="25"/>
  <c r="BB753" i="25"/>
  <c r="BF751" i="25"/>
  <c r="BA749" i="25"/>
  <c r="AW751" i="25"/>
  <c r="AX750" i="25"/>
  <c r="AY750" i="25"/>
  <c r="AZ750" i="25"/>
  <c r="AV749" i="25"/>
  <c r="AR751" i="25"/>
  <c r="AS750" i="25"/>
  <c r="AT750" i="25"/>
  <c r="AU750" i="25"/>
  <c r="AM751" i="25"/>
  <c r="AN750" i="25"/>
  <c r="AO750" i="25"/>
  <c r="AP750" i="25"/>
  <c r="AQ749" i="25"/>
  <c r="AJ750" i="25"/>
  <c r="AK750" i="25"/>
  <c r="AI750" i="25"/>
  <c r="AH751" i="25"/>
  <c r="AL749" i="25"/>
  <c r="AG749" i="25"/>
  <c r="AC751" i="25"/>
  <c r="AD750" i="25"/>
  <c r="AF750" i="25"/>
  <c r="AE750" i="25"/>
  <c r="AB749" i="25"/>
  <c r="X751" i="25"/>
  <c r="Y750" i="25"/>
  <c r="Z750" i="25"/>
  <c r="AA750" i="25"/>
  <c r="W751" i="25"/>
  <c r="S753" i="25"/>
  <c r="T752" i="25"/>
  <c r="U752" i="25"/>
  <c r="V752" i="25"/>
  <c r="N799" i="36"/>
  <c r="M750" i="25" s="1"/>
  <c r="J801" i="36"/>
  <c r="I752" i="25" s="1"/>
  <c r="K800" i="36"/>
  <c r="J751" i="25" s="1"/>
  <c r="L800" i="36"/>
  <c r="K751" i="25" s="1"/>
  <c r="M800" i="36"/>
  <c r="L751" i="25" s="1"/>
  <c r="BF752" i="25" l="1"/>
  <c r="BE753" i="25"/>
  <c r="BB754" i="25"/>
  <c r="BC753" i="25"/>
  <c r="BD753" i="25"/>
  <c r="AZ751" i="25"/>
  <c r="AW752" i="25"/>
  <c r="AX751" i="25"/>
  <c r="AY751" i="25"/>
  <c r="BA750" i="25"/>
  <c r="AR752" i="25"/>
  <c r="AS751" i="25"/>
  <c r="AU751" i="25"/>
  <c r="AT751" i="25"/>
  <c r="AV750" i="25"/>
  <c r="AQ750" i="25"/>
  <c r="AP751" i="25"/>
  <c r="AM752" i="25"/>
  <c r="AN751" i="25"/>
  <c r="AO751" i="25"/>
  <c r="AL750" i="25"/>
  <c r="AH752" i="25"/>
  <c r="AI751" i="25"/>
  <c r="AJ751" i="25"/>
  <c r="AK751" i="25"/>
  <c r="AG750" i="25"/>
  <c r="AE751" i="25"/>
  <c r="AF751" i="25"/>
  <c r="AC752" i="25"/>
  <c r="AD751" i="25"/>
  <c r="AB750" i="25"/>
  <c r="X752" i="25"/>
  <c r="Y751" i="25"/>
  <c r="Z751" i="25"/>
  <c r="AA751" i="25"/>
  <c r="W752" i="25"/>
  <c r="V753" i="25"/>
  <c r="T753" i="25"/>
  <c r="U753" i="25"/>
  <c r="S754" i="25"/>
  <c r="J802" i="36"/>
  <c r="I753" i="25" s="1"/>
  <c r="K801" i="36"/>
  <c r="J752" i="25" s="1"/>
  <c r="M801" i="36"/>
  <c r="L752" i="25" s="1"/>
  <c r="L801" i="36"/>
  <c r="K752" i="25" s="1"/>
  <c r="N800" i="36"/>
  <c r="M751" i="25" s="1"/>
  <c r="BD754" i="25" l="1"/>
  <c r="BB755" i="25"/>
  <c r="BC754" i="25"/>
  <c r="BE754" i="25"/>
  <c r="BF753" i="25"/>
  <c r="AY752" i="25"/>
  <c r="AZ752" i="25"/>
  <c r="AX752" i="25"/>
  <c r="AW753" i="25"/>
  <c r="BA751" i="25"/>
  <c r="AU752" i="25"/>
  <c r="AT752" i="25"/>
  <c r="AR753" i="25"/>
  <c r="AS752" i="25"/>
  <c r="AV751" i="25"/>
  <c r="AO752" i="25"/>
  <c r="AP752" i="25"/>
  <c r="AN752" i="25"/>
  <c r="AM753" i="25"/>
  <c r="AQ751" i="25"/>
  <c r="AL751" i="25"/>
  <c r="AH753" i="25"/>
  <c r="AI752" i="25"/>
  <c r="AJ752" i="25"/>
  <c r="AK752" i="25"/>
  <c r="AG751" i="25"/>
  <c r="AF752" i="25"/>
  <c r="AC753" i="25"/>
  <c r="AD752" i="25"/>
  <c r="AE752" i="25"/>
  <c r="AB751" i="25"/>
  <c r="AA752" i="25"/>
  <c r="X753" i="25"/>
  <c r="Y752" i="25"/>
  <c r="Z752" i="25"/>
  <c r="W753" i="25"/>
  <c r="U754" i="25"/>
  <c r="V754" i="25"/>
  <c r="S755" i="25"/>
  <c r="T754" i="25"/>
  <c r="M802" i="36"/>
  <c r="L753" i="25" s="1"/>
  <c r="L802" i="36"/>
  <c r="K753" i="25" s="1"/>
  <c r="K802" i="36"/>
  <c r="J753" i="25" s="1"/>
  <c r="J803" i="36"/>
  <c r="I754" i="25" s="1"/>
  <c r="N801" i="36"/>
  <c r="M752" i="25" s="1"/>
  <c r="BF754" i="25" l="1"/>
  <c r="BB756" i="25"/>
  <c r="BC755" i="25"/>
  <c r="BE755" i="25"/>
  <c r="BD755" i="25"/>
  <c r="BA752" i="25"/>
  <c r="AW754" i="25"/>
  <c r="AX753" i="25"/>
  <c r="AY753" i="25"/>
  <c r="AZ753" i="25"/>
  <c r="AV752" i="25"/>
  <c r="AT753" i="25"/>
  <c r="AU753" i="25"/>
  <c r="AR754" i="25"/>
  <c r="AS753" i="25"/>
  <c r="AQ752" i="25"/>
  <c r="AM754" i="25"/>
  <c r="AN753" i="25"/>
  <c r="AO753" i="25"/>
  <c r="AP753" i="25"/>
  <c r="AL752" i="25"/>
  <c r="AK753" i="25"/>
  <c r="AI753" i="25"/>
  <c r="AJ753" i="25"/>
  <c r="AH754" i="25"/>
  <c r="AE753" i="25"/>
  <c r="AC754" i="25"/>
  <c r="AD753" i="25"/>
  <c r="AF753" i="25"/>
  <c r="AG752" i="25"/>
  <c r="Z753" i="25"/>
  <c r="AA753" i="25"/>
  <c r="Y753" i="25"/>
  <c r="X754" i="25"/>
  <c r="AB752" i="25"/>
  <c r="W754" i="25"/>
  <c r="S756" i="25"/>
  <c r="T755" i="25"/>
  <c r="U755" i="25"/>
  <c r="V755" i="25"/>
  <c r="N802" i="36"/>
  <c r="M753" i="25" s="1"/>
  <c r="L803" i="36"/>
  <c r="K754" i="25" s="1"/>
  <c r="M803" i="36"/>
  <c r="L754" i="25" s="1"/>
  <c r="J804" i="36"/>
  <c r="I755" i="25" s="1"/>
  <c r="K803" i="36"/>
  <c r="J754" i="25" s="1"/>
  <c r="BD756" i="25" l="1"/>
  <c r="BE756" i="25"/>
  <c r="BB757" i="25"/>
  <c r="BC756" i="25"/>
  <c r="BF755" i="25"/>
  <c r="AW755" i="25"/>
  <c r="AX754" i="25"/>
  <c r="AY754" i="25"/>
  <c r="AZ754" i="25"/>
  <c r="BA753" i="25"/>
  <c r="AV753" i="25"/>
  <c r="AR755" i="25"/>
  <c r="AS754" i="25"/>
  <c r="AT754" i="25"/>
  <c r="AU754" i="25"/>
  <c r="AM755" i="25"/>
  <c r="AN754" i="25"/>
  <c r="AO754" i="25"/>
  <c r="AP754" i="25"/>
  <c r="AQ753" i="25"/>
  <c r="AL753" i="25"/>
  <c r="AJ754" i="25"/>
  <c r="AK754" i="25"/>
  <c r="AH755" i="25"/>
  <c r="AI754" i="25"/>
  <c r="AG753" i="25"/>
  <c r="AC755" i="25"/>
  <c r="AD754" i="25"/>
  <c r="AF754" i="25"/>
  <c r="AE754" i="25"/>
  <c r="AB753" i="25"/>
  <c r="X755" i="25"/>
  <c r="Y754" i="25"/>
  <c r="Z754" i="25"/>
  <c r="AA754" i="25"/>
  <c r="W755" i="25"/>
  <c r="S757" i="25"/>
  <c r="T756" i="25"/>
  <c r="U756" i="25"/>
  <c r="V756" i="25"/>
  <c r="N803" i="36"/>
  <c r="M754" i="25" s="1"/>
  <c r="J805" i="36"/>
  <c r="I756" i="25" s="1"/>
  <c r="K804" i="36"/>
  <c r="J755" i="25" s="1"/>
  <c r="L804" i="36"/>
  <c r="K755" i="25" s="1"/>
  <c r="M804" i="36"/>
  <c r="L755" i="25" s="1"/>
  <c r="BF756" i="25" l="1"/>
  <c r="BE757" i="25"/>
  <c r="BB758" i="25"/>
  <c r="BC757" i="25"/>
  <c r="BD757" i="25"/>
  <c r="BA754" i="25"/>
  <c r="AZ755" i="25"/>
  <c r="AW756" i="25"/>
  <c r="AX755" i="25"/>
  <c r="AY755" i="25"/>
  <c r="AR756" i="25"/>
  <c r="AS755" i="25"/>
  <c r="AU755" i="25"/>
  <c r="AT755" i="25"/>
  <c r="AV754" i="25"/>
  <c r="AQ754" i="25"/>
  <c r="AP755" i="25"/>
  <c r="AM756" i="25"/>
  <c r="AN755" i="25"/>
  <c r="AO755" i="25"/>
  <c r="AL754" i="25"/>
  <c r="AH756" i="25"/>
  <c r="AI755" i="25"/>
  <c r="AJ755" i="25"/>
  <c r="AK755" i="25"/>
  <c r="AE755" i="25"/>
  <c r="AF755" i="25"/>
  <c r="AD755" i="25"/>
  <c r="AC756" i="25"/>
  <c r="AG754" i="25"/>
  <c r="AB754" i="25"/>
  <c r="X756" i="25"/>
  <c r="Y755" i="25"/>
  <c r="Z755" i="25"/>
  <c r="AA755" i="25"/>
  <c r="W756" i="25"/>
  <c r="V757" i="25"/>
  <c r="S758" i="25"/>
  <c r="T757" i="25"/>
  <c r="U757" i="25"/>
  <c r="J806" i="36"/>
  <c r="I757" i="25" s="1"/>
  <c r="K805" i="36"/>
  <c r="J756" i="25" s="1"/>
  <c r="M805" i="36"/>
  <c r="L756" i="25" s="1"/>
  <c r="L805" i="36"/>
  <c r="K756" i="25" s="1"/>
  <c r="N804" i="36"/>
  <c r="M755" i="25" s="1"/>
  <c r="BD758" i="25" l="1"/>
  <c r="BB759" i="25"/>
  <c r="BC758" i="25"/>
  <c r="BE758" i="25"/>
  <c r="BF757" i="25"/>
  <c r="AY756" i="25"/>
  <c r="AZ756" i="25"/>
  <c r="AX756" i="25"/>
  <c r="AW757" i="25"/>
  <c r="BA755" i="25"/>
  <c r="AU756" i="25"/>
  <c r="AT756" i="25"/>
  <c r="AS756" i="25"/>
  <c r="AR757" i="25"/>
  <c r="AV755" i="25"/>
  <c r="AO756" i="25"/>
  <c r="AP756" i="25"/>
  <c r="AN756" i="25"/>
  <c r="AM757" i="25"/>
  <c r="AQ755" i="25"/>
  <c r="AL755" i="25"/>
  <c r="AH757" i="25"/>
  <c r="AI756" i="25"/>
  <c r="AJ756" i="25"/>
  <c r="AK756" i="25"/>
  <c r="AG755" i="25"/>
  <c r="AF756" i="25"/>
  <c r="AC757" i="25"/>
  <c r="AD756" i="25"/>
  <c r="AE756" i="25"/>
  <c r="AB755" i="25"/>
  <c r="AA756" i="25"/>
  <c r="Y756" i="25"/>
  <c r="Z756" i="25"/>
  <c r="X757" i="25"/>
  <c r="U758" i="25"/>
  <c r="V758" i="25"/>
  <c r="T758" i="25"/>
  <c r="S759" i="25"/>
  <c r="W757" i="25"/>
  <c r="M806" i="36"/>
  <c r="L757" i="25" s="1"/>
  <c r="L806" i="36"/>
  <c r="K757" i="25" s="1"/>
  <c r="J807" i="36"/>
  <c r="I758" i="25" s="1"/>
  <c r="K806" i="36"/>
  <c r="J757" i="25" s="1"/>
  <c r="N805" i="36"/>
  <c r="M756" i="25" s="1"/>
  <c r="BF758" i="25" l="1"/>
  <c r="BB760" i="25"/>
  <c r="BC759" i="25"/>
  <c r="BE759" i="25"/>
  <c r="BD759" i="25"/>
  <c r="BA756" i="25"/>
  <c r="AW758" i="25"/>
  <c r="AX757" i="25"/>
  <c r="AY757" i="25"/>
  <c r="AZ757" i="25"/>
  <c r="AT757" i="25"/>
  <c r="AU757" i="25"/>
  <c r="AR758" i="25"/>
  <c r="AS757" i="25"/>
  <c r="AV756" i="25"/>
  <c r="AQ756" i="25"/>
  <c r="AM758" i="25"/>
  <c r="AN757" i="25"/>
  <c r="AO757" i="25"/>
  <c r="AP757" i="25"/>
  <c r="AL756" i="25"/>
  <c r="AK757" i="25"/>
  <c r="AH758" i="25"/>
  <c r="AI757" i="25"/>
  <c r="AJ757" i="25"/>
  <c r="AE757" i="25"/>
  <c r="AC758" i="25"/>
  <c r="AD757" i="25"/>
  <c r="AF757" i="25"/>
  <c r="AG756" i="25"/>
  <c r="AB756" i="25"/>
  <c r="Z757" i="25"/>
  <c r="AA757" i="25"/>
  <c r="X758" i="25"/>
  <c r="Y757" i="25"/>
  <c r="W758" i="25"/>
  <c r="S760" i="25"/>
  <c r="T759" i="25"/>
  <c r="U759" i="25"/>
  <c r="V759" i="25"/>
  <c r="L807" i="36"/>
  <c r="K758" i="25" s="1"/>
  <c r="M807" i="36"/>
  <c r="L758" i="25" s="1"/>
  <c r="J808" i="36"/>
  <c r="I759" i="25" s="1"/>
  <c r="K807" i="36"/>
  <c r="J758" i="25" s="1"/>
  <c r="N806" i="36"/>
  <c r="M757" i="25" s="1"/>
  <c r="BD760" i="25" l="1"/>
  <c r="BE760" i="25"/>
  <c r="BC760" i="25"/>
  <c r="BB761" i="25"/>
  <c r="BF759" i="25"/>
  <c r="AW759" i="25"/>
  <c r="AX758" i="25"/>
  <c r="AY758" i="25"/>
  <c r="AZ758" i="25"/>
  <c r="BA757" i="25"/>
  <c r="AV757" i="25"/>
  <c r="AR759" i="25"/>
  <c r="AS758" i="25"/>
  <c r="AT758" i="25"/>
  <c r="AU758" i="25"/>
  <c r="AM759" i="25"/>
  <c r="AN758" i="25"/>
  <c r="AO758" i="25"/>
  <c r="AP758" i="25"/>
  <c r="AQ757" i="25"/>
  <c r="AJ758" i="25"/>
  <c r="AK758" i="25"/>
  <c r="AI758" i="25"/>
  <c r="AH759" i="25"/>
  <c r="AL757" i="25"/>
  <c r="AG757" i="25"/>
  <c r="AC759" i="25"/>
  <c r="AD758" i="25"/>
  <c r="AF758" i="25"/>
  <c r="AE758" i="25"/>
  <c r="AB757" i="25"/>
  <c r="X759" i="25"/>
  <c r="Y758" i="25"/>
  <c r="Z758" i="25"/>
  <c r="AA758" i="25"/>
  <c r="W759" i="25"/>
  <c r="S761" i="25"/>
  <c r="T760" i="25"/>
  <c r="U760" i="25"/>
  <c r="V760" i="25"/>
  <c r="N807" i="36"/>
  <c r="M758" i="25" s="1"/>
  <c r="J809" i="36"/>
  <c r="I760" i="25" s="1"/>
  <c r="K808" i="36"/>
  <c r="J759" i="25" s="1"/>
  <c r="L808" i="36"/>
  <c r="K759" i="25" s="1"/>
  <c r="M808" i="36"/>
  <c r="L759" i="25" s="1"/>
  <c r="BF760" i="25" l="1"/>
  <c r="BE761" i="25"/>
  <c r="BB762" i="25"/>
  <c r="BC761" i="25"/>
  <c r="BD761" i="25"/>
  <c r="BA758" i="25"/>
  <c r="AZ759" i="25"/>
  <c r="AW760" i="25"/>
  <c r="AX759" i="25"/>
  <c r="AY759" i="25"/>
  <c r="AR760" i="25"/>
  <c r="AS759" i="25"/>
  <c r="AU759" i="25"/>
  <c r="AT759" i="25"/>
  <c r="AV758" i="25"/>
  <c r="AQ758" i="25"/>
  <c r="AP759" i="25"/>
  <c r="AM760" i="25"/>
  <c r="AN759" i="25"/>
  <c r="AO759" i="25"/>
  <c r="AL758" i="25"/>
  <c r="AH760" i="25"/>
  <c r="AI759" i="25"/>
  <c r="AJ759" i="25"/>
  <c r="AK759" i="25"/>
  <c r="AE759" i="25"/>
  <c r="AF759" i="25"/>
  <c r="AC760" i="25"/>
  <c r="AD759" i="25"/>
  <c r="AG758" i="25"/>
  <c r="AB758" i="25"/>
  <c r="X760" i="25"/>
  <c r="Y759" i="25"/>
  <c r="Z759" i="25"/>
  <c r="AA759" i="25"/>
  <c r="W760" i="25"/>
  <c r="V761" i="25"/>
  <c r="T761" i="25"/>
  <c r="U761" i="25"/>
  <c r="S762" i="25"/>
  <c r="N808" i="36"/>
  <c r="M759" i="25" s="1"/>
  <c r="J810" i="36"/>
  <c r="I761" i="25" s="1"/>
  <c r="K809" i="36"/>
  <c r="J760" i="25" s="1"/>
  <c r="M809" i="36"/>
  <c r="L760" i="25" s="1"/>
  <c r="L809" i="36"/>
  <c r="K760" i="25" s="1"/>
  <c r="BD762" i="25" l="1"/>
  <c r="BB763" i="25"/>
  <c r="BC762" i="25"/>
  <c r="BE762" i="25"/>
  <c r="BF761" i="25"/>
  <c r="AY760" i="25"/>
  <c r="AZ760" i="25"/>
  <c r="AW761" i="25"/>
  <c r="AX760" i="25"/>
  <c r="BA759" i="25"/>
  <c r="AU760" i="25"/>
  <c r="AT760" i="25"/>
  <c r="AS760" i="25"/>
  <c r="AR761" i="25"/>
  <c r="AV759" i="25"/>
  <c r="AO760" i="25"/>
  <c r="AP760" i="25"/>
  <c r="AM761" i="25"/>
  <c r="AN760" i="25"/>
  <c r="AQ759" i="25"/>
  <c r="AL759" i="25"/>
  <c r="AH761" i="25"/>
  <c r="AI760" i="25"/>
  <c r="AJ760" i="25"/>
  <c r="AK760" i="25"/>
  <c r="AG759" i="25"/>
  <c r="AF760" i="25"/>
  <c r="AC761" i="25"/>
  <c r="AD760" i="25"/>
  <c r="AE760" i="25"/>
  <c r="AB759" i="25"/>
  <c r="AA760" i="25"/>
  <c r="X761" i="25"/>
  <c r="Y760" i="25"/>
  <c r="Z760" i="25"/>
  <c r="W761" i="25"/>
  <c r="U762" i="25"/>
  <c r="V762" i="25"/>
  <c r="S763" i="25"/>
  <c r="T762" i="25"/>
  <c r="M810" i="36"/>
  <c r="L761" i="25" s="1"/>
  <c r="L810" i="36"/>
  <c r="K761" i="25" s="1"/>
  <c r="K810" i="36"/>
  <c r="J761" i="25" s="1"/>
  <c r="J811" i="36"/>
  <c r="I762" i="25" s="1"/>
  <c r="N809" i="36"/>
  <c r="M760" i="25" s="1"/>
  <c r="BF762" i="25" l="1"/>
  <c r="BB764" i="25"/>
  <c r="BC763" i="25"/>
  <c r="BE763" i="25"/>
  <c r="BD763" i="25"/>
  <c r="BA760" i="25"/>
  <c r="AW762" i="25"/>
  <c r="AX761" i="25"/>
  <c r="AY761" i="25"/>
  <c r="AZ761" i="25"/>
  <c r="AV760" i="25"/>
  <c r="AT761" i="25"/>
  <c r="AU761" i="25"/>
  <c r="AR762" i="25"/>
  <c r="AS761" i="25"/>
  <c r="AQ760" i="25"/>
  <c r="AM762" i="25"/>
  <c r="AN761" i="25"/>
  <c r="AO761" i="25"/>
  <c r="AP761" i="25"/>
  <c r="AL760" i="25"/>
  <c r="AK761" i="25"/>
  <c r="AI761" i="25"/>
  <c r="AJ761" i="25"/>
  <c r="AH762" i="25"/>
  <c r="AE761" i="25"/>
  <c r="AC762" i="25"/>
  <c r="AD761" i="25"/>
  <c r="AF761" i="25"/>
  <c r="AG760" i="25"/>
  <c r="Z761" i="25"/>
  <c r="AA761" i="25"/>
  <c r="Y761" i="25"/>
  <c r="X762" i="25"/>
  <c r="AB760" i="25"/>
  <c r="W762" i="25"/>
  <c r="S764" i="25"/>
  <c r="T763" i="25"/>
  <c r="U763" i="25"/>
  <c r="V763" i="25"/>
  <c r="N810" i="36"/>
  <c r="M761" i="25" s="1"/>
  <c r="L811" i="36"/>
  <c r="K762" i="25" s="1"/>
  <c r="M811" i="36"/>
  <c r="L762" i="25" s="1"/>
  <c r="J812" i="36"/>
  <c r="I763" i="25" s="1"/>
  <c r="K811" i="36"/>
  <c r="J762" i="25" s="1"/>
  <c r="BD764" i="25" l="1"/>
  <c r="BE764" i="25"/>
  <c r="BB765" i="25"/>
  <c r="BC764" i="25"/>
  <c r="BF763" i="25"/>
  <c r="AW763" i="25"/>
  <c r="AX762" i="25"/>
  <c r="AY762" i="25"/>
  <c r="AZ762" i="25"/>
  <c r="BA761" i="25"/>
  <c r="AV761" i="25"/>
  <c r="AR763" i="25"/>
  <c r="AS762" i="25"/>
  <c r="AT762" i="25"/>
  <c r="AU762" i="25"/>
  <c r="AM763" i="25"/>
  <c r="AN762" i="25"/>
  <c r="AO762" i="25"/>
  <c r="AP762" i="25"/>
  <c r="AQ761" i="25"/>
  <c r="AL761" i="25"/>
  <c r="AJ762" i="25"/>
  <c r="AK762" i="25"/>
  <c r="AH763" i="25"/>
  <c r="AI762" i="25"/>
  <c r="AG761" i="25"/>
  <c r="AC763" i="25"/>
  <c r="AD762" i="25"/>
  <c r="AF762" i="25"/>
  <c r="AE762" i="25"/>
  <c r="AB761" i="25"/>
  <c r="X763" i="25"/>
  <c r="Y762" i="25"/>
  <c r="Z762" i="25"/>
  <c r="AA762" i="25"/>
  <c r="W763" i="25"/>
  <c r="S765" i="25"/>
  <c r="T764" i="25"/>
  <c r="U764" i="25"/>
  <c r="V764" i="25"/>
  <c r="N811" i="36"/>
  <c r="M762" i="25" s="1"/>
  <c r="J813" i="36"/>
  <c r="I764" i="25" s="1"/>
  <c r="K812" i="36"/>
  <c r="J763" i="25" s="1"/>
  <c r="L812" i="36"/>
  <c r="K763" i="25" s="1"/>
  <c r="M812" i="36"/>
  <c r="L763" i="25" s="1"/>
  <c r="BF764" i="25" l="1"/>
  <c r="BE765" i="25"/>
  <c r="BB766" i="25"/>
  <c r="BC765" i="25"/>
  <c r="BD765" i="25"/>
  <c r="BA762" i="25"/>
  <c r="AZ763" i="25"/>
  <c r="AW764" i="25"/>
  <c r="AX763" i="25"/>
  <c r="AY763" i="25"/>
  <c r="AR764" i="25"/>
  <c r="AS763" i="25"/>
  <c r="AU763" i="25"/>
  <c r="AT763" i="25"/>
  <c r="AV762" i="25"/>
  <c r="AQ762" i="25"/>
  <c r="AP763" i="25"/>
  <c r="AM764" i="25"/>
  <c r="AN763" i="25"/>
  <c r="AO763" i="25"/>
  <c r="AL762" i="25"/>
  <c r="AH764" i="25"/>
  <c r="AI763" i="25"/>
  <c r="AJ763" i="25"/>
  <c r="AK763" i="25"/>
  <c r="AE763" i="25"/>
  <c r="AF763" i="25"/>
  <c r="AD763" i="25"/>
  <c r="AC764" i="25"/>
  <c r="AG762" i="25"/>
  <c r="AB762" i="25"/>
  <c r="X764" i="25"/>
  <c r="Y763" i="25"/>
  <c r="Z763" i="25"/>
  <c r="AA763" i="25"/>
  <c r="W764" i="25"/>
  <c r="V765" i="25"/>
  <c r="S766" i="25"/>
  <c r="T765" i="25"/>
  <c r="U765" i="25"/>
  <c r="N812" i="36"/>
  <c r="M763" i="25" s="1"/>
  <c r="J814" i="36"/>
  <c r="I765" i="25" s="1"/>
  <c r="K813" i="36"/>
  <c r="J764" i="25" s="1"/>
  <c r="M813" i="36"/>
  <c r="L764" i="25" s="1"/>
  <c r="L813" i="36"/>
  <c r="K764" i="25" s="1"/>
  <c r="BD766" i="25" l="1"/>
  <c r="BB767" i="25"/>
  <c r="BC766" i="25"/>
  <c r="BE766" i="25"/>
  <c r="BF765" i="25"/>
  <c r="AY764" i="25"/>
  <c r="AZ764" i="25"/>
  <c r="AX764" i="25"/>
  <c r="AW765" i="25"/>
  <c r="BA763" i="25"/>
  <c r="AV763" i="25"/>
  <c r="AU764" i="25"/>
  <c r="AT764" i="25"/>
  <c r="AR765" i="25"/>
  <c r="AS764" i="25"/>
  <c r="AO764" i="25"/>
  <c r="AP764" i="25"/>
  <c r="AN764" i="25"/>
  <c r="AM765" i="25"/>
  <c r="AQ763" i="25"/>
  <c r="AH765" i="25"/>
  <c r="AI764" i="25"/>
  <c r="AJ764" i="25"/>
  <c r="AK764" i="25"/>
  <c r="AL763" i="25"/>
  <c r="AG763" i="25"/>
  <c r="AF764" i="25"/>
  <c r="AC765" i="25"/>
  <c r="AD764" i="25"/>
  <c r="AE764" i="25"/>
  <c r="AB763" i="25"/>
  <c r="AA764" i="25"/>
  <c r="Y764" i="25"/>
  <c r="Z764" i="25"/>
  <c r="X765" i="25"/>
  <c r="U766" i="25"/>
  <c r="V766" i="25"/>
  <c r="T766" i="25"/>
  <c r="S767" i="25"/>
  <c r="W765" i="25"/>
  <c r="M814" i="36"/>
  <c r="L765" i="25" s="1"/>
  <c r="L814" i="36"/>
  <c r="K765" i="25" s="1"/>
  <c r="K814" i="36"/>
  <c r="J765" i="25" s="1"/>
  <c r="J815" i="36"/>
  <c r="I766" i="25" s="1"/>
  <c r="N813" i="36"/>
  <c r="M764" i="25" s="1"/>
  <c r="BF766" i="25" l="1"/>
  <c r="BB768" i="25"/>
  <c r="BC767" i="25"/>
  <c r="BE767" i="25"/>
  <c r="BD767" i="25"/>
  <c r="BA764" i="25"/>
  <c r="AW766" i="25"/>
  <c r="AX765" i="25"/>
  <c r="AY765" i="25"/>
  <c r="AZ765" i="25"/>
  <c r="AV764" i="25"/>
  <c r="AT765" i="25"/>
  <c r="AU765" i="25"/>
  <c r="AR766" i="25"/>
  <c r="AS765" i="25"/>
  <c r="AQ764" i="25"/>
  <c r="AM766" i="25"/>
  <c r="AN765" i="25"/>
  <c r="AO765" i="25"/>
  <c r="AP765" i="25"/>
  <c r="AL764" i="25"/>
  <c r="AK765" i="25"/>
  <c r="AH766" i="25"/>
  <c r="AI765" i="25"/>
  <c r="AJ765" i="25"/>
  <c r="AE765" i="25"/>
  <c r="AC766" i="25"/>
  <c r="AD765" i="25"/>
  <c r="AF765" i="25"/>
  <c r="AG764" i="25"/>
  <c r="AB764" i="25"/>
  <c r="Z765" i="25"/>
  <c r="AA765" i="25"/>
  <c r="X766" i="25"/>
  <c r="Y765" i="25"/>
  <c r="W766" i="25"/>
  <c r="S768" i="25"/>
  <c r="T767" i="25"/>
  <c r="U767" i="25"/>
  <c r="V767" i="25"/>
  <c r="N814" i="36"/>
  <c r="M765" i="25" s="1"/>
  <c r="L815" i="36"/>
  <c r="K766" i="25" s="1"/>
  <c r="M815" i="36"/>
  <c r="L766" i="25" s="1"/>
  <c r="J816" i="36"/>
  <c r="I767" i="25" s="1"/>
  <c r="K815" i="36"/>
  <c r="J766" i="25" s="1"/>
  <c r="BD768" i="25" l="1"/>
  <c r="BE768" i="25"/>
  <c r="BC768" i="25"/>
  <c r="BB769" i="25"/>
  <c r="BF767" i="25"/>
  <c r="AW767" i="25"/>
  <c r="AX766" i="25"/>
  <c r="AY766" i="25"/>
  <c r="AZ766" i="25"/>
  <c r="BA765" i="25"/>
  <c r="AV765" i="25"/>
  <c r="AR767" i="25"/>
  <c r="AS766" i="25"/>
  <c r="AT766" i="25"/>
  <c r="AU766" i="25"/>
  <c r="AM767" i="25"/>
  <c r="AN766" i="25"/>
  <c r="AO766" i="25"/>
  <c r="AP766" i="25"/>
  <c r="AQ765" i="25"/>
  <c r="AJ766" i="25"/>
  <c r="AK766" i="25"/>
  <c r="AI766" i="25"/>
  <c r="AH767" i="25"/>
  <c r="AL765" i="25"/>
  <c r="AG765" i="25"/>
  <c r="AC767" i="25"/>
  <c r="AD766" i="25"/>
  <c r="AF766" i="25"/>
  <c r="AE766" i="25"/>
  <c r="AB765" i="25"/>
  <c r="X767" i="25"/>
  <c r="Y766" i="25"/>
  <c r="Z766" i="25"/>
  <c r="AA766" i="25"/>
  <c r="S769" i="25"/>
  <c r="T768" i="25"/>
  <c r="U768" i="25"/>
  <c r="V768" i="25"/>
  <c r="W767" i="25"/>
  <c r="N815" i="36"/>
  <c r="M766" i="25" s="1"/>
  <c r="J817" i="36"/>
  <c r="I768" i="25" s="1"/>
  <c r="K816" i="36"/>
  <c r="J767" i="25" s="1"/>
  <c r="L816" i="36"/>
  <c r="K767" i="25" s="1"/>
  <c r="M816" i="36"/>
  <c r="L767" i="25" s="1"/>
  <c r="BF768" i="25" l="1"/>
  <c r="BE769" i="25"/>
  <c r="BB770" i="25"/>
  <c r="BC769" i="25"/>
  <c r="BD769" i="25"/>
  <c r="BA766" i="25"/>
  <c r="AZ767" i="25"/>
  <c r="AW768" i="25"/>
  <c r="AX767" i="25"/>
  <c r="AY767" i="25"/>
  <c r="AR768" i="25"/>
  <c r="AS767" i="25"/>
  <c r="AU767" i="25"/>
  <c r="AT767" i="25"/>
  <c r="AV766" i="25"/>
  <c r="AQ766" i="25"/>
  <c r="AP767" i="25"/>
  <c r="AM768" i="25"/>
  <c r="AN767" i="25"/>
  <c r="AO767" i="25"/>
  <c r="AL766" i="25"/>
  <c r="AH768" i="25"/>
  <c r="AI767" i="25"/>
  <c r="AJ767" i="25"/>
  <c r="AK767" i="25"/>
  <c r="AE767" i="25"/>
  <c r="AF767" i="25"/>
  <c r="AC768" i="25"/>
  <c r="AD767" i="25"/>
  <c r="AG766" i="25"/>
  <c r="AB766" i="25"/>
  <c r="X768" i="25"/>
  <c r="Y767" i="25"/>
  <c r="Z767" i="25"/>
  <c r="AA767" i="25"/>
  <c r="W768" i="25"/>
  <c r="V769" i="25"/>
  <c r="T769" i="25"/>
  <c r="U769" i="25"/>
  <c r="S770" i="25"/>
  <c r="J818" i="36"/>
  <c r="I769" i="25" s="1"/>
  <c r="K817" i="36"/>
  <c r="J768" i="25" s="1"/>
  <c r="M817" i="36"/>
  <c r="L768" i="25" s="1"/>
  <c r="L817" i="36"/>
  <c r="K768" i="25" s="1"/>
  <c r="N816" i="36"/>
  <c r="M767" i="25" s="1"/>
  <c r="BD770" i="25" l="1"/>
  <c r="BB771" i="25"/>
  <c r="BC770" i="25"/>
  <c r="BE770" i="25"/>
  <c r="BF769" i="25"/>
  <c r="AY768" i="25"/>
  <c r="AZ768" i="25"/>
  <c r="AX768" i="25"/>
  <c r="AW769" i="25"/>
  <c r="BA767" i="25"/>
  <c r="AU768" i="25"/>
  <c r="AT768" i="25"/>
  <c r="AR769" i="25"/>
  <c r="AS768" i="25"/>
  <c r="AV767" i="25"/>
  <c r="AO768" i="25"/>
  <c r="AP768" i="25"/>
  <c r="AN768" i="25"/>
  <c r="AM769" i="25"/>
  <c r="AQ767" i="25"/>
  <c r="AL767" i="25"/>
  <c r="AH769" i="25"/>
  <c r="AI768" i="25"/>
  <c r="AJ768" i="25"/>
  <c r="AK768" i="25"/>
  <c r="AG767" i="25"/>
  <c r="AF768" i="25"/>
  <c r="AC769" i="25"/>
  <c r="AD768" i="25"/>
  <c r="AE768" i="25"/>
  <c r="AB767" i="25"/>
  <c r="AA768" i="25"/>
  <c r="X769" i="25"/>
  <c r="Y768" i="25"/>
  <c r="Z768" i="25"/>
  <c r="W769" i="25"/>
  <c r="U770" i="25"/>
  <c r="V770" i="25"/>
  <c r="S771" i="25"/>
  <c r="T770" i="25"/>
  <c r="M818" i="36"/>
  <c r="L769" i="25" s="1"/>
  <c r="L818" i="36"/>
  <c r="K769" i="25" s="1"/>
  <c r="K818" i="36"/>
  <c r="J769" i="25" s="1"/>
  <c r="J819" i="36"/>
  <c r="I770" i="25" s="1"/>
  <c r="N817" i="36"/>
  <c r="M768" i="25" s="1"/>
  <c r="BF770" i="25" l="1"/>
  <c r="BB772" i="25"/>
  <c r="BC771" i="25"/>
  <c r="BE771" i="25"/>
  <c r="BD771" i="25"/>
  <c r="BA768" i="25"/>
  <c r="AW770" i="25"/>
  <c r="AX769" i="25"/>
  <c r="AY769" i="25"/>
  <c r="AZ769" i="25"/>
  <c r="AV768" i="25"/>
  <c r="AT769" i="25"/>
  <c r="AU769" i="25"/>
  <c r="AR770" i="25"/>
  <c r="AS769" i="25"/>
  <c r="AQ768" i="25"/>
  <c r="AM770" i="25"/>
  <c r="AN769" i="25"/>
  <c r="AO769" i="25"/>
  <c r="AP769" i="25"/>
  <c r="AL768" i="25"/>
  <c r="AK769" i="25"/>
  <c r="AI769" i="25"/>
  <c r="AJ769" i="25"/>
  <c r="AH770" i="25"/>
  <c r="AE769" i="25"/>
  <c r="AC770" i="25"/>
  <c r="AD769" i="25"/>
  <c r="AF769" i="25"/>
  <c r="AG768" i="25"/>
  <c r="Z769" i="25"/>
  <c r="AA769" i="25"/>
  <c r="Y769" i="25"/>
  <c r="X770" i="25"/>
  <c r="AB768" i="25"/>
  <c r="W770" i="25"/>
  <c r="S772" i="25"/>
  <c r="T771" i="25"/>
  <c r="U771" i="25"/>
  <c r="V771" i="25"/>
  <c r="N818" i="36"/>
  <c r="M769" i="25" s="1"/>
  <c r="L819" i="36"/>
  <c r="K770" i="25" s="1"/>
  <c r="M819" i="36"/>
  <c r="L770" i="25" s="1"/>
  <c r="J820" i="36"/>
  <c r="I771" i="25" s="1"/>
  <c r="K819" i="36"/>
  <c r="J770" i="25" s="1"/>
  <c r="BD772" i="25" l="1"/>
  <c r="BE772" i="25"/>
  <c r="BB773" i="25"/>
  <c r="BC772" i="25"/>
  <c r="BF771" i="25"/>
  <c r="AW771" i="25"/>
  <c r="AX770" i="25"/>
  <c r="AY770" i="25"/>
  <c r="AZ770" i="25"/>
  <c r="BA769" i="25"/>
  <c r="AV769" i="25"/>
  <c r="AR771" i="25"/>
  <c r="AS770" i="25"/>
  <c r="AT770" i="25"/>
  <c r="AU770" i="25"/>
  <c r="AM771" i="25"/>
  <c r="AN770" i="25"/>
  <c r="AO770" i="25"/>
  <c r="AP770" i="25"/>
  <c r="AQ769" i="25"/>
  <c r="AL769" i="25"/>
  <c r="AJ770" i="25"/>
  <c r="AK770" i="25"/>
  <c r="AH771" i="25"/>
  <c r="AI770" i="25"/>
  <c r="AG769" i="25"/>
  <c r="AC771" i="25"/>
  <c r="AD770" i="25"/>
  <c r="AF770" i="25"/>
  <c r="AE770" i="25"/>
  <c r="AB769" i="25"/>
  <c r="X771" i="25"/>
  <c r="Y770" i="25"/>
  <c r="Z770" i="25"/>
  <c r="AA770" i="25"/>
  <c r="W771" i="25"/>
  <c r="S773" i="25"/>
  <c r="T772" i="25"/>
  <c r="U772" i="25"/>
  <c r="V772" i="25"/>
  <c r="N819" i="36"/>
  <c r="M770" i="25" s="1"/>
  <c r="J821" i="36"/>
  <c r="I772" i="25" s="1"/>
  <c r="K820" i="36"/>
  <c r="J771" i="25" s="1"/>
  <c r="L820" i="36"/>
  <c r="K771" i="25" s="1"/>
  <c r="M820" i="36"/>
  <c r="L771" i="25" s="1"/>
  <c r="BF772" i="25" l="1"/>
  <c r="BE773" i="25"/>
  <c r="BB774" i="25"/>
  <c r="BC773" i="25"/>
  <c r="BD773" i="25"/>
  <c r="BA770" i="25"/>
  <c r="AZ771" i="25"/>
  <c r="AW772" i="25"/>
  <c r="AX771" i="25"/>
  <c r="AY771" i="25"/>
  <c r="AR772" i="25"/>
  <c r="AS771" i="25"/>
  <c r="AU771" i="25"/>
  <c r="AT771" i="25"/>
  <c r="AV770" i="25"/>
  <c r="AQ770" i="25"/>
  <c r="AP771" i="25"/>
  <c r="AM772" i="25"/>
  <c r="AN771" i="25"/>
  <c r="AO771" i="25"/>
  <c r="AL770" i="25"/>
  <c r="AH772" i="25"/>
  <c r="AI771" i="25"/>
  <c r="AJ771" i="25"/>
  <c r="AK771" i="25"/>
  <c r="AE771" i="25"/>
  <c r="AF771" i="25"/>
  <c r="AD771" i="25"/>
  <c r="AC772" i="25"/>
  <c r="AG770" i="25"/>
  <c r="AB770" i="25"/>
  <c r="X772" i="25"/>
  <c r="Y771" i="25"/>
  <c r="Z771" i="25"/>
  <c r="AA771" i="25"/>
  <c r="W772" i="25"/>
  <c r="V773" i="25"/>
  <c r="S774" i="25"/>
  <c r="T773" i="25"/>
  <c r="U773" i="25"/>
  <c r="N820" i="36"/>
  <c r="M771" i="25" s="1"/>
  <c r="J822" i="36"/>
  <c r="I773" i="25" s="1"/>
  <c r="K821" i="36"/>
  <c r="J772" i="25" s="1"/>
  <c r="M821" i="36"/>
  <c r="L772" i="25" s="1"/>
  <c r="L821" i="36"/>
  <c r="K772" i="25" s="1"/>
  <c r="BD774" i="25" l="1"/>
  <c r="BB775" i="25"/>
  <c r="BC774" i="25"/>
  <c r="BE774" i="25"/>
  <c r="BF773" i="25"/>
  <c r="AY772" i="25"/>
  <c r="AZ772" i="25"/>
  <c r="AX772" i="25"/>
  <c r="AW773" i="25"/>
  <c r="BA771" i="25"/>
  <c r="AU772" i="25"/>
  <c r="AT772" i="25"/>
  <c r="AS772" i="25"/>
  <c r="AR773" i="25"/>
  <c r="AV771" i="25"/>
  <c r="AO772" i="25"/>
  <c r="AP772" i="25"/>
  <c r="AN772" i="25"/>
  <c r="AM773" i="25"/>
  <c r="AQ771" i="25"/>
  <c r="AL771" i="25"/>
  <c r="AH773" i="25"/>
  <c r="AI772" i="25"/>
  <c r="AJ772" i="25"/>
  <c r="AK772" i="25"/>
  <c r="AG771" i="25"/>
  <c r="AF772" i="25"/>
  <c r="AC773" i="25"/>
  <c r="AD772" i="25"/>
  <c r="AE772" i="25"/>
  <c r="AB771" i="25"/>
  <c r="AA772" i="25"/>
  <c r="Y772" i="25"/>
  <c r="Z772" i="25"/>
  <c r="X773" i="25"/>
  <c r="U774" i="25"/>
  <c r="V774" i="25"/>
  <c r="T774" i="25"/>
  <c r="S775" i="25"/>
  <c r="W773" i="25"/>
  <c r="N821" i="36"/>
  <c r="M772" i="25" s="1"/>
  <c r="M822" i="36"/>
  <c r="L773" i="25" s="1"/>
  <c r="L822" i="36"/>
  <c r="K773" i="25" s="1"/>
  <c r="J823" i="36"/>
  <c r="I774" i="25" s="1"/>
  <c r="K822" i="36"/>
  <c r="J773" i="25" s="1"/>
  <c r="BF774" i="25" l="1"/>
  <c r="BB776" i="25"/>
  <c r="BC775" i="25"/>
  <c r="BE775" i="25"/>
  <c r="BD775" i="25"/>
  <c r="BA772" i="25"/>
  <c r="AW774" i="25"/>
  <c r="AX773" i="25"/>
  <c r="AY773" i="25"/>
  <c r="AZ773" i="25"/>
  <c r="AV772" i="25"/>
  <c r="AT773" i="25"/>
  <c r="AU773" i="25"/>
  <c r="AR774" i="25"/>
  <c r="AS773" i="25"/>
  <c r="AQ772" i="25"/>
  <c r="AM774" i="25"/>
  <c r="AN773" i="25"/>
  <c r="AO773" i="25"/>
  <c r="AP773" i="25"/>
  <c r="AL772" i="25"/>
  <c r="AK773" i="25"/>
  <c r="AH774" i="25"/>
  <c r="AI773" i="25"/>
  <c r="AJ773" i="25"/>
  <c r="AE773" i="25"/>
  <c r="AC774" i="25"/>
  <c r="AD773" i="25"/>
  <c r="AF773" i="25"/>
  <c r="AG772" i="25"/>
  <c r="AB772" i="25"/>
  <c r="Z773" i="25"/>
  <c r="AA773" i="25"/>
  <c r="X774" i="25"/>
  <c r="Y773" i="25"/>
  <c r="W774" i="25"/>
  <c r="S776" i="25"/>
  <c r="T775" i="25"/>
  <c r="U775" i="25"/>
  <c r="V775" i="25"/>
  <c r="L823" i="36"/>
  <c r="K774" i="25" s="1"/>
  <c r="M823" i="36"/>
  <c r="L774" i="25" s="1"/>
  <c r="J824" i="36"/>
  <c r="I775" i="25" s="1"/>
  <c r="K823" i="36"/>
  <c r="J774" i="25" s="1"/>
  <c r="N822" i="36"/>
  <c r="M773" i="25" s="1"/>
  <c r="BD776" i="25" l="1"/>
  <c r="BE776" i="25"/>
  <c r="BC776" i="25"/>
  <c r="BB777" i="25"/>
  <c r="BF775" i="25"/>
  <c r="AW775" i="25"/>
  <c r="AX774" i="25"/>
  <c r="AY774" i="25"/>
  <c r="AZ774" i="25"/>
  <c r="BA773" i="25"/>
  <c r="AV773" i="25"/>
  <c r="AR775" i="25"/>
  <c r="AS774" i="25"/>
  <c r="AT774" i="25"/>
  <c r="AU774" i="25"/>
  <c r="AQ773" i="25"/>
  <c r="AM775" i="25"/>
  <c r="AN774" i="25"/>
  <c r="AO774" i="25"/>
  <c r="AP774" i="25"/>
  <c r="AJ774" i="25"/>
  <c r="AK774" i="25"/>
  <c r="AI774" i="25"/>
  <c r="AH775" i="25"/>
  <c r="AL773" i="25"/>
  <c r="AG773" i="25"/>
  <c r="AC775" i="25"/>
  <c r="AD774" i="25"/>
  <c r="AF774" i="25"/>
  <c r="AE774" i="25"/>
  <c r="AB773" i="25"/>
  <c r="X775" i="25"/>
  <c r="Y774" i="25"/>
  <c r="Z774" i="25"/>
  <c r="AA774" i="25"/>
  <c r="W775" i="25"/>
  <c r="S777" i="25"/>
  <c r="T776" i="25"/>
  <c r="U776" i="25"/>
  <c r="V776" i="25"/>
  <c r="N823" i="36"/>
  <c r="M774" i="25" s="1"/>
  <c r="J825" i="36"/>
  <c r="I776" i="25" s="1"/>
  <c r="K824" i="36"/>
  <c r="J775" i="25" s="1"/>
  <c r="L824" i="36"/>
  <c r="K775" i="25" s="1"/>
  <c r="M824" i="36"/>
  <c r="L775" i="25" s="1"/>
  <c r="BF776" i="25" l="1"/>
  <c r="BE777" i="25"/>
  <c r="BB778" i="25"/>
  <c r="BC777" i="25"/>
  <c r="BD777" i="25"/>
  <c r="BA774" i="25"/>
  <c r="AZ775" i="25"/>
  <c r="AW776" i="25"/>
  <c r="AX775" i="25"/>
  <c r="AY775" i="25"/>
  <c r="AR776" i="25"/>
  <c r="AS775" i="25"/>
  <c r="AU775" i="25"/>
  <c r="AT775" i="25"/>
  <c r="AV774" i="25"/>
  <c r="AQ774" i="25"/>
  <c r="AP775" i="25"/>
  <c r="AM776" i="25"/>
  <c r="AN775" i="25"/>
  <c r="AO775" i="25"/>
  <c r="AL774" i="25"/>
  <c r="AH776" i="25"/>
  <c r="AI775" i="25"/>
  <c r="AJ775" i="25"/>
  <c r="AK775" i="25"/>
  <c r="AE775" i="25"/>
  <c r="AF775" i="25"/>
  <c r="AC776" i="25"/>
  <c r="AD775" i="25"/>
  <c r="AG774" i="25"/>
  <c r="AB774" i="25"/>
  <c r="X776" i="25"/>
  <c r="Y775" i="25"/>
  <c r="Z775" i="25"/>
  <c r="AA775" i="25"/>
  <c r="W776" i="25"/>
  <c r="V777" i="25"/>
  <c r="T777" i="25"/>
  <c r="U777" i="25"/>
  <c r="S778" i="25"/>
  <c r="N824" i="36"/>
  <c r="M775" i="25" s="1"/>
  <c r="J826" i="36"/>
  <c r="I777" i="25" s="1"/>
  <c r="K825" i="36"/>
  <c r="J776" i="25" s="1"/>
  <c r="M825" i="36"/>
  <c r="L776" i="25" s="1"/>
  <c r="L825" i="36"/>
  <c r="K776" i="25" s="1"/>
  <c r="BD778" i="25" l="1"/>
  <c r="BB779" i="25"/>
  <c r="BC778" i="25"/>
  <c r="BE778" i="25"/>
  <c r="BF777" i="25"/>
  <c r="AY776" i="25"/>
  <c r="AZ776" i="25"/>
  <c r="AW777" i="25"/>
  <c r="AX776" i="25"/>
  <c r="BA775" i="25"/>
  <c r="AU776" i="25"/>
  <c r="AT776" i="25"/>
  <c r="AS776" i="25"/>
  <c r="AR777" i="25"/>
  <c r="AV775" i="25"/>
  <c r="AO776" i="25"/>
  <c r="AP776" i="25"/>
  <c r="AM777" i="25"/>
  <c r="AN776" i="25"/>
  <c r="AQ775" i="25"/>
  <c r="AL775" i="25"/>
  <c r="AH777" i="25"/>
  <c r="AI776" i="25"/>
  <c r="AJ776" i="25"/>
  <c r="AK776" i="25"/>
  <c r="AG775" i="25"/>
  <c r="AF776" i="25"/>
  <c r="AC777" i="25"/>
  <c r="AD776" i="25"/>
  <c r="AE776" i="25"/>
  <c r="AB775" i="25"/>
  <c r="AA776" i="25"/>
  <c r="X777" i="25"/>
  <c r="Y776" i="25"/>
  <c r="Z776" i="25"/>
  <c r="W777" i="25"/>
  <c r="U778" i="25"/>
  <c r="V778" i="25"/>
  <c r="S779" i="25"/>
  <c r="T778" i="25"/>
  <c r="M826" i="36"/>
  <c r="L777" i="25" s="1"/>
  <c r="L826" i="36"/>
  <c r="K777" i="25" s="1"/>
  <c r="K826" i="36"/>
  <c r="J777" i="25" s="1"/>
  <c r="J827" i="36"/>
  <c r="I778" i="25" s="1"/>
  <c r="N825" i="36"/>
  <c r="M776" i="25" s="1"/>
  <c r="BF778" i="25" l="1"/>
  <c r="BB780" i="25"/>
  <c r="BC779" i="25"/>
  <c r="BE779" i="25"/>
  <c r="BD779" i="25"/>
  <c r="BA776" i="25"/>
  <c r="AW778" i="25"/>
  <c r="AX777" i="25"/>
  <c r="AY777" i="25"/>
  <c r="AZ777" i="25"/>
  <c r="AV776" i="25"/>
  <c r="AT777" i="25"/>
  <c r="AU777" i="25"/>
  <c r="AR778" i="25"/>
  <c r="AS777" i="25"/>
  <c r="AQ776" i="25"/>
  <c r="AM778" i="25"/>
  <c r="AN777" i="25"/>
  <c r="AO777" i="25"/>
  <c r="AP777" i="25"/>
  <c r="AL776" i="25"/>
  <c r="AK777" i="25"/>
  <c r="AI777" i="25"/>
  <c r="AJ777" i="25"/>
  <c r="AH778" i="25"/>
  <c r="AE777" i="25"/>
  <c r="AC778" i="25"/>
  <c r="AD777" i="25"/>
  <c r="AF777" i="25"/>
  <c r="AG776" i="25"/>
  <c r="Z777" i="25"/>
  <c r="AA777" i="25"/>
  <c r="Y777" i="25"/>
  <c r="X778" i="25"/>
  <c r="AB776" i="25"/>
  <c r="W778" i="25"/>
  <c r="S780" i="25"/>
  <c r="T779" i="25"/>
  <c r="U779" i="25"/>
  <c r="V779" i="25"/>
  <c r="N826" i="36"/>
  <c r="M777" i="25" s="1"/>
  <c r="L827" i="36"/>
  <c r="K778" i="25" s="1"/>
  <c r="M827" i="36"/>
  <c r="L778" i="25" s="1"/>
  <c r="J828" i="36"/>
  <c r="I779" i="25" s="1"/>
  <c r="K827" i="36"/>
  <c r="J778" i="25" s="1"/>
  <c r="AG777" i="25" l="1"/>
  <c r="BD780" i="25"/>
  <c r="BE780" i="25"/>
  <c r="BB781" i="25"/>
  <c r="BC780" i="25"/>
  <c r="BF779" i="25"/>
  <c r="AW779" i="25"/>
  <c r="AX778" i="25"/>
  <c r="AY778" i="25"/>
  <c r="AZ778" i="25"/>
  <c r="BA777" i="25"/>
  <c r="AV777" i="25"/>
  <c r="AR779" i="25"/>
  <c r="AS778" i="25"/>
  <c r="AT778" i="25"/>
  <c r="AU778" i="25"/>
  <c r="AM779" i="25"/>
  <c r="AN778" i="25"/>
  <c r="AO778" i="25"/>
  <c r="AP778" i="25"/>
  <c r="AQ777" i="25"/>
  <c r="AL777" i="25"/>
  <c r="AJ778" i="25"/>
  <c r="AK778" i="25"/>
  <c r="AH779" i="25"/>
  <c r="AI778" i="25"/>
  <c r="AC779" i="25"/>
  <c r="AD778" i="25"/>
  <c r="AF778" i="25"/>
  <c r="AE778" i="25"/>
  <c r="AB777" i="25"/>
  <c r="X779" i="25"/>
  <c r="Y778" i="25"/>
  <c r="Z778" i="25"/>
  <c r="AA778" i="25"/>
  <c r="W779" i="25"/>
  <c r="S781" i="25"/>
  <c r="T780" i="25"/>
  <c r="U780" i="25"/>
  <c r="V780" i="25"/>
  <c r="N827" i="36"/>
  <c r="M778" i="25" s="1"/>
  <c r="J829" i="36"/>
  <c r="I780" i="25" s="1"/>
  <c r="K828" i="36"/>
  <c r="J779" i="25" s="1"/>
  <c r="L828" i="36"/>
  <c r="K779" i="25" s="1"/>
  <c r="M828" i="36"/>
  <c r="L779" i="25" s="1"/>
  <c r="BF780" i="25" l="1"/>
  <c r="BE781" i="25"/>
  <c r="BB782" i="25"/>
  <c r="BC781" i="25"/>
  <c r="BD781" i="25"/>
  <c r="BA778" i="25"/>
  <c r="AZ779" i="25"/>
  <c r="AW780" i="25"/>
  <c r="AX779" i="25"/>
  <c r="AY779" i="25"/>
  <c r="AR780" i="25"/>
  <c r="AS779" i="25"/>
  <c r="AU779" i="25"/>
  <c r="AT779" i="25"/>
  <c r="AV778" i="25"/>
  <c r="AQ778" i="25"/>
  <c r="AP779" i="25"/>
  <c r="AM780" i="25"/>
  <c r="AN779" i="25"/>
  <c r="AO779" i="25"/>
  <c r="AL778" i="25"/>
  <c r="AH780" i="25"/>
  <c r="AI779" i="25"/>
  <c r="AJ779" i="25"/>
  <c r="AK779" i="25"/>
  <c r="AE779" i="25"/>
  <c r="AF779" i="25"/>
  <c r="AD779" i="25"/>
  <c r="AC780" i="25"/>
  <c r="AG778" i="25"/>
  <c r="AB778" i="25"/>
  <c r="X780" i="25"/>
  <c r="Y779" i="25"/>
  <c r="Z779" i="25"/>
  <c r="AA779" i="25"/>
  <c r="W780" i="25"/>
  <c r="V781" i="25"/>
  <c r="S782" i="25"/>
  <c r="T781" i="25"/>
  <c r="U781" i="25"/>
  <c r="J830" i="36"/>
  <c r="I781" i="25" s="1"/>
  <c r="K829" i="36"/>
  <c r="J780" i="25" s="1"/>
  <c r="M829" i="36"/>
  <c r="L780" i="25" s="1"/>
  <c r="L829" i="36"/>
  <c r="K780" i="25" s="1"/>
  <c r="N828" i="36"/>
  <c r="M779" i="25" s="1"/>
  <c r="BD782" i="25" l="1"/>
  <c r="BB783" i="25"/>
  <c r="BC782" i="25"/>
  <c r="BE782" i="25"/>
  <c r="BF781" i="25"/>
  <c r="AY780" i="25"/>
  <c r="AZ780" i="25"/>
  <c r="AX780" i="25"/>
  <c r="AW781" i="25"/>
  <c r="BA779" i="25"/>
  <c r="AU780" i="25"/>
  <c r="AT780" i="25"/>
  <c r="AR781" i="25"/>
  <c r="AS780" i="25"/>
  <c r="AV779" i="25"/>
  <c r="AO780" i="25"/>
  <c r="AP780" i="25"/>
  <c r="AN780" i="25"/>
  <c r="AM781" i="25"/>
  <c r="AQ779" i="25"/>
  <c r="AL779" i="25"/>
  <c r="AH781" i="25"/>
  <c r="AI780" i="25"/>
  <c r="AJ780" i="25"/>
  <c r="AK780" i="25"/>
  <c r="AG779" i="25"/>
  <c r="AF780" i="25"/>
  <c r="AC781" i="25"/>
  <c r="AD780" i="25"/>
  <c r="AE780" i="25"/>
  <c r="AB779" i="25"/>
  <c r="AA780" i="25"/>
  <c r="Y780" i="25"/>
  <c r="Z780" i="25"/>
  <c r="X781" i="25"/>
  <c r="U782" i="25"/>
  <c r="V782" i="25"/>
  <c r="T782" i="25"/>
  <c r="S783" i="25"/>
  <c r="W781" i="25"/>
  <c r="N829" i="36"/>
  <c r="M780" i="25" s="1"/>
  <c r="M830" i="36"/>
  <c r="L781" i="25" s="1"/>
  <c r="L830" i="36"/>
  <c r="K781" i="25" s="1"/>
  <c r="J831" i="36"/>
  <c r="I782" i="25" s="1"/>
  <c r="K830" i="36"/>
  <c r="J781" i="25" s="1"/>
  <c r="BF782" i="25" l="1"/>
  <c r="BB784" i="25"/>
  <c r="BC783" i="25"/>
  <c r="BE783" i="25"/>
  <c r="BD783" i="25"/>
  <c r="BA780" i="25"/>
  <c r="AW782" i="25"/>
  <c r="AX781" i="25"/>
  <c r="AY781" i="25"/>
  <c r="AZ781" i="25"/>
  <c r="AV780" i="25"/>
  <c r="AT781" i="25"/>
  <c r="AU781" i="25"/>
  <c r="AR782" i="25"/>
  <c r="AS781" i="25"/>
  <c r="AQ780" i="25"/>
  <c r="AM782" i="25"/>
  <c r="AN781" i="25"/>
  <c r="AO781" i="25"/>
  <c r="AP781" i="25"/>
  <c r="AL780" i="25"/>
  <c r="AK781" i="25"/>
  <c r="AH782" i="25"/>
  <c r="AI781" i="25"/>
  <c r="AJ781" i="25"/>
  <c r="AE781" i="25"/>
  <c r="AC782" i="25"/>
  <c r="AD781" i="25"/>
  <c r="AF781" i="25"/>
  <c r="AG780" i="25"/>
  <c r="AB780" i="25"/>
  <c r="Z781" i="25"/>
  <c r="AA781" i="25"/>
  <c r="X782" i="25"/>
  <c r="Y781" i="25"/>
  <c r="W782" i="25"/>
  <c r="S784" i="25"/>
  <c r="T783" i="25"/>
  <c r="U783" i="25"/>
  <c r="V783" i="25"/>
  <c r="L831" i="36"/>
  <c r="K782" i="25" s="1"/>
  <c r="M831" i="36"/>
  <c r="L782" i="25" s="1"/>
  <c r="J832" i="36"/>
  <c r="I783" i="25" s="1"/>
  <c r="K831" i="36"/>
  <c r="J782" i="25" s="1"/>
  <c r="N830" i="36"/>
  <c r="M781" i="25" s="1"/>
  <c r="AG781" i="25" l="1"/>
  <c r="N831" i="36"/>
  <c r="M782" i="25" s="1"/>
  <c r="BD784" i="25"/>
  <c r="BE784" i="25"/>
  <c r="BC784" i="25"/>
  <c r="BB785" i="25"/>
  <c r="BF783" i="25"/>
  <c r="AW783" i="25"/>
  <c r="AX782" i="25"/>
  <c r="AY782" i="25"/>
  <c r="AZ782" i="25"/>
  <c r="BA781" i="25"/>
  <c r="AV781" i="25"/>
  <c r="AR783" i="25"/>
  <c r="AS782" i="25"/>
  <c r="AT782" i="25"/>
  <c r="AU782" i="25"/>
  <c r="AM783" i="25"/>
  <c r="AN782" i="25"/>
  <c r="AO782" i="25"/>
  <c r="AP782" i="25"/>
  <c r="AQ781" i="25"/>
  <c r="AJ782" i="25"/>
  <c r="AK782" i="25"/>
  <c r="AI782" i="25"/>
  <c r="AH783" i="25"/>
  <c r="AL781" i="25"/>
  <c r="AC783" i="25"/>
  <c r="AD782" i="25"/>
  <c r="AF782" i="25"/>
  <c r="AE782" i="25"/>
  <c r="AB781" i="25"/>
  <c r="X783" i="25"/>
  <c r="Y782" i="25"/>
  <c r="Z782" i="25"/>
  <c r="AA782" i="25"/>
  <c r="W783" i="25"/>
  <c r="S785" i="25"/>
  <c r="T784" i="25"/>
  <c r="U784" i="25"/>
  <c r="V784" i="25"/>
  <c r="J833" i="36"/>
  <c r="I784" i="25" s="1"/>
  <c r="K832" i="36"/>
  <c r="J783" i="25" s="1"/>
  <c r="L832" i="36"/>
  <c r="K783" i="25" s="1"/>
  <c r="M832" i="36"/>
  <c r="L783" i="25" s="1"/>
  <c r="BF784" i="25" l="1"/>
  <c r="BE785" i="25"/>
  <c r="BB786" i="25"/>
  <c r="BC785" i="25"/>
  <c r="BD785" i="25"/>
  <c r="AZ783" i="25"/>
  <c r="AW784" i="25"/>
  <c r="AX783" i="25"/>
  <c r="AY783" i="25"/>
  <c r="BA782" i="25"/>
  <c r="AR784" i="25"/>
  <c r="AS783" i="25"/>
  <c r="AU783" i="25"/>
  <c r="AT783" i="25"/>
  <c r="AV782" i="25"/>
  <c r="AQ782" i="25"/>
  <c r="AP783" i="25"/>
  <c r="AM784" i="25"/>
  <c r="AN783" i="25"/>
  <c r="AO783" i="25"/>
  <c r="AL782" i="25"/>
  <c r="AH784" i="25"/>
  <c r="AI783" i="25"/>
  <c r="AJ783" i="25"/>
  <c r="AK783" i="25"/>
  <c r="AG782" i="25"/>
  <c r="AE783" i="25"/>
  <c r="AF783" i="25"/>
  <c r="AC784" i="25"/>
  <c r="AD783" i="25"/>
  <c r="AB782" i="25"/>
  <c r="X784" i="25"/>
  <c r="Y783" i="25"/>
  <c r="Z783" i="25"/>
  <c r="AA783" i="25"/>
  <c r="W784" i="25"/>
  <c r="V785" i="25"/>
  <c r="T785" i="25"/>
  <c r="U785" i="25"/>
  <c r="S786" i="25"/>
  <c r="N832" i="36"/>
  <c r="M783" i="25" s="1"/>
  <c r="J834" i="36"/>
  <c r="I785" i="25" s="1"/>
  <c r="K833" i="36"/>
  <c r="J784" i="25" s="1"/>
  <c r="M833" i="36"/>
  <c r="L784" i="25" s="1"/>
  <c r="L833" i="36"/>
  <c r="K784" i="25" s="1"/>
  <c r="BD786" i="25" l="1"/>
  <c r="BB787" i="25"/>
  <c r="BC786" i="25"/>
  <c r="BE786" i="25"/>
  <c r="BF785" i="25"/>
  <c r="AY784" i="25"/>
  <c r="AZ784" i="25"/>
  <c r="AX784" i="25"/>
  <c r="AW785" i="25"/>
  <c r="BA783" i="25"/>
  <c r="AU784" i="25"/>
  <c r="AT784" i="25"/>
  <c r="AR785" i="25"/>
  <c r="AS784" i="25"/>
  <c r="AV783" i="25"/>
  <c r="AO784" i="25"/>
  <c r="AP784" i="25"/>
  <c r="AN784" i="25"/>
  <c r="AM785" i="25"/>
  <c r="AQ783" i="25"/>
  <c r="AL783" i="25"/>
  <c r="AH785" i="25"/>
  <c r="AI784" i="25"/>
  <c r="AJ784" i="25"/>
  <c r="AK784" i="25"/>
  <c r="AG783" i="25"/>
  <c r="AF784" i="25"/>
  <c r="AC785" i="25"/>
  <c r="AD784" i="25"/>
  <c r="AE784" i="25"/>
  <c r="AB783" i="25"/>
  <c r="AA784" i="25"/>
  <c r="X785" i="25"/>
  <c r="Y784" i="25"/>
  <c r="Z784" i="25"/>
  <c r="W785" i="25"/>
  <c r="U786" i="25"/>
  <c r="V786" i="25"/>
  <c r="S787" i="25"/>
  <c r="T786" i="25"/>
  <c r="M834" i="36"/>
  <c r="L785" i="25" s="1"/>
  <c r="L834" i="36"/>
  <c r="K785" i="25" s="1"/>
  <c r="K834" i="36"/>
  <c r="J785" i="25" s="1"/>
  <c r="J835" i="36"/>
  <c r="I786" i="25" s="1"/>
  <c r="N833" i="36"/>
  <c r="M784" i="25" s="1"/>
  <c r="BF786" i="25" l="1"/>
  <c r="BB788" i="25"/>
  <c r="BC787" i="25"/>
  <c r="BE787" i="25"/>
  <c r="BD787" i="25"/>
  <c r="BA784" i="25"/>
  <c r="AW786" i="25"/>
  <c r="AX785" i="25"/>
  <c r="AY785" i="25"/>
  <c r="AZ785" i="25"/>
  <c r="AV784" i="25"/>
  <c r="AT785" i="25"/>
  <c r="AU785" i="25"/>
  <c r="AR786" i="25"/>
  <c r="AS785" i="25"/>
  <c r="AQ784" i="25"/>
  <c r="AM786" i="25"/>
  <c r="AN785" i="25"/>
  <c r="AO785" i="25"/>
  <c r="AP785" i="25"/>
  <c r="AL784" i="25"/>
  <c r="AK785" i="25"/>
  <c r="AI785" i="25"/>
  <c r="AJ785" i="25"/>
  <c r="AH786" i="25"/>
  <c r="AE785" i="25"/>
  <c r="AC786" i="25"/>
  <c r="AD785" i="25"/>
  <c r="AF785" i="25"/>
  <c r="AG784" i="25"/>
  <c r="Z785" i="25"/>
  <c r="AA785" i="25"/>
  <c r="Y785" i="25"/>
  <c r="X786" i="25"/>
  <c r="AB784" i="25"/>
  <c r="W786" i="25"/>
  <c r="S788" i="25"/>
  <c r="T787" i="25"/>
  <c r="U787" i="25"/>
  <c r="V787" i="25"/>
  <c r="N834" i="36"/>
  <c r="M785" i="25" s="1"/>
  <c r="L835" i="36"/>
  <c r="K786" i="25" s="1"/>
  <c r="M835" i="36"/>
  <c r="L786" i="25" s="1"/>
  <c r="J836" i="36"/>
  <c r="I787" i="25" s="1"/>
  <c r="K835" i="36"/>
  <c r="J786" i="25" s="1"/>
  <c r="BD788" i="25" l="1"/>
  <c r="BE788" i="25"/>
  <c r="BB789" i="25"/>
  <c r="BC788" i="25"/>
  <c r="BF787" i="25"/>
  <c r="BA785" i="25"/>
  <c r="AW787" i="25"/>
  <c r="AX786" i="25"/>
  <c r="AY786" i="25"/>
  <c r="AZ786" i="25"/>
  <c r="AV785" i="25"/>
  <c r="AR787" i="25"/>
  <c r="AS786" i="25"/>
  <c r="AT786" i="25"/>
  <c r="AU786" i="25"/>
  <c r="AM787" i="25"/>
  <c r="AN786" i="25"/>
  <c r="AO786" i="25"/>
  <c r="AP786" i="25"/>
  <c r="AQ785" i="25"/>
  <c r="AL785" i="25"/>
  <c r="AJ786" i="25"/>
  <c r="AK786" i="25"/>
  <c r="AH787" i="25"/>
  <c r="AI786" i="25"/>
  <c r="AG785" i="25"/>
  <c r="AC787" i="25"/>
  <c r="AD786" i="25"/>
  <c r="AF786" i="25"/>
  <c r="AE786" i="25"/>
  <c r="AB785" i="25"/>
  <c r="X787" i="25"/>
  <c r="Y786" i="25"/>
  <c r="Z786" i="25"/>
  <c r="AA786" i="25"/>
  <c r="W787" i="25"/>
  <c r="S789" i="25"/>
  <c r="T788" i="25"/>
  <c r="U788" i="25"/>
  <c r="V788" i="25"/>
  <c r="N835" i="36"/>
  <c r="M786" i="25" s="1"/>
  <c r="J837" i="36"/>
  <c r="I788" i="25" s="1"/>
  <c r="K836" i="36"/>
  <c r="J787" i="25" s="1"/>
  <c r="L836" i="36"/>
  <c r="K787" i="25" s="1"/>
  <c r="M836" i="36"/>
  <c r="L787" i="25" s="1"/>
  <c r="BF788" i="25" l="1"/>
  <c r="BE789" i="25"/>
  <c r="BB790" i="25"/>
  <c r="BC789" i="25"/>
  <c r="BD789" i="25"/>
  <c r="AZ787" i="25"/>
  <c r="AW788" i="25"/>
  <c r="AX787" i="25"/>
  <c r="AY787" i="25"/>
  <c r="BA786" i="25"/>
  <c r="AR788" i="25"/>
  <c r="AS787" i="25"/>
  <c r="AU787" i="25"/>
  <c r="AT787" i="25"/>
  <c r="AV786" i="25"/>
  <c r="AQ786" i="25"/>
  <c r="AP787" i="25"/>
  <c r="AM788" i="25"/>
  <c r="AN787" i="25"/>
  <c r="AO787" i="25"/>
  <c r="AL786" i="25"/>
  <c r="AH788" i="25"/>
  <c r="AI787" i="25"/>
  <c r="AJ787" i="25"/>
  <c r="AK787" i="25"/>
  <c r="AE787" i="25"/>
  <c r="AF787" i="25"/>
  <c r="AD787" i="25"/>
  <c r="AC788" i="25"/>
  <c r="AG786" i="25"/>
  <c r="AB786" i="25"/>
  <c r="X788" i="25"/>
  <c r="Y787" i="25"/>
  <c r="Z787" i="25"/>
  <c r="AA787" i="25"/>
  <c r="W788" i="25"/>
  <c r="V789" i="25"/>
  <c r="S790" i="25"/>
  <c r="T789" i="25"/>
  <c r="U789" i="25"/>
  <c r="J838" i="36"/>
  <c r="I789" i="25" s="1"/>
  <c r="K837" i="36"/>
  <c r="J788" i="25" s="1"/>
  <c r="M837" i="36"/>
  <c r="L788" i="25" s="1"/>
  <c r="L837" i="36"/>
  <c r="K788" i="25" s="1"/>
  <c r="N836" i="36"/>
  <c r="M787" i="25" s="1"/>
  <c r="BD790" i="25" l="1"/>
  <c r="BB791" i="25"/>
  <c r="BC790" i="25"/>
  <c r="BE790" i="25"/>
  <c r="BF789" i="25"/>
  <c r="AY788" i="25"/>
  <c r="AZ788" i="25"/>
  <c r="AX788" i="25"/>
  <c r="AW789" i="25"/>
  <c r="BA787" i="25"/>
  <c r="AU788" i="25"/>
  <c r="AT788" i="25"/>
  <c r="AS788" i="25"/>
  <c r="AR789" i="25"/>
  <c r="AV787" i="25"/>
  <c r="AO788" i="25"/>
  <c r="AP788" i="25"/>
  <c r="AN788" i="25"/>
  <c r="AM789" i="25"/>
  <c r="AQ787" i="25"/>
  <c r="AL787" i="25"/>
  <c r="AH789" i="25"/>
  <c r="AI788" i="25"/>
  <c r="AJ788" i="25"/>
  <c r="AK788" i="25"/>
  <c r="AG787" i="25"/>
  <c r="AF788" i="25"/>
  <c r="AC789" i="25"/>
  <c r="AD788" i="25"/>
  <c r="AE788" i="25"/>
  <c r="AB787" i="25"/>
  <c r="AA788" i="25"/>
  <c r="Y788" i="25"/>
  <c r="Z788" i="25"/>
  <c r="X789" i="25"/>
  <c r="U790" i="25"/>
  <c r="V790" i="25"/>
  <c r="T790" i="25"/>
  <c r="S791" i="25"/>
  <c r="W789" i="25"/>
  <c r="M838" i="36"/>
  <c r="L789" i="25" s="1"/>
  <c r="L838" i="36"/>
  <c r="K789" i="25" s="1"/>
  <c r="J839" i="36"/>
  <c r="I790" i="25" s="1"/>
  <c r="K838" i="36"/>
  <c r="J789" i="25" s="1"/>
  <c r="N837" i="36"/>
  <c r="M788" i="25" s="1"/>
  <c r="BF790" i="25" l="1"/>
  <c r="BB792" i="25"/>
  <c r="BC791" i="25"/>
  <c r="BE791" i="25"/>
  <c r="BD791" i="25"/>
  <c r="BA788" i="25"/>
  <c r="AW790" i="25"/>
  <c r="AX789" i="25"/>
  <c r="AY789" i="25"/>
  <c r="AZ789" i="25"/>
  <c r="AV788" i="25"/>
  <c r="AT789" i="25"/>
  <c r="AU789" i="25"/>
  <c r="AR790" i="25"/>
  <c r="AS789" i="25"/>
  <c r="AQ788" i="25"/>
  <c r="AM790" i="25"/>
  <c r="AN789" i="25"/>
  <c r="AO789" i="25"/>
  <c r="AP789" i="25"/>
  <c r="AL788" i="25"/>
  <c r="AK789" i="25"/>
  <c r="AH790" i="25"/>
  <c r="AI789" i="25"/>
  <c r="AJ789" i="25"/>
  <c r="AG788" i="25"/>
  <c r="AE789" i="25"/>
  <c r="AC790" i="25"/>
  <c r="AD789" i="25"/>
  <c r="AF789" i="25"/>
  <c r="AB788" i="25"/>
  <c r="Z789" i="25"/>
  <c r="AA789" i="25"/>
  <c r="X790" i="25"/>
  <c r="Y789" i="25"/>
  <c r="W790" i="25"/>
  <c r="S792" i="25"/>
  <c r="T791" i="25"/>
  <c r="U791" i="25"/>
  <c r="V791" i="25"/>
  <c r="L839" i="36"/>
  <c r="K790" i="25" s="1"/>
  <c r="M839" i="36"/>
  <c r="L790" i="25" s="1"/>
  <c r="J840" i="36"/>
  <c r="I791" i="25" s="1"/>
  <c r="K839" i="36"/>
  <c r="J790" i="25" s="1"/>
  <c r="N838" i="36"/>
  <c r="M789" i="25" s="1"/>
  <c r="BD792" i="25" l="1"/>
  <c r="BE792" i="25"/>
  <c r="BC792" i="25"/>
  <c r="BB793" i="25"/>
  <c r="BF791" i="25"/>
  <c r="AW791" i="25"/>
  <c r="AX790" i="25"/>
  <c r="AY790" i="25"/>
  <c r="AZ790" i="25"/>
  <c r="BA789" i="25"/>
  <c r="AV789" i="25"/>
  <c r="AR791" i="25"/>
  <c r="AS790" i="25"/>
  <c r="AT790" i="25"/>
  <c r="AU790" i="25"/>
  <c r="AQ789" i="25"/>
  <c r="AM791" i="25"/>
  <c r="AN790" i="25"/>
  <c r="AO790" i="25"/>
  <c r="AP790" i="25"/>
  <c r="AJ790" i="25"/>
  <c r="AK790" i="25"/>
  <c r="AI790" i="25"/>
  <c r="AH791" i="25"/>
  <c r="AL789" i="25"/>
  <c r="AG789" i="25"/>
  <c r="AC791" i="25"/>
  <c r="AD790" i="25"/>
  <c r="AF790" i="25"/>
  <c r="AE790" i="25"/>
  <c r="AB789" i="25"/>
  <c r="X791" i="25"/>
  <c r="Y790" i="25"/>
  <c r="Z790" i="25"/>
  <c r="AA790" i="25"/>
  <c r="W791" i="25"/>
  <c r="S793" i="25"/>
  <c r="T792" i="25"/>
  <c r="U792" i="25"/>
  <c r="V792" i="25"/>
  <c r="N839" i="36"/>
  <c r="M790" i="25" s="1"/>
  <c r="J841" i="36"/>
  <c r="I792" i="25" s="1"/>
  <c r="K840" i="36"/>
  <c r="J791" i="25" s="1"/>
  <c r="L840" i="36"/>
  <c r="K791" i="25" s="1"/>
  <c r="M840" i="36"/>
  <c r="L791" i="25" s="1"/>
  <c r="BF792" i="25" l="1"/>
  <c r="BE793" i="25"/>
  <c r="BB794" i="25"/>
  <c r="BC793" i="25"/>
  <c r="BD793" i="25"/>
  <c r="AZ791" i="25"/>
  <c r="AW792" i="25"/>
  <c r="AX791" i="25"/>
  <c r="AY791" i="25"/>
  <c r="BA790" i="25"/>
  <c r="AR792" i="25"/>
  <c r="AS791" i="25"/>
  <c r="AU791" i="25"/>
  <c r="AT791" i="25"/>
  <c r="AV790" i="25"/>
  <c r="AQ790" i="25"/>
  <c r="AP791" i="25"/>
  <c r="AM792" i="25"/>
  <c r="AN791" i="25"/>
  <c r="AO791" i="25"/>
  <c r="AL790" i="25"/>
  <c r="AH792" i="25"/>
  <c r="AI791" i="25"/>
  <c r="AJ791" i="25"/>
  <c r="AK791" i="25"/>
  <c r="AE791" i="25"/>
  <c r="AF791" i="25"/>
  <c r="AC792" i="25"/>
  <c r="AD791" i="25"/>
  <c r="AG790" i="25"/>
  <c r="AB790" i="25"/>
  <c r="X792" i="25"/>
  <c r="Y791" i="25"/>
  <c r="Z791" i="25"/>
  <c r="AA791" i="25"/>
  <c r="W792" i="25"/>
  <c r="V793" i="25"/>
  <c r="T793" i="25"/>
  <c r="U793" i="25"/>
  <c r="S794" i="25"/>
  <c r="N840" i="36"/>
  <c r="M791" i="25" s="1"/>
  <c r="J842" i="36"/>
  <c r="I793" i="25" s="1"/>
  <c r="K841" i="36"/>
  <c r="J792" i="25" s="1"/>
  <c r="M841" i="36"/>
  <c r="L792" i="25" s="1"/>
  <c r="L841" i="36"/>
  <c r="K792" i="25" s="1"/>
  <c r="BD794" i="25" l="1"/>
  <c r="BB795" i="25"/>
  <c r="BC794" i="25"/>
  <c r="BE794" i="25"/>
  <c r="BF793" i="25"/>
  <c r="AY792" i="25"/>
  <c r="AZ792" i="25"/>
  <c r="AW793" i="25"/>
  <c r="AX792" i="25"/>
  <c r="BA791" i="25"/>
  <c r="AV791" i="25"/>
  <c r="AU792" i="25"/>
  <c r="AT792" i="25"/>
  <c r="AS792" i="25"/>
  <c r="AR793" i="25"/>
  <c r="AO792" i="25"/>
  <c r="AP792" i="25"/>
  <c r="AM793" i="25"/>
  <c r="AN792" i="25"/>
  <c r="AQ791" i="25"/>
  <c r="AL791" i="25"/>
  <c r="AH793" i="25"/>
  <c r="AI792" i="25"/>
  <c r="AJ792" i="25"/>
  <c r="AK792" i="25"/>
  <c r="AG791" i="25"/>
  <c r="AF792" i="25"/>
  <c r="AC793" i="25"/>
  <c r="AD792" i="25"/>
  <c r="AE792" i="25"/>
  <c r="AB791" i="25"/>
  <c r="AA792" i="25"/>
  <c r="X793" i="25"/>
  <c r="Y792" i="25"/>
  <c r="Z792" i="25"/>
  <c r="W793" i="25"/>
  <c r="U794" i="25"/>
  <c r="V794" i="25"/>
  <c r="S795" i="25"/>
  <c r="T794" i="25"/>
  <c r="M842" i="36"/>
  <c r="L793" i="25" s="1"/>
  <c r="L842" i="36"/>
  <c r="K793" i="25" s="1"/>
  <c r="K842" i="36"/>
  <c r="J793" i="25" s="1"/>
  <c r="J843" i="36"/>
  <c r="I794" i="25" s="1"/>
  <c r="N841" i="36"/>
  <c r="M792" i="25" s="1"/>
  <c r="BF794" i="25" l="1"/>
  <c r="BB796" i="25"/>
  <c r="BC795" i="25"/>
  <c r="BE795" i="25"/>
  <c r="BD795" i="25"/>
  <c r="BA792" i="25"/>
  <c r="AW794" i="25"/>
  <c r="AX793" i="25"/>
  <c r="AY793" i="25"/>
  <c r="AZ793" i="25"/>
  <c r="AV792" i="25"/>
  <c r="AT793" i="25"/>
  <c r="AU793" i="25"/>
  <c r="AR794" i="25"/>
  <c r="AS793" i="25"/>
  <c r="AQ792" i="25"/>
  <c r="AM794" i="25"/>
  <c r="AN793" i="25"/>
  <c r="AO793" i="25"/>
  <c r="AP793" i="25"/>
  <c r="AL792" i="25"/>
  <c r="AK793" i="25"/>
  <c r="AI793" i="25"/>
  <c r="AJ793" i="25"/>
  <c r="AH794" i="25"/>
  <c r="AE793" i="25"/>
  <c r="AC794" i="25"/>
  <c r="AD793" i="25"/>
  <c r="AF793" i="25"/>
  <c r="AG792" i="25"/>
  <c r="Z793" i="25"/>
  <c r="AA793" i="25"/>
  <c r="Y793" i="25"/>
  <c r="X794" i="25"/>
  <c r="AB792" i="25"/>
  <c r="W794" i="25"/>
  <c r="S796" i="25"/>
  <c r="T795" i="25"/>
  <c r="U795" i="25"/>
  <c r="V795" i="25"/>
  <c r="N842" i="36"/>
  <c r="M793" i="25" s="1"/>
  <c r="L843" i="36"/>
  <c r="K794" i="25" s="1"/>
  <c r="M843" i="36"/>
  <c r="L794" i="25" s="1"/>
  <c r="J844" i="36"/>
  <c r="I795" i="25" s="1"/>
  <c r="K843" i="36"/>
  <c r="J794" i="25" s="1"/>
  <c r="AG793" i="25" l="1"/>
  <c r="BD796" i="25"/>
  <c r="BE796" i="25"/>
  <c r="BB797" i="25"/>
  <c r="BC796" i="25"/>
  <c r="BF795" i="25"/>
  <c r="AW795" i="25"/>
  <c r="AX794" i="25"/>
  <c r="AY794" i="25"/>
  <c r="AZ794" i="25"/>
  <c r="BA793" i="25"/>
  <c r="AV793" i="25"/>
  <c r="AR795" i="25"/>
  <c r="AS794" i="25"/>
  <c r="AT794" i="25"/>
  <c r="AU794" i="25"/>
  <c r="AM795" i="25"/>
  <c r="AN794" i="25"/>
  <c r="AO794" i="25"/>
  <c r="AP794" i="25"/>
  <c r="AQ793" i="25"/>
  <c r="AL793" i="25"/>
  <c r="AJ794" i="25"/>
  <c r="AK794" i="25"/>
  <c r="AH795" i="25"/>
  <c r="AI794" i="25"/>
  <c r="AC795" i="25"/>
  <c r="AD794" i="25"/>
  <c r="AF794" i="25"/>
  <c r="AE794" i="25"/>
  <c r="AB793" i="25"/>
  <c r="X795" i="25"/>
  <c r="Y794" i="25"/>
  <c r="Z794" i="25"/>
  <c r="AA794" i="25"/>
  <c r="W795" i="25"/>
  <c r="S797" i="25"/>
  <c r="T796" i="25"/>
  <c r="U796" i="25"/>
  <c r="V796" i="25"/>
  <c r="N843" i="36"/>
  <c r="M794" i="25" s="1"/>
  <c r="J845" i="36"/>
  <c r="I796" i="25" s="1"/>
  <c r="K844" i="36"/>
  <c r="J795" i="25" s="1"/>
  <c r="L844" i="36"/>
  <c r="K795" i="25" s="1"/>
  <c r="M844" i="36"/>
  <c r="L795" i="25" s="1"/>
  <c r="BF796" i="25" l="1"/>
  <c r="BE797" i="25"/>
  <c r="BB798" i="25"/>
  <c r="BC797" i="25"/>
  <c r="BD797" i="25"/>
  <c r="AZ795" i="25"/>
  <c r="AW796" i="25"/>
  <c r="AX795" i="25"/>
  <c r="AY795" i="25"/>
  <c r="BA794" i="25"/>
  <c r="AV794" i="25"/>
  <c r="AR796" i="25"/>
  <c r="AS795" i="25"/>
  <c r="AU795" i="25"/>
  <c r="AT795" i="25"/>
  <c r="AQ794" i="25"/>
  <c r="AP795" i="25"/>
  <c r="AM796" i="25"/>
  <c r="AN795" i="25"/>
  <c r="AO795" i="25"/>
  <c r="AL794" i="25"/>
  <c r="AH796" i="25"/>
  <c r="AI795" i="25"/>
  <c r="AJ795" i="25"/>
  <c r="AK795" i="25"/>
  <c r="AG794" i="25"/>
  <c r="AE795" i="25"/>
  <c r="AF795" i="25"/>
  <c r="AD795" i="25"/>
  <c r="AC796" i="25"/>
  <c r="AB794" i="25"/>
  <c r="X796" i="25"/>
  <c r="Y795" i="25"/>
  <c r="Z795" i="25"/>
  <c r="AA795" i="25"/>
  <c r="W796" i="25"/>
  <c r="V797" i="25"/>
  <c r="S798" i="25"/>
  <c r="T797" i="25"/>
  <c r="U797" i="25"/>
  <c r="N844" i="36"/>
  <c r="M795" i="25" s="1"/>
  <c r="J846" i="36"/>
  <c r="I797" i="25" s="1"/>
  <c r="K845" i="36"/>
  <c r="J796" i="25" s="1"/>
  <c r="M845" i="36"/>
  <c r="L796" i="25" s="1"/>
  <c r="L845" i="36"/>
  <c r="K796" i="25" s="1"/>
  <c r="BD798" i="25" l="1"/>
  <c r="BB799" i="25"/>
  <c r="BC798" i="25"/>
  <c r="BE798" i="25"/>
  <c r="BF797" i="25"/>
  <c r="AY796" i="25"/>
  <c r="AZ796" i="25"/>
  <c r="AX796" i="25"/>
  <c r="AW797" i="25"/>
  <c r="BA795" i="25"/>
  <c r="AU796" i="25"/>
  <c r="AT796" i="25"/>
  <c r="AR797" i="25"/>
  <c r="AS796" i="25"/>
  <c r="AV795" i="25"/>
  <c r="AO796" i="25"/>
  <c r="AP796" i="25"/>
  <c r="AN796" i="25"/>
  <c r="AM797" i="25"/>
  <c r="AQ795" i="25"/>
  <c r="AH797" i="25"/>
  <c r="AI796" i="25"/>
  <c r="AJ796" i="25"/>
  <c r="AK796" i="25"/>
  <c r="AL795" i="25"/>
  <c r="AG795" i="25"/>
  <c r="AF796" i="25"/>
  <c r="AC797" i="25"/>
  <c r="AD796" i="25"/>
  <c r="AE796" i="25"/>
  <c r="AB795" i="25"/>
  <c r="AA796" i="25"/>
  <c r="Y796" i="25"/>
  <c r="Z796" i="25"/>
  <c r="X797" i="25"/>
  <c r="U798" i="25"/>
  <c r="V798" i="25"/>
  <c r="T798" i="25"/>
  <c r="S799" i="25"/>
  <c r="W797" i="25"/>
  <c r="M846" i="36"/>
  <c r="L797" i="25" s="1"/>
  <c r="L846" i="36"/>
  <c r="K797" i="25" s="1"/>
  <c r="K846" i="36"/>
  <c r="J797" i="25" s="1"/>
  <c r="J847" i="36"/>
  <c r="I798" i="25" s="1"/>
  <c r="N845" i="36"/>
  <c r="M796" i="25" s="1"/>
  <c r="BF798" i="25" l="1"/>
  <c r="BE799" i="25"/>
  <c r="BC799" i="25"/>
  <c r="BB800" i="25"/>
  <c r="BD799" i="25"/>
  <c r="BA796" i="25"/>
  <c r="AW798" i="25"/>
  <c r="AX797" i="25"/>
  <c r="AY797" i="25"/>
  <c r="AZ797" i="25"/>
  <c r="AV796" i="25"/>
  <c r="AT797" i="25"/>
  <c r="AU797" i="25"/>
  <c r="AR798" i="25"/>
  <c r="AS797" i="25"/>
  <c r="AQ796" i="25"/>
  <c r="AM798" i="25"/>
  <c r="AN797" i="25"/>
  <c r="AO797" i="25"/>
  <c r="AP797" i="25"/>
  <c r="AL796" i="25"/>
  <c r="AK797" i="25"/>
  <c r="AH798" i="25"/>
  <c r="AI797" i="25"/>
  <c r="AJ797" i="25"/>
  <c r="AE797" i="25"/>
  <c r="AC798" i="25"/>
  <c r="AD797" i="25"/>
  <c r="AF797" i="25"/>
  <c r="AG796" i="25"/>
  <c r="AB796" i="25"/>
  <c r="Z797" i="25"/>
  <c r="AA797" i="25"/>
  <c r="X798" i="25"/>
  <c r="Y797" i="25"/>
  <c r="W798" i="25"/>
  <c r="V799" i="25"/>
  <c r="T799" i="25"/>
  <c r="U799" i="25"/>
  <c r="S800" i="25"/>
  <c r="N846" i="36"/>
  <c r="M797" i="25" s="1"/>
  <c r="L847" i="36"/>
  <c r="K798" i="25" s="1"/>
  <c r="M847" i="36"/>
  <c r="L798" i="25" s="1"/>
  <c r="J848" i="36"/>
  <c r="I799" i="25" s="1"/>
  <c r="K847" i="36"/>
  <c r="J798" i="25" s="1"/>
  <c r="AG797" i="25" l="1"/>
  <c r="BD800" i="25"/>
  <c r="BC800" i="25"/>
  <c r="BB801" i="25"/>
  <c r="BE800" i="25"/>
  <c r="BF799" i="25"/>
  <c r="AW799" i="25"/>
  <c r="AX798" i="25"/>
  <c r="AY798" i="25"/>
  <c r="AZ798" i="25"/>
  <c r="BA797" i="25"/>
  <c r="AV797" i="25"/>
  <c r="AR799" i="25"/>
  <c r="AS798" i="25"/>
  <c r="AT798" i="25"/>
  <c r="AU798" i="25"/>
  <c r="AM799" i="25"/>
  <c r="AN798" i="25"/>
  <c r="AO798" i="25"/>
  <c r="AP798" i="25"/>
  <c r="AQ797" i="25"/>
  <c r="AJ798" i="25"/>
  <c r="AK798" i="25"/>
  <c r="AI798" i="25"/>
  <c r="AH799" i="25"/>
  <c r="AL797" i="25"/>
  <c r="AC799" i="25"/>
  <c r="AD798" i="25"/>
  <c r="AF798" i="25"/>
  <c r="AE798" i="25"/>
  <c r="AB797" i="25"/>
  <c r="X799" i="25"/>
  <c r="Y798" i="25"/>
  <c r="Z798" i="25"/>
  <c r="AA798" i="25"/>
  <c r="W799" i="25"/>
  <c r="U800" i="25"/>
  <c r="T800" i="25"/>
  <c r="V800" i="25"/>
  <c r="S801" i="25"/>
  <c r="N847" i="36"/>
  <c r="M798" i="25" s="1"/>
  <c r="J849" i="36"/>
  <c r="I800" i="25" s="1"/>
  <c r="K848" i="36"/>
  <c r="J799" i="25" s="1"/>
  <c r="L848" i="36"/>
  <c r="K799" i="25" s="1"/>
  <c r="M848" i="36"/>
  <c r="L799" i="25" s="1"/>
  <c r="W800" i="25" l="1"/>
  <c r="BF800" i="25"/>
  <c r="BB802" i="25"/>
  <c r="BC801" i="25"/>
  <c r="BD801" i="25"/>
  <c r="BE801" i="25"/>
  <c r="BA798" i="25"/>
  <c r="AZ799" i="25"/>
  <c r="AW800" i="25"/>
  <c r="AX799" i="25"/>
  <c r="AY799" i="25"/>
  <c r="AV798" i="25"/>
  <c r="AU799" i="25"/>
  <c r="AR800" i="25"/>
  <c r="AS799" i="25"/>
  <c r="AT799" i="25"/>
  <c r="AQ798" i="25"/>
  <c r="AP799" i="25"/>
  <c r="AM800" i="25"/>
  <c r="AN799" i="25"/>
  <c r="AO799" i="25"/>
  <c r="AL798" i="25"/>
  <c r="AH800" i="25"/>
  <c r="AI799" i="25"/>
  <c r="AJ799" i="25"/>
  <c r="AK799" i="25"/>
  <c r="AF799" i="25"/>
  <c r="AC800" i="25"/>
  <c r="AE799" i="25"/>
  <c r="AD799" i="25"/>
  <c r="AG798" i="25"/>
  <c r="AB798" i="25"/>
  <c r="X800" i="25"/>
  <c r="Y799" i="25"/>
  <c r="Z799" i="25"/>
  <c r="AA799" i="25"/>
  <c r="S802" i="25"/>
  <c r="T801" i="25"/>
  <c r="U801" i="25"/>
  <c r="V801" i="25"/>
  <c r="N848" i="36"/>
  <c r="M799" i="25" s="1"/>
  <c r="J850" i="36"/>
  <c r="I801" i="25" s="1"/>
  <c r="K849" i="36"/>
  <c r="J800" i="25" s="1"/>
  <c r="M849" i="36"/>
  <c r="L800" i="25" s="1"/>
  <c r="L849" i="36"/>
  <c r="K800" i="25" s="1"/>
  <c r="BF801" i="25" l="1"/>
  <c r="BD802" i="25"/>
  <c r="BB803" i="25"/>
  <c r="BC802" i="25"/>
  <c r="BE802" i="25"/>
  <c r="AZ800" i="25"/>
  <c r="AW801" i="25"/>
  <c r="AX800" i="25"/>
  <c r="AY800" i="25"/>
  <c r="BA799" i="25"/>
  <c r="AV799" i="25"/>
  <c r="AT800" i="25"/>
  <c r="AR801" i="25"/>
  <c r="AS800" i="25"/>
  <c r="AU800" i="25"/>
  <c r="AO800" i="25"/>
  <c r="AM801" i="25"/>
  <c r="AN800" i="25"/>
  <c r="AP800" i="25"/>
  <c r="AQ799" i="25"/>
  <c r="AL799" i="25"/>
  <c r="AJ800" i="25"/>
  <c r="AK800" i="25"/>
  <c r="AI800" i="25"/>
  <c r="AH801" i="25"/>
  <c r="AG799" i="25"/>
  <c r="AE800" i="25"/>
  <c r="AC801" i="25"/>
  <c r="AF800" i="25"/>
  <c r="AD800" i="25"/>
  <c r="AB799" i="25"/>
  <c r="Y800" i="25"/>
  <c r="Z800" i="25"/>
  <c r="AA800" i="25"/>
  <c r="X801" i="25"/>
  <c r="W801" i="25"/>
  <c r="U802" i="25"/>
  <c r="V802" i="25"/>
  <c r="T802" i="25"/>
  <c r="S803" i="25"/>
  <c r="M850" i="36"/>
  <c r="L801" i="25" s="1"/>
  <c r="L850" i="36"/>
  <c r="K801" i="25" s="1"/>
  <c r="J851" i="36"/>
  <c r="I802" i="25" s="1"/>
  <c r="K850" i="36"/>
  <c r="J801" i="25" s="1"/>
  <c r="N849" i="36"/>
  <c r="M800" i="25" s="1"/>
  <c r="BF802" i="25" l="1"/>
  <c r="BE803" i="25"/>
  <c r="BD803" i="25"/>
  <c r="BB804" i="25"/>
  <c r="BC803" i="25"/>
  <c r="AY801" i="25"/>
  <c r="AW802" i="25"/>
  <c r="AX801" i="25"/>
  <c r="AZ801" i="25"/>
  <c r="BA800" i="25"/>
  <c r="AV800" i="25"/>
  <c r="AR802" i="25"/>
  <c r="AS801" i="25"/>
  <c r="AT801" i="25"/>
  <c r="AU801" i="25"/>
  <c r="AQ800" i="25"/>
  <c r="AM802" i="25"/>
  <c r="AN801" i="25"/>
  <c r="AO801" i="25"/>
  <c r="AP801" i="25"/>
  <c r="AL800" i="25"/>
  <c r="AK801" i="25"/>
  <c r="AJ801" i="25"/>
  <c r="AH802" i="25"/>
  <c r="AI801" i="25"/>
  <c r="AG800" i="25"/>
  <c r="AC802" i="25"/>
  <c r="AD801" i="25"/>
  <c r="AF801" i="25"/>
  <c r="AE801" i="25"/>
  <c r="AB800" i="25"/>
  <c r="AA801" i="25"/>
  <c r="Y801" i="25"/>
  <c r="Z801" i="25"/>
  <c r="X802" i="25"/>
  <c r="W802" i="25"/>
  <c r="V803" i="25"/>
  <c r="U803" i="25"/>
  <c r="S804" i="25"/>
  <c r="T803" i="25"/>
  <c r="N850" i="36"/>
  <c r="M801" i="25" s="1"/>
  <c r="L851" i="36"/>
  <c r="K802" i="25" s="1"/>
  <c r="M851" i="36"/>
  <c r="L802" i="25" s="1"/>
  <c r="J852" i="36"/>
  <c r="I803" i="25" s="1"/>
  <c r="K851" i="36"/>
  <c r="J802" i="25" s="1"/>
  <c r="BD804" i="25" l="1"/>
  <c r="BE804" i="25"/>
  <c r="BC804" i="25"/>
  <c r="BF803" i="25"/>
  <c r="BA801" i="25"/>
  <c r="AW803" i="25"/>
  <c r="AX802" i="25"/>
  <c r="AY802" i="25"/>
  <c r="AZ802" i="25"/>
  <c r="AV801" i="25"/>
  <c r="AS802" i="25"/>
  <c r="AT802" i="25"/>
  <c r="AR803" i="25"/>
  <c r="AU802" i="25"/>
  <c r="AQ801" i="25"/>
  <c r="AM803" i="25"/>
  <c r="AN802" i="25"/>
  <c r="AO802" i="25"/>
  <c r="AP802" i="25"/>
  <c r="AL801" i="25"/>
  <c r="AJ802" i="25"/>
  <c r="AK802" i="25"/>
  <c r="AI802" i="25"/>
  <c r="AH803" i="25"/>
  <c r="AG801" i="25"/>
  <c r="AD802" i="25"/>
  <c r="AF802" i="25"/>
  <c r="AC803" i="25"/>
  <c r="AE802" i="25"/>
  <c r="AB801" i="25"/>
  <c r="Z802" i="25"/>
  <c r="Y802" i="25"/>
  <c r="AA802" i="25"/>
  <c r="X803" i="25"/>
  <c r="W803" i="25"/>
  <c r="U804" i="25"/>
  <c r="V804" i="25"/>
  <c r="T804" i="25"/>
  <c r="N851" i="36"/>
  <c r="M802" i="25" s="1"/>
  <c r="J853" i="36"/>
  <c r="I804" i="25" s="1"/>
  <c r="K852" i="36"/>
  <c r="J803" i="25" s="1"/>
  <c r="L852" i="36"/>
  <c r="K803" i="25" s="1"/>
  <c r="M852" i="36"/>
  <c r="L803" i="25" s="1"/>
  <c r="BF804" i="25" l="1"/>
  <c r="BA802" i="25"/>
  <c r="AW804" i="25"/>
  <c r="AX803" i="25"/>
  <c r="AY803" i="25"/>
  <c r="AZ803" i="25"/>
  <c r="AV802" i="25"/>
  <c r="AU803" i="25"/>
  <c r="AS803" i="25"/>
  <c r="AT803" i="25"/>
  <c r="AR804" i="25"/>
  <c r="AQ802" i="25"/>
  <c r="AP803" i="25"/>
  <c r="AM804" i="25"/>
  <c r="AN803" i="25"/>
  <c r="AO803" i="25"/>
  <c r="AH804" i="25"/>
  <c r="AI803" i="25"/>
  <c r="AK803" i="25"/>
  <c r="AJ803" i="25"/>
  <c r="AL802" i="25"/>
  <c r="AF803" i="25"/>
  <c r="AD803" i="25"/>
  <c r="AC804" i="25"/>
  <c r="AE803" i="25"/>
  <c r="AG802" i="25"/>
  <c r="AB802" i="25"/>
  <c r="X804" i="25"/>
  <c r="Y803" i="25"/>
  <c r="Z803" i="25"/>
  <c r="AA803" i="25"/>
  <c r="W804" i="25"/>
  <c r="J854" i="36"/>
  <c r="K853" i="36"/>
  <c r="J804" i="25" s="1"/>
  <c r="M853" i="36"/>
  <c r="L804" i="25" s="1"/>
  <c r="L853" i="36"/>
  <c r="K804" i="25" s="1"/>
  <c r="N852" i="36"/>
  <c r="M803" i="25" s="1"/>
  <c r="BA803" i="25" l="1"/>
  <c r="AZ804" i="25"/>
  <c r="AX804" i="25"/>
  <c r="AY804" i="25"/>
  <c r="AV803" i="25"/>
  <c r="AT804" i="25"/>
  <c r="AS804" i="25"/>
  <c r="AU804" i="25"/>
  <c r="AO804" i="25"/>
  <c r="AN804" i="25"/>
  <c r="AP804" i="25"/>
  <c r="AQ803" i="25"/>
  <c r="AK804" i="25"/>
  <c r="AI804" i="25"/>
  <c r="AJ804" i="25"/>
  <c r="AL803" i="25"/>
  <c r="AE804" i="25"/>
  <c r="AD804" i="25"/>
  <c r="AF804" i="25"/>
  <c r="AG803" i="25"/>
  <c r="AB803" i="25"/>
  <c r="Z804" i="25"/>
  <c r="AA804" i="25"/>
  <c r="Y804" i="25"/>
  <c r="M854" i="36"/>
  <c r="L854" i="36"/>
  <c r="J855" i="36"/>
  <c r="K854" i="36"/>
  <c r="N853" i="36"/>
  <c r="M804" i="25" s="1"/>
  <c r="BA804" i="25" l="1"/>
  <c r="AV804" i="25"/>
  <c r="AQ804" i="25"/>
  <c r="AL804" i="25"/>
  <c r="AG804" i="25"/>
  <c r="AB804" i="25"/>
  <c r="N854" i="36"/>
  <c r="L855" i="36"/>
  <c r="M855" i="36"/>
  <c r="J856" i="36"/>
  <c r="K855" i="36"/>
  <c r="N855" i="36" l="1"/>
  <c r="J857" i="36"/>
  <c r="K856" i="36"/>
  <c r="L856" i="36"/>
  <c r="M856" i="36"/>
  <c r="J858" i="36" l="1"/>
  <c r="K857" i="36"/>
  <c r="M857" i="36"/>
  <c r="L857" i="36"/>
  <c r="N856" i="36"/>
  <c r="M858" i="36" l="1"/>
  <c r="L858" i="36"/>
  <c r="K858" i="36"/>
  <c r="J859" i="36"/>
  <c r="N857" i="36"/>
  <c r="N858" i="36" l="1"/>
  <c r="L859" i="36"/>
  <c r="M859" i="36"/>
  <c r="J860" i="36"/>
  <c r="K859" i="36"/>
  <c r="N859" i="36" l="1"/>
  <c r="J861" i="36"/>
  <c r="K860" i="36"/>
  <c r="L860" i="36"/>
  <c r="M860" i="36"/>
  <c r="N860" i="36" l="1"/>
  <c r="J862" i="36"/>
  <c r="K861" i="36"/>
  <c r="M861" i="36"/>
  <c r="L861" i="36"/>
  <c r="M862" i="36" l="1"/>
  <c r="L862" i="36"/>
  <c r="K862" i="36"/>
  <c r="J863" i="36"/>
  <c r="N861" i="36"/>
  <c r="N862" i="36" l="1"/>
  <c r="L863" i="36"/>
  <c r="M863" i="36"/>
  <c r="J864" i="36"/>
  <c r="K863" i="36"/>
  <c r="N863" i="36" l="1"/>
  <c r="J865" i="36"/>
  <c r="K864" i="36"/>
  <c r="L864" i="36"/>
  <c r="M864" i="36"/>
  <c r="J866" i="36" l="1"/>
  <c r="K865" i="36"/>
  <c r="M865" i="36"/>
  <c r="L865" i="36"/>
  <c r="N864" i="36"/>
  <c r="N865" i="36" l="1"/>
  <c r="M866" i="36"/>
  <c r="L866" i="36"/>
  <c r="J867" i="36"/>
  <c r="K866" i="36"/>
  <c r="L867" i="36" l="1"/>
  <c r="M867" i="36"/>
  <c r="J868" i="36"/>
  <c r="K867" i="36"/>
  <c r="N866" i="36"/>
  <c r="N867" i="36" l="1"/>
  <c r="J869" i="36"/>
  <c r="K868" i="36"/>
  <c r="L868" i="36"/>
  <c r="M868" i="36"/>
  <c r="J870" i="36" l="1"/>
  <c r="K869" i="36"/>
  <c r="M869" i="36"/>
  <c r="L869" i="36"/>
  <c r="N868" i="36"/>
  <c r="M870" i="36" l="1"/>
  <c r="L870" i="36"/>
  <c r="J871" i="36"/>
  <c r="K870" i="36"/>
  <c r="N869" i="36"/>
  <c r="N870" i="36" l="1"/>
  <c r="L871" i="36"/>
  <c r="M871" i="36"/>
  <c r="J872" i="36"/>
  <c r="K871" i="36"/>
  <c r="N871" i="36" l="1"/>
  <c r="J873" i="36"/>
  <c r="K872" i="36"/>
  <c r="L872" i="36"/>
  <c r="M872" i="36"/>
  <c r="J874" i="36" l="1"/>
  <c r="K873" i="36"/>
  <c r="M873" i="36"/>
  <c r="L873" i="36"/>
  <c r="N872" i="36"/>
  <c r="N873" i="36" l="1"/>
  <c r="M874" i="36"/>
  <c r="L874" i="36"/>
  <c r="K874" i="36"/>
  <c r="J875" i="36"/>
  <c r="N874" i="36" l="1"/>
  <c r="L875" i="36"/>
  <c r="M875" i="36"/>
  <c r="J876" i="36"/>
  <c r="K875" i="36"/>
  <c r="N875" i="36" l="1"/>
  <c r="J877" i="36"/>
  <c r="K876" i="36"/>
  <c r="L876" i="36"/>
  <c r="M876" i="36"/>
  <c r="N876" i="36" l="1"/>
  <c r="J878" i="36"/>
  <c r="K877" i="36"/>
  <c r="M877" i="36"/>
  <c r="L877" i="36"/>
  <c r="M878" i="36" l="1"/>
  <c r="L878" i="36"/>
  <c r="K878" i="36"/>
  <c r="J879" i="36"/>
  <c r="N877" i="36"/>
  <c r="N878" i="36" l="1"/>
  <c r="L879" i="36"/>
  <c r="M879" i="36"/>
  <c r="J880" i="36"/>
  <c r="K879" i="36"/>
  <c r="N879" i="36" l="1"/>
  <c r="J881" i="36"/>
  <c r="K880" i="36"/>
  <c r="L880" i="36"/>
  <c r="M880" i="36"/>
  <c r="N880" i="36" l="1"/>
  <c r="J882" i="36"/>
  <c r="K881" i="36"/>
  <c r="M881" i="36"/>
  <c r="L881" i="36"/>
  <c r="M882" i="36" l="1"/>
  <c r="L882" i="36"/>
  <c r="J883" i="36"/>
  <c r="K882" i="36"/>
  <c r="N881" i="36"/>
  <c r="L883" i="36" l="1"/>
  <c r="M883" i="36"/>
  <c r="J884" i="36"/>
  <c r="K883" i="36"/>
  <c r="N882" i="36"/>
  <c r="N883" i="36" l="1"/>
  <c r="J885" i="36"/>
  <c r="K884" i="36"/>
  <c r="L884" i="36"/>
  <c r="M884" i="36"/>
  <c r="N884" i="36" l="1"/>
  <c r="J886" i="36"/>
  <c r="K885" i="36"/>
  <c r="M885" i="36"/>
  <c r="L885" i="36"/>
  <c r="M886" i="36" l="1"/>
  <c r="L886" i="36"/>
  <c r="J887" i="36"/>
  <c r="K886" i="36"/>
  <c r="N885" i="36"/>
  <c r="N886" i="36" l="1"/>
  <c r="L887" i="36"/>
  <c r="M887" i="36"/>
  <c r="J888" i="36"/>
  <c r="K887" i="36"/>
  <c r="N887" i="36" l="1"/>
  <c r="J889" i="36"/>
  <c r="K888" i="36"/>
  <c r="L888" i="36"/>
  <c r="M888" i="36"/>
  <c r="N888" i="36" l="1"/>
  <c r="J890" i="36"/>
  <c r="K889" i="36"/>
  <c r="M889" i="36"/>
  <c r="L889" i="36"/>
  <c r="M890" i="36" l="1"/>
  <c r="L890" i="36"/>
  <c r="K890" i="36"/>
  <c r="J891" i="36"/>
  <c r="N889" i="36"/>
  <c r="N890" i="36" l="1"/>
  <c r="L891" i="36"/>
  <c r="M891" i="36"/>
  <c r="J892" i="36"/>
  <c r="K891" i="36"/>
  <c r="N891" i="36" l="1"/>
  <c r="J893" i="36"/>
  <c r="K892" i="36"/>
  <c r="L892" i="36"/>
  <c r="M892" i="36"/>
  <c r="N892" i="36" l="1"/>
  <c r="J894" i="36"/>
  <c r="K893" i="36"/>
  <c r="M893" i="36"/>
  <c r="L893" i="36"/>
  <c r="M894" i="36" l="1"/>
  <c r="L894" i="36"/>
  <c r="K894" i="36"/>
  <c r="J895" i="36"/>
  <c r="N893" i="36"/>
  <c r="N894" i="36" l="1"/>
  <c r="L895" i="36"/>
  <c r="M895" i="36"/>
  <c r="J896" i="36"/>
  <c r="K895" i="36"/>
  <c r="N895" i="36" l="1"/>
  <c r="J897" i="36"/>
  <c r="K896" i="36"/>
  <c r="L896" i="36"/>
  <c r="M896" i="36"/>
  <c r="N896" i="36" l="1"/>
  <c r="J898" i="36"/>
  <c r="K897" i="36"/>
  <c r="M897" i="36"/>
  <c r="L897" i="36"/>
  <c r="M898" i="36" l="1"/>
  <c r="L898" i="36"/>
  <c r="J899" i="36"/>
  <c r="K898" i="36"/>
  <c r="N897" i="36"/>
  <c r="N898" i="36" l="1"/>
  <c r="L899" i="36"/>
  <c r="M899" i="36"/>
  <c r="J900" i="36"/>
  <c r="K899" i="36"/>
  <c r="N899" i="36" l="1"/>
  <c r="J901" i="36"/>
  <c r="K900" i="36"/>
  <c r="L900" i="36"/>
  <c r="M900" i="36"/>
  <c r="J902" i="36" l="1"/>
  <c r="K901" i="36"/>
  <c r="M901" i="36"/>
  <c r="L901" i="36"/>
  <c r="N900" i="36"/>
  <c r="M902" i="36" l="1"/>
  <c r="L902" i="36"/>
  <c r="J903" i="36"/>
  <c r="K902" i="36"/>
  <c r="N901" i="36"/>
  <c r="N902" i="36" l="1"/>
  <c r="L903" i="36"/>
  <c r="M903" i="36"/>
  <c r="J904" i="36"/>
  <c r="K903" i="36"/>
  <c r="N903" i="36" l="1"/>
  <c r="J905" i="36"/>
  <c r="K904" i="36"/>
  <c r="L904" i="36"/>
  <c r="M904" i="36"/>
  <c r="J906" i="36" l="1"/>
  <c r="K905" i="36"/>
  <c r="M905" i="36"/>
  <c r="L905" i="36"/>
  <c r="N904" i="36"/>
  <c r="N905" i="36" l="1"/>
  <c r="M906" i="36"/>
  <c r="L906" i="36"/>
  <c r="K906" i="36"/>
  <c r="J907" i="36"/>
  <c r="N906" i="36" l="1"/>
  <c r="L907" i="36"/>
  <c r="M907" i="36"/>
  <c r="J908" i="36"/>
  <c r="K907" i="36"/>
  <c r="N907" i="36" l="1"/>
  <c r="J909" i="36"/>
  <c r="K908" i="36"/>
  <c r="L908" i="36"/>
  <c r="M908" i="36"/>
  <c r="N908" i="36" l="1"/>
  <c r="J910" i="36"/>
  <c r="K909" i="36"/>
  <c r="M909" i="36"/>
  <c r="L909" i="36"/>
  <c r="N909" i="36" l="1"/>
  <c r="M910" i="36"/>
  <c r="L910" i="36"/>
  <c r="K910" i="36"/>
  <c r="J911" i="36"/>
  <c r="N910" i="36" l="1"/>
  <c r="L911" i="36"/>
  <c r="M911" i="36"/>
  <c r="J912" i="36"/>
  <c r="K911" i="36"/>
  <c r="N911" i="36" l="1"/>
  <c r="J913" i="36"/>
  <c r="K912" i="36"/>
  <c r="L912" i="36"/>
  <c r="M912" i="36"/>
  <c r="N912" i="36" l="1"/>
  <c r="J914" i="36"/>
  <c r="K913" i="36"/>
  <c r="M913" i="36"/>
  <c r="L913" i="36"/>
  <c r="M914" i="36" l="1"/>
  <c r="L914" i="36"/>
  <c r="J915" i="36"/>
  <c r="K914" i="36"/>
  <c r="N913" i="36"/>
  <c r="N914" i="36" l="1"/>
  <c r="L915" i="36"/>
  <c r="M915" i="36"/>
  <c r="J916" i="36"/>
  <c r="K915" i="36"/>
  <c r="N915" i="36" l="1"/>
  <c r="J917" i="36"/>
  <c r="K916" i="36"/>
  <c r="L916" i="36"/>
  <c r="M916" i="36"/>
  <c r="J918" i="36" l="1"/>
  <c r="K917" i="36"/>
  <c r="M917" i="36"/>
  <c r="L917" i="36"/>
  <c r="N916" i="36"/>
  <c r="N917" i="36" l="1"/>
  <c r="M918" i="36"/>
  <c r="L918" i="36"/>
  <c r="J919" i="36"/>
  <c r="K918" i="36"/>
  <c r="L919" i="36" l="1"/>
  <c r="M919" i="36"/>
  <c r="J920" i="36"/>
  <c r="K919" i="36"/>
  <c r="N918" i="36"/>
  <c r="N919" i="36" l="1"/>
  <c r="J921" i="36"/>
  <c r="K920" i="36"/>
  <c r="L920" i="36"/>
  <c r="M920" i="36"/>
  <c r="N920" i="36" l="1"/>
  <c r="J922" i="36"/>
  <c r="K921" i="36"/>
  <c r="M921" i="36"/>
  <c r="L921" i="36"/>
  <c r="M922" i="36" l="1"/>
  <c r="L922" i="36"/>
  <c r="K922" i="36"/>
  <c r="J923" i="36"/>
  <c r="N921" i="36"/>
  <c r="N922" i="36" l="1"/>
  <c r="L923" i="36"/>
  <c r="M923" i="36"/>
  <c r="J924" i="36"/>
  <c r="K923" i="36"/>
  <c r="N923" i="36" l="1"/>
  <c r="J925" i="36"/>
  <c r="K924" i="36"/>
  <c r="L924" i="36"/>
  <c r="M924" i="36"/>
  <c r="N924" i="36" l="1"/>
  <c r="J926" i="36"/>
  <c r="K925" i="36"/>
  <c r="M925" i="36"/>
  <c r="L925" i="36"/>
  <c r="M926" i="36" l="1"/>
  <c r="L926" i="36"/>
  <c r="K926" i="36"/>
  <c r="J927" i="36"/>
  <c r="N925" i="36"/>
  <c r="L927" i="36" l="1"/>
  <c r="M927" i="36"/>
  <c r="J928" i="36"/>
  <c r="K927" i="36"/>
  <c r="N926" i="36"/>
  <c r="N927" i="36" l="1"/>
  <c r="J929" i="36"/>
  <c r="K928" i="36"/>
  <c r="L928" i="36"/>
  <c r="M928" i="36"/>
  <c r="J930" i="36" l="1"/>
  <c r="K929" i="36"/>
  <c r="M929" i="36"/>
  <c r="L929" i="36"/>
  <c r="N928" i="36"/>
  <c r="M930" i="36" l="1"/>
  <c r="L930" i="36"/>
  <c r="J931" i="36"/>
  <c r="K930" i="36"/>
  <c r="N929" i="36"/>
  <c r="L931" i="36" l="1"/>
  <c r="M931" i="36"/>
  <c r="J932" i="36"/>
  <c r="K931" i="36"/>
  <c r="N930" i="36"/>
  <c r="N931" i="36" l="1"/>
  <c r="J933" i="36"/>
  <c r="K932" i="36"/>
  <c r="L932" i="36"/>
  <c r="M932" i="36"/>
  <c r="J934" i="36" l="1"/>
  <c r="K933" i="36"/>
  <c r="M933" i="36"/>
  <c r="L933" i="36"/>
  <c r="N932" i="36"/>
  <c r="M934" i="36" l="1"/>
  <c r="L934" i="36"/>
  <c r="J935" i="36"/>
  <c r="K934" i="36"/>
  <c r="N933" i="36"/>
  <c r="L935" i="36" l="1"/>
  <c r="M935" i="36"/>
  <c r="J936" i="36"/>
  <c r="K935" i="36"/>
  <c r="N934" i="36"/>
  <c r="N935" i="36" l="1"/>
  <c r="J937" i="36"/>
  <c r="K936" i="36"/>
  <c r="L936" i="36"/>
  <c r="M936" i="36"/>
  <c r="N936" i="36" l="1"/>
  <c r="J938" i="36"/>
  <c r="K937" i="36"/>
  <c r="M937" i="36"/>
  <c r="L937" i="36"/>
  <c r="N937" i="36" l="1"/>
  <c r="M938" i="36"/>
  <c r="L938" i="36"/>
  <c r="K938" i="36"/>
  <c r="J939" i="36"/>
  <c r="L939" i="36" l="1"/>
  <c r="M939" i="36"/>
  <c r="J940" i="36"/>
  <c r="K939" i="36"/>
  <c r="N938" i="36"/>
  <c r="N939" i="36" l="1"/>
  <c r="J941" i="36"/>
  <c r="K940" i="36"/>
  <c r="L940" i="36"/>
  <c r="M940" i="36"/>
  <c r="N940" i="36" l="1"/>
  <c r="J942" i="36"/>
  <c r="K941" i="36"/>
  <c r="M941" i="36"/>
  <c r="L941" i="36"/>
  <c r="M942" i="36" l="1"/>
  <c r="L942" i="36"/>
  <c r="K942" i="36"/>
  <c r="J943" i="36"/>
  <c r="N941" i="36"/>
  <c r="N942" i="36" l="1"/>
  <c r="L943" i="36"/>
  <c r="M943" i="36"/>
  <c r="J944" i="36"/>
  <c r="K943" i="36"/>
  <c r="N943" i="36" l="1"/>
  <c r="J945" i="36"/>
  <c r="K944" i="36"/>
  <c r="L944" i="36"/>
  <c r="M944" i="36"/>
  <c r="N944" i="36" l="1"/>
  <c r="J946" i="36"/>
  <c r="K945" i="36"/>
  <c r="M945" i="36"/>
  <c r="L945" i="36"/>
  <c r="M946" i="36" l="1"/>
  <c r="L946" i="36"/>
  <c r="J947" i="36"/>
  <c r="K946" i="36"/>
  <c r="N945" i="36"/>
  <c r="N946" i="36" l="1"/>
  <c r="L947" i="36"/>
  <c r="M947" i="36"/>
  <c r="J948" i="36"/>
  <c r="K947" i="36"/>
  <c r="N947" i="36" l="1"/>
  <c r="J949" i="36"/>
  <c r="K948" i="36"/>
  <c r="L948" i="36"/>
  <c r="M948" i="36"/>
  <c r="N948" i="36" l="1"/>
  <c r="J950" i="36"/>
  <c r="K949" i="36"/>
  <c r="M949" i="36"/>
  <c r="L949" i="36"/>
  <c r="N949" i="36" l="1"/>
  <c r="M950" i="36"/>
  <c r="L950" i="36"/>
  <c r="J951" i="36"/>
  <c r="K950" i="36"/>
  <c r="L951" i="36" l="1"/>
  <c r="M951" i="36"/>
  <c r="J952" i="36"/>
  <c r="K951" i="36"/>
  <c r="N950" i="36"/>
  <c r="N951" i="36" l="1"/>
  <c r="J953" i="36"/>
  <c r="K952" i="36"/>
  <c r="L952" i="36"/>
  <c r="M952" i="36"/>
  <c r="J954" i="36" l="1"/>
  <c r="K953" i="36"/>
  <c r="M953" i="36"/>
  <c r="L953" i="36"/>
  <c r="N952" i="36"/>
  <c r="N953" i="36" l="1"/>
  <c r="M954" i="36"/>
  <c r="L954" i="36"/>
  <c r="K954" i="36"/>
  <c r="J955" i="36"/>
  <c r="N954" i="36" l="1"/>
  <c r="L955" i="36"/>
  <c r="M955" i="36"/>
  <c r="J956" i="36"/>
  <c r="K955" i="36"/>
  <c r="N955" i="36" l="1"/>
  <c r="J957" i="36"/>
  <c r="K956" i="36"/>
  <c r="L956" i="36"/>
  <c r="M956" i="36"/>
  <c r="N956" i="36" l="1"/>
  <c r="J958" i="36"/>
  <c r="K957" i="36"/>
  <c r="M957" i="36"/>
  <c r="L957" i="36"/>
  <c r="M958" i="36" l="1"/>
  <c r="L958" i="36"/>
  <c r="K958" i="36"/>
  <c r="J959" i="36"/>
  <c r="N957" i="36"/>
  <c r="N958" i="36" l="1"/>
  <c r="L959" i="36"/>
  <c r="M959" i="36"/>
  <c r="J960" i="36"/>
  <c r="K959" i="36"/>
  <c r="N959" i="36" l="1"/>
  <c r="J961" i="36"/>
  <c r="K960" i="36"/>
  <c r="L960" i="36"/>
  <c r="M960" i="36"/>
  <c r="N960" i="36" l="1"/>
  <c r="J962" i="36"/>
  <c r="K961" i="36"/>
  <c r="M961" i="36"/>
  <c r="L961" i="36"/>
  <c r="M962" i="36" l="1"/>
  <c r="L962" i="36"/>
  <c r="J963" i="36"/>
  <c r="K962" i="36"/>
  <c r="N961" i="36"/>
  <c r="N962" i="36" l="1"/>
  <c r="L963" i="36"/>
  <c r="M963" i="36"/>
  <c r="J964" i="36"/>
  <c r="K963" i="36"/>
  <c r="N963" i="36" l="1"/>
  <c r="J965" i="36"/>
  <c r="K964" i="36"/>
  <c r="L964" i="36"/>
  <c r="M964" i="36"/>
  <c r="N964" i="36" l="1"/>
  <c r="J966" i="36"/>
  <c r="K965" i="36"/>
  <c r="M965" i="36"/>
  <c r="L965" i="36"/>
  <c r="M966" i="36" l="1"/>
  <c r="L966" i="36"/>
  <c r="J967" i="36"/>
  <c r="K966" i="36"/>
  <c r="N965" i="36"/>
  <c r="L967" i="36" l="1"/>
  <c r="M967" i="36"/>
  <c r="J968" i="36"/>
  <c r="K967" i="36"/>
  <c r="N966" i="36"/>
  <c r="N967" i="36" l="1"/>
  <c r="J969" i="36"/>
  <c r="K968" i="36"/>
  <c r="L968" i="36"/>
  <c r="M968" i="36"/>
  <c r="J970" i="36" l="1"/>
  <c r="K969" i="36"/>
  <c r="M969" i="36"/>
  <c r="L969" i="36"/>
  <c r="N968" i="36"/>
  <c r="M970" i="36" l="1"/>
  <c r="L970" i="36"/>
  <c r="K970" i="36"/>
  <c r="J971" i="36"/>
  <c r="N969" i="36"/>
  <c r="N970" i="36" l="1"/>
  <c r="L971" i="36"/>
  <c r="M971" i="36"/>
  <c r="J972" i="36"/>
  <c r="K971" i="36"/>
  <c r="N971" i="36" l="1"/>
  <c r="J973" i="36"/>
  <c r="K972" i="36"/>
  <c r="L972" i="36"/>
  <c r="M972" i="36"/>
  <c r="J974" i="36" l="1"/>
  <c r="K973" i="36"/>
  <c r="M973" i="36"/>
  <c r="L973" i="36"/>
  <c r="N972" i="36"/>
  <c r="M974" i="36" l="1"/>
  <c r="L974" i="36"/>
  <c r="K974" i="36"/>
  <c r="J975" i="36"/>
  <c r="N973" i="36"/>
  <c r="N974" i="36" l="1"/>
  <c r="L975" i="36"/>
  <c r="M975" i="36"/>
  <c r="J976" i="36"/>
  <c r="K975" i="36"/>
  <c r="N975" i="36" l="1"/>
  <c r="J977" i="36"/>
  <c r="K976" i="36"/>
  <c r="L976" i="36"/>
  <c r="M976" i="36"/>
  <c r="N976" i="36" l="1"/>
  <c r="J978" i="36"/>
  <c r="K977" i="36"/>
  <c r="M977" i="36"/>
  <c r="L977" i="36"/>
  <c r="M978" i="36" l="1"/>
  <c r="L978" i="36"/>
  <c r="J979" i="36"/>
  <c r="K978" i="36"/>
  <c r="N977" i="36"/>
  <c r="N978" i="36" l="1"/>
  <c r="L979" i="36"/>
  <c r="M979" i="36"/>
  <c r="J980" i="36"/>
  <c r="K979" i="36"/>
  <c r="N979" i="36" l="1"/>
  <c r="J981" i="36"/>
  <c r="K980" i="36"/>
  <c r="L980" i="36"/>
  <c r="M980" i="36"/>
  <c r="N980" i="36" l="1"/>
  <c r="J982" i="36"/>
  <c r="K981" i="36"/>
  <c r="M981" i="36"/>
  <c r="L981" i="36"/>
  <c r="M982" i="36" l="1"/>
  <c r="L982" i="36"/>
  <c r="J983" i="36"/>
  <c r="K982" i="36"/>
  <c r="N981" i="36"/>
  <c r="L983" i="36" l="1"/>
  <c r="M983" i="36"/>
  <c r="J984" i="36"/>
  <c r="K983" i="36"/>
  <c r="N982" i="36"/>
  <c r="N983" i="36" l="1"/>
  <c r="J985" i="36"/>
  <c r="K984" i="36"/>
  <c r="L984" i="36"/>
  <c r="M984" i="36"/>
  <c r="J986" i="36" l="1"/>
  <c r="K985" i="36"/>
  <c r="M985" i="36"/>
  <c r="L985" i="36"/>
  <c r="N984" i="36"/>
  <c r="M986" i="36" l="1"/>
  <c r="L986" i="36"/>
  <c r="K986" i="36"/>
  <c r="J987" i="36"/>
  <c r="N985" i="36"/>
  <c r="N986" i="36" l="1"/>
  <c r="L987" i="36"/>
  <c r="M987" i="36"/>
  <c r="J988" i="36"/>
  <c r="K987" i="36"/>
  <c r="N987" i="36" l="1"/>
  <c r="J989" i="36"/>
  <c r="K988" i="36"/>
  <c r="L988" i="36"/>
  <c r="M988" i="36"/>
  <c r="N988" i="36" l="1"/>
  <c r="J990" i="36"/>
  <c r="K989" i="36"/>
  <c r="M989" i="36"/>
  <c r="L989" i="36"/>
  <c r="M990" i="36" l="1"/>
  <c r="L990" i="36"/>
  <c r="K990" i="36"/>
  <c r="J991" i="36"/>
  <c r="N989" i="36"/>
  <c r="N990" i="36" l="1"/>
  <c r="L991" i="36"/>
  <c r="M991" i="36"/>
  <c r="J992" i="36"/>
  <c r="K991" i="36"/>
  <c r="N991" i="36" l="1"/>
  <c r="J993" i="36"/>
  <c r="K992" i="36"/>
  <c r="L992" i="36"/>
  <c r="M992" i="36"/>
  <c r="J994" i="36" l="1"/>
  <c r="K993" i="36"/>
  <c r="M993" i="36"/>
  <c r="L993" i="36"/>
  <c r="N992" i="36"/>
  <c r="M994" i="36" l="1"/>
  <c r="L994" i="36"/>
  <c r="J995" i="36"/>
  <c r="K994" i="36"/>
  <c r="N993" i="36"/>
  <c r="L995" i="36" l="1"/>
  <c r="M995" i="36"/>
  <c r="J996" i="36"/>
  <c r="K995" i="36"/>
  <c r="N994" i="36"/>
  <c r="N995" i="36" l="1"/>
  <c r="J997" i="36"/>
  <c r="K996" i="36"/>
  <c r="L996" i="36"/>
  <c r="M996" i="36"/>
  <c r="J998" i="36" l="1"/>
  <c r="K997" i="36"/>
  <c r="M997" i="36"/>
  <c r="L997" i="36"/>
  <c r="N996" i="36"/>
  <c r="M998" i="36" l="1"/>
  <c r="L998" i="36"/>
  <c r="J999" i="36"/>
  <c r="K998" i="36"/>
  <c r="N997" i="36"/>
  <c r="L999" i="36" l="1"/>
  <c r="M999" i="36"/>
  <c r="J1000" i="36"/>
  <c r="K999" i="36"/>
  <c r="N998" i="36"/>
  <c r="N999" i="36" l="1"/>
  <c r="J1001" i="36"/>
  <c r="K1000" i="36"/>
  <c r="L1000" i="36"/>
  <c r="M1000" i="36"/>
  <c r="J1002" i="36" l="1"/>
  <c r="K1001" i="36"/>
  <c r="M1001" i="36"/>
  <c r="L1001" i="36"/>
  <c r="N1000" i="36"/>
  <c r="M1002" i="36" l="1"/>
  <c r="L1002" i="36"/>
  <c r="K1002" i="36"/>
  <c r="J1003" i="36"/>
  <c r="N1001" i="36"/>
  <c r="N1002" i="36" l="1"/>
  <c r="L1003" i="36"/>
  <c r="M1003" i="36"/>
  <c r="J1004" i="36"/>
  <c r="K1003" i="36"/>
  <c r="N1003" i="36" l="1"/>
  <c r="J1005" i="36"/>
  <c r="K1004" i="36"/>
  <c r="L1004" i="36"/>
  <c r="M1004" i="36"/>
  <c r="N1004" i="36" l="1"/>
  <c r="J1006" i="36"/>
  <c r="K1005" i="36"/>
  <c r="M1005" i="36"/>
  <c r="L1005" i="36"/>
  <c r="N1005" i="36" l="1"/>
  <c r="M1006" i="36"/>
  <c r="L1006" i="36"/>
  <c r="K1006" i="36"/>
  <c r="J1007" i="36"/>
  <c r="N1006" i="36" l="1"/>
  <c r="L1007" i="36"/>
  <c r="M1007" i="36"/>
  <c r="J1008" i="36"/>
  <c r="K1007" i="36"/>
  <c r="N1007" i="36" l="1"/>
  <c r="J1009" i="36"/>
  <c r="K1008" i="36"/>
  <c r="L1008" i="36"/>
  <c r="M1008" i="36"/>
  <c r="N1008" i="36" l="1"/>
  <c r="J1010" i="36"/>
  <c r="K1009" i="36"/>
  <c r="M1009" i="36"/>
  <c r="L1009" i="36"/>
  <c r="M1010" i="36" l="1"/>
  <c r="L1010" i="36"/>
  <c r="J1011" i="36"/>
  <c r="K1010" i="36"/>
  <c r="N1009" i="36"/>
  <c r="L1011" i="36" l="1"/>
  <c r="M1011" i="36"/>
  <c r="J1012" i="36"/>
  <c r="K1011" i="36"/>
  <c r="N1010" i="36"/>
  <c r="N1011" i="36" l="1"/>
  <c r="J1013" i="36"/>
  <c r="K1012" i="36"/>
  <c r="L1012" i="36"/>
  <c r="M1012" i="36"/>
  <c r="N1012" i="36" l="1"/>
  <c r="J1014" i="36"/>
  <c r="K1013" i="36"/>
  <c r="M1013" i="36"/>
  <c r="L1013" i="36"/>
  <c r="M1014" i="36" l="1"/>
  <c r="L1014" i="36"/>
  <c r="J1015" i="36"/>
  <c r="K1014" i="36"/>
  <c r="N1013" i="36"/>
  <c r="N1014" i="36" l="1"/>
  <c r="L1015" i="36"/>
  <c r="M1015" i="36"/>
  <c r="J1016" i="36"/>
  <c r="K1015" i="36"/>
  <c r="N1015" i="36" l="1"/>
  <c r="J1017" i="36"/>
  <c r="K1016" i="36"/>
  <c r="L1016" i="36"/>
  <c r="M1016" i="36"/>
  <c r="J1018" i="36" l="1"/>
  <c r="K1017" i="36"/>
  <c r="M1017" i="36"/>
  <c r="L1017" i="36"/>
  <c r="N1016" i="36"/>
  <c r="M1018" i="36" l="1"/>
  <c r="L1018" i="36"/>
  <c r="K1018" i="36"/>
  <c r="J1019" i="36"/>
  <c r="N1017" i="36"/>
  <c r="N1018" i="36" l="1"/>
  <c r="L1019" i="36"/>
  <c r="M1019" i="36"/>
  <c r="J1020" i="36"/>
  <c r="K1019" i="36"/>
  <c r="N1019" i="36" l="1"/>
  <c r="J1021" i="36"/>
  <c r="K1020" i="36"/>
  <c r="L1020" i="36"/>
  <c r="M1020" i="36"/>
  <c r="N1020" i="36" l="1"/>
  <c r="J1022" i="36"/>
  <c r="K1021" i="36"/>
  <c r="M1021" i="36"/>
  <c r="L1021" i="36"/>
  <c r="M1022" i="36" l="1"/>
  <c r="L1022" i="36"/>
  <c r="K1022" i="36"/>
  <c r="J1023" i="36"/>
  <c r="N1021" i="36"/>
  <c r="N1022" i="36" l="1"/>
  <c r="L1023" i="36"/>
  <c r="M1023" i="36"/>
  <c r="J1024" i="36"/>
  <c r="K1023" i="36"/>
  <c r="N1023" i="36" l="1"/>
  <c r="J1025" i="36"/>
  <c r="K1024" i="36"/>
  <c r="L1024" i="36"/>
  <c r="M1024" i="36"/>
  <c r="J1026" i="36" l="1"/>
  <c r="K1025" i="36"/>
  <c r="M1025" i="36"/>
  <c r="L1025" i="36"/>
  <c r="N1024" i="36"/>
  <c r="M1026" i="36" l="1"/>
  <c r="L1026" i="36"/>
  <c r="J1027" i="36"/>
  <c r="K1026" i="36"/>
  <c r="N1025" i="36"/>
  <c r="L1027" i="36" l="1"/>
  <c r="M1027" i="36"/>
  <c r="J1028" i="36"/>
  <c r="K1027" i="36"/>
  <c r="N1026" i="36"/>
  <c r="N1027" i="36" l="1"/>
  <c r="J1029" i="36"/>
  <c r="K1028" i="36"/>
  <c r="L1028" i="36"/>
  <c r="M1028" i="36"/>
  <c r="J1030" i="36" l="1"/>
  <c r="K1029" i="36"/>
  <c r="M1029" i="36"/>
  <c r="L1029" i="36"/>
  <c r="N1028" i="36"/>
  <c r="M1030" i="36" l="1"/>
  <c r="L1030" i="36"/>
  <c r="J1031" i="36"/>
  <c r="K1030" i="36"/>
  <c r="N1029" i="36"/>
  <c r="L1031" i="36" l="1"/>
  <c r="M1031" i="36"/>
  <c r="J1032" i="36"/>
  <c r="K1031" i="36"/>
  <c r="N1030" i="36"/>
  <c r="N1031" i="36" l="1"/>
  <c r="J1033" i="36"/>
  <c r="K1032" i="36"/>
  <c r="L1032" i="36"/>
  <c r="M1032" i="36"/>
  <c r="J1034" i="36" l="1"/>
  <c r="K1033" i="36"/>
  <c r="M1033" i="36"/>
  <c r="L1033" i="36"/>
  <c r="N1032" i="36"/>
  <c r="M1034" i="36" l="1"/>
  <c r="L1034" i="36"/>
  <c r="K1034" i="36"/>
  <c r="J1035" i="36"/>
  <c r="N1033" i="36"/>
  <c r="N1034" i="36" l="1"/>
  <c r="L1035" i="36"/>
  <c r="M1035" i="36"/>
  <c r="J1036" i="36"/>
  <c r="K1035" i="36"/>
  <c r="N1035" i="36" l="1"/>
  <c r="J1037" i="36"/>
  <c r="K1036" i="36"/>
  <c r="L1036" i="36"/>
  <c r="M1036" i="36"/>
  <c r="N1036" i="36" l="1"/>
  <c r="J1038" i="36"/>
  <c r="K1037" i="36"/>
  <c r="M1037" i="36"/>
  <c r="L1037" i="36"/>
  <c r="M1038" i="36" l="1"/>
  <c r="L1038" i="36"/>
  <c r="K1038" i="36"/>
  <c r="J1039" i="36"/>
  <c r="N1037" i="36"/>
  <c r="N1038" i="36" l="1"/>
  <c r="L1039" i="36"/>
  <c r="M1039" i="36"/>
  <c r="J1040" i="36"/>
  <c r="K1039" i="36"/>
  <c r="N1039" i="36" l="1"/>
  <c r="J1041" i="36"/>
  <c r="K1040" i="36"/>
  <c r="L1040" i="36"/>
  <c r="M1040" i="36"/>
  <c r="J1042" i="36" l="1"/>
  <c r="K1041" i="36"/>
  <c r="M1041" i="36"/>
  <c r="L1041" i="36"/>
  <c r="N1040" i="36"/>
  <c r="M1042" i="36" l="1"/>
  <c r="L1042" i="36"/>
  <c r="J1043" i="36"/>
  <c r="K1042" i="36"/>
  <c r="N1041" i="36"/>
  <c r="N1042" i="36" l="1"/>
  <c r="L1043" i="36"/>
  <c r="M1043" i="36"/>
  <c r="J1044" i="36"/>
  <c r="K1043" i="36"/>
  <c r="N1043" i="36" l="1"/>
  <c r="J1045" i="36"/>
  <c r="K1044" i="36"/>
  <c r="L1044" i="36"/>
  <c r="M1044" i="36"/>
  <c r="J1046" i="36" l="1"/>
  <c r="K1045" i="36"/>
  <c r="M1045" i="36"/>
  <c r="L1045" i="36"/>
  <c r="N1044" i="36"/>
  <c r="M1046" i="36" l="1"/>
  <c r="L1046" i="36"/>
  <c r="J1047" i="36"/>
  <c r="K1046" i="36"/>
  <c r="N1045" i="36"/>
  <c r="L1047" i="36" l="1"/>
  <c r="M1047" i="36"/>
  <c r="J1048" i="36"/>
  <c r="K1047" i="36"/>
  <c r="N1046" i="36"/>
  <c r="N1047" i="36" l="1"/>
  <c r="J1049" i="36"/>
  <c r="K1048" i="36"/>
  <c r="L1048" i="36"/>
  <c r="M1048" i="36"/>
  <c r="N1048" i="36" l="1"/>
  <c r="J1050" i="36"/>
  <c r="K1049" i="36"/>
  <c r="M1049" i="36"/>
  <c r="L1049" i="36"/>
  <c r="M1050" i="36" l="1"/>
  <c r="L1050" i="36"/>
  <c r="K1050" i="36"/>
  <c r="J1051" i="36"/>
  <c r="N1049" i="36"/>
  <c r="N1050" i="36" l="1"/>
  <c r="L1051" i="36"/>
  <c r="M1051" i="36"/>
  <c r="J1052" i="36"/>
  <c r="K1051" i="36"/>
  <c r="N1051" i="36" l="1"/>
  <c r="K1052" i="36"/>
  <c r="L1052" i="36"/>
  <c r="M1052" i="36"/>
  <c r="N1052" i="36" l="1"/>
  <c r="P21" i="36" l="1"/>
  <c r="Q21" i="36" l="1"/>
  <c r="O21" i="36" l="1"/>
  <c r="P4" i="36"/>
  <c r="E7" i="25" s="1"/>
  <c r="E20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tc={C4404E23-E0AD-42DC-B258-5F861FB3D62E}</author>
    <author>tc={C3AD3974-58F2-4972-B01D-1613D6579B09}</author>
  </authors>
  <commentList>
    <comment ref="G13" authorId="0" shapeId="0" xr:uid="{C4404E23-E0AD-42DC-B258-5F861FB3D62E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whole column uses a UDF I wrote in Excel's VBA to convert mm of yaw into degrees of yaw. I removed it for this sample due to security concerns.</t>
      </text>
    </comment>
    <comment ref="G19" authorId="1" shapeId="0" xr:uid="{C3AD3974-58F2-4972-B01D-1613D6579B09}">
      <text>
        <t>[Threaded comment]
Your version of Excel allows you to read this threaded comment; however, any edits to it will get removed if the file is opened in a newer version of Excel. Learn more: https://go.microsoft.com/fwlink/?linkid=870924
Comment:
    Some cards are unreadable leading to blank lines like this. Reasons include a burned or demolished card from the explosion.</t>
      </text>
    </comment>
  </commentList>
</comments>
</file>

<file path=xl/sharedStrings.xml><?xml version="1.0" encoding="utf-8"?>
<sst xmlns="http://schemas.openxmlformats.org/spreadsheetml/2006/main" count="216" uniqueCount="116">
  <si>
    <t>Station Locations</t>
  </si>
  <si>
    <t>Analytical Fit</t>
  </si>
  <si>
    <t>RMS Errors</t>
  </si>
  <si>
    <t>dummies</t>
  </si>
  <si>
    <t>AERO CALCULATIONS</t>
  </si>
  <si>
    <t>X</t>
  </si>
  <si>
    <t>Alpha</t>
  </si>
  <si>
    <t>Beta</t>
  </si>
  <si>
    <t>Gamma</t>
  </si>
  <si>
    <t>(ft)</t>
  </si>
  <si>
    <t>(m)</t>
  </si>
  <si>
    <t>(deg)</t>
  </si>
  <si>
    <t>d</t>
  </si>
  <si>
    <t>m</t>
  </si>
  <si>
    <t xml:space="preserve"> Modal Parameters</t>
  </si>
  <si>
    <t>Notes</t>
  </si>
  <si>
    <t>kg</t>
  </si>
  <si>
    <t>X0 (m)</t>
  </si>
  <si>
    <t>Reference Range</t>
  </si>
  <si>
    <t>I_x</t>
  </si>
  <si>
    <t>kg-m^2</t>
  </si>
  <si>
    <t>phi'f (deg/m)</t>
  </si>
  <si>
    <t>I_t</t>
  </si>
  <si>
    <t>phi's (deg/m)</t>
  </si>
  <si>
    <t>spin rate</t>
  </si>
  <si>
    <t>rad/s</t>
  </si>
  <si>
    <t>Kfast (deg)</t>
  </si>
  <si>
    <t xml:space="preserve">rho </t>
  </si>
  <si>
    <t>kg/m^3</t>
  </si>
  <si>
    <t>phif_0 (deg)</t>
  </si>
  <si>
    <t>V</t>
  </si>
  <si>
    <t>m/s</t>
  </si>
  <si>
    <t>Kslow (deg)</t>
  </si>
  <si>
    <t>CD</t>
  </si>
  <si>
    <t>phis_0 (deg)</t>
  </si>
  <si>
    <t>CLA</t>
  </si>
  <si>
    <t>Lam_f (deg/m)</t>
  </si>
  <si>
    <t>Lam_s(deg/m)</t>
  </si>
  <si>
    <t>rho star</t>
  </si>
  <si>
    <t>kx2</t>
  </si>
  <si>
    <t>kt2</t>
  </si>
  <si>
    <t>M</t>
  </si>
  <si>
    <t>CMAstar</t>
  </si>
  <si>
    <t>CMA</t>
  </si>
  <si>
    <t>H</t>
  </si>
  <si>
    <t>CMQ</t>
  </si>
  <si>
    <t>T</t>
  </si>
  <si>
    <t>CMPA</t>
  </si>
  <si>
    <t>Analytical Fit Results</t>
  </si>
  <si>
    <t>DX</t>
  </si>
  <si>
    <t>MaxYaw</t>
  </si>
  <si>
    <t>(dft)</t>
  </si>
  <si>
    <t>Yaw of Repose (deg) Beta</t>
  </si>
  <si>
    <t>Beta_r (deg)</t>
  </si>
  <si>
    <t>P</t>
  </si>
  <si>
    <t>Gapprox</t>
  </si>
  <si>
    <t>Betar-appr</t>
  </si>
  <si>
    <t>RMS</t>
  </si>
  <si>
    <t>phi'f (rad/cal)</t>
  </si>
  <si>
    <t>phi's (rad/cal)</t>
  </si>
  <si>
    <t>P-phi'sum</t>
  </si>
  <si>
    <t>pd/2v</t>
  </si>
  <si>
    <t>dist</t>
  </si>
  <si>
    <t>phi</t>
  </si>
  <si>
    <t>Alpha up Beta right</t>
  </si>
  <si>
    <t>mm</t>
  </si>
  <si>
    <t>deg</t>
  </si>
  <si>
    <t>total yaw</t>
  </si>
  <si>
    <t>Fast (nutation) arm rate</t>
  </si>
  <si>
    <t>Slow (precession) arm rate</t>
  </si>
  <si>
    <t>Fast arm magnitude</t>
  </si>
  <si>
    <t>initial phif measured c.w. from vert FIT</t>
  </si>
  <si>
    <t>Slow arm magnitude</t>
  </si>
  <si>
    <t xml:space="preserve">initial phis </t>
  </si>
  <si>
    <t>Fast arm damping exponent</t>
  </si>
  <si>
    <t>Slow arm damping exponent</t>
  </si>
  <si>
    <t>Target (ft)</t>
  </si>
  <si>
    <t>Total Angle of Attack at Target (deg) =</t>
  </si>
  <si>
    <t>Target CG</t>
  </si>
  <si>
    <t>TOTAL</t>
  </si>
  <si>
    <t>BS</t>
  </si>
  <si>
    <t>Shot</t>
  </si>
  <si>
    <t>Yaw</t>
  </si>
  <si>
    <t>Xray</t>
  </si>
  <si>
    <t xml:space="preserve">Yaw Cycle Length (ft) = </t>
  </si>
  <si>
    <t>Cycle</t>
  </si>
  <si>
    <t>Max</t>
  </si>
  <si>
    <t>Angle of</t>
  </si>
  <si>
    <t>Attack at</t>
  </si>
  <si>
    <t>Target (deg)</t>
  </si>
  <si>
    <t>Error</t>
  </si>
  <si>
    <t>AVG</t>
  </si>
  <si>
    <t>Pitch (Deg)</t>
  </si>
  <si>
    <t>Yaw (Deg)</t>
  </si>
  <si>
    <t>Total Yaw (Deg)</t>
  </si>
  <si>
    <t>Range (ft)</t>
  </si>
  <si>
    <t>Range (m)</t>
  </si>
  <si>
    <t>DM53</t>
  </si>
  <si>
    <t>M829 A1/A2</t>
  </si>
  <si>
    <t>KEWA1</t>
  </si>
  <si>
    <t>(°) yaw</t>
  </si>
  <si>
    <t>Penetrators</t>
  </si>
  <si>
    <t>M829 A3</t>
  </si>
  <si>
    <t>M829 A4</t>
  </si>
  <si>
    <t>ABCD</t>
  </si>
  <si>
    <t>Instructions:</t>
  </si>
  <si>
    <r>
      <rPr>
        <b/>
        <sz val="14"/>
        <rFont val="Arial"/>
        <family val="2"/>
      </rPr>
      <t>1.</t>
    </r>
    <r>
      <rPr>
        <sz val="14"/>
        <rFont val="Arial"/>
        <family val="2"/>
      </rPr>
      <t xml:space="preserve"> Fill in muzzle to target distance in cell D4</t>
    </r>
  </si>
  <si>
    <r>
      <rPr>
        <b/>
        <sz val="14"/>
        <rFont val="Arial"/>
        <family val="2"/>
      </rPr>
      <t>2.</t>
    </r>
    <r>
      <rPr>
        <sz val="14"/>
        <rFont val="Arial"/>
        <family val="2"/>
      </rPr>
      <t xml:space="preserve"> Fill in yaw card distances from muzzle in col C</t>
    </r>
  </si>
  <si>
    <r>
      <rPr>
        <b/>
        <sz val="14"/>
        <rFont val="Arial"/>
        <family val="2"/>
      </rPr>
      <t>4.</t>
    </r>
    <r>
      <rPr>
        <sz val="14"/>
        <rFont val="Arial"/>
        <family val="2"/>
      </rPr>
      <t xml:space="preserve"> Fill in yaw card measurements (cols E &amp; F)</t>
    </r>
  </si>
  <si>
    <r>
      <rPr>
        <b/>
        <sz val="14"/>
        <rFont val="Arial"/>
        <family val="2"/>
      </rPr>
      <t>5.</t>
    </r>
    <r>
      <rPr>
        <sz val="14"/>
        <rFont val="Arial"/>
        <family val="2"/>
      </rPr>
      <t xml:space="preserve"> Run Solver.exe</t>
    </r>
  </si>
  <si>
    <r>
      <rPr>
        <b/>
        <sz val="14"/>
        <rFont val="Arial"/>
        <family val="2"/>
      </rPr>
      <t>6.</t>
    </r>
    <r>
      <rPr>
        <sz val="14"/>
        <rFont val="Arial"/>
        <family val="2"/>
      </rPr>
      <t xml:space="preserve"> Paste results in col Y</t>
    </r>
  </si>
  <si>
    <r>
      <rPr>
        <b/>
        <sz val="14"/>
        <rFont val="Arial"/>
        <family val="2"/>
      </rPr>
      <t>3.</t>
    </r>
    <r>
      <rPr>
        <sz val="14"/>
        <rFont val="Arial"/>
        <family val="2"/>
      </rPr>
      <t xml:space="preserve"> Select a penetrator in cell E5</t>
    </r>
  </si>
  <si>
    <t>INDIVIDUAL Round FITS</t>
  </si>
  <si>
    <t>Round</t>
  </si>
  <si>
    <t>Round ABCD</t>
  </si>
  <si>
    <t>This is a fake round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</si>
</sst>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0" x14ac:knownFonts="1">
    <font>
      <sz val="10"/>
      <name val="Arial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0"/>
      <color rgb="FF000000"/>
      <name val="Times New Roman"/>
      <family val="1"/>
    </font>
    <font>
      <sz val="10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9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EE9CEA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2A145"/>
        <bgColor indexed="64"/>
      </patternFill>
    </fill>
    <fill>
      <patternFill patternType="solid">
        <fgColor rgb="FFA8423F"/>
        <bgColor indexed="64"/>
      </patternFill>
    </fill>
    <fill>
      <patternFill patternType="solid">
        <fgColor rgb="FF6E548D"/>
        <bgColor indexed="64"/>
      </patternFill>
    </fill>
    <fill>
      <patternFill patternType="solid">
        <fgColor rgb="FF3D96AE"/>
        <bgColor indexed="64"/>
      </patternFill>
    </fill>
    <fill>
      <patternFill patternType="solid">
        <fgColor theme="9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/>
  </cellStyleXfs>
  <cellXfs count="160">
    <xf numFmtId="0" fontId="0" fillId="0" borderId="0" xfId="0"/>
    <xf numFmtId="2" fontId="1" fillId="2" borderId="1" xfId="0" applyNumberFormat="1" applyFont="1" applyFill="1" applyBorder="1"/>
    <xf numFmtId="0" fontId="0" fillId="2" borderId="2" xfId="0" applyFill="1" applyBorder="1"/>
    <xf numFmtId="2" fontId="2" fillId="2" borderId="3" xfId="0" applyNumberFormat="1" applyFont="1" applyFill="1" applyBorder="1"/>
    <xf numFmtId="0" fontId="2" fillId="2" borderId="2" xfId="0" applyFont="1" applyFill="1" applyBorder="1"/>
    <xf numFmtId="0" fontId="0" fillId="2" borderId="3" xfId="0" applyFill="1" applyBorder="1"/>
    <xf numFmtId="2" fontId="2" fillId="2" borderId="4" xfId="0" applyNumberFormat="1" applyFont="1" applyFill="1" applyBorder="1"/>
    <xf numFmtId="0" fontId="1" fillId="2" borderId="1" xfId="0" applyFont="1" applyFill="1" applyBorder="1"/>
    <xf numFmtId="2" fontId="1" fillId="2" borderId="5" xfId="0" applyNumberFormat="1" applyFont="1" applyFill="1" applyBorder="1"/>
    <xf numFmtId="0" fontId="0" fillId="2" borderId="0" xfId="0" applyFill="1"/>
    <xf numFmtId="0" fontId="1" fillId="2" borderId="5" xfId="0" applyFont="1" applyFill="1" applyBorder="1"/>
    <xf numFmtId="0" fontId="1" fillId="2" borderId="0" xfId="0" applyFont="1" applyFill="1"/>
    <xf numFmtId="0" fontId="0" fillId="2" borderId="6" xfId="0" applyFill="1" applyBorder="1"/>
    <xf numFmtId="0" fontId="2" fillId="2" borderId="0" xfId="0" applyFont="1" applyFill="1"/>
    <xf numFmtId="0" fontId="3" fillId="2" borderId="0" xfId="0" applyFont="1" applyFill="1"/>
    <xf numFmtId="2" fontId="1" fillId="2" borderId="8" xfId="0" applyNumberFormat="1" applyFont="1" applyFill="1" applyBorder="1"/>
    <xf numFmtId="0" fontId="0" fillId="2" borderId="9" xfId="0" applyFill="1" applyBorder="1"/>
    <xf numFmtId="0" fontId="0" fillId="2" borderId="10" xfId="0" applyFill="1" applyBorder="1"/>
    <xf numFmtId="0" fontId="1" fillId="3" borderId="1" xfId="0" applyFont="1" applyFill="1" applyBorder="1"/>
    <xf numFmtId="0" fontId="1" fillId="4" borderId="11" xfId="0" applyFont="1" applyFill="1" applyBorder="1"/>
    <xf numFmtId="0" fontId="0" fillId="4" borderId="12" xfId="0" applyFill="1" applyBorder="1"/>
    <xf numFmtId="0" fontId="0" fillId="4" borderId="13" xfId="0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5" borderId="1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1" fillId="3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center"/>
    </xf>
    <xf numFmtId="2" fontId="0" fillId="0" borderId="0" xfId="0" applyNumberFormat="1"/>
    <xf numFmtId="2" fontId="4" fillId="0" borderId="0" xfId="0" applyNumberFormat="1" applyFont="1"/>
    <xf numFmtId="2" fontId="4" fillId="0" borderId="1" xfId="0" applyNumberFormat="1" applyFont="1" applyBorder="1"/>
    <xf numFmtId="2" fontId="4" fillId="0" borderId="3" xfId="0" applyNumberFormat="1" applyFont="1" applyBorder="1"/>
    <xf numFmtId="2" fontId="4" fillId="0" borderId="5" xfId="0" applyNumberFormat="1" applyFont="1" applyBorder="1"/>
    <xf numFmtId="2" fontId="4" fillId="0" borderId="6" xfId="0" applyNumberFormat="1" applyFont="1" applyBorder="1"/>
    <xf numFmtId="2" fontId="4" fillId="0" borderId="8" xfId="0" applyNumberFormat="1" applyFont="1" applyBorder="1"/>
    <xf numFmtId="2" fontId="4" fillId="0" borderId="10" xfId="0" applyNumberFormat="1" applyFont="1" applyBorder="1"/>
    <xf numFmtId="2" fontId="4" fillId="0" borderId="9" xfId="0" applyNumberFormat="1" applyFont="1" applyBorder="1"/>
    <xf numFmtId="165" fontId="2" fillId="2" borderId="7" xfId="0" applyNumberFormat="1" applyFont="1" applyFill="1" applyBorder="1"/>
    <xf numFmtId="165" fontId="2" fillId="2" borderId="14" xfId="0" applyNumberFormat="1" applyFont="1" applyFill="1" applyBorder="1"/>
    <xf numFmtId="0" fontId="1" fillId="3" borderId="2" xfId="0" applyFont="1" applyFill="1" applyBorder="1" applyAlignment="1">
      <alignment horizontal="center"/>
    </xf>
    <xf numFmtId="0" fontId="1" fillId="7" borderId="11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0" fontId="6" fillId="0" borderId="0" xfId="0" applyFont="1"/>
    <xf numFmtId="0" fontId="2" fillId="8" borderId="0" xfId="0" applyFont="1" applyFill="1" applyAlignment="1">
      <alignment vertical="center"/>
    </xf>
    <xf numFmtId="2" fontId="2" fillId="8" borderId="0" xfId="0" applyNumberFormat="1" applyFont="1" applyFill="1" applyAlignment="1">
      <alignment vertical="center"/>
    </xf>
    <xf numFmtId="0" fontId="6" fillId="0" borderId="15" xfId="0" applyFont="1" applyBorder="1"/>
    <xf numFmtId="2" fontId="4" fillId="0" borderId="16" xfId="0" applyNumberFormat="1" applyFont="1" applyBorder="1"/>
    <xf numFmtId="2" fontId="3" fillId="0" borderId="0" xfId="0" applyNumberFormat="1" applyFont="1"/>
    <xf numFmtId="0" fontId="3" fillId="6" borderId="0" xfId="0" applyFont="1" applyFill="1" applyAlignment="1">
      <alignment vertical="center"/>
    </xf>
    <xf numFmtId="165" fontId="3" fillId="6" borderId="0" xfId="0" applyNumberFormat="1" applyFont="1" applyFill="1" applyAlignment="1">
      <alignment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1" fillId="8" borderId="0" xfId="0" applyFont="1" applyFill="1" applyAlignment="1">
      <alignment vertical="center"/>
    </xf>
    <xf numFmtId="0" fontId="6" fillId="0" borderId="0" xfId="0" applyFont="1" applyAlignment="1">
      <alignment horizontal="center"/>
    </xf>
    <xf numFmtId="0" fontId="3" fillId="0" borderId="4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7" xfId="0" applyFont="1" applyBorder="1" applyAlignment="1">
      <alignment horizontal="center"/>
    </xf>
    <xf numFmtId="2" fontId="2" fillId="0" borderId="5" xfId="0" applyNumberFormat="1" applyFont="1" applyBorder="1"/>
    <xf numFmtId="2" fontId="2" fillId="0" borderId="0" xfId="0" applyNumberFormat="1" applyFont="1"/>
    <xf numFmtId="2" fontId="6" fillId="0" borderId="4" xfId="0" applyNumberFormat="1" applyFont="1" applyBorder="1" applyAlignment="1">
      <alignment horizontal="center" vertical="center"/>
    </xf>
    <xf numFmtId="2" fontId="6" fillId="0" borderId="7" xfId="0" applyNumberFormat="1" applyFont="1" applyBorder="1" applyAlignment="1">
      <alignment horizontal="center" vertical="center"/>
    </xf>
    <xf numFmtId="2" fontId="6" fillId="0" borderId="14" xfId="0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7" xfId="0" applyFont="1" applyBorder="1" applyAlignment="1">
      <alignment horizontal="center"/>
    </xf>
    <xf numFmtId="0" fontId="0" fillId="0" borderId="4" xfId="0" applyBorder="1"/>
    <xf numFmtId="0" fontId="0" fillId="0" borderId="14" xfId="0" applyBorder="1"/>
    <xf numFmtId="2" fontId="6" fillId="0" borderId="0" xfId="0" applyNumberFormat="1" applyFont="1"/>
    <xf numFmtId="2" fontId="6" fillId="0" borderId="0" xfId="0" applyNumberFormat="1" applyFont="1" applyAlignment="1">
      <alignment horizontal="center" vertical="center"/>
    </xf>
    <xf numFmtId="0" fontId="0" fillId="9" borderId="0" xfId="0" applyFill="1"/>
    <xf numFmtId="2" fontId="0" fillId="9" borderId="0" xfId="0" applyNumberFormat="1" applyFill="1"/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2" fontId="0" fillId="0" borderId="6" xfId="0" applyNumberFormat="1" applyBorder="1"/>
    <xf numFmtId="164" fontId="0" fillId="0" borderId="5" xfId="0" applyNumberFormat="1" applyBorder="1"/>
    <xf numFmtId="164" fontId="0" fillId="0" borderId="8" xfId="0" applyNumberFormat="1" applyBorder="1"/>
    <xf numFmtId="2" fontId="0" fillId="0" borderId="10" xfId="0" applyNumberFormat="1" applyBorder="1"/>
    <xf numFmtId="164" fontId="0" fillId="0" borderId="0" xfId="0" applyNumberFormat="1"/>
    <xf numFmtId="0" fontId="0" fillId="0" borderId="5" xfId="0" applyBorder="1"/>
    <xf numFmtId="0" fontId="0" fillId="0" borderId="8" xfId="0" applyBorder="1"/>
    <xf numFmtId="2" fontId="2" fillId="0" borderId="1" xfId="0" applyNumberFormat="1" applyFont="1" applyBorder="1"/>
    <xf numFmtId="2" fontId="2" fillId="0" borderId="2" xfId="0" applyNumberFormat="1" applyFont="1" applyBorder="1"/>
    <xf numFmtId="2" fontId="4" fillId="0" borderId="2" xfId="0" applyNumberFormat="1" applyFont="1" applyBorder="1"/>
    <xf numFmtId="2" fontId="2" fillId="0" borderId="8" xfId="0" applyNumberFormat="1" applyFont="1" applyBorder="1"/>
    <xf numFmtId="2" fontId="2" fillId="0" borderId="9" xfId="0" applyNumberFormat="1" applyFont="1" applyBorder="1"/>
    <xf numFmtId="0" fontId="2" fillId="0" borderId="0" xfId="0" applyFont="1"/>
    <xf numFmtId="0" fontId="2" fillId="0" borderId="11" xfId="0" applyFont="1" applyBorder="1"/>
    <xf numFmtId="0" fontId="1" fillId="3" borderId="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8" xfId="0" applyFont="1" applyFill="1" applyBorder="1"/>
    <xf numFmtId="165" fontId="4" fillId="0" borderId="2" xfId="0" applyNumberFormat="1" applyFont="1" applyBorder="1"/>
    <xf numFmtId="165" fontId="4" fillId="0" borderId="0" xfId="0" applyNumberFormat="1" applyFont="1"/>
    <xf numFmtId="165" fontId="4" fillId="0" borderId="9" xfId="0" applyNumberFormat="1" applyFont="1" applyBorder="1"/>
    <xf numFmtId="0" fontId="1" fillId="3" borderId="5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2" fontId="4" fillId="10" borderId="18" xfId="0" applyNumberFormat="1" applyFont="1" applyFill="1" applyBorder="1"/>
    <xf numFmtId="2" fontId="4" fillId="10" borderId="20" xfId="0" applyNumberFormat="1" applyFont="1" applyFill="1" applyBorder="1"/>
    <xf numFmtId="2" fontId="4" fillId="10" borderId="22" xfId="0" applyNumberFormat="1" applyFont="1" applyFill="1" applyBorder="1"/>
    <xf numFmtId="2" fontId="4" fillId="0" borderId="24" xfId="0" applyNumberFormat="1" applyFont="1" applyBorder="1"/>
    <xf numFmtId="2" fontId="4" fillId="0" borderId="15" xfId="0" applyNumberFormat="1" applyFont="1" applyBorder="1"/>
    <xf numFmtId="2" fontId="4" fillId="0" borderId="25" xfId="0" applyNumberFormat="1" applyFont="1" applyBorder="1"/>
    <xf numFmtId="1" fontId="4" fillId="10" borderId="19" xfId="0" applyNumberFormat="1" applyFont="1" applyFill="1" applyBorder="1"/>
    <xf numFmtId="1" fontId="4" fillId="10" borderId="21" xfId="0" applyNumberFormat="1" applyFont="1" applyFill="1" applyBorder="1"/>
    <xf numFmtId="1" fontId="4" fillId="10" borderId="23" xfId="0" applyNumberFormat="1" applyFont="1" applyFill="1" applyBorder="1"/>
    <xf numFmtId="164" fontId="2" fillId="10" borderId="7" xfId="0" applyNumberFormat="1" applyFont="1" applyFill="1" applyBorder="1"/>
    <xf numFmtId="2" fontId="2" fillId="10" borderId="7" xfId="0" applyNumberFormat="1" applyFont="1" applyFill="1" applyBorder="1"/>
    <xf numFmtId="1" fontId="2" fillId="10" borderId="7" xfId="0" applyNumberFormat="1" applyFont="1" applyFill="1" applyBorder="1"/>
    <xf numFmtId="0" fontId="2" fillId="10" borderId="17" xfId="0" applyFont="1" applyFill="1" applyBorder="1"/>
    <xf numFmtId="0" fontId="1" fillId="4" borderId="12" xfId="0" applyFont="1" applyFill="1" applyBorder="1"/>
    <xf numFmtId="0" fontId="6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6" fillId="0" borderId="7" xfId="0" applyFont="1" applyBorder="1" applyAlignment="1">
      <alignment horizontal="left"/>
    </xf>
    <xf numFmtId="0" fontId="6" fillId="0" borderId="1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7" xfId="0" applyBorder="1"/>
    <xf numFmtId="164" fontId="6" fillId="0" borderId="0" xfId="0" applyNumberFormat="1" applyFont="1" applyAlignment="1">
      <alignment horizontal="center" vertical="center"/>
    </xf>
    <xf numFmtId="164" fontId="0" fillId="0" borderId="9" xfId="0" applyNumberFormat="1" applyBorder="1" applyAlignment="1">
      <alignment horizontal="center"/>
    </xf>
    <xf numFmtId="2" fontId="4" fillId="12" borderId="11" xfId="0" applyNumberFormat="1" applyFont="1" applyFill="1" applyBorder="1"/>
    <xf numFmtId="2" fontId="4" fillId="12" borderId="12" xfId="0" applyNumberFormat="1" applyFont="1" applyFill="1" applyBorder="1"/>
    <xf numFmtId="2" fontId="4" fillId="12" borderId="13" xfId="0" applyNumberFormat="1" applyFont="1" applyFill="1" applyBorder="1"/>
    <xf numFmtId="2" fontId="6" fillId="14" borderId="0" xfId="0" applyNumberFormat="1" applyFont="1" applyFill="1" applyAlignment="1">
      <alignment horizontal="center"/>
    </xf>
    <xf numFmtId="2" fontId="6" fillId="13" borderId="0" xfId="0" applyNumberFormat="1" applyFont="1" applyFill="1" applyAlignment="1">
      <alignment horizontal="center"/>
    </xf>
    <xf numFmtId="2" fontId="6" fillId="15" borderId="0" xfId="0" applyNumberFormat="1" applyFont="1" applyFill="1" applyAlignment="1">
      <alignment horizontal="center"/>
    </xf>
    <xf numFmtId="2" fontId="6" fillId="16" borderId="0" xfId="0" applyNumberFormat="1" applyFont="1" applyFill="1" applyAlignment="1">
      <alignment horizontal="center"/>
    </xf>
    <xf numFmtId="2" fontId="6" fillId="17" borderId="0" xfId="0" applyNumberFormat="1" applyFont="1" applyFill="1" applyAlignment="1">
      <alignment horizontal="center"/>
    </xf>
    <xf numFmtId="2" fontId="6" fillId="0" borderId="0" xfId="0" applyNumberFormat="1" applyFont="1" applyAlignment="1">
      <alignment horizontal="center"/>
    </xf>
    <xf numFmtId="0" fontId="1" fillId="10" borderId="1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7" fillId="11" borderId="0" xfId="0" applyFont="1" applyFill="1" applyAlignment="1">
      <alignment vertical="center" wrapText="1"/>
    </xf>
    <xf numFmtId="0" fontId="8" fillId="11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left" vertical="center"/>
    </xf>
    <xf numFmtId="0" fontId="7" fillId="11" borderId="0" xfId="0" applyFont="1" applyFill="1" applyAlignment="1">
      <alignment horizontal="left" vertical="center" wrapText="1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4">
    <dxf>
      <alignment horizontal="center" vertical="bottom" textRotation="0" wrapText="0" indent="0" justifyLastLine="0" shrinkToFit="0" readingOrder="0"/>
    </dxf>
    <dxf>
      <border outline="0">
        <right style="medium">
          <color indexed="64"/>
        </right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FFFF99"/>
      <color rgb="FF82A145"/>
      <color rgb="FFFF9900"/>
      <color rgb="FFFF6600"/>
      <color rgb="FFEE9CEA"/>
      <color rgb="FFCB23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75870995577606"/>
          <c:y val="0.17635064113405868"/>
          <c:w val="0.48804445651190159"/>
          <c:h val="0.53942407557050664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Summary!$I$2</c:f>
              <c:strCache>
                <c:ptCount val="1"/>
                <c:pt idx="0">
                  <c:v>Round ABCD</c:v>
                </c:pt>
              </c:strCache>
            </c:strRef>
          </c:tx>
          <c:spPr>
            <a:ln w="28575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Summary!$I$4:$I$804</c:f>
              <c:numCache>
                <c:formatCode>0.00</c:formatCode>
                <c:ptCount val="80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  <c:pt idx="201">
                  <c:v>50.25</c:v>
                </c:pt>
                <c:pt idx="202">
                  <c:v>50.5</c:v>
                </c:pt>
                <c:pt idx="203">
                  <c:v>50.75</c:v>
                </c:pt>
                <c:pt idx="204">
                  <c:v>51</c:v>
                </c:pt>
                <c:pt idx="205">
                  <c:v>51.25</c:v>
                </c:pt>
                <c:pt idx="206">
                  <c:v>51.5</c:v>
                </c:pt>
                <c:pt idx="207">
                  <c:v>51.75</c:v>
                </c:pt>
                <c:pt idx="208">
                  <c:v>52</c:v>
                </c:pt>
                <c:pt idx="209">
                  <c:v>52.25</c:v>
                </c:pt>
                <c:pt idx="210">
                  <c:v>52.5</c:v>
                </c:pt>
                <c:pt idx="211">
                  <c:v>52.75</c:v>
                </c:pt>
                <c:pt idx="212">
                  <c:v>53</c:v>
                </c:pt>
                <c:pt idx="213">
                  <c:v>53.25</c:v>
                </c:pt>
                <c:pt idx="214">
                  <c:v>53.5</c:v>
                </c:pt>
                <c:pt idx="215">
                  <c:v>53.75</c:v>
                </c:pt>
                <c:pt idx="216">
                  <c:v>54</c:v>
                </c:pt>
                <c:pt idx="217">
                  <c:v>54.25</c:v>
                </c:pt>
                <c:pt idx="218">
                  <c:v>54.5</c:v>
                </c:pt>
                <c:pt idx="219">
                  <c:v>54.75</c:v>
                </c:pt>
                <c:pt idx="220">
                  <c:v>55</c:v>
                </c:pt>
                <c:pt idx="221">
                  <c:v>55.25</c:v>
                </c:pt>
                <c:pt idx="222">
                  <c:v>55.5</c:v>
                </c:pt>
                <c:pt idx="223">
                  <c:v>55.75</c:v>
                </c:pt>
                <c:pt idx="224">
                  <c:v>56</c:v>
                </c:pt>
                <c:pt idx="225">
                  <c:v>56.25</c:v>
                </c:pt>
                <c:pt idx="226">
                  <c:v>56.5</c:v>
                </c:pt>
                <c:pt idx="227">
                  <c:v>56.75</c:v>
                </c:pt>
                <c:pt idx="228">
                  <c:v>57</c:v>
                </c:pt>
                <c:pt idx="229">
                  <c:v>57.25</c:v>
                </c:pt>
                <c:pt idx="230">
                  <c:v>57.5</c:v>
                </c:pt>
                <c:pt idx="231">
                  <c:v>57.75</c:v>
                </c:pt>
                <c:pt idx="232">
                  <c:v>58</c:v>
                </c:pt>
                <c:pt idx="233">
                  <c:v>58.25</c:v>
                </c:pt>
                <c:pt idx="234">
                  <c:v>58.5</c:v>
                </c:pt>
                <c:pt idx="235">
                  <c:v>58.75</c:v>
                </c:pt>
                <c:pt idx="236">
                  <c:v>59</c:v>
                </c:pt>
                <c:pt idx="237">
                  <c:v>59.25</c:v>
                </c:pt>
                <c:pt idx="238">
                  <c:v>59.5</c:v>
                </c:pt>
                <c:pt idx="239">
                  <c:v>59.75</c:v>
                </c:pt>
                <c:pt idx="240">
                  <c:v>60</c:v>
                </c:pt>
                <c:pt idx="241">
                  <c:v>60.25</c:v>
                </c:pt>
                <c:pt idx="242">
                  <c:v>60.5</c:v>
                </c:pt>
                <c:pt idx="243">
                  <c:v>60.75</c:v>
                </c:pt>
                <c:pt idx="244">
                  <c:v>61</c:v>
                </c:pt>
                <c:pt idx="245">
                  <c:v>61.25</c:v>
                </c:pt>
                <c:pt idx="246">
                  <c:v>61.5</c:v>
                </c:pt>
                <c:pt idx="247">
                  <c:v>61.75</c:v>
                </c:pt>
                <c:pt idx="248">
                  <c:v>62</c:v>
                </c:pt>
                <c:pt idx="249">
                  <c:v>62.25</c:v>
                </c:pt>
                <c:pt idx="250">
                  <c:v>62.5</c:v>
                </c:pt>
                <c:pt idx="251">
                  <c:v>62.75</c:v>
                </c:pt>
                <c:pt idx="252">
                  <c:v>63</c:v>
                </c:pt>
                <c:pt idx="253">
                  <c:v>63.25</c:v>
                </c:pt>
                <c:pt idx="254">
                  <c:v>63.5</c:v>
                </c:pt>
                <c:pt idx="255">
                  <c:v>63.75</c:v>
                </c:pt>
                <c:pt idx="256">
                  <c:v>64</c:v>
                </c:pt>
                <c:pt idx="257">
                  <c:v>64.25</c:v>
                </c:pt>
                <c:pt idx="258">
                  <c:v>64.5</c:v>
                </c:pt>
                <c:pt idx="259">
                  <c:v>64.75</c:v>
                </c:pt>
                <c:pt idx="260">
                  <c:v>65</c:v>
                </c:pt>
                <c:pt idx="261">
                  <c:v>65.25</c:v>
                </c:pt>
                <c:pt idx="262">
                  <c:v>65.5</c:v>
                </c:pt>
                <c:pt idx="263">
                  <c:v>65.75</c:v>
                </c:pt>
                <c:pt idx="264">
                  <c:v>66</c:v>
                </c:pt>
                <c:pt idx="265">
                  <c:v>66.25</c:v>
                </c:pt>
                <c:pt idx="266">
                  <c:v>66.5</c:v>
                </c:pt>
                <c:pt idx="267">
                  <c:v>66.75</c:v>
                </c:pt>
                <c:pt idx="268">
                  <c:v>67</c:v>
                </c:pt>
                <c:pt idx="269">
                  <c:v>67.25</c:v>
                </c:pt>
                <c:pt idx="270">
                  <c:v>67.5</c:v>
                </c:pt>
                <c:pt idx="271">
                  <c:v>67.75</c:v>
                </c:pt>
                <c:pt idx="272">
                  <c:v>68</c:v>
                </c:pt>
                <c:pt idx="273">
                  <c:v>68.25</c:v>
                </c:pt>
                <c:pt idx="274">
                  <c:v>68.5</c:v>
                </c:pt>
                <c:pt idx="275">
                  <c:v>68.75</c:v>
                </c:pt>
                <c:pt idx="276">
                  <c:v>69</c:v>
                </c:pt>
                <c:pt idx="277">
                  <c:v>69.25</c:v>
                </c:pt>
                <c:pt idx="278">
                  <c:v>69.5</c:v>
                </c:pt>
                <c:pt idx="279">
                  <c:v>69.75</c:v>
                </c:pt>
                <c:pt idx="280">
                  <c:v>70</c:v>
                </c:pt>
                <c:pt idx="281">
                  <c:v>70.25</c:v>
                </c:pt>
                <c:pt idx="282">
                  <c:v>70.5</c:v>
                </c:pt>
                <c:pt idx="283">
                  <c:v>70.75</c:v>
                </c:pt>
                <c:pt idx="284">
                  <c:v>71</c:v>
                </c:pt>
                <c:pt idx="285">
                  <c:v>71.25</c:v>
                </c:pt>
                <c:pt idx="286">
                  <c:v>71.5</c:v>
                </c:pt>
                <c:pt idx="287">
                  <c:v>71.75</c:v>
                </c:pt>
                <c:pt idx="288">
                  <c:v>72</c:v>
                </c:pt>
                <c:pt idx="289">
                  <c:v>72.25</c:v>
                </c:pt>
                <c:pt idx="290">
                  <c:v>72.5</c:v>
                </c:pt>
                <c:pt idx="291">
                  <c:v>72.75</c:v>
                </c:pt>
                <c:pt idx="292">
                  <c:v>73</c:v>
                </c:pt>
                <c:pt idx="293">
                  <c:v>73.25</c:v>
                </c:pt>
                <c:pt idx="294">
                  <c:v>73.5</c:v>
                </c:pt>
                <c:pt idx="295">
                  <c:v>73.75</c:v>
                </c:pt>
                <c:pt idx="296">
                  <c:v>74</c:v>
                </c:pt>
                <c:pt idx="297">
                  <c:v>74.25</c:v>
                </c:pt>
                <c:pt idx="298">
                  <c:v>74.5</c:v>
                </c:pt>
                <c:pt idx="299">
                  <c:v>74.75</c:v>
                </c:pt>
                <c:pt idx="300">
                  <c:v>75</c:v>
                </c:pt>
                <c:pt idx="301">
                  <c:v>75.25</c:v>
                </c:pt>
                <c:pt idx="302">
                  <c:v>75.5</c:v>
                </c:pt>
                <c:pt idx="303">
                  <c:v>75.75</c:v>
                </c:pt>
                <c:pt idx="304">
                  <c:v>76</c:v>
                </c:pt>
                <c:pt idx="305">
                  <c:v>76.25</c:v>
                </c:pt>
                <c:pt idx="306">
                  <c:v>76.5</c:v>
                </c:pt>
                <c:pt idx="307">
                  <c:v>76.75</c:v>
                </c:pt>
                <c:pt idx="308">
                  <c:v>77</c:v>
                </c:pt>
                <c:pt idx="309">
                  <c:v>77.25</c:v>
                </c:pt>
                <c:pt idx="310">
                  <c:v>77.5</c:v>
                </c:pt>
                <c:pt idx="311">
                  <c:v>77.75</c:v>
                </c:pt>
                <c:pt idx="312">
                  <c:v>78</c:v>
                </c:pt>
                <c:pt idx="313">
                  <c:v>78.25</c:v>
                </c:pt>
                <c:pt idx="314">
                  <c:v>78.5</c:v>
                </c:pt>
                <c:pt idx="315">
                  <c:v>78.75</c:v>
                </c:pt>
                <c:pt idx="316">
                  <c:v>79</c:v>
                </c:pt>
                <c:pt idx="317">
                  <c:v>79.25</c:v>
                </c:pt>
                <c:pt idx="318">
                  <c:v>79.5</c:v>
                </c:pt>
                <c:pt idx="319">
                  <c:v>79.75</c:v>
                </c:pt>
                <c:pt idx="320">
                  <c:v>80</c:v>
                </c:pt>
                <c:pt idx="321">
                  <c:v>80.25</c:v>
                </c:pt>
                <c:pt idx="322">
                  <c:v>80.5</c:v>
                </c:pt>
                <c:pt idx="323">
                  <c:v>80.75</c:v>
                </c:pt>
                <c:pt idx="324">
                  <c:v>81</c:v>
                </c:pt>
                <c:pt idx="325">
                  <c:v>81.25</c:v>
                </c:pt>
                <c:pt idx="326">
                  <c:v>81.5</c:v>
                </c:pt>
                <c:pt idx="327">
                  <c:v>81.75</c:v>
                </c:pt>
                <c:pt idx="328">
                  <c:v>82</c:v>
                </c:pt>
                <c:pt idx="329">
                  <c:v>82.25</c:v>
                </c:pt>
                <c:pt idx="330">
                  <c:v>82.5</c:v>
                </c:pt>
                <c:pt idx="331">
                  <c:v>82.75</c:v>
                </c:pt>
                <c:pt idx="332">
                  <c:v>83</c:v>
                </c:pt>
                <c:pt idx="333">
                  <c:v>83.25</c:v>
                </c:pt>
                <c:pt idx="334">
                  <c:v>83.5</c:v>
                </c:pt>
                <c:pt idx="335">
                  <c:v>83.75</c:v>
                </c:pt>
                <c:pt idx="336">
                  <c:v>84</c:v>
                </c:pt>
                <c:pt idx="337">
                  <c:v>84.25</c:v>
                </c:pt>
                <c:pt idx="338">
                  <c:v>84.5</c:v>
                </c:pt>
                <c:pt idx="339">
                  <c:v>84.75</c:v>
                </c:pt>
                <c:pt idx="340">
                  <c:v>85</c:v>
                </c:pt>
                <c:pt idx="341">
                  <c:v>85.25</c:v>
                </c:pt>
                <c:pt idx="342">
                  <c:v>85.5</c:v>
                </c:pt>
                <c:pt idx="343">
                  <c:v>85.75</c:v>
                </c:pt>
                <c:pt idx="344">
                  <c:v>86</c:v>
                </c:pt>
                <c:pt idx="345">
                  <c:v>86.25</c:v>
                </c:pt>
                <c:pt idx="346">
                  <c:v>86.5</c:v>
                </c:pt>
                <c:pt idx="347">
                  <c:v>86.75</c:v>
                </c:pt>
                <c:pt idx="348">
                  <c:v>87</c:v>
                </c:pt>
                <c:pt idx="349">
                  <c:v>87.25</c:v>
                </c:pt>
                <c:pt idx="350">
                  <c:v>87.5</c:v>
                </c:pt>
                <c:pt idx="351">
                  <c:v>87.75</c:v>
                </c:pt>
                <c:pt idx="352">
                  <c:v>88</c:v>
                </c:pt>
                <c:pt idx="353">
                  <c:v>88.25</c:v>
                </c:pt>
                <c:pt idx="354">
                  <c:v>88.5</c:v>
                </c:pt>
                <c:pt idx="355">
                  <c:v>88.75</c:v>
                </c:pt>
                <c:pt idx="356">
                  <c:v>89</c:v>
                </c:pt>
                <c:pt idx="357">
                  <c:v>89.25</c:v>
                </c:pt>
                <c:pt idx="358">
                  <c:v>89.5</c:v>
                </c:pt>
                <c:pt idx="359">
                  <c:v>89.75</c:v>
                </c:pt>
                <c:pt idx="360">
                  <c:v>90</c:v>
                </c:pt>
                <c:pt idx="361">
                  <c:v>90.25</c:v>
                </c:pt>
                <c:pt idx="362">
                  <c:v>90.5</c:v>
                </c:pt>
                <c:pt idx="363">
                  <c:v>90.75</c:v>
                </c:pt>
                <c:pt idx="364">
                  <c:v>91</c:v>
                </c:pt>
                <c:pt idx="365">
                  <c:v>91.25</c:v>
                </c:pt>
                <c:pt idx="366">
                  <c:v>91.5</c:v>
                </c:pt>
                <c:pt idx="367">
                  <c:v>91.75</c:v>
                </c:pt>
                <c:pt idx="368">
                  <c:v>92</c:v>
                </c:pt>
                <c:pt idx="369">
                  <c:v>92.25</c:v>
                </c:pt>
                <c:pt idx="370">
                  <c:v>92.5</c:v>
                </c:pt>
                <c:pt idx="371">
                  <c:v>92.75</c:v>
                </c:pt>
                <c:pt idx="372">
                  <c:v>93</c:v>
                </c:pt>
                <c:pt idx="373">
                  <c:v>93.25</c:v>
                </c:pt>
                <c:pt idx="374">
                  <c:v>93.5</c:v>
                </c:pt>
                <c:pt idx="375">
                  <c:v>93.75</c:v>
                </c:pt>
                <c:pt idx="376">
                  <c:v>94</c:v>
                </c:pt>
                <c:pt idx="377">
                  <c:v>94.25</c:v>
                </c:pt>
                <c:pt idx="378">
                  <c:v>94.5</c:v>
                </c:pt>
                <c:pt idx="379">
                  <c:v>94.75</c:v>
                </c:pt>
                <c:pt idx="380">
                  <c:v>95</c:v>
                </c:pt>
                <c:pt idx="381">
                  <c:v>95.25</c:v>
                </c:pt>
                <c:pt idx="382">
                  <c:v>95.5</c:v>
                </c:pt>
                <c:pt idx="383">
                  <c:v>95.75</c:v>
                </c:pt>
                <c:pt idx="384">
                  <c:v>96</c:v>
                </c:pt>
                <c:pt idx="385">
                  <c:v>96.25</c:v>
                </c:pt>
                <c:pt idx="386">
                  <c:v>96.5</c:v>
                </c:pt>
                <c:pt idx="387">
                  <c:v>96.75</c:v>
                </c:pt>
                <c:pt idx="388">
                  <c:v>97</c:v>
                </c:pt>
                <c:pt idx="389">
                  <c:v>97.25</c:v>
                </c:pt>
                <c:pt idx="390">
                  <c:v>97.5</c:v>
                </c:pt>
                <c:pt idx="391">
                  <c:v>97.75</c:v>
                </c:pt>
                <c:pt idx="392">
                  <c:v>98</c:v>
                </c:pt>
                <c:pt idx="393">
                  <c:v>98.25</c:v>
                </c:pt>
                <c:pt idx="394">
                  <c:v>98.5</c:v>
                </c:pt>
                <c:pt idx="395">
                  <c:v>98.75</c:v>
                </c:pt>
                <c:pt idx="396">
                  <c:v>99</c:v>
                </c:pt>
                <c:pt idx="397">
                  <c:v>99.25</c:v>
                </c:pt>
                <c:pt idx="398">
                  <c:v>99.5</c:v>
                </c:pt>
                <c:pt idx="399">
                  <c:v>99.75</c:v>
                </c:pt>
                <c:pt idx="400">
                  <c:v>100</c:v>
                </c:pt>
                <c:pt idx="401">
                  <c:v>100.25</c:v>
                </c:pt>
                <c:pt idx="402">
                  <c:v>100.5</c:v>
                </c:pt>
                <c:pt idx="403">
                  <c:v>100.75</c:v>
                </c:pt>
                <c:pt idx="404">
                  <c:v>101</c:v>
                </c:pt>
                <c:pt idx="405">
                  <c:v>101.25</c:v>
                </c:pt>
                <c:pt idx="406">
                  <c:v>101.5</c:v>
                </c:pt>
                <c:pt idx="407">
                  <c:v>101.75</c:v>
                </c:pt>
                <c:pt idx="408">
                  <c:v>102</c:v>
                </c:pt>
                <c:pt idx="409">
                  <c:v>102.25</c:v>
                </c:pt>
                <c:pt idx="410">
                  <c:v>102.5</c:v>
                </c:pt>
                <c:pt idx="411">
                  <c:v>102.75</c:v>
                </c:pt>
                <c:pt idx="412">
                  <c:v>103</c:v>
                </c:pt>
                <c:pt idx="413">
                  <c:v>103.25</c:v>
                </c:pt>
                <c:pt idx="414">
                  <c:v>103.5</c:v>
                </c:pt>
                <c:pt idx="415">
                  <c:v>103.75</c:v>
                </c:pt>
                <c:pt idx="416">
                  <c:v>104</c:v>
                </c:pt>
                <c:pt idx="417">
                  <c:v>104.25</c:v>
                </c:pt>
                <c:pt idx="418">
                  <c:v>104.5</c:v>
                </c:pt>
                <c:pt idx="419">
                  <c:v>104.75</c:v>
                </c:pt>
                <c:pt idx="420">
                  <c:v>105</c:v>
                </c:pt>
                <c:pt idx="421">
                  <c:v>105.25</c:v>
                </c:pt>
                <c:pt idx="422">
                  <c:v>105.5</c:v>
                </c:pt>
                <c:pt idx="423">
                  <c:v>105.75</c:v>
                </c:pt>
                <c:pt idx="424">
                  <c:v>106</c:v>
                </c:pt>
                <c:pt idx="425">
                  <c:v>106.25</c:v>
                </c:pt>
                <c:pt idx="426">
                  <c:v>106.5</c:v>
                </c:pt>
                <c:pt idx="427">
                  <c:v>106.75</c:v>
                </c:pt>
                <c:pt idx="428">
                  <c:v>107</c:v>
                </c:pt>
                <c:pt idx="429">
                  <c:v>107.25</c:v>
                </c:pt>
                <c:pt idx="430">
                  <c:v>107.5</c:v>
                </c:pt>
                <c:pt idx="431">
                  <c:v>107.75</c:v>
                </c:pt>
                <c:pt idx="432">
                  <c:v>108</c:v>
                </c:pt>
                <c:pt idx="433">
                  <c:v>108.25</c:v>
                </c:pt>
                <c:pt idx="434">
                  <c:v>108.5</c:v>
                </c:pt>
                <c:pt idx="435">
                  <c:v>108.75</c:v>
                </c:pt>
                <c:pt idx="436">
                  <c:v>109</c:v>
                </c:pt>
                <c:pt idx="437">
                  <c:v>109.25</c:v>
                </c:pt>
                <c:pt idx="438">
                  <c:v>109.5</c:v>
                </c:pt>
                <c:pt idx="439">
                  <c:v>109.75</c:v>
                </c:pt>
                <c:pt idx="440">
                  <c:v>110</c:v>
                </c:pt>
                <c:pt idx="441">
                  <c:v>110.25</c:v>
                </c:pt>
                <c:pt idx="442">
                  <c:v>110.5</c:v>
                </c:pt>
                <c:pt idx="443">
                  <c:v>110.75</c:v>
                </c:pt>
                <c:pt idx="444">
                  <c:v>111</c:v>
                </c:pt>
                <c:pt idx="445">
                  <c:v>111.25</c:v>
                </c:pt>
                <c:pt idx="446">
                  <c:v>111.5</c:v>
                </c:pt>
                <c:pt idx="447">
                  <c:v>111.75</c:v>
                </c:pt>
                <c:pt idx="448">
                  <c:v>112</c:v>
                </c:pt>
                <c:pt idx="449">
                  <c:v>112.25</c:v>
                </c:pt>
                <c:pt idx="450">
                  <c:v>112.5</c:v>
                </c:pt>
                <c:pt idx="451">
                  <c:v>112.75</c:v>
                </c:pt>
                <c:pt idx="452">
                  <c:v>113</c:v>
                </c:pt>
                <c:pt idx="453">
                  <c:v>113.25</c:v>
                </c:pt>
                <c:pt idx="454">
                  <c:v>113.5</c:v>
                </c:pt>
                <c:pt idx="455">
                  <c:v>113.75</c:v>
                </c:pt>
                <c:pt idx="456">
                  <c:v>114</c:v>
                </c:pt>
                <c:pt idx="457">
                  <c:v>114.25</c:v>
                </c:pt>
                <c:pt idx="458">
                  <c:v>114.5</c:v>
                </c:pt>
                <c:pt idx="459">
                  <c:v>114.75</c:v>
                </c:pt>
                <c:pt idx="460">
                  <c:v>115</c:v>
                </c:pt>
                <c:pt idx="461">
                  <c:v>115.25</c:v>
                </c:pt>
                <c:pt idx="462">
                  <c:v>115.5</c:v>
                </c:pt>
                <c:pt idx="463">
                  <c:v>115.75</c:v>
                </c:pt>
                <c:pt idx="464">
                  <c:v>116</c:v>
                </c:pt>
                <c:pt idx="465">
                  <c:v>116.25</c:v>
                </c:pt>
                <c:pt idx="466">
                  <c:v>116.5</c:v>
                </c:pt>
                <c:pt idx="467">
                  <c:v>116.75</c:v>
                </c:pt>
                <c:pt idx="468">
                  <c:v>117</c:v>
                </c:pt>
                <c:pt idx="469">
                  <c:v>117.25</c:v>
                </c:pt>
                <c:pt idx="470">
                  <c:v>117.5</c:v>
                </c:pt>
                <c:pt idx="471">
                  <c:v>117.75</c:v>
                </c:pt>
                <c:pt idx="472">
                  <c:v>118</c:v>
                </c:pt>
                <c:pt idx="473">
                  <c:v>118.25</c:v>
                </c:pt>
                <c:pt idx="474">
                  <c:v>118.5</c:v>
                </c:pt>
                <c:pt idx="475">
                  <c:v>118.75</c:v>
                </c:pt>
                <c:pt idx="476">
                  <c:v>119</c:v>
                </c:pt>
                <c:pt idx="477">
                  <c:v>119.25</c:v>
                </c:pt>
                <c:pt idx="478">
                  <c:v>119.5</c:v>
                </c:pt>
                <c:pt idx="479">
                  <c:v>119.75</c:v>
                </c:pt>
                <c:pt idx="480">
                  <c:v>120</c:v>
                </c:pt>
                <c:pt idx="481">
                  <c:v>120.25</c:v>
                </c:pt>
                <c:pt idx="482">
                  <c:v>120.5</c:v>
                </c:pt>
                <c:pt idx="483">
                  <c:v>120.75</c:v>
                </c:pt>
                <c:pt idx="484">
                  <c:v>121</c:v>
                </c:pt>
                <c:pt idx="485">
                  <c:v>121.25</c:v>
                </c:pt>
                <c:pt idx="486">
                  <c:v>121.5</c:v>
                </c:pt>
                <c:pt idx="487">
                  <c:v>121.75</c:v>
                </c:pt>
                <c:pt idx="488">
                  <c:v>122</c:v>
                </c:pt>
                <c:pt idx="489">
                  <c:v>122.25</c:v>
                </c:pt>
                <c:pt idx="490">
                  <c:v>122.5</c:v>
                </c:pt>
                <c:pt idx="491">
                  <c:v>122.75</c:v>
                </c:pt>
                <c:pt idx="492">
                  <c:v>123</c:v>
                </c:pt>
                <c:pt idx="493">
                  <c:v>123.25</c:v>
                </c:pt>
                <c:pt idx="494">
                  <c:v>123.5</c:v>
                </c:pt>
                <c:pt idx="495">
                  <c:v>123.75</c:v>
                </c:pt>
                <c:pt idx="496">
                  <c:v>124</c:v>
                </c:pt>
                <c:pt idx="497">
                  <c:v>124.25</c:v>
                </c:pt>
                <c:pt idx="498">
                  <c:v>124.5</c:v>
                </c:pt>
                <c:pt idx="499">
                  <c:v>124.75</c:v>
                </c:pt>
                <c:pt idx="500">
                  <c:v>125</c:v>
                </c:pt>
                <c:pt idx="501">
                  <c:v>125.25</c:v>
                </c:pt>
                <c:pt idx="502">
                  <c:v>125.5</c:v>
                </c:pt>
                <c:pt idx="503">
                  <c:v>125.75</c:v>
                </c:pt>
                <c:pt idx="504">
                  <c:v>126</c:v>
                </c:pt>
                <c:pt idx="505">
                  <c:v>126.25</c:v>
                </c:pt>
                <c:pt idx="506">
                  <c:v>126.5</c:v>
                </c:pt>
                <c:pt idx="507">
                  <c:v>126.75</c:v>
                </c:pt>
                <c:pt idx="508">
                  <c:v>127</c:v>
                </c:pt>
                <c:pt idx="509">
                  <c:v>127.25</c:v>
                </c:pt>
                <c:pt idx="510">
                  <c:v>127.5</c:v>
                </c:pt>
                <c:pt idx="511">
                  <c:v>127.75</c:v>
                </c:pt>
                <c:pt idx="512">
                  <c:v>128</c:v>
                </c:pt>
                <c:pt idx="513">
                  <c:v>128.25</c:v>
                </c:pt>
                <c:pt idx="514">
                  <c:v>128.5</c:v>
                </c:pt>
                <c:pt idx="515">
                  <c:v>128.75</c:v>
                </c:pt>
                <c:pt idx="516">
                  <c:v>129</c:v>
                </c:pt>
                <c:pt idx="517">
                  <c:v>129.25</c:v>
                </c:pt>
                <c:pt idx="518">
                  <c:v>129.5</c:v>
                </c:pt>
                <c:pt idx="519">
                  <c:v>129.75</c:v>
                </c:pt>
                <c:pt idx="520">
                  <c:v>130</c:v>
                </c:pt>
                <c:pt idx="521">
                  <c:v>130.25</c:v>
                </c:pt>
                <c:pt idx="522">
                  <c:v>130.5</c:v>
                </c:pt>
                <c:pt idx="523">
                  <c:v>130.75</c:v>
                </c:pt>
                <c:pt idx="524">
                  <c:v>131</c:v>
                </c:pt>
                <c:pt idx="525">
                  <c:v>131.25</c:v>
                </c:pt>
                <c:pt idx="526">
                  <c:v>131.5</c:v>
                </c:pt>
                <c:pt idx="527">
                  <c:v>131.75</c:v>
                </c:pt>
                <c:pt idx="528">
                  <c:v>132</c:v>
                </c:pt>
                <c:pt idx="529">
                  <c:v>132.25</c:v>
                </c:pt>
                <c:pt idx="530">
                  <c:v>132.5</c:v>
                </c:pt>
                <c:pt idx="531">
                  <c:v>132.75</c:v>
                </c:pt>
                <c:pt idx="532">
                  <c:v>133</c:v>
                </c:pt>
                <c:pt idx="533">
                  <c:v>133.25</c:v>
                </c:pt>
                <c:pt idx="534">
                  <c:v>133.5</c:v>
                </c:pt>
                <c:pt idx="535">
                  <c:v>133.75</c:v>
                </c:pt>
                <c:pt idx="536">
                  <c:v>134</c:v>
                </c:pt>
                <c:pt idx="537">
                  <c:v>134.25</c:v>
                </c:pt>
                <c:pt idx="538">
                  <c:v>134.5</c:v>
                </c:pt>
                <c:pt idx="539">
                  <c:v>134.75</c:v>
                </c:pt>
                <c:pt idx="540">
                  <c:v>135</c:v>
                </c:pt>
                <c:pt idx="541">
                  <c:v>135.25</c:v>
                </c:pt>
                <c:pt idx="542">
                  <c:v>135.5</c:v>
                </c:pt>
                <c:pt idx="543">
                  <c:v>135.75</c:v>
                </c:pt>
                <c:pt idx="544">
                  <c:v>136</c:v>
                </c:pt>
                <c:pt idx="545">
                  <c:v>136.25</c:v>
                </c:pt>
                <c:pt idx="546">
                  <c:v>136.5</c:v>
                </c:pt>
                <c:pt idx="547">
                  <c:v>136.75</c:v>
                </c:pt>
                <c:pt idx="548">
                  <c:v>137</c:v>
                </c:pt>
                <c:pt idx="549">
                  <c:v>137.25</c:v>
                </c:pt>
                <c:pt idx="550">
                  <c:v>137.5</c:v>
                </c:pt>
                <c:pt idx="551">
                  <c:v>137.75</c:v>
                </c:pt>
                <c:pt idx="552">
                  <c:v>138</c:v>
                </c:pt>
                <c:pt idx="553">
                  <c:v>138.25</c:v>
                </c:pt>
                <c:pt idx="554">
                  <c:v>138.5</c:v>
                </c:pt>
                <c:pt idx="555">
                  <c:v>138.75</c:v>
                </c:pt>
                <c:pt idx="556">
                  <c:v>139</c:v>
                </c:pt>
                <c:pt idx="557">
                  <c:v>139.25</c:v>
                </c:pt>
                <c:pt idx="558">
                  <c:v>139.5</c:v>
                </c:pt>
                <c:pt idx="559">
                  <c:v>139.75</c:v>
                </c:pt>
                <c:pt idx="560">
                  <c:v>140</c:v>
                </c:pt>
                <c:pt idx="561">
                  <c:v>140.25</c:v>
                </c:pt>
                <c:pt idx="562">
                  <c:v>140.5</c:v>
                </c:pt>
                <c:pt idx="563">
                  <c:v>140.75</c:v>
                </c:pt>
                <c:pt idx="564">
                  <c:v>141</c:v>
                </c:pt>
                <c:pt idx="565">
                  <c:v>141.25</c:v>
                </c:pt>
                <c:pt idx="566">
                  <c:v>141.5</c:v>
                </c:pt>
                <c:pt idx="567">
                  <c:v>141.75</c:v>
                </c:pt>
                <c:pt idx="568">
                  <c:v>142</c:v>
                </c:pt>
                <c:pt idx="569">
                  <c:v>142.25</c:v>
                </c:pt>
                <c:pt idx="570">
                  <c:v>142.5</c:v>
                </c:pt>
                <c:pt idx="571">
                  <c:v>142.75</c:v>
                </c:pt>
                <c:pt idx="572">
                  <c:v>143</c:v>
                </c:pt>
                <c:pt idx="573">
                  <c:v>143.25</c:v>
                </c:pt>
                <c:pt idx="574">
                  <c:v>143.5</c:v>
                </c:pt>
                <c:pt idx="575">
                  <c:v>143.75</c:v>
                </c:pt>
                <c:pt idx="576">
                  <c:v>144</c:v>
                </c:pt>
                <c:pt idx="577">
                  <c:v>144.25</c:v>
                </c:pt>
                <c:pt idx="578">
                  <c:v>144.5</c:v>
                </c:pt>
                <c:pt idx="579">
                  <c:v>144.75</c:v>
                </c:pt>
                <c:pt idx="580">
                  <c:v>145</c:v>
                </c:pt>
                <c:pt idx="581">
                  <c:v>145.25</c:v>
                </c:pt>
                <c:pt idx="582">
                  <c:v>145.5</c:v>
                </c:pt>
                <c:pt idx="583">
                  <c:v>145.75</c:v>
                </c:pt>
                <c:pt idx="584">
                  <c:v>146</c:v>
                </c:pt>
                <c:pt idx="585">
                  <c:v>146.25</c:v>
                </c:pt>
                <c:pt idx="586">
                  <c:v>146.5</c:v>
                </c:pt>
                <c:pt idx="587">
                  <c:v>146.75</c:v>
                </c:pt>
                <c:pt idx="588">
                  <c:v>147</c:v>
                </c:pt>
                <c:pt idx="589">
                  <c:v>147.25</c:v>
                </c:pt>
                <c:pt idx="590">
                  <c:v>147.5</c:v>
                </c:pt>
                <c:pt idx="591">
                  <c:v>147.75</c:v>
                </c:pt>
                <c:pt idx="592">
                  <c:v>148</c:v>
                </c:pt>
                <c:pt idx="593">
                  <c:v>148.25</c:v>
                </c:pt>
                <c:pt idx="594">
                  <c:v>148.5</c:v>
                </c:pt>
                <c:pt idx="595">
                  <c:v>148.75</c:v>
                </c:pt>
                <c:pt idx="596">
                  <c:v>149</c:v>
                </c:pt>
                <c:pt idx="597">
                  <c:v>149.25</c:v>
                </c:pt>
                <c:pt idx="598">
                  <c:v>149.5</c:v>
                </c:pt>
                <c:pt idx="599">
                  <c:v>149.75</c:v>
                </c:pt>
                <c:pt idx="600">
                  <c:v>150</c:v>
                </c:pt>
                <c:pt idx="601">
                  <c:v>150.25</c:v>
                </c:pt>
                <c:pt idx="602">
                  <c:v>150.5</c:v>
                </c:pt>
                <c:pt idx="603">
                  <c:v>150.75</c:v>
                </c:pt>
                <c:pt idx="604">
                  <c:v>151</c:v>
                </c:pt>
                <c:pt idx="605">
                  <c:v>151.25</c:v>
                </c:pt>
                <c:pt idx="606">
                  <c:v>151.5</c:v>
                </c:pt>
                <c:pt idx="607">
                  <c:v>151.75</c:v>
                </c:pt>
                <c:pt idx="608">
                  <c:v>152</c:v>
                </c:pt>
                <c:pt idx="609">
                  <c:v>152.25</c:v>
                </c:pt>
                <c:pt idx="610">
                  <c:v>152.5</c:v>
                </c:pt>
                <c:pt idx="611">
                  <c:v>152.75</c:v>
                </c:pt>
                <c:pt idx="612">
                  <c:v>153</c:v>
                </c:pt>
                <c:pt idx="613">
                  <c:v>153.25</c:v>
                </c:pt>
                <c:pt idx="614">
                  <c:v>153.5</c:v>
                </c:pt>
                <c:pt idx="615">
                  <c:v>153.75</c:v>
                </c:pt>
                <c:pt idx="616">
                  <c:v>154</c:v>
                </c:pt>
                <c:pt idx="617">
                  <c:v>154.25</c:v>
                </c:pt>
                <c:pt idx="618">
                  <c:v>154.5</c:v>
                </c:pt>
                <c:pt idx="619">
                  <c:v>154.75</c:v>
                </c:pt>
                <c:pt idx="620">
                  <c:v>155</c:v>
                </c:pt>
                <c:pt idx="621">
                  <c:v>155.25</c:v>
                </c:pt>
                <c:pt idx="622">
                  <c:v>155.5</c:v>
                </c:pt>
                <c:pt idx="623">
                  <c:v>155.75</c:v>
                </c:pt>
                <c:pt idx="624">
                  <c:v>156</c:v>
                </c:pt>
                <c:pt idx="625">
                  <c:v>156.25</c:v>
                </c:pt>
                <c:pt idx="626">
                  <c:v>156.5</c:v>
                </c:pt>
                <c:pt idx="627">
                  <c:v>156.75</c:v>
                </c:pt>
                <c:pt idx="628">
                  <c:v>157</c:v>
                </c:pt>
                <c:pt idx="629">
                  <c:v>157.25</c:v>
                </c:pt>
                <c:pt idx="630">
                  <c:v>157.5</c:v>
                </c:pt>
                <c:pt idx="631">
                  <c:v>157.75</c:v>
                </c:pt>
                <c:pt idx="632">
                  <c:v>158</c:v>
                </c:pt>
                <c:pt idx="633">
                  <c:v>158.25</c:v>
                </c:pt>
                <c:pt idx="634">
                  <c:v>158.5</c:v>
                </c:pt>
                <c:pt idx="635">
                  <c:v>158.75</c:v>
                </c:pt>
                <c:pt idx="636">
                  <c:v>159</c:v>
                </c:pt>
                <c:pt idx="637">
                  <c:v>159.25</c:v>
                </c:pt>
                <c:pt idx="638">
                  <c:v>159.5</c:v>
                </c:pt>
                <c:pt idx="639">
                  <c:v>159.75</c:v>
                </c:pt>
                <c:pt idx="640">
                  <c:v>160</c:v>
                </c:pt>
                <c:pt idx="641">
                  <c:v>160.25</c:v>
                </c:pt>
                <c:pt idx="642">
                  <c:v>160.5</c:v>
                </c:pt>
                <c:pt idx="643">
                  <c:v>160.75</c:v>
                </c:pt>
                <c:pt idx="644">
                  <c:v>161</c:v>
                </c:pt>
                <c:pt idx="645">
                  <c:v>161.25</c:v>
                </c:pt>
                <c:pt idx="646">
                  <c:v>161.5</c:v>
                </c:pt>
                <c:pt idx="647">
                  <c:v>161.75</c:v>
                </c:pt>
                <c:pt idx="648">
                  <c:v>162</c:v>
                </c:pt>
                <c:pt idx="649">
                  <c:v>162.25</c:v>
                </c:pt>
                <c:pt idx="650">
                  <c:v>162.5</c:v>
                </c:pt>
                <c:pt idx="651">
                  <c:v>162.75</c:v>
                </c:pt>
                <c:pt idx="652">
                  <c:v>163</c:v>
                </c:pt>
                <c:pt idx="653">
                  <c:v>163.25</c:v>
                </c:pt>
                <c:pt idx="654">
                  <c:v>163.5</c:v>
                </c:pt>
                <c:pt idx="655">
                  <c:v>163.75</c:v>
                </c:pt>
                <c:pt idx="656">
                  <c:v>164</c:v>
                </c:pt>
                <c:pt idx="657">
                  <c:v>164.25</c:v>
                </c:pt>
                <c:pt idx="658">
                  <c:v>164.5</c:v>
                </c:pt>
                <c:pt idx="659">
                  <c:v>164.75</c:v>
                </c:pt>
                <c:pt idx="660">
                  <c:v>165</c:v>
                </c:pt>
                <c:pt idx="661">
                  <c:v>165.25</c:v>
                </c:pt>
                <c:pt idx="662">
                  <c:v>165.5</c:v>
                </c:pt>
                <c:pt idx="663">
                  <c:v>165.75</c:v>
                </c:pt>
                <c:pt idx="664">
                  <c:v>166</c:v>
                </c:pt>
                <c:pt idx="665">
                  <c:v>166.25</c:v>
                </c:pt>
                <c:pt idx="666">
                  <c:v>166.5</c:v>
                </c:pt>
                <c:pt idx="667">
                  <c:v>166.75</c:v>
                </c:pt>
                <c:pt idx="668">
                  <c:v>167</c:v>
                </c:pt>
                <c:pt idx="669">
                  <c:v>167.25</c:v>
                </c:pt>
                <c:pt idx="670">
                  <c:v>167.5</c:v>
                </c:pt>
                <c:pt idx="671">
                  <c:v>167.75</c:v>
                </c:pt>
                <c:pt idx="672">
                  <c:v>168</c:v>
                </c:pt>
                <c:pt idx="673">
                  <c:v>168.25</c:v>
                </c:pt>
                <c:pt idx="674">
                  <c:v>168.5</c:v>
                </c:pt>
                <c:pt idx="675">
                  <c:v>168.75</c:v>
                </c:pt>
                <c:pt idx="676">
                  <c:v>169</c:v>
                </c:pt>
                <c:pt idx="677">
                  <c:v>169.25</c:v>
                </c:pt>
                <c:pt idx="678">
                  <c:v>169.5</c:v>
                </c:pt>
                <c:pt idx="679">
                  <c:v>169.75</c:v>
                </c:pt>
                <c:pt idx="680">
                  <c:v>170</c:v>
                </c:pt>
                <c:pt idx="681">
                  <c:v>170.25</c:v>
                </c:pt>
                <c:pt idx="682">
                  <c:v>170.5</c:v>
                </c:pt>
                <c:pt idx="683">
                  <c:v>170.75</c:v>
                </c:pt>
                <c:pt idx="684">
                  <c:v>171</c:v>
                </c:pt>
                <c:pt idx="685">
                  <c:v>171.25</c:v>
                </c:pt>
                <c:pt idx="686">
                  <c:v>171.5</c:v>
                </c:pt>
                <c:pt idx="687">
                  <c:v>171.75</c:v>
                </c:pt>
                <c:pt idx="688">
                  <c:v>172</c:v>
                </c:pt>
                <c:pt idx="689">
                  <c:v>172.25</c:v>
                </c:pt>
                <c:pt idx="690">
                  <c:v>172.5</c:v>
                </c:pt>
                <c:pt idx="691">
                  <c:v>172.75</c:v>
                </c:pt>
                <c:pt idx="692">
                  <c:v>173</c:v>
                </c:pt>
                <c:pt idx="693">
                  <c:v>173.25</c:v>
                </c:pt>
                <c:pt idx="694">
                  <c:v>173.5</c:v>
                </c:pt>
                <c:pt idx="695">
                  <c:v>173.75</c:v>
                </c:pt>
                <c:pt idx="696">
                  <c:v>174</c:v>
                </c:pt>
                <c:pt idx="697">
                  <c:v>174.25</c:v>
                </c:pt>
                <c:pt idx="698">
                  <c:v>174.5</c:v>
                </c:pt>
                <c:pt idx="699">
                  <c:v>174.75</c:v>
                </c:pt>
                <c:pt idx="700">
                  <c:v>175</c:v>
                </c:pt>
                <c:pt idx="701">
                  <c:v>175.25</c:v>
                </c:pt>
                <c:pt idx="702">
                  <c:v>175.5</c:v>
                </c:pt>
                <c:pt idx="703">
                  <c:v>175.75</c:v>
                </c:pt>
                <c:pt idx="704">
                  <c:v>176</c:v>
                </c:pt>
                <c:pt idx="705">
                  <c:v>176.25</c:v>
                </c:pt>
                <c:pt idx="706">
                  <c:v>176.5</c:v>
                </c:pt>
                <c:pt idx="707">
                  <c:v>176.75</c:v>
                </c:pt>
                <c:pt idx="708">
                  <c:v>177</c:v>
                </c:pt>
                <c:pt idx="709">
                  <c:v>177.25</c:v>
                </c:pt>
                <c:pt idx="710">
                  <c:v>177.5</c:v>
                </c:pt>
                <c:pt idx="711">
                  <c:v>177.75</c:v>
                </c:pt>
                <c:pt idx="712">
                  <c:v>178</c:v>
                </c:pt>
                <c:pt idx="713">
                  <c:v>178.25</c:v>
                </c:pt>
                <c:pt idx="714">
                  <c:v>178.5</c:v>
                </c:pt>
                <c:pt idx="715">
                  <c:v>178.75</c:v>
                </c:pt>
                <c:pt idx="716">
                  <c:v>179</c:v>
                </c:pt>
                <c:pt idx="717">
                  <c:v>179.25</c:v>
                </c:pt>
                <c:pt idx="718">
                  <c:v>179.5</c:v>
                </c:pt>
                <c:pt idx="719">
                  <c:v>179.75</c:v>
                </c:pt>
                <c:pt idx="720">
                  <c:v>180</c:v>
                </c:pt>
                <c:pt idx="721">
                  <c:v>180.25</c:v>
                </c:pt>
                <c:pt idx="722">
                  <c:v>180.5</c:v>
                </c:pt>
                <c:pt idx="723">
                  <c:v>180.75</c:v>
                </c:pt>
                <c:pt idx="724">
                  <c:v>181</c:v>
                </c:pt>
                <c:pt idx="725">
                  <c:v>181.25</c:v>
                </c:pt>
                <c:pt idx="726">
                  <c:v>181.5</c:v>
                </c:pt>
                <c:pt idx="727">
                  <c:v>181.75</c:v>
                </c:pt>
                <c:pt idx="728">
                  <c:v>182</c:v>
                </c:pt>
                <c:pt idx="729">
                  <c:v>182.25</c:v>
                </c:pt>
                <c:pt idx="730">
                  <c:v>182.5</c:v>
                </c:pt>
                <c:pt idx="731">
                  <c:v>182.75</c:v>
                </c:pt>
                <c:pt idx="732">
                  <c:v>183</c:v>
                </c:pt>
                <c:pt idx="733">
                  <c:v>183.25</c:v>
                </c:pt>
                <c:pt idx="734">
                  <c:v>183.5</c:v>
                </c:pt>
                <c:pt idx="735">
                  <c:v>183.75</c:v>
                </c:pt>
                <c:pt idx="736">
                  <c:v>184</c:v>
                </c:pt>
                <c:pt idx="737">
                  <c:v>184.25</c:v>
                </c:pt>
                <c:pt idx="738">
                  <c:v>184.5</c:v>
                </c:pt>
                <c:pt idx="739">
                  <c:v>184.75</c:v>
                </c:pt>
                <c:pt idx="740">
                  <c:v>185</c:v>
                </c:pt>
                <c:pt idx="741">
                  <c:v>185.25</c:v>
                </c:pt>
                <c:pt idx="742">
                  <c:v>185.5</c:v>
                </c:pt>
                <c:pt idx="743">
                  <c:v>185.75</c:v>
                </c:pt>
                <c:pt idx="744">
                  <c:v>186</c:v>
                </c:pt>
                <c:pt idx="745">
                  <c:v>186.25</c:v>
                </c:pt>
                <c:pt idx="746">
                  <c:v>186.5</c:v>
                </c:pt>
                <c:pt idx="747">
                  <c:v>186.75</c:v>
                </c:pt>
                <c:pt idx="748">
                  <c:v>187</c:v>
                </c:pt>
                <c:pt idx="749">
                  <c:v>187.25</c:v>
                </c:pt>
                <c:pt idx="750">
                  <c:v>187.5</c:v>
                </c:pt>
                <c:pt idx="751">
                  <c:v>187.75</c:v>
                </c:pt>
                <c:pt idx="752">
                  <c:v>188</c:v>
                </c:pt>
                <c:pt idx="753">
                  <c:v>188.25</c:v>
                </c:pt>
                <c:pt idx="754">
                  <c:v>188.5</c:v>
                </c:pt>
                <c:pt idx="755">
                  <c:v>188.75</c:v>
                </c:pt>
                <c:pt idx="756">
                  <c:v>189</c:v>
                </c:pt>
                <c:pt idx="757">
                  <c:v>189.25</c:v>
                </c:pt>
                <c:pt idx="758">
                  <c:v>189.5</c:v>
                </c:pt>
                <c:pt idx="759">
                  <c:v>189.75</c:v>
                </c:pt>
                <c:pt idx="760">
                  <c:v>190</c:v>
                </c:pt>
                <c:pt idx="761">
                  <c:v>190.25</c:v>
                </c:pt>
                <c:pt idx="762">
                  <c:v>190.5</c:v>
                </c:pt>
                <c:pt idx="763">
                  <c:v>190.75</c:v>
                </c:pt>
                <c:pt idx="764">
                  <c:v>191</c:v>
                </c:pt>
                <c:pt idx="765">
                  <c:v>191.25</c:v>
                </c:pt>
                <c:pt idx="766">
                  <c:v>191.5</c:v>
                </c:pt>
                <c:pt idx="767">
                  <c:v>191.75</c:v>
                </c:pt>
                <c:pt idx="768">
                  <c:v>192</c:v>
                </c:pt>
                <c:pt idx="769">
                  <c:v>192.25</c:v>
                </c:pt>
                <c:pt idx="770">
                  <c:v>192.5</c:v>
                </c:pt>
                <c:pt idx="771">
                  <c:v>192.75</c:v>
                </c:pt>
                <c:pt idx="772">
                  <c:v>193</c:v>
                </c:pt>
                <c:pt idx="773">
                  <c:v>193.25</c:v>
                </c:pt>
                <c:pt idx="774">
                  <c:v>193.5</c:v>
                </c:pt>
                <c:pt idx="775">
                  <c:v>193.75</c:v>
                </c:pt>
                <c:pt idx="776">
                  <c:v>194</c:v>
                </c:pt>
                <c:pt idx="777">
                  <c:v>194.25</c:v>
                </c:pt>
                <c:pt idx="778">
                  <c:v>194.5</c:v>
                </c:pt>
                <c:pt idx="779">
                  <c:v>194.75</c:v>
                </c:pt>
                <c:pt idx="780">
                  <c:v>195</c:v>
                </c:pt>
                <c:pt idx="781">
                  <c:v>195.25</c:v>
                </c:pt>
                <c:pt idx="782">
                  <c:v>195.5</c:v>
                </c:pt>
                <c:pt idx="783">
                  <c:v>195.75</c:v>
                </c:pt>
                <c:pt idx="784">
                  <c:v>196</c:v>
                </c:pt>
                <c:pt idx="785">
                  <c:v>196.25</c:v>
                </c:pt>
                <c:pt idx="786">
                  <c:v>196.5</c:v>
                </c:pt>
                <c:pt idx="787">
                  <c:v>196.75</c:v>
                </c:pt>
                <c:pt idx="788">
                  <c:v>197</c:v>
                </c:pt>
                <c:pt idx="789">
                  <c:v>197.25</c:v>
                </c:pt>
                <c:pt idx="790">
                  <c:v>197.5</c:v>
                </c:pt>
                <c:pt idx="791">
                  <c:v>197.75</c:v>
                </c:pt>
                <c:pt idx="792">
                  <c:v>198</c:v>
                </c:pt>
                <c:pt idx="793">
                  <c:v>198.25</c:v>
                </c:pt>
                <c:pt idx="794">
                  <c:v>198.5</c:v>
                </c:pt>
                <c:pt idx="795">
                  <c:v>198.75</c:v>
                </c:pt>
                <c:pt idx="796">
                  <c:v>199</c:v>
                </c:pt>
                <c:pt idx="797">
                  <c:v>199.25</c:v>
                </c:pt>
                <c:pt idx="798">
                  <c:v>199.5</c:v>
                </c:pt>
                <c:pt idx="799">
                  <c:v>199.75</c:v>
                </c:pt>
                <c:pt idx="800">
                  <c:v>200</c:v>
                </c:pt>
              </c:numCache>
            </c:numRef>
          </c:xVal>
          <c:yVal>
            <c:numRef>
              <c:f>Summary!$M$4:$M$804</c:f>
              <c:numCache>
                <c:formatCode>0.00</c:formatCode>
                <c:ptCount val="801"/>
                <c:pt idx="0">
                  <c:v>1.6880370630769783</c:v>
                </c:pt>
                <c:pt idx="1">
                  <c:v>1.5816713763258401</c:v>
                </c:pt>
                <c:pt idx="2">
                  <c:v>1.4750483633021034</c:v>
                </c:pt>
                <c:pt idx="3">
                  <c:v>1.368195670803378</c:v>
                </c:pt>
                <c:pt idx="4">
                  <c:v>1.2611419260306664</c:v>
                </c:pt>
                <c:pt idx="5">
                  <c:v>1.1539171722771187</c:v>
                </c:pt>
                <c:pt idx="6">
                  <c:v>1.0465535769086733</c:v>
                </c:pt>
                <c:pt idx="7">
                  <c:v>0.93908662977622082</c:v>
                </c:pt>
                <c:pt idx="8">
                  <c:v>0.83155727539848345</c:v>
                </c:pt>
                <c:pt idx="9">
                  <c:v>0.72401594717215234</c:v>
                </c:pt>
                <c:pt idx="10">
                  <c:v>0.61653081523079045</c:v>
                </c:pt>
                <c:pt idx="11">
                  <c:v>0.50920642956885998</c:v>
                </c:pt>
                <c:pt idx="12">
                  <c:v>0.40223196877159512</c:v>
                </c:pt>
                <c:pt idx="13">
                  <c:v>0.29603277358489866</c:v>
                </c:pt>
                <c:pt idx="14">
                  <c:v>0.1919145702212289</c:v>
                </c:pt>
                <c:pt idx="15">
                  <c:v>9.675685122550802E-2</c:v>
                </c:pt>
                <c:pt idx="16">
                  <c:v>7.2041009030451464E-2</c:v>
                </c:pt>
                <c:pt idx="17">
                  <c:v>0.15574430890684948</c:v>
                </c:pt>
                <c:pt idx="18">
                  <c:v>0.25783860492734162</c:v>
                </c:pt>
                <c:pt idx="19">
                  <c:v>0.36299005027968823</c:v>
                </c:pt>
                <c:pt idx="20">
                  <c:v>0.46901684811712752</c:v>
                </c:pt>
                <c:pt idx="21">
                  <c:v>0.57531063277942507</c:v>
                </c:pt>
                <c:pt idx="22">
                  <c:v>0.68162605411387289</c:v>
                </c:pt>
                <c:pt idx="23">
                  <c:v>0.78783706222002048</c:v>
                </c:pt>
                <c:pt idx="24">
                  <c:v>0.89386610491778595</c:v>
                </c:pt>
                <c:pt idx="25">
                  <c:v>0.99965838506734883</c:v>
                </c:pt>
                <c:pt idx="26">
                  <c:v>1.1051709574260404</c:v>
                </c:pt>
                <c:pt idx="27">
                  <c:v>1.2103675678119858</c:v>
                </c:pt>
                <c:pt idx="28">
                  <c:v>1.3152159943270063</c:v>
                </c:pt>
                <c:pt idx="29">
                  <c:v>1.4196865831352254</c:v>
                </c:pt>
                <c:pt idx="30">
                  <c:v>1.5237513976017414</c:v>
                </c:pt>
                <c:pt idx="31">
                  <c:v>1.6273837016425705</c:v>
                </c:pt>
                <c:pt idx="32">
                  <c:v>1.7305576344152118</c:v>
                </c:pt>
                <c:pt idx="33">
                  <c:v>1.8332479992361965</c:v>
                </c:pt>
                <c:pt idx="34">
                  <c:v>1.9354301231812945</c:v>
                </c:pt>
                <c:pt idx="35">
                  <c:v>2.0370797618049417</c:v>
                </c:pt>
                <c:pt idx="36">
                  <c:v>2.1381730334549252</c:v>
                </c:pt>
                <c:pt idx="37">
                  <c:v>2.2386863734702001</c:v>
                </c:pt>
                <c:pt idx="38">
                  <c:v>2.3385965020236226</c:v>
                </c:pt>
                <c:pt idx="39">
                  <c:v>2.4378804015071709</c:v>
                </c:pt>
                <c:pt idx="40">
                  <c:v>2.5365153007040964</c:v>
                </c:pt>
                <c:pt idx="41">
                  <c:v>2.6344786638615201</c:v>
                </c:pt>
                <c:pt idx="42">
                  <c:v>2.731748183349215</c:v>
                </c:pt>
                <c:pt idx="43">
                  <c:v>2.8283017749743911</c:v>
                </c:pt>
                <c:pt idx="44">
                  <c:v>2.9241175752844297</c:v>
                </c:pt>
                <c:pt idx="45">
                  <c:v>3.0191739403713429</c:v>
                </c:pt>
                <c:pt idx="46">
                  <c:v>3.1134494458195916</c:v>
                </c:pt>
                <c:pt idx="47">
                  <c:v>3.2069228875301117</c:v>
                </c:pt>
                <c:pt idx="48">
                  <c:v>3.2995732832191558</c:v>
                </c:pt>
                <c:pt idx="49">
                  <c:v>3.3913798744387686</c:v>
                </c:pt>
                <c:pt idx="50">
                  <c:v>3.4823221290009498</c:v>
                </c:pt>
                <c:pt idx="51">
                  <c:v>3.5723797437142957</c:v>
                </c:pt>
                <c:pt idx="52">
                  <c:v>3.6615326473615162</c:v>
                </c:pt>
                <c:pt idx="53">
                  <c:v>3.7497610038615998</c:v>
                </c:pt>
                <c:pt idx="54">
                  <c:v>3.8370452155717278</c:v>
                </c:pt>
                <c:pt idx="55">
                  <c:v>3.9233659266931533</c:v>
                </c:pt>
                <c:pt idx="56">
                  <c:v>4.0087040267521177</c:v>
                </c:pt>
                <c:pt idx="57">
                  <c:v>4.0930406541322331</c:v>
                </c:pt>
                <c:pt idx="58">
                  <c:v>4.1763571996391953</c:v>
                </c:pt>
                <c:pt idx="59">
                  <c:v>4.2586353100819823</c:v>
                </c:pt>
                <c:pt idx="60">
                  <c:v>4.3398568918573739</c:v>
                </c:pt>
                <c:pt idx="61">
                  <c:v>4.4200041145269271</c:v>
                </c:pt>
                <c:pt idx="62">
                  <c:v>4.4990594143771405</c:v>
                </c:pt>
                <c:pt idx="63">
                  <c:v>4.5770054979551267</c:v>
                </c:pt>
                <c:pt idx="64">
                  <c:v>4.6538253455731038</c:v>
                </c:pt>
                <c:pt idx="65">
                  <c:v>4.729502214776117</c:v>
                </c:pt>
                <c:pt idx="66">
                  <c:v>4.8040196437681235</c:v>
                </c:pt>
                <c:pt idx="67">
                  <c:v>4.8773614547922044</c:v>
                </c:pt>
                <c:pt idx="68">
                  <c:v>4.9495117574612166</c:v>
                </c:pt>
                <c:pt idx="69">
                  <c:v>5.0204549520357604</c:v>
                </c:pt>
                <c:pt idx="70">
                  <c:v>5.090175732646486</c:v>
                </c:pt>
                <c:pt idx="71">
                  <c:v>5.1586590904583591</c:v>
                </c:pt>
                <c:pt idx="72">
                  <c:v>5.2258903167745574</c:v>
                </c:pt>
                <c:pt idx="73">
                  <c:v>5.291855006078042</c:v>
                </c:pt>
                <c:pt idx="74">
                  <c:v>5.3565390590089574</c:v>
                </c:pt>
                <c:pt idx="75">
                  <c:v>5.4199286852762425</c:v>
                </c:pt>
                <c:pt idx="76">
                  <c:v>5.4820104065020105</c:v>
                </c:pt>
                <c:pt idx="77">
                  <c:v>5.5427710589972419</c:v>
                </c:pt>
                <c:pt idx="78">
                  <c:v>5.6021977964676681</c:v>
                </c:pt>
                <c:pt idx="79">
                  <c:v>5.6602780926486158</c:v>
                </c:pt>
                <c:pt idx="80">
                  <c:v>5.7169997438678042</c:v>
                </c:pt>
                <c:pt idx="81">
                  <c:v>5.7723508715351244</c:v>
                </c:pt>
                <c:pt idx="82">
                  <c:v>5.8263199245584643</c:v>
                </c:pt>
                <c:pt idx="83">
                  <c:v>5.8788956816848223</c:v>
                </c:pt>
                <c:pt idx="84">
                  <c:v>5.9300672537658157</c:v>
                </c:pt>
                <c:pt idx="85">
                  <c:v>5.9798240859469693</c:v>
                </c:pt>
                <c:pt idx="86">
                  <c:v>6.0281559597800518</c:v>
                </c:pt>
                <c:pt idx="87">
                  <c:v>6.0750529952578374</c:v>
                </c:pt>
                <c:pt idx="88">
                  <c:v>6.1205056527707145</c:v>
                </c:pt>
                <c:pt idx="89">
                  <c:v>6.1645047349845781</c:v>
                </c:pt>
                <c:pt idx="90">
                  <c:v>6.2070413886395075</c:v>
                </c:pt>
                <c:pt idx="91">
                  <c:v>6.2481071062687441</c:v>
                </c:pt>
                <c:pt idx="92">
                  <c:v>6.2876937278375227</c:v>
                </c:pt>
                <c:pt idx="93">
                  <c:v>6.3257934423013591</c:v>
                </c:pt>
                <c:pt idx="94">
                  <c:v>6.3623987890833709</c:v>
                </c:pt>
                <c:pt idx="95">
                  <c:v>6.397502659470323</c:v>
                </c:pt>
                <c:pt idx="96">
                  <c:v>6.4310982979270568</c:v>
                </c:pt>
                <c:pt idx="97">
                  <c:v>6.4631793033289737</c:v>
                </c:pt>
                <c:pt idx="98">
                  <c:v>6.4937396301123442</c:v>
                </c:pt>
                <c:pt idx="99">
                  <c:v>6.5227735893421634</c:v>
                </c:pt>
                <c:pt idx="100">
                  <c:v>6.5502758496973374</c:v>
                </c:pt>
                <c:pt idx="101">
                  <c:v>6.5762414383730077</c:v>
                </c:pt>
                <c:pt idx="102">
                  <c:v>6.600665741899836</c:v>
                </c:pt>
                <c:pt idx="103">
                  <c:v>6.6235445068800809</c:v>
                </c:pt>
                <c:pt idx="104">
                  <c:v>6.6448738406403667</c:v>
                </c:pt>
                <c:pt idx="105">
                  <c:v>6.6646502118010131</c:v>
                </c:pt>
                <c:pt idx="106">
                  <c:v>6.6828704507618557</c:v>
                </c:pt>
                <c:pt idx="107">
                  <c:v>6.6995317501044847</c:v>
                </c:pt>
                <c:pt idx="108">
                  <c:v>6.7146316649108719</c:v>
                </c:pt>
                <c:pt idx="109">
                  <c:v>6.7281681129983664</c:v>
                </c:pt>
                <c:pt idx="110">
                  <c:v>6.7401393750710525</c:v>
                </c:pt>
                <c:pt idx="111">
                  <c:v>6.7505440947875002</c:v>
                </c:pt>
                <c:pt idx="112">
                  <c:v>6.7593812787449599</c:v>
                </c:pt>
                <c:pt idx="113">
                  <c:v>6.7666502963800585</c:v>
                </c:pt>
                <c:pt idx="114">
                  <c:v>6.772350879786079</c:v>
                </c:pt>
                <c:pt idx="115">
                  <c:v>6.7764831234469503</c:v>
                </c:pt>
                <c:pt idx="116">
                  <c:v>6.7790474838880614</c:v>
                </c:pt>
                <c:pt idx="117">
                  <c:v>6.7800447792440375</c:v>
                </c:pt>
                <c:pt idx="118">
                  <c:v>6.7794761887436801</c:v>
                </c:pt>
                <c:pt idx="119">
                  <c:v>6.7773432521122272</c:v>
                </c:pt>
                <c:pt idx="120">
                  <c:v>6.7736478688911523</c:v>
                </c:pt>
                <c:pt idx="121">
                  <c:v>6.7683922976757493</c:v>
                </c:pt>
                <c:pt idx="122">
                  <c:v>6.7615791552707183</c:v>
                </c:pt>
                <c:pt idx="123">
                  <c:v>6.753211415764051</c:v>
                </c:pt>
                <c:pt idx="124">
                  <c:v>6.743292409519495</c:v>
                </c:pt>
                <c:pt idx="125">
                  <c:v>6.731825822087889</c:v>
                </c:pt>
                <c:pt idx="126">
                  <c:v>6.7188156930377261</c:v>
                </c:pt>
                <c:pt idx="127">
                  <c:v>6.7042664147052617</c:v>
                </c:pt>
                <c:pt idx="128">
                  <c:v>6.6881827308645612</c:v>
                </c:pt>
                <c:pt idx="129">
                  <c:v>6.6705697353178426</c:v>
                </c:pt>
                <c:pt idx="130">
                  <c:v>6.6514328704065635</c:v>
                </c:pt>
                <c:pt idx="131">
                  <c:v>6.6307779254436081</c:v>
                </c:pt>
                <c:pt idx="132">
                  <c:v>6.6086110350671046</c:v>
                </c:pt>
                <c:pt idx="133">
                  <c:v>6.5849386775162584</c:v>
                </c:pt>
                <c:pt idx="134">
                  <c:v>6.5597676728297314</c:v>
                </c:pt>
                <c:pt idx="135">
                  <c:v>6.5331051809670573</c:v>
                </c:pt>
                <c:pt idx="136">
                  <c:v>6.504958699853594</c:v>
                </c:pt>
                <c:pt idx="137">
                  <c:v>6.4753360633495891</c:v>
                </c:pt>
                <c:pt idx="138">
                  <c:v>6.4442454391438879</c:v>
                </c:pt>
                <c:pt idx="139">
                  <c:v>6.4116953265728807</c:v>
                </c:pt>
                <c:pt idx="140">
                  <c:v>6.3776945543652657</c:v>
                </c:pt>
                <c:pt idx="141">
                  <c:v>6.3422522783132873</c:v>
                </c:pt>
                <c:pt idx="142">
                  <c:v>6.3053779788710402</c:v>
                </c:pt>
                <c:pt idx="143">
                  <c:v>6.2670814586805221</c:v>
                </c:pt>
                <c:pt idx="144">
                  <c:v>6.2273728400261241</c:v>
                </c:pt>
                <c:pt idx="145">
                  <c:v>6.1862625622182152</c:v>
                </c:pt>
                <c:pt idx="146">
                  <c:v>6.1437613789066043</c:v>
                </c:pt>
                <c:pt idx="147">
                  <c:v>6.0998803553245455</c:v>
                </c:pt>
                <c:pt idx="148">
                  <c:v>6.0546308654641141</c:v>
                </c:pt>
                <c:pt idx="149">
                  <c:v>6.0080245891837007</c:v>
                </c:pt>
                <c:pt idx="150">
                  <c:v>5.9600735092484518</c:v>
                </c:pt>
                <c:pt idx="151">
                  <c:v>5.9107899083044506</c:v>
                </c:pt>
                <c:pt idx="152">
                  <c:v>5.8601863657875537</c:v>
                </c:pt>
                <c:pt idx="153">
                  <c:v>5.8082757547677097</c:v>
                </c:pt>
                <c:pt idx="154">
                  <c:v>5.7550712387296992</c:v>
                </c:pt>
                <c:pt idx="155">
                  <c:v>5.7005862682912118</c:v>
                </c:pt>
                <c:pt idx="156">
                  <c:v>5.6448345778592568</c:v>
                </c:pt>
                <c:pt idx="157">
                  <c:v>5.5878301822258782</c:v>
                </c:pt>
                <c:pt idx="158">
                  <c:v>5.529587373104202</c:v>
                </c:pt>
                <c:pt idx="159">
                  <c:v>5.4701207156059271</c:v>
                </c:pt>
                <c:pt idx="160">
                  <c:v>5.4094450446613145</c:v>
                </c:pt>
                <c:pt idx="161">
                  <c:v>5.3475754613828803</c:v>
                </c:pt>
                <c:pt idx="162">
                  <c:v>5.2845273293739563</c:v>
                </c:pt>
                <c:pt idx="163">
                  <c:v>5.2203162709833935</c:v>
                </c:pt>
                <c:pt idx="164">
                  <c:v>5.15495816350772</c:v>
                </c:pt>
                <c:pt idx="165">
                  <c:v>5.0884691353421267</c:v>
                </c:pt>
                <c:pt idx="166">
                  <c:v>5.0208655620817568</c:v>
                </c:pt>
                <c:pt idx="167">
                  <c:v>4.9521640625748189</c:v>
                </c:pt>
                <c:pt idx="168">
                  <c:v>4.8823814949291844</c:v>
                </c:pt>
                <c:pt idx="169">
                  <c:v>4.8115349524741839</c:v>
                </c:pt>
                <c:pt idx="170">
                  <c:v>4.7396417596795422</c:v>
                </c:pt>
                <c:pt idx="171">
                  <c:v>4.6667194680334054</c:v>
                </c:pt>
                <c:pt idx="172">
                  <c:v>4.5927858518817173</c:v>
                </c:pt>
                <c:pt idx="173">
                  <c:v>4.5178589042313071</c:v>
                </c:pt>
                <c:pt idx="174">
                  <c:v>4.4419568325193497</c:v>
                </c:pt>
                <c:pt idx="175">
                  <c:v>4.3650980543520959</c:v>
                </c:pt>
                <c:pt idx="176">
                  <c:v>4.2873011932161553</c:v>
                </c:pt>
                <c:pt idx="177">
                  <c:v>4.2085850741659225</c:v>
                </c:pt>
                <c:pt idx="178">
                  <c:v>4.1289687194913069</c:v>
                </c:pt>
                <c:pt idx="179">
                  <c:v>4.0484713443704399</c:v>
                </c:pt>
                <c:pt idx="180">
                  <c:v>3.9671123525126983</c:v>
                </c:pt>
                <c:pt idx="181">
                  <c:v>3.884911331798321</c:v>
                </c:pt>
                <c:pt idx="182">
                  <c:v>3.801888049921752</c:v>
                </c:pt>
                <c:pt idx="183">
                  <c:v>3.7180624500472503</c:v>
                </c:pt>
                <c:pt idx="184">
                  <c:v>3.6334546464867148</c:v>
                </c:pt>
                <c:pt idx="185">
                  <c:v>3.54808492041166</c:v>
                </c:pt>
                <c:pt idx="186">
                  <c:v>3.4619737156136039</c:v>
                </c:pt>
                <c:pt idx="187">
                  <c:v>3.3751416343300908</c:v>
                </c:pt>
                <c:pt idx="188">
                  <c:v>3.2876094331573489</c:v>
                </c:pt>
                <c:pt idx="189">
                  <c:v>3.1993980190752502</c:v>
                </c:pt>
                <c:pt idx="190">
                  <c:v>3.1105284456163873</c:v>
                </c:pt>
                <c:pt idx="191">
                  <c:v>3.02102190921874</c:v>
                </c:pt>
                <c:pt idx="192">
                  <c:v>2.9308997458115758</c:v>
                </c:pt>
                <c:pt idx="193">
                  <c:v>2.8401834276972417</c:v>
                </c:pt>
                <c:pt idx="194">
                  <c:v>2.7488945608089459</c:v>
                </c:pt>
                <c:pt idx="195">
                  <c:v>2.6570548824472837</c:v>
                </c:pt>
                <c:pt idx="196">
                  <c:v>2.5646862596292692</c:v>
                </c:pt>
                <c:pt idx="197">
                  <c:v>2.4718106882248629</c:v>
                </c:pt>
                <c:pt idx="198">
                  <c:v>2.3784502931128659</c:v>
                </c:pt>
                <c:pt idx="199">
                  <c:v>2.2846273296665576</c:v>
                </c:pt>
                <c:pt idx="200">
                  <c:v>2.1903641869890218</c:v>
                </c:pt>
                <c:pt idx="201">
                  <c:v>2.0956833934740993</c:v>
                </c:pt>
                <c:pt idx="202">
                  <c:v>2.0006076254925484</c:v>
                </c:pt>
                <c:pt idx="203">
                  <c:v>1.9051597203303483</c:v>
                </c:pt>
                <c:pt idx="204">
                  <c:v>1.8093626949919841</c:v>
                </c:pt>
                <c:pt idx="205">
                  <c:v>1.713239773217011</c:v>
                </c:pt>
                <c:pt idx="206">
                  <c:v>1.6168144241940823</c:v>
                </c:pt>
                <c:pt idx="207">
                  <c:v>1.5201104182500393</c:v>
                </c:pt>
                <c:pt idx="208">
                  <c:v>1.4231519076957475</c:v>
                </c:pt>
                <c:pt idx="209">
                  <c:v>1.3259635458436925</c:v>
                </c:pt>
                <c:pt idx="210">
                  <c:v>1.2285706655132191</c:v>
                </c:pt>
                <c:pt idx="211">
                  <c:v>1.1309995531086343</c:v>
                </c:pt>
                <c:pt idx="212">
                  <c:v>1.0332778817191326</c:v>
                </c:pt>
                <c:pt idx="213">
                  <c:v>0.93543541981864242</c:v>
                </c:pt>
                <c:pt idx="214">
                  <c:v>0.8375052411063133</c:v>
                </c:pt>
                <c:pt idx="215">
                  <c:v>0.73952589952422887</c:v>
                </c:pt>
                <c:pt idx="216">
                  <c:v>0.64154559824905388</c:v>
                </c:pt>
                <c:pt idx="217">
                  <c:v>0.54363085560196989</c:v>
                </c:pt>
                <c:pt idx="218">
                  <c:v>0.44588652733340106</c:v>
                </c:pt>
                <c:pt idx="219">
                  <c:v>0.34850922652147798</c:v>
                </c:pt>
                <c:pt idx="220">
                  <c:v>0.25196290364840268</c:v>
                </c:pt>
                <c:pt idx="221">
                  <c:v>0.1577843474941141</c:v>
                </c:pt>
                <c:pt idx="222">
                  <c:v>7.5324797070721941E-2</c:v>
                </c:pt>
                <c:pt idx="223">
                  <c:v>7.6056611638683311E-2</c:v>
                </c:pt>
                <c:pt idx="224">
                  <c:v>0.15866951260704668</c:v>
                </c:pt>
                <c:pt idx="225">
                  <c:v>0.25254330982660783</c:v>
                </c:pt>
                <c:pt idx="226">
                  <c:v>0.34857341763876359</c:v>
                </c:pt>
                <c:pt idx="227">
                  <c:v>0.44524930422234882</c:v>
                </c:pt>
                <c:pt idx="228">
                  <c:v>0.54211284656681691</c:v>
                </c:pt>
                <c:pt idx="229">
                  <c:v>0.63896954499020631</c:v>
                </c:pt>
                <c:pt idx="230">
                  <c:v>0.73571569761591216</c:v>
                </c:pt>
                <c:pt idx="231">
                  <c:v>0.83228565801921195</c:v>
                </c:pt>
                <c:pt idx="232">
                  <c:v>0.92863202670893163</c:v>
                </c:pt>
                <c:pt idx="233">
                  <c:v>1.0247170651553275</c:v>
                </c:pt>
                <c:pt idx="234">
                  <c:v>1.1205085605932996</c:v>
                </c:pt>
                <c:pt idx="235">
                  <c:v>1.2159776666459716</c:v>
                </c:pt>
                <c:pt idx="236">
                  <c:v>1.3110977012121685</c:v>
                </c:pt>
                <c:pt idx="237">
                  <c:v>1.4058434417468262</c:v>
                </c:pt>
                <c:pt idx="238">
                  <c:v>1.5001906942385956</c:v>
                </c:pt>
                <c:pt idx="239">
                  <c:v>1.594116020182877</c:v>
                </c:pt>
                <c:pt idx="240">
                  <c:v>1.6875965585427184</c:v>
                </c:pt>
                <c:pt idx="241">
                  <c:v>1.7806099068459804</c:v>
                </c:pt>
                <c:pt idx="242">
                  <c:v>1.873134040232233</c:v>
                </c:pt>
                <c:pt idx="243">
                  <c:v>1.9651472555082699</c:v>
                </c:pt>
                <c:pt idx="244">
                  <c:v>2.0566281320748159</c:v>
                </c:pt>
                <c:pt idx="245">
                  <c:v>2.1475555044736585</c:v>
                </c:pt>
                <c:pt idx="246">
                  <c:v>2.2379084430879277</c:v>
                </c:pt>
                <c:pt idx="247">
                  <c:v>2.3276662406582802</c:v>
                </c:pt>
                <c:pt idx="248">
                  <c:v>2.4168084030092181</c:v>
                </c:pt>
                <c:pt idx="249">
                  <c:v>2.5053146428636293</c:v>
                </c:pt>
                <c:pt idx="250">
                  <c:v>2.5931648759493062</c:v>
                </c:pt>
                <c:pt idx="251">
                  <c:v>2.6803392188239301</c:v>
                </c:pt>
                <c:pt idx="252">
                  <c:v>2.7668179880003554</c:v>
                </c:pt>
                <c:pt idx="253">
                  <c:v>2.8525817000630793</c:v>
                </c:pt>
                <c:pt idx="254">
                  <c:v>2.9376110725451596</c:v>
                </c:pt>
                <c:pt idx="255">
                  <c:v>3.021887025391278</c:v>
                </c:pt>
                <c:pt idx="256">
                  <c:v>3.1053906828739608</c:v>
                </c:pt>
                <c:pt idx="257">
                  <c:v>3.1881033758607171</c:v>
                </c:pt>
                <c:pt idx="258">
                  <c:v>3.2700066443524998</c:v>
                </c:pt>
                <c:pt idx="259">
                  <c:v>3.3510822402313001</c:v>
                </c:pt>
                <c:pt idx="260">
                  <c:v>3.431312130167655</c:v>
                </c:pt>
                <c:pt idx="261">
                  <c:v>3.5106784986489092</c:v>
                </c:pt>
                <c:pt idx="262">
                  <c:v>3.589163751096927</c:v>
                </c:pt>
                <c:pt idx="263">
                  <c:v>3.6667505170497923</c:v>
                </c:pt>
                <c:pt idx="264">
                  <c:v>3.74342165338697</c:v>
                </c:pt>
                <c:pt idx="265">
                  <c:v>3.8191602475810247</c:v>
                </c:pt>
                <c:pt idx="266">
                  <c:v>3.8939496209619415</c:v>
                </c:pt>
                <c:pt idx="267">
                  <c:v>3.9677733319825492</c:v>
                </c:pt>
                <c:pt idx="268">
                  <c:v>4.040615179475358</c:v>
                </c:pt>
                <c:pt idx="269">
                  <c:v>4.1124592058927227</c:v>
                </c:pt>
                <c:pt idx="270">
                  <c:v>4.183289700523467</c:v>
                </c:pt>
                <c:pt idx="271">
                  <c:v>4.2530912026801051</c:v>
                </c:pt>
                <c:pt idx="272">
                  <c:v>4.3218485048517152</c:v>
                </c:pt>
                <c:pt idx="273">
                  <c:v>4.389546655818064</c:v>
                </c:pt>
                <c:pt idx="274">
                  <c:v>4.4561709637213172</c:v>
                </c:pt>
                <c:pt idx="275">
                  <c:v>4.5217069990920589</c:v>
                </c:pt>
                <c:pt idx="276">
                  <c:v>4.5861405978267182</c:v>
                </c:pt>
                <c:pt idx="277">
                  <c:v>4.6494578641139235</c:v>
                </c:pt>
                <c:pt idx="278">
                  <c:v>4.7116451733075282</c:v>
                </c:pt>
                <c:pt idx="279">
                  <c:v>4.7726891747442952</c:v>
                </c:pt>
                <c:pt idx="280">
                  <c:v>4.8325767945044689</c:v>
                </c:pt>
                <c:pt idx="281">
                  <c:v>4.8912952381135906</c:v>
                </c:pt>
                <c:pt idx="282">
                  <c:v>4.9488319931841538</c:v>
                </c:pt>
                <c:pt idx="283">
                  <c:v>5.0051748319956877</c:v>
                </c:pt>
                <c:pt idx="284">
                  <c:v>5.0603118140121079</c:v>
                </c:pt>
                <c:pt idx="285">
                  <c:v>5.1142312883352359</c:v>
                </c:pt>
                <c:pt idx="286">
                  <c:v>5.1669218960934042</c:v>
                </c:pt>
                <c:pt idx="287">
                  <c:v>5.2183725727642702</c:v>
                </c:pt>
                <c:pt idx="288">
                  <c:v>5.2685725504309175</c:v>
                </c:pt>
                <c:pt idx="289">
                  <c:v>5.317511359970454</c:v>
                </c:pt>
                <c:pt idx="290">
                  <c:v>5.365178833174383</c:v>
                </c:pt>
                <c:pt idx="291">
                  <c:v>5.4115651047999762</c:v>
                </c:pt>
                <c:pt idx="292">
                  <c:v>5.456660614552078</c:v>
                </c:pt>
                <c:pt idx="293">
                  <c:v>5.5004561089946904</c:v>
                </c:pt>
                <c:pt idx="294">
                  <c:v>5.5429426433917657</c:v>
                </c:pt>
                <c:pt idx="295">
                  <c:v>5.5841115834767052</c:v>
                </c:pt>
                <c:pt idx="296">
                  <c:v>5.6239546071500488</c:v>
                </c:pt>
                <c:pt idx="297">
                  <c:v>5.6624637061048952</c:v>
                </c:pt>
                <c:pt idx="298">
                  <c:v>5.6996311873796399</c:v>
                </c:pt>
                <c:pt idx="299">
                  <c:v>5.7354496748376258</c:v>
                </c:pt>
                <c:pt idx="300">
                  <c:v>5.7699121105732978</c:v>
                </c:pt>
                <c:pt idx="301">
                  <c:v>5.8030117562445822</c:v>
                </c:pt>
                <c:pt idx="302">
                  <c:v>5.8347421943311248</c:v>
                </c:pt>
                <c:pt idx="303">
                  <c:v>5.8650973293180995</c:v>
                </c:pt>
                <c:pt idx="304">
                  <c:v>5.8940713888053455</c:v>
                </c:pt>
                <c:pt idx="305">
                  <c:v>5.9216589245415507</c:v>
                </c:pt>
                <c:pt idx="306">
                  <c:v>5.9478548133833034</c:v>
                </c:pt>
                <c:pt idx="307">
                  <c:v>5.9726542581787481</c:v>
                </c:pt>
                <c:pt idx="308">
                  <c:v>5.9960527885757475</c:v>
                </c:pt>
                <c:pt idx="309">
                  <c:v>6.0180462617543409</c:v>
                </c:pt>
                <c:pt idx="310">
                  <c:v>6.0386308630833554</c:v>
                </c:pt>
                <c:pt idx="311">
                  <c:v>6.0578031067011198</c:v>
                </c:pt>
                <c:pt idx="312">
                  <c:v>6.0755598360201155</c:v>
                </c:pt>
                <c:pt idx="313">
                  <c:v>6.0918982241555337</c:v>
                </c:pt>
                <c:pt idx="314">
                  <c:v>6.106815774277675</c:v>
                </c:pt>
                <c:pt idx="315">
                  <c:v>6.1203103198881648</c:v>
                </c:pt>
                <c:pt idx="316">
                  <c:v>6.1323800250199554</c:v>
                </c:pt>
                <c:pt idx="317">
                  <c:v>6.1430233843611353</c:v>
                </c:pt>
                <c:pt idx="318">
                  <c:v>6.1522392233025753</c:v>
                </c:pt>
                <c:pt idx="319">
                  <c:v>6.1600266979094309</c:v>
                </c:pt>
                <c:pt idx="320">
                  <c:v>6.1663852948166031</c:v>
                </c:pt>
                <c:pt idx="321">
                  <c:v>6.1713148310481962</c:v>
                </c:pt>
                <c:pt idx="322">
                  <c:v>6.1748154537611244</c:v>
                </c:pt>
                <c:pt idx="323">
                  <c:v>6.1768876399129313</c:v>
                </c:pt>
                <c:pt idx="324">
                  <c:v>6.1775321958540115</c:v>
                </c:pt>
                <c:pt idx="325">
                  <c:v>6.1767502568443566</c:v>
                </c:pt>
                <c:pt idx="326">
                  <c:v>6.1745432864950232</c:v>
                </c:pt>
                <c:pt idx="327">
                  <c:v>6.1709130761345081</c:v>
                </c:pt>
                <c:pt idx="328">
                  <c:v>6.1658617441002228</c:v>
                </c:pt>
                <c:pt idx="329">
                  <c:v>6.1593917349553475</c:v>
                </c:pt>
                <c:pt idx="330">
                  <c:v>6.1515058186312599</c:v>
                </c:pt>
                <c:pt idx="331">
                  <c:v>6.1422070894958329</c:v>
                </c:pt>
                <c:pt idx="332">
                  <c:v>6.1314989653478751</c:v>
                </c:pt>
                <c:pt idx="333">
                  <c:v>6.1193851863380386</c:v>
                </c:pt>
                <c:pt idx="334">
                  <c:v>6.1058698138164642</c:v>
                </c:pt>
                <c:pt idx="335">
                  <c:v>6.0909572291075635</c:v>
                </c:pt>
                <c:pt idx="336">
                  <c:v>6.0746521322122335</c:v>
                </c:pt>
                <c:pt idx="337">
                  <c:v>6.0569595404379255</c:v>
                </c:pt>
                <c:pt idx="338">
                  <c:v>6.0378847869569299</c:v>
                </c:pt>
                <c:pt idx="339">
                  <c:v>6.01743351929328</c:v>
                </c:pt>
                <c:pt idx="340">
                  <c:v>5.9956116977387399</c:v>
                </c:pt>
                <c:pt idx="341">
                  <c:v>5.9724255936982598</c:v>
                </c:pt>
                <c:pt idx="342">
                  <c:v>5.9478817879654038</c:v>
                </c:pt>
                <c:pt idx="343">
                  <c:v>5.9219871689282355</c:v>
                </c:pt>
                <c:pt idx="344">
                  <c:v>5.8947489307060899</c:v>
                </c:pt>
                <c:pt idx="345">
                  <c:v>5.8661745712178401</c:v>
                </c:pt>
                <c:pt idx="346">
                  <c:v>5.8362718901820996</c:v>
                </c:pt>
                <c:pt idx="347">
                  <c:v>5.8050489870499842</c:v>
                </c:pt>
                <c:pt idx="348">
                  <c:v>5.7725142588709453</c:v>
                </c:pt>
                <c:pt idx="349">
                  <c:v>5.7386763980922719</c:v>
                </c:pt>
                <c:pt idx="350">
                  <c:v>5.7035443902929019</c:v>
                </c:pt>
                <c:pt idx="351">
                  <c:v>5.6671275118521081</c:v>
                </c:pt>
                <c:pt idx="352">
                  <c:v>5.6294353275537228</c:v>
                </c:pt>
                <c:pt idx="353">
                  <c:v>5.5904776881265903</c:v>
                </c:pt>
                <c:pt idx="354">
                  <c:v>5.5502647277218609</c:v>
                </c:pt>
                <c:pt idx="355">
                  <c:v>5.508806861327888</c:v>
                </c:pt>
                <c:pt idx="356">
                  <c:v>5.4661147821233973</c:v>
                </c:pt>
                <c:pt idx="357">
                  <c:v>5.4221994587697173</c:v>
                </c:pt>
                <c:pt idx="358">
                  <c:v>5.3770721326427857</c:v>
                </c:pt>
                <c:pt idx="359">
                  <c:v>5.3307443150057239</c:v>
                </c:pt>
                <c:pt idx="360">
                  <c:v>5.2832277841228379</c:v>
                </c:pt>
                <c:pt idx="361">
                  <c:v>5.2345345823158036</c:v>
                </c:pt>
                <c:pt idx="362">
                  <c:v>5.1846770129629229</c:v>
                </c:pt>
                <c:pt idx="363">
                  <c:v>5.1336676374423904</c:v>
                </c:pt>
                <c:pt idx="364">
                  <c:v>5.0815192720203832</c:v>
                </c:pt>
                <c:pt idx="365">
                  <c:v>5.0282449846850126</c:v>
                </c:pt>
                <c:pt idx="366">
                  <c:v>4.9738580919270552</c:v>
                </c:pt>
                <c:pt idx="367">
                  <c:v>4.9183721554685365</c:v>
                </c:pt>
                <c:pt idx="368">
                  <c:v>4.8618009789401917</c:v>
                </c:pt>
                <c:pt idx="369">
                  <c:v>4.8041586045088795</c:v>
                </c:pt>
                <c:pt idx="370">
                  <c:v>4.745459309456205</c:v>
                </c:pt>
                <c:pt idx="371">
                  <c:v>4.6857176027094365</c:v>
                </c:pt>
                <c:pt idx="372">
                  <c:v>4.6249482213260498</c:v>
                </c:pt>
                <c:pt idx="373">
                  <c:v>4.5631661269332886</c:v>
                </c:pt>
                <c:pt idx="374">
                  <c:v>4.5003865021240355</c:v>
                </c:pt>
                <c:pt idx="375">
                  <c:v>4.4366247468106366</c:v>
                </c:pt>
                <c:pt idx="376">
                  <c:v>4.3718964745381843</c:v>
                </c:pt>
                <c:pt idx="377">
                  <c:v>4.3062175087590964</c:v>
                </c:pt>
                <c:pt idx="378">
                  <c:v>4.2396038790707902</c:v>
                </c:pt>
                <c:pt idx="379">
                  <c:v>4.1720718174184714</c:v>
                </c:pt>
                <c:pt idx="380">
                  <c:v>4.103637754265379</c:v>
                </c:pt>
                <c:pt idx="381">
                  <c:v>4.0343183147327988</c:v>
                </c:pt>
                <c:pt idx="382">
                  <c:v>3.9641303147125946</c:v>
                </c:pt>
                <c:pt idx="383">
                  <c:v>3.8930907569553681</c:v>
                </c:pt>
                <c:pt idx="384">
                  <c:v>3.8212168271374982</c:v>
                </c:pt>
                <c:pt idx="385">
                  <c:v>3.748525889910979</c:v>
                </c:pt>
                <c:pt idx="386">
                  <c:v>3.6750354849404743</c:v>
                </c:pt>
                <c:pt idx="387">
                  <c:v>3.6007633229324809</c:v>
                </c:pt>
                <c:pt idx="388">
                  <c:v>3.5257272816625576</c:v>
                </c:pt>
                <c:pt idx="389">
                  <c:v>3.4499454020072546</c:v>
                </c:pt>
                <c:pt idx="390">
                  <c:v>3.3734358839888401</c:v>
                </c:pt>
                <c:pt idx="391">
                  <c:v>3.2962170828421042</c:v>
                </c:pt>
                <c:pt idx="392">
                  <c:v>3.2183075051144789</c:v>
                </c:pt>
                <c:pt idx="393">
                  <c:v>3.1397258048130223</c:v>
                </c:pt>
                <c:pt idx="394">
                  <c:v>3.0604907796144025</c:v>
                </c:pt>
                <c:pt idx="395">
                  <c:v>2.9806213671577915</c:v>
                </c:pt>
                <c:pt idx="396">
                  <c:v>2.9001366414450498</c:v>
                </c:pt>
                <c:pt idx="397">
                  <c:v>2.819055809378205</c:v>
                </c:pt>
                <c:pt idx="398">
                  <c:v>2.7373982074718781</c:v>
                </c:pt>
                <c:pt idx="399">
                  <c:v>2.6551832987877209</c:v>
                </c:pt>
                <c:pt idx="400">
                  <c:v>2.5724306701507182</c:v>
                </c:pt>
                <c:pt idx="401">
                  <c:v>2.4891600297235605</c:v>
                </c:pt>
                <c:pt idx="402">
                  <c:v>2.4053912050374313</c:v>
                </c:pt>
                <c:pt idx="403">
                  <c:v>2.3211441416072143</c:v>
                </c:pt>
                <c:pt idx="404">
                  <c:v>2.2364389022988496</c:v>
                </c:pt>
                <c:pt idx="405">
                  <c:v>2.1512956676717381</c:v>
                </c:pt>
                <c:pt idx="406">
                  <c:v>2.0657347375949531</c:v>
                </c:pt>
                <c:pt idx="407">
                  <c:v>1.9797765345425233</c:v>
                </c:pt>
                <c:pt idx="408">
                  <c:v>1.8934416091248192</c:v>
                </c:pt>
                <c:pt idx="409">
                  <c:v>1.8067506486314466</c:v>
                </c:pt>
                <c:pt idx="410">
                  <c:v>1.7197244896816086</c:v>
                </c:pt>
                <c:pt idx="411">
                  <c:v>1.6323841365550162</c:v>
                </c:pt>
                <c:pt idx="412">
                  <c:v>1.5447507875016984</c:v>
                </c:pt>
                <c:pt idx="413">
                  <c:v>1.4568458724532607</c:v>
                </c:pt>
                <c:pt idx="414">
                  <c:v>1.3686911073410692</c:v>
                </c:pt>
                <c:pt idx="415">
                  <c:v>1.2803085731280581</c:v>
                </c:pt>
                <c:pt idx="416">
                  <c:v>1.1917208325163984</c:v>
                </c:pt>
                <c:pt idx="417">
                  <c:v>1.1029511056835806</c:v>
                </c:pt>
                <c:pt idx="418">
                  <c:v>1.0140235414346952</c:v>
                </c:pt>
                <c:pt idx="419">
                  <c:v>0.92496364824234822</c:v>
                </c:pt>
                <c:pt idx="420">
                  <c:v>0.83579900469237178</c:v>
                </c:pt>
                <c:pt idx="421">
                  <c:v>0.74656048301759537</c:v>
                </c:pt>
                <c:pt idx="422">
                  <c:v>0.65728447265837397</c:v>
                </c:pt>
                <c:pt idx="423">
                  <c:v>0.56801720043136494</c:v>
                </c:pt>
                <c:pt idx="424">
                  <c:v>0.47882386838499186</c:v>
                </c:pt>
                <c:pt idx="425">
                  <c:v>0.3898102620404954</c:v>
                </c:pt>
                <c:pt idx="426">
                  <c:v>0.30118231093174186</c:v>
                </c:pt>
                <c:pt idx="427">
                  <c:v>0.2134517895913158</c:v>
                </c:pt>
                <c:pt idx="428">
                  <c:v>0.12846385509261948</c:v>
                </c:pt>
                <c:pt idx="429">
                  <c:v>5.9313683015515366E-2</c:v>
                </c:pt>
                <c:pt idx="430">
                  <c:v>8.1091117618679598E-2</c:v>
                </c:pt>
                <c:pt idx="431">
                  <c:v>0.1600932386105568</c:v>
                </c:pt>
                <c:pt idx="432">
                  <c:v>0.24621045221928661</c:v>
                </c:pt>
                <c:pt idx="433">
                  <c:v>0.33387071827850701</c:v>
                </c:pt>
                <c:pt idx="434">
                  <c:v>0.42200737818549799</c:v>
                </c:pt>
                <c:pt idx="435">
                  <c:v>0.51027158636929859</c:v>
                </c:pt>
                <c:pt idx="436">
                  <c:v>0.59850796590136113</c:v>
                </c:pt>
                <c:pt idx="437">
                  <c:v>0.68663070076440758</c:v>
                </c:pt>
                <c:pt idx="438">
                  <c:v>0.77458397240490351</c:v>
                </c:pt>
                <c:pt idx="439">
                  <c:v>0.86232664346664856</c:v>
                </c:pt>
                <c:pt idx="440">
                  <c:v>0.94982547232806458</c:v>
                </c:pt>
                <c:pt idx="441">
                  <c:v>1.0370517905911913</c:v>
                </c:pt>
                <c:pt idx="442">
                  <c:v>1.1239797454781086</c:v>
                </c:pt>
                <c:pt idx="443">
                  <c:v>1.2105853111663671</c:v>
                </c:pt>
                <c:pt idx="444">
                  <c:v>1.2968457042652668</c:v>
                </c:pt>
                <c:pt idx="445">
                  <c:v>1.382739023798919</c:v>
                </c:pt>
                <c:pt idx="446">
                  <c:v>1.4682440218318142</c:v>
                </c:pt>
                <c:pt idx="447">
                  <c:v>1.553339953177763</c:v>
                </c:pt>
                <c:pt idx="448">
                  <c:v>1.6380064746362741</c:v>
                </c:pt>
                <c:pt idx="449">
                  <c:v>1.7222235761772544</c:v>
                </c:pt>
                <c:pt idx="450">
                  <c:v>1.8059715332755295</c:v>
                </c:pt>
                <c:pt idx="451">
                  <c:v>1.8892308735710563</c:v>
                </c:pt>
                <c:pt idx="452">
                  <c:v>1.9719823534316261</c:v>
                </c:pt>
                <c:pt idx="453">
                  <c:v>2.0542069414856865</c:v>
                </c:pt>
                <c:pt idx="454">
                  <c:v>2.1358858071413951</c:v>
                </c:pt>
                <c:pt idx="455">
                  <c:v>2.2170003127244491</c:v>
                </c:pt>
                <c:pt idx="456">
                  <c:v>2.2975320082763577</c:v>
                </c:pt>
                <c:pt idx="457">
                  <c:v>2.3774626283312119</c:v>
                </c:pt>
                <c:pt idx="458">
                  <c:v>2.4567740901785</c:v>
                </c:pt>
                <c:pt idx="459">
                  <c:v>2.5354484932520456</c:v>
                </c:pt>
                <c:pt idx="460">
                  <c:v>2.6134681193784131</c:v>
                </c:pt>
                <c:pt idx="461">
                  <c:v>2.6908154336854504</c:v>
                </c:pt>
                <c:pt idx="462">
                  <c:v>2.7674730860199204</c:v>
                </c:pt>
                <c:pt idx="463">
                  <c:v>2.8434239127589116</c:v>
                </c:pt>
                <c:pt idx="464">
                  <c:v>2.9186509389261976</c:v>
                </c:pt>
                <c:pt idx="465">
                  <c:v>2.9931373805442618</c:v>
                </c:pt>
                <c:pt idx="466">
                  <c:v>3.0668666471677355</c:v>
                </c:pt>
                <c:pt idx="467">
                  <c:v>3.139822344555351</c:v>
                </c:pt>
                <c:pt idx="468">
                  <c:v>3.2119882774461384</c:v>
                </c:pt>
                <c:pt idx="469">
                  <c:v>3.2833484524124787</c:v>
                </c:pt>
                <c:pt idx="470">
                  <c:v>3.3538870807676595</c:v>
                </c:pt>
                <c:pt idx="471">
                  <c:v>3.4235885815099967</c:v>
                </c:pt>
                <c:pt idx="472">
                  <c:v>3.4924375842885924</c:v>
                </c:pt>
                <c:pt idx="473">
                  <c:v>3.5604189323784654</c:v>
                </c:pt>
                <c:pt idx="474">
                  <c:v>3.6275176856549733</c:v>
                </c:pt>
                <c:pt idx="475">
                  <c:v>3.6937191235589326</c:v>
                </c:pt>
                <c:pt idx="476">
                  <c:v>3.7590087480452996</c:v>
                </c:pt>
                <c:pt idx="477">
                  <c:v>3.8233722865093687</c:v>
                </c:pt>
                <c:pt idx="478">
                  <c:v>3.886795694685278</c:v>
                </c:pt>
                <c:pt idx="479">
                  <c:v>3.9492651595124584</c:v>
                </c:pt>
                <c:pt idx="480">
                  <c:v>4.0107671019660831</c:v>
                </c:pt>
                <c:pt idx="481">
                  <c:v>4.0712881798483282</c:v>
                </c:pt>
                <c:pt idx="482">
                  <c:v>4.1308152905374742</c:v>
                </c:pt>
                <c:pt idx="483">
                  <c:v>4.1893355736922677</c:v>
                </c:pt>
                <c:pt idx="484">
                  <c:v>4.2468364139094037</c:v>
                </c:pt>
                <c:pt idx="485">
                  <c:v>4.3033054433320101</c:v>
                </c:pt>
                <c:pt idx="486">
                  <c:v>4.3587305442074333</c:v>
                </c:pt>
                <c:pt idx="487">
                  <c:v>4.4130998513926833</c:v>
                </c:pt>
                <c:pt idx="488">
                  <c:v>4.4664017548060935</c:v>
                </c:pt>
                <c:pt idx="489">
                  <c:v>4.5186249018239391</c:v>
                </c:pt>
                <c:pt idx="490">
                  <c:v>4.5697581996207148</c:v>
                </c:pt>
                <c:pt idx="491">
                  <c:v>4.6197908174521114</c:v>
                </c:pt>
                <c:pt idx="492">
                  <c:v>4.6687121888796126</c:v>
                </c:pt>
                <c:pt idx="493">
                  <c:v>4.7165120139357928</c:v>
                </c:pt>
                <c:pt idx="494">
                  <c:v>4.7631802612295244</c:v>
                </c:pt>
                <c:pt idx="495">
                  <c:v>4.8087071699902646</c:v>
                </c:pt>
                <c:pt idx="496">
                  <c:v>4.8530832520506966</c:v>
                </c:pt>
                <c:pt idx="497">
                  <c:v>4.89629929376708</c:v>
                </c:pt>
                <c:pt idx="498">
                  <c:v>4.9383463578766413</c:v>
                </c:pt>
                <c:pt idx="499">
                  <c:v>4.9792157852914745</c:v>
                </c:pt>
                <c:pt idx="500">
                  <c:v>5.0188991968283201</c:v>
                </c:pt>
                <c:pt idx="501">
                  <c:v>5.057388494873817</c:v>
                </c:pt>
                <c:pt idx="502">
                  <c:v>5.0946758649846595</c:v>
                </c:pt>
                <c:pt idx="503">
                  <c:v>5.130753777422262</c:v>
                </c:pt>
                <c:pt idx="504">
                  <c:v>5.1656149886215186</c:v>
                </c:pt>
                <c:pt idx="505">
                  <c:v>5.1992525425932499</c:v>
                </c:pt>
                <c:pt idx="506">
                  <c:v>5.2316597722599827</c:v>
                </c:pt>
                <c:pt idx="507">
                  <c:v>5.262830300724751</c:v>
                </c:pt>
                <c:pt idx="508">
                  <c:v>5.2927580424725669</c:v>
                </c:pt>
                <c:pt idx="509">
                  <c:v>5.3214372045043339</c:v>
                </c:pt>
                <c:pt idx="510">
                  <c:v>5.3488622874028646</c:v>
                </c:pt>
                <c:pt idx="511">
                  <c:v>5.3750280863308353</c:v>
                </c:pt>
                <c:pt idx="512">
                  <c:v>5.3999296919604207</c:v>
                </c:pt>
                <c:pt idx="513">
                  <c:v>5.4235624913343941</c:v>
                </c:pt>
                <c:pt idx="514">
                  <c:v>5.4459221686585684</c:v>
                </c:pt>
                <c:pt idx="515">
                  <c:v>5.4670047060253628</c:v>
                </c:pt>
                <c:pt idx="516">
                  <c:v>5.4868063840683963</c:v>
                </c:pt>
                <c:pt idx="517">
                  <c:v>5.5053237825479586</c:v>
                </c:pt>
                <c:pt idx="518">
                  <c:v>5.5225537808673018</c:v>
                </c:pt>
                <c:pt idx="519">
                  <c:v>5.5384935585196091</c:v>
                </c:pt>
                <c:pt idx="520">
                  <c:v>5.5531405954656403</c:v>
                </c:pt>
                <c:pt idx="521">
                  <c:v>5.5664926724419654</c:v>
                </c:pt>
                <c:pt idx="522">
                  <c:v>5.578547871199782</c:v>
                </c:pt>
                <c:pt idx="523">
                  <c:v>5.5893045746743004</c:v>
                </c:pt>
                <c:pt idx="524">
                  <c:v>5.5987614670847057</c:v>
                </c:pt>
                <c:pt idx="525">
                  <c:v>5.6069175339647241</c:v>
                </c:pt>
                <c:pt idx="526">
                  <c:v>5.6137720621238358</c:v>
                </c:pt>
                <c:pt idx="527">
                  <c:v>5.6193246395391983</c:v>
                </c:pt>
                <c:pt idx="528">
                  <c:v>5.6235751551783659</c:v>
                </c:pt>
                <c:pt idx="529">
                  <c:v>5.626523798752876</c:v>
                </c:pt>
                <c:pt idx="530">
                  <c:v>5.6281710604028454</c:v>
                </c:pt>
                <c:pt idx="531">
                  <c:v>5.6285177303126854</c:v>
                </c:pt>
                <c:pt idx="532">
                  <c:v>5.6275648982580968</c:v>
                </c:pt>
                <c:pt idx="533">
                  <c:v>5.6253139530844916</c:v>
                </c:pt>
                <c:pt idx="534">
                  <c:v>5.6217665821170266</c:v>
                </c:pt>
                <c:pt idx="535">
                  <c:v>5.6169247705024592</c:v>
                </c:pt>
                <c:pt idx="536">
                  <c:v>5.6107908004830218</c:v>
                </c:pt>
                <c:pt idx="537">
                  <c:v>5.6033672506025436</c:v>
                </c:pt>
                <c:pt idx="538">
                  <c:v>5.5946569948450771</c:v>
                </c:pt>
                <c:pt idx="539">
                  <c:v>5.5846632017062756</c:v>
                </c:pt>
                <c:pt idx="540">
                  <c:v>5.5733893331978264</c:v>
                </c:pt>
                <c:pt idx="541">
                  <c:v>5.5608391437851887</c:v>
                </c:pt>
                <c:pt idx="542">
                  <c:v>5.5470166792589994</c:v>
                </c:pt>
                <c:pt idx="543">
                  <c:v>5.5319262755404344</c:v>
                </c:pt>
                <c:pt idx="544">
                  <c:v>5.5155725574208745</c:v>
                </c:pt>
                <c:pt idx="545">
                  <c:v>5.4979604372362623</c:v>
                </c:pt>
                <c:pt idx="546">
                  <c:v>5.4790951134764754</c:v>
                </c:pt>
                <c:pt idx="547">
                  <c:v>5.4589820693301601</c:v>
                </c:pt>
                <c:pt idx="548">
                  <c:v>5.4376270711653811</c:v>
                </c:pt>
                <c:pt idx="549">
                  <c:v>5.415036166946555</c:v>
                </c:pt>
                <c:pt idx="550">
                  <c:v>5.391215684588075</c:v>
                </c:pt>
                <c:pt idx="551">
                  <c:v>5.3661722302450885</c:v>
                </c:pt>
                <c:pt idx="552">
                  <c:v>5.3399126865419042</c:v>
                </c:pt>
                <c:pt idx="553">
                  <c:v>5.3124442107385228</c:v>
                </c:pt>
                <c:pt idx="554">
                  <c:v>5.2837742328357615</c:v>
                </c:pt>
                <c:pt idx="555">
                  <c:v>5.2539104536195351</c:v>
                </c:pt>
                <c:pt idx="556">
                  <c:v>5.2228608426447902</c:v>
                </c:pt>
                <c:pt idx="557">
                  <c:v>5.1906336361596814</c:v>
                </c:pt>
                <c:pt idx="558">
                  <c:v>5.1572373349705138</c:v>
                </c:pt>
                <c:pt idx="559">
                  <c:v>5.1226807022480916</c:v>
                </c:pt>
                <c:pt idx="560">
                  <c:v>5.0869727612760336</c:v>
                </c:pt>
                <c:pt idx="561">
                  <c:v>5.050122793141691</c:v>
                </c:pt>
                <c:pt idx="562">
                  <c:v>5.0121403343703141</c:v>
                </c:pt>
                <c:pt idx="563">
                  <c:v>4.973035174503118</c:v>
                </c:pt>
                <c:pt idx="564">
                  <c:v>4.9328173536199333</c:v>
                </c:pt>
                <c:pt idx="565">
                  <c:v>4.8914971598071126</c:v>
                </c:pt>
                <c:pt idx="566">
                  <c:v>4.8490851265714641</c:v>
                </c:pt>
                <c:pt idx="567">
                  <c:v>4.8055920302008968</c:v>
                </c:pt>
                <c:pt idx="568">
                  <c:v>4.7610288870725448</c:v>
                </c:pt>
                <c:pt idx="569">
                  <c:v>4.7154069509092293</c:v>
                </c:pt>
                <c:pt idx="570">
                  <c:v>4.6687377099849661</c:v>
                </c:pt>
                <c:pt idx="571">
                  <c:v>4.62103288428042</c:v>
                </c:pt>
                <c:pt idx="572">
                  <c:v>4.5723044225891716</c:v>
                </c:pt>
                <c:pt idx="573">
                  <c:v>4.5225644995756822</c:v>
                </c:pt>
                <c:pt idx="574">
                  <c:v>4.4718255127858946</c:v>
                </c:pt>
                <c:pt idx="575">
                  <c:v>4.4201000796114345</c:v>
                </c:pt>
                <c:pt idx="576">
                  <c:v>4.3674010342084637</c:v>
                </c:pt>
                <c:pt idx="577">
                  <c:v>4.3137414243721857</c:v>
                </c:pt>
                <c:pt idx="578">
                  <c:v>4.259134508368156</c:v>
                </c:pt>
                <c:pt idx="579">
                  <c:v>4.2035937517215736</c:v>
                </c:pt>
                <c:pt idx="580">
                  <c:v>4.1471328239657579</c:v>
                </c:pt>
                <c:pt idx="581">
                  <c:v>4.0897655953511185</c:v>
                </c:pt>
                <c:pt idx="582">
                  <c:v>4.0315061335160589</c:v>
                </c:pt>
                <c:pt idx="583">
                  <c:v>3.9723687001212542</c:v>
                </c:pt>
                <c:pt idx="584">
                  <c:v>3.9123677474489167</c:v>
                </c:pt>
                <c:pt idx="585">
                  <c:v>3.8515179149687984</c:v>
                </c:pt>
                <c:pt idx="586">
                  <c:v>3.7898340258728038</c:v>
                </c:pt>
                <c:pt idx="587">
                  <c:v>3.7273310835802778</c:v>
                </c:pt>
                <c:pt idx="588">
                  <c:v>3.6640242682162127</c:v>
                </c:pt>
                <c:pt idx="589">
                  <c:v>3.5999289330649633</c:v>
                </c:pt>
                <c:pt idx="590">
                  <c:v>3.5350606010021841</c:v>
                </c:pt>
                <c:pt idx="591">
                  <c:v>3.469434960908234</c:v>
                </c:pt>
                <c:pt idx="592">
                  <c:v>3.4030678640665926</c:v>
                </c:pt>
                <c:pt idx="593">
                  <c:v>3.3359753205513538</c:v>
                </c:pt>
                <c:pt idx="594">
                  <c:v>3.26817349560856</c:v>
                </c:pt>
                <c:pt idx="595">
                  <c:v>3.1996787060367491</c:v>
                </c:pt>
                <c:pt idx="596">
                  <c:v>3.1305074165731264</c:v>
                </c:pt>
                <c:pt idx="597">
                  <c:v>3.06067623629276</c:v>
                </c:pt>
                <c:pt idx="598">
                  <c:v>2.9902019150297661</c:v>
                </c:pt>
                <c:pt idx="599">
                  <c:v>2.9191013398308914</c:v>
                </c:pt>
                <c:pt idx="600">
                  <c:v>2.8473915314543121</c:v>
                </c:pt>
                <c:pt idx="601">
                  <c:v>2.7750896409289334</c:v>
                </c:pt>
                <c:pt idx="602">
                  <c:v>2.7022129461930349</c:v>
                </c:pt>
                <c:pt idx="603">
                  <c:v>2.6287788488351933</c:v>
                </c:pt>
                <c:pt idx="604">
                  <c:v>2.5548048709662265</c:v>
                </c:pt>
                <c:pt idx="605">
                  <c:v>2.4803086522576376</c:v>
                </c:pt>
                <c:pt idx="606">
                  <c:v>2.4053079471915106</c:v>
                </c:pt>
                <c:pt idx="607">
                  <c:v>2.329820622578799</c:v>
                </c:pt>
                <c:pt idx="608">
                  <c:v>2.2538646554187536</c:v>
                </c:pt>
                <c:pt idx="609">
                  <c:v>2.1774581311935672</c:v>
                </c:pt>
                <c:pt idx="610">
                  <c:v>2.1006192427205588</c:v>
                </c:pt>
                <c:pt idx="611">
                  <c:v>2.0233662897231794</c:v>
                </c:pt>
                <c:pt idx="612">
                  <c:v>1.945717679334751</c:v>
                </c:pt>
                <c:pt idx="613">
                  <c:v>1.8676919278228132</c:v>
                </c:pt>
                <c:pt idx="614">
                  <c:v>1.7893076639254066</c:v>
                </c:pt>
                <c:pt idx="615">
                  <c:v>1.7105836343381497</c:v>
                </c:pt>
                <c:pt idx="616">
                  <c:v>1.6315387121046097</c:v>
                </c:pt>
                <c:pt idx="617">
                  <c:v>1.5521919089760947</c:v>
                </c:pt>
                <c:pt idx="618">
                  <c:v>1.4725623932764702</c:v>
                </c:pt>
                <c:pt idx="619">
                  <c:v>1.3926695155226723</c:v>
                </c:pt>
                <c:pt idx="620">
                  <c:v>1.3125328451653639</c:v>
                </c:pt>
                <c:pt idx="621">
                  <c:v>1.2321722235883372</c:v>
                </c:pt>
                <c:pt idx="622">
                  <c:v>1.151607841406342</c:v>
                </c:pt>
                <c:pt idx="623">
                  <c:v>1.0708603529838541</c:v>
                </c:pt>
                <c:pt idx="624">
                  <c:v>0.98995104958936775</c:v>
                </c:pt>
                <c:pt idx="625">
                  <c:v>0.9089021279264532</c:v>
                </c:pt>
                <c:pt idx="626">
                  <c:v>0.8277371196536335</c:v>
                </c:pt>
                <c:pt idx="627">
                  <c:v>0.74648160464796387</c:v>
                </c:pt>
                <c:pt idx="628">
                  <c:v>0.66516445065661212</c:v>
                </c:pt>
                <c:pt idx="629">
                  <c:v>0.58382009166035276</c:v>
                </c:pt>
                <c:pt idx="630">
                  <c:v>0.50249301764371823</c:v>
                </c:pt>
                <c:pt idx="631">
                  <c:v>0.4212474465863979</c:v>
                </c:pt>
                <c:pt idx="632">
                  <c:v>0.34019076520801089</c:v>
                </c:pt>
                <c:pt idx="633">
                  <c:v>0.25954043930766696</c:v>
                </c:pt>
                <c:pt idx="634">
                  <c:v>0.17986795651202353</c:v>
                </c:pt>
                <c:pt idx="635">
                  <c:v>0.10343969552656947</c:v>
                </c:pt>
                <c:pt idx="636">
                  <c:v>4.8857801886555322E-2</c:v>
                </c:pt>
                <c:pt idx="637">
                  <c:v>8.594260400191743E-2</c:v>
                </c:pt>
                <c:pt idx="638">
                  <c:v>0.16017613079352086</c:v>
                </c:pt>
                <c:pt idx="639">
                  <c:v>0.23905059861486641</c:v>
                </c:pt>
                <c:pt idx="640">
                  <c:v>0.3190419151576257</c:v>
                </c:pt>
                <c:pt idx="641">
                  <c:v>0.39938361299390929</c:v>
                </c:pt>
                <c:pt idx="642">
                  <c:v>0.47980731716972752</c:v>
                </c:pt>
                <c:pt idx="643">
                  <c:v>0.56018799855179535</c:v>
                </c:pt>
                <c:pt idx="644">
                  <c:v>0.64045424533431072</c:v>
                </c:pt>
                <c:pt idx="645">
                  <c:v>0.72055839271459377</c:v>
                </c:pt>
                <c:pt idx="646">
                  <c:v>0.80046462598590784</c:v>
                </c:pt>
                <c:pt idx="647">
                  <c:v>0.88014359977056322</c:v>
                </c:pt>
                <c:pt idx="648">
                  <c:v>0.95956976145191009</c:v>
                </c:pt>
                <c:pt idx="649">
                  <c:v>1.0387199175941042</c:v>
                </c:pt>
                <c:pt idx="650">
                  <c:v>1.1175724194438799</c:v>
                </c:pt>
                <c:pt idx="651">
                  <c:v>1.1961066774248437</c:v>
                </c:pt>
                <c:pt idx="652">
                  <c:v>1.2743028600809947</c:v>
                </c:pt>
                <c:pt idx="653">
                  <c:v>1.3521417011909846</c:v>
                </c:pt>
                <c:pt idx="654">
                  <c:v>1.4296043728007384</c:v>
                </c:pt>
                <c:pt idx="655">
                  <c:v>1.5066723997778901</c:v>
                </c:pt>
                <c:pt idx="656">
                  <c:v>1.5833276012860917</c:v>
                </c:pt>
                <c:pt idx="657">
                  <c:v>1.6595520501597385</c:v>
                </c:pt>
                <c:pt idx="658">
                  <c:v>1.735328044451373</c:v>
                </c:pt>
                <c:pt idx="659">
                  <c:v>1.8106380874229051</c:v>
                </c:pt>
                <c:pt idx="660">
                  <c:v>1.8854648734988724</c:v>
                </c:pt>
                <c:pt idx="661">
                  <c:v>1.9597912784966927</c:v>
                </c:pt>
                <c:pt idx="662">
                  <c:v>2.0336003529687678</c:v>
                </c:pt>
                <c:pt idx="663">
                  <c:v>2.1068753178374813</c:v>
                </c:pt>
                <c:pt idx="664">
                  <c:v>2.1795995617385682</c:v>
                </c:pt>
                <c:pt idx="665">
                  <c:v>2.2517566396500182</c:v>
                </c:pt>
                <c:pt idx="666">
                  <c:v>2.3233302724964164</c:v>
                </c:pt>
                <c:pt idx="667">
                  <c:v>2.3943043474988155</c:v>
                </c:pt>
                <c:pt idx="668">
                  <c:v>2.4646629190975968</c:v>
                </c:pt>
                <c:pt idx="669">
                  <c:v>2.5343902103176448</c:v>
                </c:pt>
                <c:pt idx="670">
                  <c:v>2.6034706144757367</c:v>
                </c:pt>
                <c:pt idx="671">
                  <c:v>2.671888697152796</c:v>
                </c:pt>
                <c:pt idx="672">
                  <c:v>2.7396291983709062</c:v>
                </c:pt>
                <c:pt idx="673">
                  <c:v>2.8066770349276418</c:v>
                </c:pt>
                <c:pt idx="674">
                  <c:v>2.8730173028503008</c:v>
                </c:pt>
                <c:pt idx="675">
                  <c:v>2.9386352799400659</c:v>
                </c:pt>
                <c:pt idx="676">
                  <c:v>3.0035164283821221</c:v>
                </c:pt>
                <c:pt idx="677">
                  <c:v>3.0676463974021191</c:v>
                </c:pt>
                <c:pt idx="678">
                  <c:v>3.1310110259532449</c:v>
                </c:pt>
                <c:pt idx="679">
                  <c:v>3.1935963454207954</c:v>
                </c:pt>
                <c:pt idx="680">
                  <c:v>3.2553885823334512</c:v>
                </c:pt>
                <c:pt idx="681">
                  <c:v>3.3163741610723259</c:v>
                </c:pt>
                <c:pt idx="682">
                  <c:v>3.3765397065702771</c:v>
                </c:pt>
                <c:pt idx="683">
                  <c:v>3.4358720469951689</c:v>
                </c:pt>
                <c:pt idx="684">
                  <c:v>3.4943582164116531</c:v>
                </c:pt>
                <c:pt idx="685">
                  <c:v>3.5519854574170067</c:v>
                </c:pt>
                <c:pt idx="686">
                  <c:v>3.6087412237469949</c:v>
                </c:pt>
                <c:pt idx="687">
                  <c:v>3.6646131828484338</c:v>
                </c:pt>
                <c:pt idx="688">
                  <c:v>3.7195892184154378</c:v>
                </c:pt>
                <c:pt idx="689">
                  <c:v>3.7736574328868562</c:v>
                </c:pt>
                <c:pt idx="690">
                  <c:v>3.8268061499025823</c:v>
                </c:pt>
                <c:pt idx="691">
                  <c:v>3.8790239167166778</c:v>
                </c:pt>
                <c:pt idx="692">
                  <c:v>3.9302995065656638</c:v>
                </c:pt>
                <c:pt idx="693">
                  <c:v>3.980621920990262</c:v>
                </c:pt>
                <c:pt idx="694">
                  <c:v>4.0299803921092252</c:v>
                </c:pt>
                <c:pt idx="695">
                  <c:v>4.0783643848439288</c:v>
                </c:pt>
                <c:pt idx="696">
                  <c:v>4.1257635990925889</c:v>
                </c:pt>
                <c:pt idx="697">
                  <c:v>4.1721679718529741</c:v>
                </c:pt>
                <c:pt idx="698">
                  <c:v>4.2175676792927117</c:v>
                </c:pt>
                <c:pt idx="699">
                  <c:v>4.2619531387662706</c:v>
                </c:pt>
                <c:pt idx="700">
                  <c:v>4.3053150107777567</c:v>
                </c:pt>
                <c:pt idx="701">
                  <c:v>4.347644200888813</c:v>
                </c:pt>
                <c:pt idx="702">
                  <c:v>4.3889318615708772</c:v>
                </c:pt>
                <c:pt idx="703">
                  <c:v>4.4291693940012093</c:v>
                </c:pt>
                <c:pt idx="704">
                  <c:v>4.4683484498019732</c:v>
                </c:pt>
                <c:pt idx="705">
                  <c:v>4.5064609327219252</c:v>
                </c:pt>
                <c:pt idx="706">
                  <c:v>4.5434990002601037</c:v>
                </c:pt>
                <c:pt idx="707">
                  <c:v>4.5794550652310582</c:v>
                </c:pt>
                <c:pt idx="708">
                  <c:v>4.6143217972711552</c:v>
                </c:pt>
                <c:pt idx="709">
                  <c:v>4.648092124285526</c:v>
                </c:pt>
                <c:pt idx="710">
                  <c:v>4.6807592338352872</c:v>
                </c:pt>
                <c:pt idx="711">
                  <c:v>4.7123165744645812</c:v>
                </c:pt>
                <c:pt idx="712">
                  <c:v>4.7427578569671986</c:v>
                </c:pt>
                <c:pt idx="713">
                  <c:v>4.7720770555923808</c:v>
                </c:pt>
                <c:pt idx="714">
                  <c:v>4.8002684091895231</c:v>
                </c:pt>
                <c:pt idx="715">
                  <c:v>4.8273264222915131</c:v>
                </c:pt>
                <c:pt idx="716">
                  <c:v>4.853245866136441</c:v>
                </c:pt>
                <c:pt idx="717">
                  <c:v>4.8780217796274243</c:v>
                </c:pt>
                <c:pt idx="718">
                  <c:v>4.9016494702303639</c:v>
                </c:pt>
                <c:pt idx="719">
                  <c:v>4.924124514809435</c:v>
                </c:pt>
                <c:pt idx="720">
                  <c:v>4.9454427604000948</c:v>
                </c:pt>
                <c:pt idx="721">
                  <c:v>4.9656003249194987</c:v>
                </c:pt>
                <c:pt idx="722">
                  <c:v>4.9845935978141318</c:v>
                </c:pt>
                <c:pt idx="723">
                  <c:v>5.0024192406446115</c:v>
                </c:pt>
                <c:pt idx="724">
                  <c:v>5.0190741876074458</c:v>
                </c:pt>
                <c:pt idx="725">
                  <c:v>5.034555645993775</c:v>
                </c:pt>
                <c:pt idx="726">
                  <c:v>5.0488610965849237</c:v>
                </c:pt>
                <c:pt idx="727">
                  <c:v>5.0619882939847916</c:v>
                </c:pt>
                <c:pt idx="728">
                  <c:v>5.0739352668889968</c:v>
                </c:pt>
                <c:pt idx="729">
                  <c:v>5.0847003182907544</c:v>
                </c:pt>
                <c:pt idx="730">
                  <c:v>5.0942820256235111</c:v>
                </c:pt>
                <c:pt idx="731">
                  <c:v>5.1026792408403105</c:v>
                </c:pt>
                <c:pt idx="732">
                  <c:v>5.1098910904299526</c:v>
                </c:pt>
                <c:pt idx="733">
                  <c:v>5.1159169753699665</c:v>
                </c:pt>
                <c:pt idx="734">
                  <c:v>5.1207565710164662</c:v>
                </c:pt>
                <c:pt idx="735">
                  <c:v>5.1244098269309459</c:v>
                </c:pt>
                <c:pt idx="736">
                  <c:v>5.1268769666441516</c:v>
                </c:pt>
                <c:pt idx="737">
                  <c:v>5.1281584873570543</c:v>
                </c:pt>
                <c:pt idx="738">
                  <c:v>5.1282551595791395</c:v>
                </c:pt>
                <c:pt idx="739">
                  <c:v>5.1271680267040711</c:v>
                </c:pt>
                <c:pt idx="740">
                  <c:v>5.1248984045229289</c:v>
                </c:pt>
                <c:pt idx="741">
                  <c:v>5.1214478806751602</c:v>
                </c:pt>
                <c:pt idx="742">
                  <c:v>5.1168183140374461</c:v>
                </c:pt>
                <c:pt idx="743">
                  <c:v>5.1110118340506627</c:v>
                </c:pt>
                <c:pt idx="744">
                  <c:v>5.1040308399851568</c:v>
                </c:pt>
                <c:pt idx="745">
                  <c:v>5.0958780001445625</c:v>
                </c:pt>
                <c:pt idx="746">
                  <c:v>5.0865562510083961</c:v>
                </c:pt>
                <c:pt idx="747">
                  <c:v>5.0760687963136997</c:v>
                </c:pt>
                <c:pt idx="748">
                  <c:v>5.0644191060759676</c:v>
                </c:pt>
                <c:pt idx="749">
                  <c:v>5.0516109155496931</c:v>
                </c:pt>
                <c:pt idx="750">
                  <c:v>5.037648224128791</c:v>
                </c:pt>
                <c:pt idx="751">
                  <c:v>5.022535294187227</c:v>
                </c:pt>
                <c:pt idx="752">
                  <c:v>5.0062766498602107</c:v>
                </c:pt>
                <c:pt idx="753">
                  <c:v>4.9888770757662222</c:v>
                </c:pt>
                <c:pt idx="754">
                  <c:v>4.9703416156703248</c:v>
                </c:pt>
                <c:pt idx="755">
                  <c:v>4.9506755710890644</c:v>
                </c:pt>
                <c:pt idx="756">
                  <c:v>4.9298844998373621</c:v>
                </c:pt>
                <c:pt idx="757">
                  <c:v>4.9079742145178455</c:v>
                </c:pt>
                <c:pt idx="758">
                  <c:v>4.8849507809529555</c:v>
                </c:pt>
                <c:pt idx="759">
                  <c:v>4.8608205165603291</c:v>
                </c:pt>
                <c:pt idx="760">
                  <c:v>4.8355899886718703</c:v>
                </c:pt>
                <c:pt idx="761">
                  <c:v>4.8092660127969769</c:v>
                </c:pt>
                <c:pt idx="762">
                  <c:v>4.7818556508304173</c:v>
                </c:pt>
                <c:pt idx="763">
                  <c:v>4.7533662092052902</c:v>
                </c:pt>
                <c:pt idx="764">
                  <c:v>4.7238052369916694</c:v>
                </c:pt>
                <c:pt idx="765">
                  <c:v>4.6931805239413551</c:v>
                </c:pt>
                <c:pt idx="766">
                  <c:v>4.6615000984793369</c:v>
                </c:pt>
                <c:pt idx="767">
                  <c:v>4.6287722256424892</c:v>
                </c:pt>
                <c:pt idx="768">
                  <c:v>4.5950054049660869</c:v>
                </c:pt>
                <c:pt idx="769">
                  <c:v>4.5602083683186914</c:v>
                </c:pt>
                <c:pt idx="770">
                  <c:v>4.5243900776860873</c:v>
                </c:pt>
                <c:pt idx="771">
                  <c:v>4.487559722904777</c:v>
                </c:pt>
                <c:pt idx="772">
                  <c:v>4.4497267193457928</c:v>
                </c:pt>
                <c:pt idx="773">
                  <c:v>4.4109007055493743</c:v>
                </c:pt>
                <c:pt idx="774">
                  <c:v>4.3710915408112765</c:v>
                </c:pt>
                <c:pt idx="775">
                  <c:v>4.3303093027213624</c:v>
                </c:pt>
                <c:pt idx="776">
                  <c:v>4.2885642846551848</c:v>
                </c:pt>
                <c:pt idx="777">
                  <c:v>4.2458669932193844</c:v>
                </c:pt>
                <c:pt idx="778">
                  <c:v>4.2022281456515476</c:v>
                </c:pt>
                <c:pt idx="779">
                  <c:v>4.157658667175431</c:v>
                </c:pt>
                <c:pt idx="780">
                  <c:v>4.1121696883123304</c:v>
                </c:pt>
                <c:pt idx="781">
                  <c:v>4.0657725421494408</c:v>
                </c:pt>
                <c:pt idx="782">
                  <c:v>4.0184787615661497</c:v>
                </c:pt>
                <c:pt idx="783">
                  <c:v>3.9703000764190972</c:v>
                </c:pt>
                <c:pt idx="784">
                  <c:v>3.9212484106871361</c:v>
                </c:pt>
                <c:pt idx="785">
                  <c:v>3.8713358795770398</c:v>
                </c:pt>
                <c:pt idx="786">
                  <c:v>3.8205747865911475</c:v>
                </c:pt>
                <c:pt idx="787">
                  <c:v>3.768977620558053</c:v>
                </c:pt>
                <c:pt idx="788">
                  <c:v>3.7165570526275284</c:v>
                </c:pt>
                <c:pt idx="789">
                  <c:v>3.6633259332309636</c:v>
                </c:pt>
                <c:pt idx="790">
                  <c:v>3.6092972890087687</c:v>
                </c:pt>
                <c:pt idx="791">
                  <c:v>3.5544843197061011</c:v>
                </c:pt>
                <c:pt idx="792">
                  <c:v>3.4989003950386226</c:v>
                </c:pt>
                <c:pt idx="793">
                  <c:v>3.4425590515299667</c:v>
                </c:pt>
                <c:pt idx="794">
                  <c:v>3.3854739893228696</c:v>
                </c:pt>
                <c:pt idx="795">
                  <c:v>3.3276590689660583</c:v>
                </c:pt>
                <c:pt idx="796">
                  <c:v>3.2691283081791878</c:v>
                </c:pt>
                <c:pt idx="797">
                  <c:v>3.2098958785985858</c:v>
                </c:pt>
                <c:pt idx="798">
                  <c:v>3.1499761025065411</c:v>
                </c:pt>
                <c:pt idx="799">
                  <c:v>3.0893834495476673</c:v>
                </c:pt>
                <c:pt idx="800">
                  <c:v>3.0281325334360569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81E-4A4B-8599-7DF0E8A09933}"/>
            </c:ext>
          </c:extLst>
        </c:ser>
        <c:ser>
          <c:idx val="1"/>
          <c:order val="1"/>
          <c:tx>
            <c:strRef>
              <c:f>Summary!$N$2</c:f>
              <c:strCache>
                <c:ptCount val="1"/>
                <c:pt idx="0">
                  <c:v>Round ABCD</c:v>
                </c:pt>
              </c:strCache>
            </c:strRef>
          </c:tx>
          <c:marker>
            <c:symbol val="none"/>
          </c:marker>
          <c:xVal>
            <c:numRef>
              <c:f>Summary!$N$4:$N$804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Summary!$R$4:$R$804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81E-4A4B-8599-7DF0E8A09933}"/>
            </c:ext>
          </c:extLst>
        </c:ser>
        <c:ser>
          <c:idx val="2"/>
          <c:order val="2"/>
          <c:tx>
            <c:strRef>
              <c:f>Summary!$S$2</c:f>
              <c:strCache>
                <c:ptCount val="1"/>
                <c:pt idx="0">
                  <c:v>Round ABCD</c:v>
                </c:pt>
              </c:strCache>
            </c:strRef>
          </c:tx>
          <c:marker>
            <c:symbol val="none"/>
          </c:marker>
          <c:xVal>
            <c:numRef>
              <c:f>Summary!$S$4:$S$804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Summary!$W$4:$W$804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81E-4A4B-8599-7DF0E8A09933}"/>
            </c:ext>
          </c:extLst>
        </c:ser>
        <c:ser>
          <c:idx val="3"/>
          <c:order val="3"/>
          <c:tx>
            <c:strRef>
              <c:f>Summary!$X$2</c:f>
              <c:strCache>
                <c:ptCount val="1"/>
                <c:pt idx="0">
                  <c:v>Round ABCD</c:v>
                </c:pt>
              </c:strCache>
            </c:strRef>
          </c:tx>
          <c:marker>
            <c:symbol val="none"/>
          </c:marker>
          <c:xVal>
            <c:numRef>
              <c:f>Summary!$X$4:$X$804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Summary!$AB$4:$AB$804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81E-4A4B-8599-7DF0E8A09933}"/>
            </c:ext>
          </c:extLst>
        </c:ser>
        <c:ser>
          <c:idx val="4"/>
          <c:order val="4"/>
          <c:tx>
            <c:strRef>
              <c:f>Summary!$AC$2</c:f>
              <c:strCache>
                <c:ptCount val="1"/>
                <c:pt idx="0">
                  <c:v>Round ABCD</c:v>
                </c:pt>
              </c:strCache>
            </c:strRef>
          </c:tx>
          <c:marker>
            <c:symbol val="none"/>
          </c:marker>
          <c:xVal>
            <c:numRef>
              <c:f>Summary!$AC$4:$AC$804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Summary!$AG$4:$AG$804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81E-4A4B-8599-7DF0E8A09933}"/>
            </c:ext>
          </c:extLst>
        </c:ser>
        <c:ser>
          <c:idx val="5"/>
          <c:order val="5"/>
          <c:tx>
            <c:strRef>
              <c:f>Summary!$AH$2</c:f>
              <c:strCache>
                <c:ptCount val="1"/>
                <c:pt idx="0">
                  <c:v>Round ABCD</c:v>
                </c:pt>
              </c:strCache>
            </c:strRef>
          </c:tx>
          <c:marker>
            <c:symbol val="none"/>
          </c:marker>
          <c:xVal>
            <c:numRef>
              <c:f>Summary!$AH$4:$AH$804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Summary!$AL$4:$AL$804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81E-4A4B-8599-7DF0E8A09933}"/>
            </c:ext>
          </c:extLst>
        </c:ser>
        <c:ser>
          <c:idx val="6"/>
          <c:order val="6"/>
          <c:tx>
            <c:strRef>
              <c:f>Summary!$AM$2</c:f>
              <c:strCache>
                <c:ptCount val="1"/>
                <c:pt idx="0">
                  <c:v>Round ABCD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Summary!$AM$4:$AM$804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Summary!$AQ$4:$AQ$804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81E-4A4B-8599-7DF0E8A09933}"/>
            </c:ext>
          </c:extLst>
        </c:ser>
        <c:ser>
          <c:idx val="7"/>
          <c:order val="7"/>
          <c:tx>
            <c:strRef>
              <c:f>Summary!$AR$2</c:f>
              <c:strCache>
                <c:ptCount val="1"/>
                <c:pt idx="0">
                  <c:v>Round ABCD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Summary!$AR$4:$AR$804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Summary!$AV$4:$AV$804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81E-4A4B-8599-7DF0E8A09933}"/>
            </c:ext>
          </c:extLst>
        </c:ser>
        <c:ser>
          <c:idx val="8"/>
          <c:order val="8"/>
          <c:tx>
            <c:strRef>
              <c:f>Summary!$AW$2</c:f>
              <c:strCache>
                <c:ptCount val="1"/>
                <c:pt idx="0">
                  <c:v>Round ABCD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Summary!$AW$4:$AW$804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Summary!$BA$4:$BA$804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81E-4A4B-8599-7DF0E8A09933}"/>
            </c:ext>
          </c:extLst>
        </c:ser>
        <c:ser>
          <c:idx val="9"/>
          <c:order val="9"/>
          <c:tx>
            <c:strRef>
              <c:f>Summary!$BB$2</c:f>
              <c:strCache>
                <c:ptCount val="1"/>
                <c:pt idx="0">
                  <c:v>Round ABCD</c:v>
                </c:pt>
              </c:strCache>
            </c:strRef>
          </c:tx>
          <c:spPr>
            <a:ln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Summary!$BB$4:$BB$804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Summary!$BF$4:$BF$804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81E-4A4B-8599-7DF0E8A09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913752"/>
        <c:axId val="424914144"/>
      </c:scatterChart>
      <c:valAx>
        <c:axId val="424913752"/>
        <c:scaling>
          <c:orientation val="minMax"/>
          <c:max val="200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200"/>
                  <a:t>Range Location (m)</a:t>
                </a:r>
              </a:p>
            </c:rich>
          </c:tx>
          <c:layout>
            <c:manualLayout>
              <c:xMode val="edge"/>
              <c:yMode val="edge"/>
              <c:x val="0.31687747307448866"/>
              <c:y val="0.8286962459048227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none"/>
        <c:minorTickMark val="none"/>
        <c:tickLblPos val="low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4914144"/>
        <c:crosses val="autoZero"/>
        <c:crossBetween val="midCat"/>
        <c:majorUnit val="20"/>
      </c:valAx>
      <c:valAx>
        <c:axId val="424914144"/>
        <c:scaling>
          <c:orientation val="minMax"/>
          <c:max val="4.5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Total Yaw (deg)</a:t>
                </a:r>
              </a:p>
            </c:rich>
          </c:tx>
          <c:layout>
            <c:manualLayout>
              <c:xMode val="edge"/>
              <c:yMode val="edge"/>
              <c:x val="7.9231640872477152E-2"/>
              <c:y val="0.3285750975638798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24913752"/>
        <c:crossesAt val="-100"/>
        <c:crossBetween val="midCat"/>
        <c:majorUnit val="0.5"/>
      </c:valAx>
      <c:spPr>
        <a:noFill/>
        <a:ln w="381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429647507136926"/>
          <c:y val="0.17420795734147679"/>
          <c:w val="0.16410794804495593"/>
          <c:h val="0.54607333561184768"/>
        </c:manualLayout>
      </c:layout>
      <c:overlay val="0"/>
      <c:spPr>
        <a:ln>
          <a:noFill/>
        </a:ln>
      </c:spPr>
      <c:txPr>
        <a:bodyPr anchor="ctr" anchorCtr="1"/>
        <a:lstStyle/>
        <a:p>
          <a:pPr>
            <a:defRPr sz="900" b="1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75870995577606"/>
          <c:y val="0.17635064113405868"/>
          <c:w val="0.48804445651190159"/>
          <c:h val="0.53942407557050664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Summary!$I$2</c:f>
              <c:strCache>
                <c:ptCount val="1"/>
                <c:pt idx="0">
                  <c:v>Round ABCD</c:v>
                </c:pt>
              </c:strCache>
            </c:strRef>
          </c:tx>
          <c:spPr>
            <a:ln w="28575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Summary!$I$4:$I$804</c:f>
              <c:numCache>
                <c:formatCode>0.00</c:formatCode>
                <c:ptCount val="80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  <c:pt idx="201">
                  <c:v>50.25</c:v>
                </c:pt>
                <c:pt idx="202">
                  <c:v>50.5</c:v>
                </c:pt>
                <c:pt idx="203">
                  <c:v>50.75</c:v>
                </c:pt>
                <c:pt idx="204">
                  <c:v>51</c:v>
                </c:pt>
                <c:pt idx="205">
                  <c:v>51.25</c:v>
                </c:pt>
                <c:pt idx="206">
                  <c:v>51.5</c:v>
                </c:pt>
                <c:pt idx="207">
                  <c:v>51.75</c:v>
                </c:pt>
                <c:pt idx="208">
                  <c:v>52</c:v>
                </c:pt>
                <c:pt idx="209">
                  <c:v>52.25</c:v>
                </c:pt>
                <c:pt idx="210">
                  <c:v>52.5</c:v>
                </c:pt>
                <c:pt idx="211">
                  <c:v>52.75</c:v>
                </c:pt>
                <c:pt idx="212">
                  <c:v>53</c:v>
                </c:pt>
                <c:pt idx="213">
                  <c:v>53.25</c:v>
                </c:pt>
                <c:pt idx="214">
                  <c:v>53.5</c:v>
                </c:pt>
                <c:pt idx="215">
                  <c:v>53.75</c:v>
                </c:pt>
                <c:pt idx="216">
                  <c:v>54</c:v>
                </c:pt>
                <c:pt idx="217">
                  <c:v>54.25</c:v>
                </c:pt>
                <c:pt idx="218">
                  <c:v>54.5</c:v>
                </c:pt>
                <c:pt idx="219">
                  <c:v>54.75</c:v>
                </c:pt>
                <c:pt idx="220">
                  <c:v>55</c:v>
                </c:pt>
                <c:pt idx="221">
                  <c:v>55.25</c:v>
                </c:pt>
                <c:pt idx="222">
                  <c:v>55.5</c:v>
                </c:pt>
                <c:pt idx="223">
                  <c:v>55.75</c:v>
                </c:pt>
                <c:pt idx="224">
                  <c:v>56</c:v>
                </c:pt>
                <c:pt idx="225">
                  <c:v>56.25</c:v>
                </c:pt>
                <c:pt idx="226">
                  <c:v>56.5</c:v>
                </c:pt>
                <c:pt idx="227">
                  <c:v>56.75</c:v>
                </c:pt>
                <c:pt idx="228">
                  <c:v>57</c:v>
                </c:pt>
                <c:pt idx="229">
                  <c:v>57.25</c:v>
                </c:pt>
                <c:pt idx="230">
                  <c:v>57.5</c:v>
                </c:pt>
                <c:pt idx="231">
                  <c:v>57.75</c:v>
                </c:pt>
                <c:pt idx="232">
                  <c:v>58</c:v>
                </c:pt>
                <c:pt idx="233">
                  <c:v>58.25</c:v>
                </c:pt>
                <c:pt idx="234">
                  <c:v>58.5</c:v>
                </c:pt>
                <c:pt idx="235">
                  <c:v>58.75</c:v>
                </c:pt>
                <c:pt idx="236">
                  <c:v>59</c:v>
                </c:pt>
                <c:pt idx="237">
                  <c:v>59.25</c:v>
                </c:pt>
                <c:pt idx="238">
                  <c:v>59.5</c:v>
                </c:pt>
                <c:pt idx="239">
                  <c:v>59.75</c:v>
                </c:pt>
                <c:pt idx="240">
                  <c:v>60</c:v>
                </c:pt>
                <c:pt idx="241">
                  <c:v>60.25</c:v>
                </c:pt>
                <c:pt idx="242">
                  <c:v>60.5</c:v>
                </c:pt>
                <c:pt idx="243">
                  <c:v>60.75</c:v>
                </c:pt>
                <c:pt idx="244">
                  <c:v>61</c:v>
                </c:pt>
                <c:pt idx="245">
                  <c:v>61.25</c:v>
                </c:pt>
                <c:pt idx="246">
                  <c:v>61.5</c:v>
                </c:pt>
                <c:pt idx="247">
                  <c:v>61.75</c:v>
                </c:pt>
                <c:pt idx="248">
                  <c:v>62</c:v>
                </c:pt>
                <c:pt idx="249">
                  <c:v>62.25</c:v>
                </c:pt>
                <c:pt idx="250">
                  <c:v>62.5</c:v>
                </c:pt>
                <c:pt idx="251">
                  <c:v>62.75</c:v>
                </c:pt>
                <c:pt idx="252">
                  <c:v>63</c:v>
                </c:pt>
                <c:pt idx="253">
                  <c:v>63.25</c:v>
                </c:pt>
                <c:pt idx="254">
                  <c:v>63.5</c:v>
                </c:pt>
                <c:pt idx="255">
                  <c:v>63.75</c:v>
                </c:pt>
                <c:pt idx="256">
                  <c:v>64</c:v>
                </c:pt>
                <c:pt idx="257">
                  <c:v>64.25</c:v>
                </c:pt>
                <c:pt idx="258">
                  <c:v>64.5</c:v>
                </c:pt>
                <c:pt idx="259">
                  <c:v>64.75</c:v>
                </c:pt>
                <c:pt idx="260">
                  <c:v>65</c:v>
                </c:pt>
                <c:pt idx="261">
                  <c:v>65.25</c:v>
                </c:pt>
                <c:pt idx="262">
                  <c:v>65.5</c:v>
                </c:pt>
                <c:pt idx="263">
                  <c:v>65.75</c:v>
                </c:pt>
                <c:pt idx="264">
                  <c:v>66</c:v>
                </c:pt>
                <c:pt idx="265">
                  <c:v>66.25</c:v>
                </c:pt>
                <c:pt idx="266">
                  <c:v>66.5</c:v>
                </c:pt>
                <c:pt idx="267">
                  <c:v>66.75</c:v>
                </c:pt>
                <c:pt idx="268">
                  <c:v>67</c:v>
                </c:pt>
                <c:pt idx="269">
                  <c:v>67.25</c:v>
                </c:pt>
                <c:pt idx="270">
                  <c:v>67.5</c:v>
                </c:pt>
                <c:pt idx="271">
                  <c:v>67.75</c:v>
                </c:pt>
                <c:pt idx="272">
                  <c:v>68</c:v>
                </c:pt>
                <c:pt idx="273">
                  <c:v>68.25</c:v>
                </c:pt>
                <c:pt idx="274">
                  <c:v>68.5</c:v>
                </c:pt>
                <c:pt idx="275">
                  <c:v>68.75</c:v>
                </c:pt>
                <c:pt idx="276">
                  <c:v>69</c:v>
                </c:pt>
                <c:pt idx="277">
                  <c:v>69.25</c:v>
                </c:pt>
                <c:pt idx="278">
                  <c:v>69.5</c:v>
                </c:pt>
                <c:pt idx="279">
                  <c:v>69.75</c:v>
                </c:pt>
                <c:pt idx="280">
                  <c:v>70</c:v>
                </c:pt>
                <c:pt idx="281">
                  <c:v>70.25</c:v>
                </c:pt>
                <c:pt idx="282">
                  <c:v>70.5</c:v>
                </c:pt>
                <c:pt idx="283">
                  <c:v>70.75</c:v>
                </c:pt>
                <c:pt idx="284">
                  <c:v>71</c:v>
                </c:pt>
                <c:pt idx="285">
                  <c:v>71.25</c:v>
                </c:pt>
                <c:pt idx="286">
                  <c:v>71.5</c:v>
                </c:pt>
                <c:pt idx="287">
                  <c:v>71.75</c:v>
                </c:pt>
                <c:pt idx="288">
                  <c:v>72</c:v>
                </c:pt>
                <c:pt idx="289">
                  <c:v>72.25</c:v>
                </c:pt>
                <c:pt idx="290">
                  <c:v>72.5</c:v>
                </c:pt>
                <c:pt idx="291">
                  <c:v>72.75</c:v>
                </c:pt>
                <c:pt idx="292">
                  <c:v>73</c:v>
                </c:pt>
                <c:pt idx="293">
                  <c:v>73.25</c:v>
                </c:pt>
                <c:pt idx="294">
                  <c:v>73.5</c:v>
                </c:pt>
                <c:pt idx="295">
                  <c:v>73.75</c:v>
                </c:pt>
                <c:pt idx="296">
                  <c:v>74</c:v>
                </c:pt>
                <c:pt idx="297">
                  <c:v>74.25</c:v>
                </c:pt>
                <c:pt idx="298">
                  <c:v>74.5</c:v>
                </c:pt>
                <c:pt idx="299">
                  <c:v>74.75</c:v>
                </c:pt>
                <c:pt idx="300">
                  <c:v>75</c:v>
                </c:pt>
                <c:pt idx="301">
                  <c:v>75.25</c:v>
                </c:pt>
                <c:pt idx="302">
                  <c:v>75.5</c:v>
                </c:pt>
                <c:pt idx="303">
                  <c:v>75.75</c:v>
                </c:pt>
                <c:pt idx="304">
                  <c:v>76</c:v>
                </c:pt>
                <c:pt idx="305">
                  <c:v>76.25</c:v>
                </c:pt>
                <c:pt idx="306">
                  <c:v>76.5</c:v>
                </c:pt>
                <c:pt idx="307">
                  <c:v>76.75</c:v>
                </c:pt>
                <c:pt idx="308">
                  <c:v>77</c:v>
                </c:pt>
                <c:pt idx="309">
                  <c:v>77.25</c:v>
                </c:pt>
                <c:pt idx="310">
                  <c:v>77.5</c:v>
                </c:pt>
                <c:pt idx="311">
                  <c:v>77.75</c:v>
                </c:pt>
                <c:pt idx="312">
                  <c:v>78</c:v>
                </c:pt>
                <c:pt idx="313">
                  <c:v>78.25</c:v>
                </c:pt>
                <c:pt idx="314">
                  <c:v>78.5</c:v>
                </c:pt>
                <c:pt idx="315">
                  <c:v>78.75</c:v>
                </c:pt>
                <c:pt idx="316">
                  <c:v>79</c:v>
                </c:pt>
                <c:pt idx="317">
                  <c:v>79.25</c:v>
                </c:pt>
                <c:pt idx="318">
                  <c:v>79.5</c:v>
                </c:pt>
                <c:pt idx="319">
                  <c:v>79.75</c:v>
                </c:pt>
                <c:pt idx="320">
                  <c:v>80</c:v>
                </c:pt>
                <c:pt idx="321">
                  <c:v>80.25</c:v>
                </c:pt>
                <c:pt idx="322">
                  <c:v>80.5</c:v>
                </c:pt>
                <c:pt idx="323">
                  <c:v>80.75</c:v>
                </c:pt>
                <c:pt idx="324">
                  <c:v>81</c:v>
                </c:pt>
                <c:pt idx="325">
                  <c:v>81.25</c:v>
                </c:pt>
                <c:pt idx="326">
                  <c:v>81.5</c:v>
                </c:pt>
                <c:pt idx="327">
                  <c:v>81.75</c:v>
                </c:pt>
                <c:pt idx="328">
                  <c:v>82</c:v>
                </c:pt>
                <c:pt idx="329">
                  <c:v>82.25</c:v>
                </c:pt>
                <c:pt idx="330">
                  <c:v>82.5</c:v>
                </c:pt>
                <c:pt idx="331">
                  <c:v>82.75</c:v>
                </c:pt>
                <c:pt idx="332">
                  <c:v>83</c:v>
                </c:pt>
                <c:pt idx="333">
                  <c:v>83.25</c:v>
                </c:pt>
                <c:pt idx="334">
                  <c:v>83.5</c:v>
                </c:pt>
                <c:pt idx="335">
                  <c:v>83.75</c:v>
                </c:pt>
                <c:pt idx="336">
                  <c:v>84</c:v>
                </c:pt>
                <c:pt idx="337">
                  <c:v>84.25</c:v>
                </c:pt>
                <c:pt idx="338">
                  <c:v>84.5</c:v>
                </c:pt>
                <c:pt idx="339">
                  <c:v>84.75</c:v>
                </c:pt>
                <c:pt idx="340">
                  <c:v>85</c:v>
                </c:pt>
                <c:pt idx="341">
                  <c:v>85.25</c:v>
                </c:pt>
                <c:pt idx="342">
                  <c:v>85.5</c:v>
                </c:pt>
                <c:pt idx="343">
                  <c:v>85.75</c:v>
                </c:pt>
                <c:pt idx="344">
                  <c:v>86</c:v>
                </c:pt>
                <c:pt idx="345">
                  <c:v>86.25</c:v>
                </c:pt>
                <c:pt idx="346">
                  <c:v>86.5</c:v>
                </c:pt>
                <c:pt idx="347">
                  <c:v>86.75</c:v>
                </c:pt>
                <c:pt idx="348">
                  <c:v>87</c:v>
                </c:pt>
                <c:pt idx="349">
                  <c:v>87.25</c:v>
                </c:pt>
                <c:pt idx="350">
                  <c:v>87.5</c:v>
                </c:pt>
                <c:pt idx="351">
                  <c:v>87.75</c:v>
                </c:pt>
                <c:pt idx="352">
                  <c:v>88</c:v>
                </c:pt>
                <c:pt idx="353">
                  <c:v>88.25</c:v>
                </c:pt>
                <c:pt idx="354">
                  <c:v>88.5</c:v>
                </c:pt>
                <c:pt idx="355">
                  <c:v>88.75</c:v>
                </c:pt>
                <c:pt idx="356">
                  <c:v>89</c:v>
                </c:pt>
                <c:pt idx="357">
                  <c:v>89.25</c:v>
                </c:pt>
                <c:pt idx="358">
                  <c:v>89.5</c:v>
                </c:pt>
                <c:pt idx="359">
                  <c:v>89.75</c:v>
                </c:pt>
                <c:pt idx="360">
                  <c:v>90</c:v>
                </c:pt>
                <c:pt idx="361">
                  <c:v>90.25</c:v>
                </c:pt>
                <c:pt idx="362">
                  <c:v>90.5</c:v>
                </c:pt>
                <c:pt idx="363">
                  <c:v>90.75</c:v>
                </c:pt>
                <c:pt idx="364">
                  <c:v>91</c:v>
                </c:pt>
                <c:pt idx="365">
                  <c:v>91.25</c:v>
                </c:pt>
                <c:pt idx="366">
                  <c:v>91.5</c:v>
                </c:pt>
                <c:pt idx="367">
                  <c:v>91.75</c:v>
                </c:pt>
                <c:pt idx="368">
                  <c:v>92</c:v>
                </c:pt>
                <c:pt idx="369">
                  <c:v>92.25</c:v>
                </c:pt>
                <c:pt idx="370">
                  <c:v>92.5</c:v>
                </c:pt>
                <c:pt idx="371">
                  <c:v>92.75</c:v>
                </c:pt>
                <c:pt idx="372">
                  <c:v>93</c:v>
                </c:pt>
                <c:pt idx="373">
                  <c:v>93.25</c:v>
                </c:pt>
                <c:pt idx="374">
                  <c:v>93.5</c:v>
                </c:pt>
                <c:pt idx="375">
                  <c:v>93.75</c:v>
                </c:pt>
                <c:pt idx="376">
                  <c:v>94</c:v>
                </c:pt>
                <c:pt idx="377">
                  <c:v>94.25</c:v>
                </c:pt>
                <c:pt idx="378">
                  <c:v>94.5</c:v>
                </c:pt>
                <c:pt idx="379">
                  <c:v>94.75</c:v>
                </c:pt>
                <c:pt idx="380">
                  <c:v>95</c:v>
                </c:pt>
                <c:pt idx="381">
                  <c:v>95.25</c:v>
                </c:pt>
                <c:pt idx="382">
                  <c:v>95.5</c:v>
                </c:pt>
                <c:pt idx="383">
                  <c:v>95.75</c:v>
                </c:pt>
                <c:pt idx="384">
                  <c:v>96</c:v>
                </c:pt>
                <c:pt idx="385">
                  <c:v>96.25</c:v>
                </c:pt>
                <c:pt idx="386">
                  <c:v>96.5</c:v>
                </c:pt>
                <c:pt idx="387">
                  <c:v>96.75</c:v>
                </c:pt>
                <c:pt idx="388">
                  <c:v>97</c:v>
                </c:pt>
                <c:pt idx="389">
                  <c:v>97.25</c:v>
                </c:pt>
                <c:pt idx="390">
                  <c:v>97.5</c:v>
                </c:pt>
                <c:pt idx="391">
                  <c:v>97.75</c:v>
                </c:pt>
                <c:pt idx="392">
                  <c:v>98</c:v>
                </c:pt>
                <c:pt idx="393">
                  <c:v>98.25</c:v>
                </c:pt>
                <c:pt idx="394">
                  <c:v>98.5</c:v>
                </c:pt>
                <c:pt idx="395">
                  <c:v>98.75</c:v>
                </c:pt>
                <c:pt idx="396">
                  <c:v>99</c:v>
                </c:pt>
                <c:pt idx="397">
                  <c:v>99.25</c:v>
                </c:pt>
                <c:pt idx="398">
                  <c:v>99.5</c:v>
                </c:pt>
                <c:pt idx="399">
                  <c:v>99.75</c:v>
                </c:pt>
                <c:pt idx="400">
                  <c:v>100</c:v>
                </c:pt>
                <c:pt idx="401">
                  <c:v>100.25</c:v>
                </c:pt>
                <c:pt idx="402">
                  <c:v>100.5</c:v>
                </c:pt>
                <c:pt idx="403">
                  <c:v>100.75</c:v>
                </c:pt>
                <c:pt idx="404">
                  <c:v>101</c:v>
                </c:pt>
                <c:pt idx="405">
                  <c:v>101.25</c:v>
                </c:pt>
                <c:pt idx="406">
                  <c:v>101.5</c:v>
                </c:pt>
                <c:pt idx="407">
                  <c:v>101.75</c:v>
                </c:pt>
                <c:pt idx="408">
                  <c:v>102</c:v>
                </c:pt>
                <c:pt idx="409">
                  <c:v>102.25</c:v>
                </c:pt>
                <c:pt idx="410">
                  <c:v>102.5</c:v>
                </c:pt>
                <c:pt idx="411">
                  <c:v>102.75</c:v>
                </c:pt>
                <c:pt idx="412">
                  <c:v>103</c:v>
                </c:pt>
                <c:pt idx="413">
                  <c:v>103.25</c:v>
                </c:pt>
                <c:pt idx="414">
                  <c:v>103.5</c:v>
                </c:pt>
                <c:pt idx="415">
                  <c:v>103.75</c:v>
                </c:pt>
                <c:pt idx="416">
                  <c:v>104</c:v>
                </c:pt>
                <c:pt idx="417">
                  <c:v>104.25</c:v>
                </c:pt>
                <c:pt idx="418">
                  <c:v>104.5</c:v>
                </c:pt>
                <c:pt idx="419">
                  <c:v>104.75</c:v>
                </c:pt>
                <c:pt idx="420">
                  <c:v>105</c:v>
                </c:pt>
                <c:pt idx="421">
                  <c:v>105.25</c:v>
                </c:pt>
                <c:pt idx="422">
                  <c:v>105.5</c:v>
                </c:pt>
                <c:pt idx="423">
                  <c:v>105.75</c:v>
                </c:pt>
                <c:pt idx="424">
                  <c:v>106</c:v>
                </c:pt>
                <c:pt idx="425">
                  <c:v>106.25</c:v>
                </c:pt>
                <c:pt idx="426">
                  <c:v>106.5</c:v>
                </c:pt>
                <c:pt idx="427">
                  <c:v>106.75</c:v>
                </c:pt>
                <c:pt idx="428">
                  <c:v>107</c:v>
                </c:pt>
                <c:pt idx="429">
                  <c:v>107.25</c:v>
                </c:pt>
                <c:pt idx="430">
                  <c:v>107.5</c:v>
                </c:pt>
                <c:pt idx="431">
                  <c:v>107.75</c:v>
                </c:pt>
                <c:pt idx="432">
                  <c:v>108</c:v>
                </c:pt>
                <c:pt idx="433">
                  <c:v>108.25</c:v>
                </c:pt>
                <c:pt idx="434">
                  <c:v>108.5</c:v>
                </c:pt>
                <c:pt idx="435">
                  <c:v>108.75</c:v>
                </c:pt>
                <c:pt idx="436">
                  <c:v>109</c:v>
                </c:pt>
                <c:pt idx="437">
                  <c:v>109.25</c:v>
                </c:pt>
                <c:pt idx="438">
                  <c:v>109.5</c:v>
                </c:pt>
                <c:pt idx="439">
                  <c:v>109.75</c:v>
                </c:pt>
                <c:pt idx="440">
                  <c:v>110</c:v>
                </c:pt>
                <c:pt idx="441">
                  <c:v>110.25</c:v>
                </c:pt>
                <c:pt idx="442">
                  <c:v>110.5</c:v>
                </c:pt>
                <c:pt idx="443">
                  <c:v>110.75</c:v>
                </c:pt>
                <c:pt idx="444">
                  <c:v>111</c:v>
                </c:pt>
                <c:pt idx="445">
                  <c:v>111.25</c:v>
                </c:pt>
                <c:pt idx="446">
                  <c:v>111.5</c:v>
                </c:pt>
                <c:pt idx="447">
                  <c:v>111.75</c:v>
                </c:pt>
                <c:pt idx="448">
                  <c:v>112</c:v>
                </c:pt>
                <c:pt idx="449">
                  <c:v>112.25</c:v>
                </c:pt>
                <c:pt idx="450">
                  <c:v>112.5</c:v>
                </c:pt>
                <c:pt idx="451">
                  <c:v>112.75</c:v>
                </c:pt>
                <c:pt idx="452">
                  <c:v>113</c:v>
                </c:pt>
                <c:pt idx="453">
                  <c:v>113.25</c:v>
                </c:pt>
                <c:pt idx="454">
                  <c:v>113.5</c:v>
                </c:pt>
                <c:pt idx="455">
                  <c:v>113.75</c:v>
                </c:pt>
                <c:pt idx="456">
                  <c:v>114</c:v>
                </c:pt>
                <c:pt idx="457">
                  <c:v>114.25</c:v>
                </c:pt>
                <c:pt idx="458">
                  <c:v>114.5</c:v>
                </c:pt>
                <c:pt idx="459">
                  <c:v>114.75</c:v>
                </c:pt>
                <c:pt idx="460">
                  <c:v>115</c:v>
                </c:pt>
                <c:pt idx="461">
                  <c:v>115.25</c:v>
                </c:pt>
                <c:pt idx="462">
                  <c:v>115.5</c:v>
                </c:pt>
                <c:pt idx="463">
                  <c:v>115.75</c:v>
                </c:pt>
                <c:pt idx="464">
                  <c:v>116</c:v>
                </c:pt>
                <c:pt idx="465">
                  <c:v>116.25</c:v>
                </c:pt>
                <c:pt idx="466">
                  <c:v>116.5</c:v>
                </c:pt>
                <c:pt idx="467">
                  <c:v>116.75</c:v>
                </c:pt>
                <c:pt idx="468">
                  <c:v>117</c:v>
                </c:pt>
                <c:pt idx="469">
                  <c:v>117.25</c:v>
                </c:pt>
                <c:pt idx="470">
                  <c:v>117.5</c:v>
                </c:pt>
                <c:pt idx="471">
                  <c:v>117.75</c:v>
                </c:pt>
                <c:pt idx="472">
                  <c:v>118</c:v>
                </c:pt>
                <c:pt idx="473">
                  <c:v>118.25</c:v>
                </c:pt>
                <c:pt idx="474">
                  <c:v>118.5</c:v>
                </c:pt>
                <c:pt idx="475">
                  <c:v>118.75</c:v>
                </c:pt>
                <c:pt idx="476">
                  <c:v>119</c:v>
                </c:pt>
                <c:pt idx="477">
                  <c:v>119.25</c:v>
                </c:pt>
                <c:pt idx="478">
                  <c:v>119.5</c:v>
                </c:pt>
                <c:pt idx="479">
                  <c:v>119.75</c:v>
                </c:pt>
                <c:pt idx="480">
                  <c:v>120</c:v>
                </c:pt>
                <c:pt idx="481">
                  <c:v>120.25</c:v>
                </c:pt>
                <c:pt idx="482">
                  <c:v>120.5</c:v>
                </c:pt>
                <c:pt idx="483">
                  <c:v>120.75</c:v>
                </c:pt>
                <c:pt idx="484">
                  <c:v>121</c:v>
                </c:pt>
                <c:pt idx="485">
                  <c:v>121.25</c:v>
                </c:pt>
                <c:pt idx="486">
                  <c:v>121.5</c:v>
                </c:pt>
                <c:pt idx="487">
                  <c:v>121.75</c:v>
                </c:pt>
                <c:pt idx="488">
                  <c:v>122</c:v>
                </c:pt>
                <c:pt idx="489">
                  <c:v>122.25</c:v>
                </c:pt>
                <c:pt idx="490">
                  <c:v>122.5</c:v>
                </c:pt>
                <c:pt idx="491">
                  <c:v>122.75</c:v>
                </c:pt>
                <c:pt idx="492">
                  <c:v>123</c:v>
                </c:pt>
                <c:pt idx="493">
                  <c:v>123.25</c:v>
                </c:pt>
                <c:pt idx="494">
                  <c:v>123.5</c:v>
                </c:pt>
                <c:pt idx="495">
                  <c:v>123.75</c:v>
                </c:pt>
                <c:pt idx="496">
                  <c:v>124</c:v>
                </c:pt>
                <c:pt idx="497">
                  <c:v>124.25</c:v>
                </c:pt>
                <c:pt idx="498">
                  <c:v>124.5</c:v>
                </c:pt>
                <c:pt idx="499">
                  <c:v>124.75</c:v>
                </c:pt>
                <c:pt idx="500">
                  <c:v>125</c:v>
                </c:pt>
                <c:pt idx="501">
                  <c:v>125.25</c:v>
                </c:pt>
                <c:pt idx="502">
                  <c:v>125.5</c:v>
                </c:pt>
                <c:pt idx="503">
                  <c:v>125.75</c:v>
                </c:pt>
                <c:pt idx="504">
                  <c:v>126</c:v>
                </c:pt>
                <c:pt idx="505">
                  <c:v>126.25</c:v>
                </c:pt>
                <c:pt idx="506">
                  <c:v>126.5</c:v>
                </c:pt>
                <c:pt idx="507">
                  <c:v>126.75</c:v>
                </c:pt>
                <c:pt idx="508">
                  <c:v>127</c:v>
                </c:pt>
                <c:pt idx="509">
                  <c:v>127.25</c:v>
                </c:pt>
                <c:pt idx="510">
                  <c:v>127.5</c:v>
                </c:pt>
                <c:pt idx="511">
                  <c:v>127.75</c:v>
                </c:pt>
                <c:pt idx="512">
                  <c:v>128</c:v>
                </c:pt>
                <c:pt idx="513">
                  <c:v>128.25</c:v>
                </c:pt>
                <c:pt idx="514">
                  <c:v>128.5</c:v>
                </c:pt>
                <c:pt idx="515">
                  <c:v>128.75</c:v>
                </c:pt>
                <c:pt idx="516">
                  <c:v>129</c:v>
                </c:pt>
                <c:pt idx="517">
                  <c:v>129.25</c:v>
                </c:pt>
                <c:pt idx="518">
                  <c:v>129.5</c:v>
                </c:pt>
                <c:pt idx="519">
                  <c:v>129.75</c:v>
                </c:pt>
                <c:pt idx="520">
                  <c:v>130</c:v>
                </c:pt>
                <c:pt idx="521">
                  <c:v>130.25</c:v>
                </c:pt>
                <c:pt idx="522">
                  <c:v>130.5</c:v>
                </c:pt>
                <c:pt idx="523">
                  <c:v>130.75</c:v>
                </c:pt>
                <c:pt idx="524">
                  <c:v>131</c:v>
                </c:pt>
                <c:pt idx="525">
                  <c:v>131.25</c:v>
                </c:pt>
                <c:pt idx="526">
                  <c:v>131.5</c:v>
                </c:pt>
                <c:pt idx="527">
                  <c:v>131.75</c:v>
                </c:pt>
                <c:pt idx="528">
                  <c:v>132</c:v>
                </c:pt>
                <c:pt idx="529">
                  <c:v>132.25</c:v>
                </c:pt>
                <c:pt idx="530">
                  <c:v>132.5</c:v>
                </c:pt>
                <c:pt idx="531">
                  <c:v>132.75</c:v>
                </c:pt>
                <c:pt idx="532">
                  <c:v>133</c:v>
                </c:pt>
                <c:pt idx="533">
                  <c:v>133.25</c:v>
                </c:pt>
                <c:pt idx="534">
                  <c:v>133.5</c:v>
                </c:pt>
                <c:pt idx="535">
                  <c:v>133.75</c:v>
                </c:pt>
                <c:pt idx="536">
                  <c:v>134</c:v>
                </c:pt>
                <c:pt idx="537">
                  <c:v>134.25</c:v>
                </c:pt>
                <c:pt idx="538">
                  <c:v>134.5</c:v>
                </c:pt>
                <c:pt idx="539">
                  <c:v>134.75</c:v>
                </c:pt>
                <c:pt idx="540">
                  <c:v>135</c:v>
                </c:pt>
                <c:pt idx="541">
                  <c:v>135.25</c:v>
                </c:pt>
                <c:pt idx="542">
                  <c:v>135.5</c:v>
                </c:pt>
                <c:pt idx="543">
                  <c:v>135.75</c:v>
                </c:pt>
                <c:pt idx="544">
                  <c:v>136</c:v>
                </c:pt>
                <c:pt idx="545">
                  <c:v>136.25</c:v>
                </c:pt>
                <c:pt idx="546">
                  <c:v>136.5</c:v>
                </c:pt>
                <c:pt idx="547">
                  <c:v>136.75</c:v>
                </c:pt>
                <c:pt idx="548">
                  <c:v>137</c:v>
                </c:pt>
                <c:pt idx="549">
                  <c:v>137.25</c:v>
                </c:pt>
                <c:pt idx="550">
                  <c:v>137.5</c:v>
                </c:pt>
                <c:pt idx="551">
                  <c:v>137.75</c:v>
                </c:pt>
                <c:pt idx="552">
                  <c:v>138</c:v>
                </c:pt>
                <c:pt idx="553">
                  <c:v>138.25</c:v>
                </c:pt>
                <c:pt idx="554">
                  <c:v>138.5</c:v>
                </c:pt>
                <c:pt idx="555">
                  <c:v>138.75</c:v>
                </c:pt>
                <c:pt idx="556">
                  <c:v>139</c:v>
                </c:pt>
                <c:pt idx="557">
                  <c:v>139.25</c:v>
                </c:pt>
                <c:pt idx="558">
                  <c:v>139.5</c:v>
                </c:pt>
                <c:pt idx="559">
                  <c:v>139.75</c:v>
                </c:pt>
                <c:pt idx="560">
                  <c:v>140</c:v>
                </c:pt>
                <c:pt idx="561">
                  <c:v>140.25</c:v>
                </c:pt>
                <c:pt idx="562">
                  <c:v>140.5</c:v>
                </c:pt>
                <c:pt idx="563">
                  <c:v>140.75</c:v>
                </c:pt>
                <c:pt idx="564">
                  <c:v>141</c:v>
                </c:pt>
                <c:pt idx="565">
                  <c:v>141.25</c:v>
                </c:pt>
                <c:pt idx="566">
                  <c:v>141.5</c:v>
                </c:pt>
                <c:pt idx="567">
                  <c:v>141.75</c:v>
                </c:pt>
                <c:pt idx="568">
                  <c:v>142</c:v>
                </c:pt>
                <c:pt idx="569">
                  <c:v>142.25</c:v>
                </c:pt>
                <c:pt idx="570">
                  <c:v>142.5</c:v>
                </c:pt>
                <c:pt idx="571">
                  <c:v>142.75</c:v>
                </c:pt>
                <c:pt idx="572">
                  <c:v>143</c:v>
                </c:pt>
                <c:pt idx="573">
                  <c:v>143.25</c:v>
                </c:pt>
                <c:pt idx="574">
                  <c:v>143.5</c:v>
                </c:pt>
                <c:pt idx="575">
                  <c:v>143.75</c:v>
                </c:pt>
                <c:pt idx="576">
                  <c:v>144</c:v>
                </c:pt>
                <c:pt idx="577">
                  <c:v>144.25</c:v>
                </c:pt>
                <c:pt idx="578">
                  <c:v>144.5</c:v>
                </c:pt>
                <c:pt idx="579">
                  <c:v>144.75</c:v>
                </c:pt>
                <c:pt idx="580">
                  <c:v>145</c:v>
                </c:pt>
                <c:pt idx="581">
                  <c:v>145.25</c:v>
                </c:pt>
                <c:pt idx="582">
                  <c:v>145.5</c:v>
                </c:pt>
                <c:pt idx="583">
                  <c:v>145.75</c:v>
                </c:pt>
                <c:pt idx="584">
                  <c:v>146</c:v>
                </c:pt>
                <c:pt idx="585">
                  <c:v>146.25</c:v>
                </c:pt>
                <c:pt idx="586">
                  <c:v>146.5</c:v>
                </c:pt>
                <c:pt idx="587">
                  <c:v>146.75</c:v>
                </c:pt>
                <c:pt idx="588">
                  <c:v>147</c:v>
                </c:pt>
                <c:pt idx="589">
                  <c:v>147.25</c:v>
                </c:pt>
                <c:pt idx="590">
                  <c:v>147.5</c:v>
                </c:pt>
                <c:pt idx="591">
                  <c:v>147.75</c:v>
                </c:pt>
                <c:pt idx="592">
                  <c:v>148</c:v>
                </c:pt>
                <c:pt idx="593">
                  <c:v>148.25</c:v>
                </c:pt>
                <c:pt idx="594">
                  <c:v>148.5</c:v>
                </c:pt>
                <c:pt idx="595">
                  <c:v>148.75</c:v>
                </c:pt>
                <c:pt idx="596">
                  <c:v>149</c:v>
                </c:pt>
                <c:pt idx="597">
                  <c:v>149.25</c:v>
                </c:pt>
                <c:pt idx="598">
                  <c:v>149.5</c:v>
                </c:pt>
                <c:pt idx="599">
                  <c:v>149.75</c:v>
                </c:pt>
                <c:pt idx="600">
                  <c:v>150</c:v>
                </c:pt>
                <c:pt idx="601">
                  <c:v>150.25</c:v>
                </c:pt>
                <c:pt idx="602">
                  <c:v>150.5</c:v>
                </c:pt>
                <c:pt idx="603">
                  <c:v>150.75</c:v>
                </c:pt>
                <c:pt idx="604">
                  <c:v>151</c:v>
                </c:pt>
                <c:pt idx="605">
                  <c:v>151.25</c:v>
                </c:pt>
                <c:pt idx="606">
                  <c:v>151.5</c:v>
                </c:pt>
                <c:pt idx="607">
                  <c:v>151.75</c:v>
                </c:pt>
                <c:pt idx="608">
                  <c:v>152</c:v>
                </c:pt>
                <c:pt idx="609">
                  <c:v>152.25</c:v>
                </c:pt>
                <c:pt idx="610">
                  <c:v>152.5</c:v>
                </c:pt>
                <c:pt idx="611">
                  <c:v>152.75</c:v>
                </c:pt>
                <c:pt idx="612">
                  <c:v>153</c:v>
                </c:pt>
                <c:pt idx="613">
                  <c:v>153.25</c:v>
                </c:pt>
                <c:pt idx="614">
                  <c:v>153.5</c:v>
                </c:pt>
                <c:pt idx="615">
                  <c:v>153.75</c:v>
                </c:pt>
                <c:pt idx="616">
                  <c:v>154</c:v>
                </c:pt>
                <c:pt idx="617">
                  <c:v>154.25</c:v>
                </c:pt>
                <c:pt idx="618">
                  <c:v>154.5</c:v>
                </c:pt>
                <c:pt idx="619">
                  <c:v>154.75</c:v>
                </c:pt>
                <c:pt idx="620">
                  <c:v>155</c:v>
                </c:pt>
                <c:pt idx="621">
                  <c:v>155.25</c:v>
                </c:pt>
                <c:pt idx="622">
                  <c:v>155.5</c:v>
                </c:pt>
                <c:pt idx="623">
                  <c:v>155.75</c:v>
                </c:pt>
                <c:pt idx="624">
                  <c:v>156</c:v>
                </c:pt>
                <c:pt idx="625">
                  <c:v>156.25</c:v>
                </c:pt>
                <c:pt idx="626">
                  <c:v>156.5</c:v>
                </c:pt>
                <c:pt idx="627">
                  <c:v>156.75</c:v>
                </c:pt>
                <c:pt idx="628">
                  <c:v>157</c:v>
                </c:pt>
                <c:pt idx="629">
                  <c:v>157.25</c:v>
                </c:pt>
                <c:pt idx="630">
                  <c:v>157.5</c:v>
                </c:pt>
                <c:pt idx="631">
                  <c:v>157.75</c:v>
                </c:pt>
                <c:pt idx="632">
                  <c:v>158</c:v>
                </c:pt>
                <c:pt idx="633">
                  <c:v>158.25</c:v>
                </c:pt>
                <c:pt idx="634">
                  <c:v>158.5</c:v>
                </c:pt>
                <c:pt idx="635">
                  <c:v>158.75</c:v>
                </c:pt>
                <c:pt idx="636">
                  <c:v>159</c:v>
                </c:pt>
                <c:pt idx="637">
                  <c:v>159.25</c:v>
                </c:pt>
                <c:pt idx="638">
                  <c:v>159.5</c:v>
                </c:pt>
                <c:pt idx="639">
                  <c:v>159.75</c:v>
                </c:pt>
                <c:pt idx="640">
                  <c:v>160</c:v>
                </c:pt>
                <c:pt idx="641">
                  <c:v>160.25</c:v>
                </c:pt>
                <c:pt idx="642">
                  <c:v>160.5</c:v>
                </c:pt>
                <c:pt idx="643">
                  <c:v>160.75</c:v>
                </c:pt>
                <c:pt idx="644">
                  <c:v>161</c:v>
                </c:pt>
                <c:pt idx="645">
                  <c:v>161.25</c:v>
                </c:pt>
                <c:pt idx="646">
                  <c:v>161.5</c:v>
                </c:pt>
                <c:pt idx="647">
                  <c:v>161.75</c:v>
                </c:pt>
                <c:pt idx="648">
                  <c:v>162</c:v>
                </c:pt>
                <c:pt idx="649">
                  <c:v>162.25</c:v>
                </c:pt>
                <c:pt idx="650">
                  <c:v>162.5</c:v>
                </c:pt>
                <c:pt idx="651">
                  <c:v>162.75</c:v>
                </c:pt>
                <c:pt idx="652">
                  <c:v>163</c:v>
                </c:pt>
                <c:pt idx="653">
                  <c:v>163.25</c:v>
                </c:pt>
                <c:pt idx="654">
                  <c:v>163.5</c:v>
                </c:pt>
                <c:pt idx="655">
                  <c:v>163.75</c:v>
                </c:pt>
                <c:pt idx="656">
                  <c:v>164</c:v>
                </c:pt>
                <c:pt idx="657">
                  <c:v>164.25</c:v>
                </c:pt>
                <c:pt idx="658">
                  <c:v>164.5</c:v>
                </c:pt>
                <c:pt idx="659">
                  <c:v>164.75</c:v>
                </c:pt>
                <c:pt idx="660">
                  <c:v>165</c:v>
                </c:pt>
                <c:pt idx="661">
                  <c:v>165.25</c:v>
                </c:pt>
                <c:pt idx="662">
                  <c:v>165.5</c:v>
                </c:pt>
                <c:pt idx="663">
                  <c:v>165.75</c:v>
                </c:pt>
                <c:pt idx="664">
                  <c:v>166</c:v>
                </c:pt>
                <c:pt idx="665">
                  <c:v>166.25</c:v>
                </c:pt>
                <c:pt idx="666">
                  <c:v>166.5</c:v>
                </c:pt>
                <c:pt idx="667">
                  <c:v>166.75</c:v>
                </c:pt>
                <c:pt idx="668">
                  <c:v>167</c:v>
                </c:pt>
                <c:pt idx="669">
                  <c:v>167.25</c:v>
                </c:pt>
                <c:pt idx="670">
                  <c:v>167.5</c:v>
                </c:pt>
                <c:pt idx="671">
                  <c:v>167.75</c:v>
                </c:pt>
                <c:pt idx="672">
                  <c:v>168</c:v>
                </c:pt>
                <c:pt idx="673">
                  <c:v>168.25</c:v>
                </c:pt>
                <c:pt idx="674">
                  <c:v>168.5</c:v>
                </c:pt>
                <c:pt idx="675">
                  <c:v>168.75</c:v>
                </c:pt>
                <c:pt idx="676">
                  <c:v>169</c:v>
                </c:pt>
                <c:pt idx="677">
                  <c:v>169.25</c:v>
                </c:pt>
                <c:pt idx="678">
                  <c:v>169.5</c:v>
                </c:pt>
                <c:pt idx="679">
                  <c:v>169.75</c:v>
                </c:pt>
                <c:pt idx="680">
                  <c:v>170</c:v>
                </c:pt>
                <c:pt idx="681">
                  <c:v>170.25</c:v>
                </c:pt>
                <c:pt idx="682">
                  <c:v>170.5</c:v>
                </c:pt>
                <c:pt idx="683">
                  <c:v>170.75</c:v>
                </c:pt>
                <c:pt idx="684">
                  <c:v>171</c:v>
                </c:pt>
                <c:pt idx="685">
                  <c:v>171.25</c:v>
                </c:pt>
                <c:pt idx="686">
                  <c:v>171.5</c:v>
                </c:pt>
                <c:pt idx="687">
                  <c:v>171.75</c:v>
                </c:pt>
                <c:pt idx="688">
                  <c:v>172</c:v>
                </c:pt>
                <c:pt idx="689">
                  <c:v>172.25</c:v>
                </c:pt>
                <c:pt idx="690">
                  <c:v>172.5</c:v>
                </c:pt>
                <c:pt idx="691">
                  <c:v>172.75</c:v>
                </c:pt>
                <c:pt idx="692">
                  <c:v>173</c:v>
                </c:pt>
                <c:pt idx="693">
                  <c:v>173.25</c:v>
                </c:pt>
                <c:pt idx="694">
                  <c:v>173.5</c:v>
                </c:pt>
                <c:pt idx="695">
                  <c:v>173.75</c:v>
                </c:pt>
                <c:pt idx="696">
                  <c:v>174</c:v>
                </c:pt>
                <c:pt idx="697">
                  <c:v>174.25</c:v>
                </c:pt>
                <c:pt idx="698">
                  <c:v>174.5</c:v>
                </c:pt>
                <c:pt idx="699">
                  <c:v>174.75</c:v>
                </c:pt>
                <c:pt idx="700">
                  <c:v>175</c:v>
                </c:pt>
                <c:pt idx="701">
                  <c:v>175.25</c:v>
                </c:pt>
                <c:pt idx="702">
                  <c:v>175.5</c:v>
                </c:pt>
                <c:pt idx="703">
                  <c:v>175.75</c:v>
                </c:pt>
                <c:pt idx="704">
                  <c:v>176</c:v>
                </c:pt>
                <c:pt idx="705">
                  <c:v>176.25</c:v>
                </c:pt>
                <c:pt idx="706">
                  <c:v>176.5</c:v>
                </c:pt>
                <c:pt idx="707">
                  <c:v>176.75</c:v>
                </c:pt>
                <c:pt idx="708">
                  <c:v>177</c:v>
                </c:pt>
                <c:pt idx="709">
                  <c:v>177.25</c:v>
                </c:pt>
                <c:pt idx="710">
                  <c:v>177.5</c:v>
                </c:pt>
                <c:pt idx="711">
                  <c:v>177.75</c:v>
                </c:pt>
                <c:pt idx="712">
                  <c:v>178</c:v>
                </c:pt>
                <c:pt idx="713">
                  <c:v>178.25</c:v>
                </c:pt>
                <c:pt idx="714">
                  <c:v>178.5</c:v>
                </c:pt>
                <c:pt idx="715">
                  <c:v>178.75</c:v>
                </c:pt>
                <c:pt idx="716">
                  <c:v>179</c:v>
                </c:pt>
                <c:pt idx="717">
                  <c:v>179.25</c:v>
                </c:pt>
                <c:pt idx="718">
                  <c:v>179.5</c:v>
                </c:pt>
                <c:pt idx="719">
                  <c:v>179.75</c:v>
                </c:pt>
                <c:pt idx="720">
                  <c:v>180</c:v>
                </c:pt>
                <c:pt idx="721">
                  <c:v>180.25</c:v>
                </c:pt>
                <c:pt idx="722">
                  <c:v>180.5</c:v>
                </c:pt>
                <c:pt idx="723">
                  <c:v>180.75</c:v>
                </c:pt>
                <c:pt idx="724">
                  <c:v>181</c:v>
                </c:pt>
                <c:pt idx="725">
                  <c:v>181.25</c:v>
                </c:pt>
                <c:pt idx="726">
                  <c:v>181.5</c:v>
                </c:pt>
                <c:pt idx="727">
                  <c:v>181.75</c:v>
                </c:pt>
                <c:pt idx="728">
                  <c:v>182</c:v>
                </c:pt>
                <c:pt idx="729">
                  <c:v>182.25</c:v>
                </c:pt>
                <c:pt idx="730">
                  <c:v>182.5</c:v>
                </c:pt>
                <c:pt idx="731">
                  <c:v>182.75</c:v>
                </c:pt>
                <c:pt idx="732">
                  <c:v>183</c:v>
                </c:pt>
                <c:pt idx="733">
                  <c:v>183.25</c:v>
                </c:pt>
                <c:pt idx="734">
                  <c:v>183.5</c:v>
                </c:pt>
                <c:pt idx="735">
                  <c:v>183.75</c:v>
                </c:pt>
                <c:pt idx="736">
                  <c:v>184</c:v>
                </c:pt>
                <c:pt idx="737">
                  <c:v>184.25</c:v>
                </c:pt>
                <c:pt idx="738">
                  <c:v>184.5</c:v>
                </c:pt>
                <c:pt idx="739">
                  <c:v>184.75</c:v>
                </c:pt>
                <c:pt idx="740">
                  <c:v>185</c:v>
                </c:pt>
                <c:pt idx="741">
                  <c:v>185.25</c:v>
                </c:pt>
                <c:pt idx="742">
                  <c:v>185.5</c:v>
                </c:pt>
                <c:pt idx="743">
                  <c:v>185.75</c:v>
                </c:pt>
                <c:pt idx="744">
                  <c:v>186</c:v>
                </c:pt>
                <c:pt idx="745">
                  <c:v>186.25</c:v>
                </c:pt>
                <c:pt idx="746">
                  <c:v>186.5</c:v>
                </c:pt>
                <c:pt idx="747">
                  <c:v>186.75</c:v>
                </c:pt>
                <c:pt idx="748">
                  <c:v>187</c:v>
                </c:pt>
                <c:pt idx="749">
                  <c:v>187.25</c:v>
                </c:pt>
                <c:pt idx="750">
                  <c:v>187.5</c:v>
                </c:pt>
                <c:pt idx="751">
                  <c:v>187.75</c:v>
                </c:pt>
                <c:pt idx="752">
                  <c:v>188</c:v>
                </c:pt>
                <c:pt idx="753">
                  <c:v>188.25</c:v>
                </c:pt>
                <c:pt idx="754">
                  <c:v>188.5</c:v>
                </c:pt>
                <c:pt idx="755">
                  <c:v>188.75</c:v>
                </c:pt>
                <c:pt idx="756">
                  <c:v>189</c:v>
                </c:pt>
                <c:pt idx="757">
                  <c:v>189.25</c:v>
                </c:pt>
                <c:pt idx="758">
                  <c:v>189.5</c:v>
                </c:pt>
                <c:pt idx="759">
                  <c:v>189.75</c:v>
                </c:pt>
                <c:pt idx="760">
                  <c:v>190</c:v>
                </c:pt>
                <c:pt idx="761">
                  <c:v>190.25</c:v>
                </c:pt>
                <c:pt idx="762">
                  <c:v>190.5</c:v>
                </c:pt>
                <c:pt idx="763">
                  <c:v>190.75</c:v>
                </c:pt>
                <c:pt idx="764">
                  <c:v>191</c:v>
                </c:pt>
                <c:pt idx="765">
                  <c:v>191.25</c:v>
                </c:pt>
                <c:pt idx="766">
                  <c:v>191.5</c:v>
                </c:pt>
                <c:pt idx="767">
                  <c:v>191.75</c:v>
                </c:pt>
                <c:pt idx="768">
                  <c:v>192</c:v>
                </c:pt>
                <c:pt idx="769">
                  <c:v>192.25</c:v>
                </c:pt>
                <c:pt idx="770">
                  <c:v>192.5</c:v>
                </c:pt>
                <c:pt idx="771">
                  <c:v>192.75</c:v>
                </c:pt>
                <c:pt idx="772">
                  <c:v>193</c:v>
                </c:pt>
                <c:pt idx="773">
                  <c:v>193.25</c:v>
                </c:pt>
                <c:pt idx="774">
                  <c:v>193.5</c:v>
                </c:pt>
                <c:pt idx="775">
                  <c:v>193.75</c:v>
                </c:pt>
                <c:pt idx="776">
                  <c:v>194</c:v>
                </c:pt>
                <c:pt idx="777">
                  <c:v>194.25</c:v>
                </c:pt>
                <c:pt idx="778">
                  <c:v>194.5</c:v>
                </c:pt>
                <c:pt idx="779">
                  <c:v>194.75</c:v>
                </c:pt>
                <c:pt idx="780">
                  <c:v>195</c:v>
                </c:pt>
                <c:pt idx="781">
                  <c:v>195.25</c:v>
                </c:pt>
                <c:pt idx="782">
                  <c:v>195.5</c:v>
                </c:pt>
                <c:pt idx="783">
                  <c:v>195.75</c:v>
                </c:pt>
                <c:pt idx="784">
                  <c:v>196</c:v>
                </c:pt>
                <c:pt idx="785">
                  <c:v>196.25</c:v>
                </c:pt>
                <c:pt idx="786">
                  <c:v>196.5</c:v>
                </c:pt>
                <c:pt idx="787">
                  <c:v>196.75</c:v>
                </c:pt>
                <c:pt idx="788">
                  <c:v>197</c:v>
                </c:pt>
                <c:pt idx="789">
                  <c:v>197.25</c:v>
                </c:pt>
                <c:pt idx="790">
                  <c:v>197.5</c:v>
                </c:pt>
                <c:pt idx="791">
                  <c:v>197.75</c:v>
                </c:pt>
                <c:pt idx="792">
                  <c:v>198</c:v>
                </c:pt>
                <c:pt idx="793">
                  <c:v>198.25</c:v>
                </c:pt>
                <c:pt idx="794">
                  <c:v>198.5</c:v>
                </c:pt>
                <c:pt idx="795">
                  <c:v>198.75</c:v>
                </c:pt>
                <c:pt idx="796">
                  <c:v>199</c:v>
                </c:pt>
                <c:pt idx="797">
                  <c:v>199.25</c:v>
                </c:pt>
                <c:pt idx="798">
                  <c:v>199.5</c:v>
                </c:pt>
                <c:pt idx="799">
                  <c:v>199.75</c:v>
                </c:pt>
                <c:pt idx="800">
                  <c:v>200</c:v>
                </c:pt>
              </c:numCache>
            </c:numRef>
          </c:xVal>
          <c:yVal>
            <c:numRef>
              <c:f>Summary!$K$4:$K$804</c:f>
              <c:numCache>
                <c:formatCode>0.00</c:formatCode>
                <c:ptCount val="801"/>
                <c:pt idx="0">
                  <c:v>-1.64856088032918</c:v>
                </c:pt>
                <c:pt idx="1">
                  <c:v>-1.5437975191187505</c:v>
                </c:pt>
                <c:pt idx="2">
                  <c:v>-1.4387720306371208</c:v>
                </c:pt>
                <c:pt idx="3">
                  <c:v>-1.333508894889436</c:v>
                </c:pt>
                <c:pt idx="4">
                  <c:v>-1.2280326247174935</c:v>
                </c:pt>
                <c:pt idx="5">
                  <c:v>-1.1223677601116364</c:v>
                </c:pt>
                <c:pt idx="6">
                  <c:v>-1.0165388625215166</c:v>
                </c:pt>
                <c:pt idx="7">
                  <c:v>-0.91057050916693838</c:v>
                </c:pt>
                <c:pt idx="8">
                  <c:v>-0.80448728735029973</c:v>
                </c:pt>
                <c:pt idx="9">
                  <c:v>-0.6983137887717531</c:v>
                </c:pt>
                <c:pt idx="10">
                  <c:v>-0.5920746038484308</c:v>
                </c:pt>
                <c:pt idx="11">
                  <c:v>-0.48579431603916945</c:v>
                </c:pt>
                <c:pt idx="12">
                  <c:v>-0.37949749617589673</c:v>
                </c:pt>
                <c:pt idx="13">
                  <c:v>-0.27320869680297805</c:v>
                </c:pt>
                <c:pt idx="14">
                  <c:v>-0.16695244652600794</c:v>
                </c:pt>
                <c:pt idx="15">
                  <c:v>-6.0753244371085646E-2</c:v>
                </c:pt>
                <c:pt idx="16">
                  <c:v>4.5364445843963375E-2</c:v>
                </c:pt>
                <c:pt idx="17">
                  <c:v>0.15137620112511418</c:v>
                </c:pt>
                <c:pt idx="18">
                  <c:v>0.25725764490330238</c:v>
                </c:pt>
                <c:pt idx="19">
                  <c:v>0.36298445261975393</c:v>
                </c:pt>
                <c:pt idx="20">
                  <c:v>0.46853235729429871</c:v>
                </c:pt>
                <c:pt idx="21">
                  <c:v>0.57387715507539483</c:v>
                </c:pt>
                <c:pt idx="22">
                  <c:v>0.67899471077058393</c:v>
                </c:pt>
                <c:pt idx="23">
                  <c:v>0.78386096335611288</c:v>
                </c:pt>
                <c:pt idx="24">
                  <c:v>0.88845193146449397</c:v>
                </c:pt>
                <c:pt idx="25">
                  <c:v>0.99274371884871593</c:v>
                </c:pt>
                <c:pt idx="26">
                  <c:v>1.0967125198219192</c:v>
                </c:pt>
                <c:pt idx="27">
                  <c:v>1.2003346246712663</c:v>
                </c:pt>
                <c:pt idx="28">
                  <c:v>1.3035864250447471</c:v>
                </c:pt>
                <c:pt idx="29">
                  <c:v>1.4064444193098069</c:v>
                </c:pt>
                <c:pt idx="30">
                  <c:v>1.5088852178824685</c:v>
                </c:pt>
                <c:pt idx="31">
                  <c:v>1.61088554852581</c:v>
                </c:pt>
                <c:pt idx="32">
                  <c:v>1.7124222616165938</c:v>
                </c:pt>
                <c:pt idx="33">
                  <c:v>1.813472335378842</c:v>
                </c:pt>
                <c:pt idx="34">
                  <c:v>1.9140128810832056</c:v>
                </c:pt>
                <c:pt idx="35">
                  <c:v>2.0140211482109178</c:v>
                </c:pt>
                <c:pt idx="36">
                  <c:v>2.113474529581242</c:v>
                </c:pt>
                <c:pt idx="37">
                  <c:v>2.2123505664411698</c:v>
                </c:pt>
                <c:pt idx="38">
                  <c:v>2.3106269535162975</c:v>
                </c:pt>
                <c:pt idx="39">
                  <c:v>2.4082815440217495</c:v>
                </c:pt>
                <c:pt idx="40">
                  <c:v>2.5052923546319756</c:v>
                </c:pt>
                <c:pt idx="41">
                  <c:v>2.6016375704083594</c:v>
                </c:pt>
                <c:pt idx="42">
                  <c:v>2.6972955496835258</c:v>
                </c:pt>
                <c:pt idx="43">
                  <c:v>2.7922448289012523</c:v>
                </c:pt>
                <c:pt idx="44">
                  <c:v>2.8864641274109091</c:v>
                </c:pt>
                <c:pt idx="45">
                  <c:v>2.9799323522153651</c:v>
                </c:pt>
                <c:pt idx="46">
                  <c:v>3.0726286026713101</c:v>
                </c:pt>
                <c:pt idx="47">
                  <c:v>3.1645321751409483</c:v>
                </c:pt>
                <c:pt idx="48">
                  <c:v>3.2556225675939969</c:v>
                </c:pt>
                <c:pt idx="49">
                  <c:v>3.3458794841590711</c:v>
                </c:pt>
                <c:pt idx="50">
                  <c:v>3.4352828396233006</c:v>
                </c:pt>
                <c:pt idx="51">
                  <c:v>3.5238127638793548</c:v>
                </c:pt>
                <c:pt idx="52">
                  <c:v>3.6114496063187396</c:v>
                </c:pt>
                <c:pt idx="53">
                  <c:v>3.6981739401705367</c:v>
                </c:pt>
                <c:pt idx="54">
                  <c:v>3.7839665667845104</c:v>
                </c:pt>
                <c:pt idx="55">
                  <c:v>3.8688085198577293</c:v>
                </c:pt>
                <c:pt idx="56">
                  <c:v>3.9526810696037771</c:v>
                </c:pt>
                <c:pt idx="57">
                  <c:v>4.0355657268635587</c:v>
                </c:pt>
                <c:pt idx="58">
                  <c:v>4.1174442471568957</c:v>
                </c:pt>
                <c:pt idx="59">
                  <c:v>4.1982986346740034</c:v>
                </c:pt>
                <c:pt idx="60">
                  <c:v>4.278111146205946</c:v>
                </c:pt>
                <c:pt idx="61">
                  <c:v>4.3568642950132714</c:v>
                </c:pt>
                <c:pt idx="62">
                  <c:v>4.4345408546319316</c:v>
                </c:pt>
                <c:pt idx="63">
                  <c:v>4.5111238626157419</c:v>
                </c:pt>
                <c:pt idx="64">
                  <c:v>4.5865966242144829</c:v>
                </c:pt>
                <c:pt idx="65">
                  <c:v>4.6609427159869119</c:v>
                </c:pt>
                <c:pt idx="66">
                  <c:v>4.7341459893479154</c:v>
                </c:pt>
                <c:pt idx="67">
                  <c:v>4.8061905740490083</c:v>
                </c:pt>
                <c:pt idx="68">
                  <c:v>4.8770608815914196</c:v>
                </c:pt>
                <c:pt idx="69">
                  <c:v>4.9467416085711413</c:v>
                </c:pt>
                <c:pt idx="70">
                  <c:v>5.0152177399550713</c:v>
                </c:pt>
                <c:pt idx="71">
                  <c:v>5.0824745522877102</c:v>
                </c:pt>
                <c:pt idx="72">
                  <c:v>5.1484976168276209</c:v>
                </c:pt>
                <c:pt idx="73">
                  <c:v>5.213272802613071</c:v>
                </c:pt>
                <c:pt idx="74">
                  <c:v>5.2767862794561413</c:v>
                </c:pt>
                <c:pt idx="75">
                  <c:v>5.3390245208647222</c:v>
                </c:pt>
                <c:pt idx="76">
                  <c:v>5.3999743068918082</c:v>
                </c:pt>
                <c:pt idx="77">
                  <c:v>5.4596227269114008</c:v>
                </c:pt>
                <c:pt idx="78">
                  <c:v>5.5179571823205791</c:v>
                </c:pt>
                <c:pt idx="79">
                  <c:v>5.5749653891670636</c:v>
                </c:pt>
                <c:pt idx="80">
                  <c:v>5.6306353807018024</c:v>
                </c:pt>
                <c:pt idx="81">
                  <c:v>5.6849555098560405</c:v>
                </c:pt>
                <c:pt idx="82">
                  <c:v>5.7379144516423377</c:v>
                </c:pt>
                <c:pt idx="83">
                  <c:v>5.7895012054791337</c:v>
                </c:pt>
                <c:pt idx="84">
                  <c:v>5.8397050974382694</c:v>
                </c:pt>
                <c:pt idx="85">
                  <c:v>5.8885157824151193</c:v>
                </c:pt>
                <c:pt idx="86">
                  <c:v>5.9359232462208684</c:v>
                </c:pt>
                <c:pt idx="87">
                  <c:v>5.9819178075964974</c:v>
                </c:pt>
                <c:pt idx="88">
                  <c:v>6.0264901201481198</c:v>
                </c:pt>
                <c:pt idx="89">
                  <c:v>6.0696311742032698</c:v>
                </c:pt>
                <c:pt idx="90">
                  <c:v>6.1113322985877829</c:v>
                </c:pt>
                <c:pt idx="91">
                  <c:v>6.151585162322962</c:v>
                </c:pt>
                <c:pt idx="92">
                  <c:v>6.1903817762426545</c:v>
                </c:pt>
                <c:pt idx="93">
                  <c:v>6.2277144945300087</c:v>
                </c:pt>
                <c:pt idx="94">
                  <c:v>6.2635760161735483</c:v>
                </c:pt>
                <c:pt idx="95">
                  <c:v>6.2979593863423613</c:v>
                </c:pt>
                <c:pt idx="96">
                  <c:v>6.3308579976801571</c:v>
                </c:pt>
                <c:pt idx="97">
                  <c:v>6.3622655915179038</c:v>
                </c:pt>
                <c:pt idx="98">
                  <c:v>6.3921762590049287</c:v>
                </c:pt>
                <c:pt idx="99">
                  <c:v>6.4205844421582192</c:v>
                </c:pt>
                <c:pt idx="100">
                  <c:v>6.4474849348297951</c:v>
                </c:pt>
                <c:pt idx="101">
                  <c:v>6.4728728835919958</c:v>
                </c:pt>
                <c:pt idx="102">
                  <c:v>6.4967437885405435</c:v>
                </c:pt>
                <c:pt idx="103">
                  <c:v>6.5190935040152773</c:v>
                </c:pt>
                <c:pt idx="104">
                  <c:v>6.5399182392384674</c:v>
                </c:pt>
                <c:pt idx="105">
                  <c:v>6.5592145588706288</c:v>
                </c:pt>
                <c:pt idx="106">
                  <c:v>6.5769793834837929</c:v>
                </c:pt>
                <c:pt idx="107">
                  <c:v>6.5932099899521841</c:v>
                </c:pt>
                <c:pt idx="108">
                  <c:v>6.6079040117603052</c:v>
                </c:pt>
                <c:pt idx="109">
                  <c:v>6.6210594392284232</c:v>
                </c:pt>
                <c:pt idx="110">
                  <c:v>6.6326746196554716</c:v>
                </c:pt>
                <c:pt idx="111">
                  <c:v>6.6427482573794325</c:v>
                </c:pt>
                <c:pt idx="112">
                  <c:v>6.6512794137552298</c:v>
                </c:pt>
                <c:pt idx="113">
                  <c:v>6.6582675070502502</c:v>
                </c:pt>
                <c:pt idx="114">
                  <c:v>6.6637123122575375</c:v>
                </c:pt>
                <c:pt idx="115">
                  <c:v>6.6676139608268352</c:v>
                </c:pt>
                <c:pt idx="116">
                  <c:v>6.6699729403135777</c:v>
                </c:pt>
                <c:pt idx="117">
                  <c:v>6.6707900939459801</c:v>
                </c:pt>
                <c:pt idx="118">
                  <c:v>6.6700666201104362</c:v>
                </c:pt>
                <c:pt idx="119">
                  <c:v>6.6678040717553806</c:v>
                </c:pt>
                <c:pt idx="120">
                  <c:v>6.6640043557138355</c:v>
                </c:pt>
                <c:pt idx="121">
                  <c:v>6.6586697319448946</c:v>
                </c:pt>
                <c:pt idx="122">
                  <c:v>6.6518028126943474</c:v>
                </c:pt>
                <c:pt idx="123">
                  <c:v>6.6434065615747588</c:v>
                </c:pt>
                <c:pt idx="124">
                  <c:v>6.6334842925652602</c:v>
                </c:pt>
                <c:pt idx="125">
                  <c:v>6.6220396689313494</c:v>
                </c:pt>
                <c:pt idx="126">
                  <c:v>6.6090767020650496</c:v>
                </c:pt>
                <c:pt idx="127">
                  <c:v>6.5945997502457399</c:v>
                </c:pt>
                <c:pt idx="128">
                  <c:v>6.5786135173220286</c:v>
                </c:pt>
                <c:pt idx="129">
                  <c:v>6.5611230513150343</c:v>
                </c:pt>
                <c:pt idx="130">
                  <c:v>6.5421337429434914</c:v>
                </c:pt>
                <c:pt idx="131">
                  <c:v>6.5216513240710459</c:v>
                </c:pt>
                <c:pt idx="132">
                  <c:v>6.499681866076223</c:v>
                </c:pt>
                <c:pt idx="133">
                  <c:v>6.476231778145479</c:v>
                </c:pt>
                <c:pt idx="134">
                  <c:v>6.4513078054898019</c:v>
                </c:pt>
                <c:pt idx="135">
                  <c:v>6.4249170274853551</c:v>
                </c:pt>
                <c:pt idx="136">
                  <c:v>6.3970668557386574</c:v>
                </c:pt>
                <c:pt idx="137">
                  <c:v>6.3677650320768002</c:v>
                </c:pt>
                <c:pt idx="138">
                  <c:v>6.3370196264632561</c:v>
                </c:pt>
                <c:pt idx="139">
                  <c:v>6.3048390348398113</c:v>
                </c:pt>
                <c:pt idx="140">
                  <c:v>6.2712319768951801</c:v>
                </c:pt>
                <c:pt idx="141">
                  <c:v>6.2362074937609115</c:v>
                </c:pt>
                <c:pt idx="142">
                  <c:v>6.1997749456351521</c:v>
                </c:pt>
                <c:pt idx="143">
                  <c:v>6.1619440093348921</c:v>
                </c:pt>
                <c:pt idx="144">
                  <c:v>6.1227246757773433</c:v>
                </c:pt>
                <c:pt idx="145">
                  <c:v>6.0821272473910435</c:v>
                </c:pt>
                <c:pt idx="146">
                  <c:v>6.0401623354574188</c:v>
                </c:pt>
                <c:pt idx="147">
                  <c:v>5.996840857383404</c:v>
                </c:pt>
                <c:pt idx="148">
                  <c:v>5.9521740339058766</c:v>
                </c:pt>
                <c:pt idx="149">
                  <c:v>5.9061733862285735</c:v>
                </c:pt>
                <c:pt idx="150">
                  <c:v>5.858850733092229</c:v>
                </c:pt>
                <c:pt idx="151">
                  <c:v>5.8102181877786538</c:v>
                </c:pt>
                <c:pt idx="152">
                  <c:v>5.7602881550495315</c:v>
                </c:pt>
                <c:pt idx="153">
                  <c:v>5.709073328020672</c:v>
                </c:pt>
                <c:pt idx="154">
                  <c:v>5.6565866849725213</c:v>
                </c:pt>
                <c:pt idx="155">
                  <c:v>5.6028414860976987</c:v>
                </c:pt>
                <c:pt idx="156">
                  <c:v>5.5478512701864027</c:v>
                </c:pt>
                <c:pt idx="157">
                  <c:v>5.4916298512504795</c:v>
                </c:pt>
                <c:pt idx="158">
                  <c:v>5.4341913150869807</c:v>
                </c:pt>
                <c:pt idx="159">
                  <c:v>5.3755500157820997</c:v>
                </c:pt>
                <c:pt idx="160">
                  <c:v>5.3157205721562946</c:v>
                </c:pt>
                <c:pt idx="161">
                  <c:v>5.2547178641515213</c:v>
                </c:pt>
                <c:pt idx="162">
                  <c:v>5.1925570291614225</c:v>
                </c:pt>
                <c:pt idx="163">
                  <c:v>5.1292534583053957</c:v>
                </c:pt>
                <c:pt idx="164">
                  <c:v>5.0648227926474396</c:v>
                </c:pt>
                <c:pt idx="165">
                  <c:v>4.9992809193607002</c:v>
                </c:pt>
                <c:pt idx="166">
                  <c:v>4.9326439678386675</c:v>
                </c:pt>
                <c:pt idx="167">
                  <c:v>4.8649283057539456</c:v>
                </c:pt>
                <c:pt idx="168">
                  <c:v>4.7961505350655678</c:v>
                </c:pt>
                <c:pt idx="169">
                  <c:v>4.7263274879758139</c:v>
                </c:pt>
                <c:pt idx="170">
                  <c:v>4.655476222837529</c:v>
                </c:pt>
                <c:pt idx="171">
                  <c:v>4.5836140200129067</c:v>
                </c:pt>
                <c:pt idx="172">
                  <c:v>4.5107583776847555</c:v>
                </c:pt>
                <c:pt idx="173">
                  <c:v>4.4369270076212484</c:v>
                </c:pt>
                <c:pt idx="174">
                  <c:v>4.3621378308951755</c:v>
                </c:pt>
                <c:pt idx="175">
                  <c:v>4.2864089735587321</c:v>
                </c:pt>
                <c:pt idx="176">
                  <c:v>4.2097587622748982</c:v>
                </c:pt>
                <c:pt idx="177">
                  <c:v>4.1322057199064091</c:v>
                </c:pt>
                <c:pt idx="178">
                  <c:v>4.0537685610634213</c:v>
                </c:pt>
                <c:pt idx="179">
                  <c:v>3.9744661876109229</c:v>
                </c:pt>
                <c:pt idx="180">
                  <c:v>3.894317684136936</c:v>
                </c:pt>
                <c:pt idx="181">
                  <c:v>3.8133423133826545</c:v>
                </c:pt>
                <c:pt idx="182">
                  <c:v>3.7315595116355311</c:v>
                </c:pt>
                <c:pt idx="183">
                  <c:v>3.648988884086473</c:v>
                </c:pt>
                <c:pt idx="184">
                  <c:v>3.5656502001522066</c:v>
                </c:pt>
                <c:pt idx="185">
                  <c:v>3.4815633887639477</c:v>
                </c:pt>
                <c:pt idx="186">
                  <c:v>3.3967485336234913</c:v>
                </c:pt>
                <c:pt idx="187">
                  <c:v>3.3112258684278331</c:v>
                </c:pt>
                <c:pt idx="188">
                  <c:v>3.2250157720634727</c:v>
                </c:pt>
                <c:pt idx="189">
                  <c:v>3.1381387637715057</c:v>
                </c:pt>
                <c:pt idx="190">
                  <c:v>3.0506154982846914</c:v>
                </c:pt>
                <c:pt idx="191">
                  <c:v>2.9624667609375943</c:v>
                </c:pt>
                <c:pt idx="192">
                  <c:v>2.8737134627509988</c:v>
                </c:pt>
                <c:pt idx="193">
                  <c:v>2.7843766354916943</c:v>
                </c:pt>
                <c:pt idx="194">
                  <c:v>2.6944774267088976</c:v>
                </c:pt>
                <c:pt idx="195">
                  <c:v>2.6040370947483256</c:v>
                </c:pt>
                <c:pt idx="196">
                  <c:v>2.513077003745261</c:v>
                </c:pt>
                <c:pt idx="197">
                  <c:v>2.4216186185976536</c:v>
                </c:pt>
                <c:pt idx="198">
                  <c:v>2.3296834999204785</c:v>
                </c:pt>
                <c:pt idx="199">
                  <c:v>2.2372932989825869</c:v>
                </c:pt>
                <c:pt idx="200">
                  <c:v>2.1444697526271126</c:v>
                </c:pt>
                <c:pt idx="201">
                  <c:v>2.0512346781767663</c:v>
                </c:pt>
                <c:pt idx="202">
                  <c:v>1.9576099683250852</c:v>
                </c:pt>
                <c:pt idx="203">
                  <c:v>1.8636175860148994</c:v>
                </c:pt>
                <c:pt idx="204">
                  <c:v>1.7692795593051982</c:v>
                </c:pt>
                <c:pt idx="205">
                  <c:v>1.674617976227547</c:v>
                </c:pt>
                <c:pt idx="206">
                  <c:v>1.5796549796333448</c:v>
                </c:pt>
                <c:pt idx="207">
                  <c:v>1.4844127620329912</c:v>
                </c:pt>
                <c:pt idx="208">
                  <c:v>1.3889135604282903</c:v>
                </c:pt>
                <c:pt idx="209">
                  <c:v>1.2931796511392286</c:v>
                </c:pt>
                <c:pt idx="210">
                  <c:v>1.1972333446262815</c:v>
                </c:pt>
                <c:pt idx="211">
                  <c:v>1.1010969803095543</c:v>
                </c:pt>
                <c:pt idx="212">
                  <c:v>1.0047929213858702</c:v>
                </c:pt>
                <c:pt idx="213">
                  <c:v>0.90834354964501707</c:v>
                </c:pt>
                <c:pt idx="214">
                  <c:v>0.81177126028642455</c:v>
                </c:pt>
                <c:pt idx="215">
                  <c:v>0.71509845673732197</c:v>
                </c:pt>
                <c:pt idx="216">
                  <c:v>0.61834754547374304</c:v>
                </c:pt>
                <c:pt idx="217">
                  <c:v>0.52154093084543218</c:v>
                </c:pt>
                <c:pt idx="218">
                  <c:v>0.4247010099059077</c:v>
                </c:pt>
                <c:pt idx="219">
                  <c:v>0.3278501672488866</c:v>
                </c:pt>
                <c:pt idx="220">
                  <c:v>0.23101076985217589</c:v>
                </c:pt>
                <c:pt idx="221">
                  <c:v>0.13420516193033949</c:v>
                </c:pt>
                <c:pt idx="222">
                  <c:v>3.7455659797185903E-2</c:v>
                </c:pt>
                <c:pt idx="223">
                  <c:v>-5.9215453260642814E-2</c:v>
                </c:pt>
                <c:pt idx="224">
                  <c:v>-0.15578593209784986</c:v>
                </c:pt>
                <c:pt idx="225">
                  <c:v>-0.25223357481128889</c:v>
                </c:pt>
                <c:pt idx="226">
                  <c:v>-0.34853622782614058</c:v>
                </c:pt>
                <c:pt idx="227">
                  <c:v>-0.44467179096643183</c:v>
                </c:pt>
                <c:pt idx="228">
                  <c:v>-0.54061822250860447</c:v>
                </c:pt>
                <c:pt idx="229">
                  <c:v>-0.63635354421705026</c:v>
                </c:pt>
                <c:pt idx="230">
                  <c:v>-0.73185584636051737</c:v>
                </c:pt>
                <c:pt idx="231">
                  <c:v>-0.82710329270810912</c:v>
                </c:pt>
                <c:pt idx="232">
                  <c:v>-0.92207412550389389</c:v>
                </c:pt>
                <c:pt idx="233">
                  <c:v>-1.016746670418887</c:v>
                </c:pt>
                <c:pt idx="234">
                  <c:v>-1.1110993414792967</c:v>
                </c:pt>
                <c:pt idx="235">
                  <c:v>-1.2051106459700194</c:v>
                </c:pt>
                <c:pt idx="236">
                  <c:v>-1.2987591893121022</c:v>
                </c:pt>
                <c:pt idx="237">
                  <c:v>-1.3920236799132266</c:v>
                </c:pt>
                <c:pt idx="238">
                  <c:v>-1.4848829339900436</c:v>
                </c:pt>
                <c:pt idx="239">
                  <c:v>-1.5773158803612493</c:v>
                </c:pt>
                <c:pt idx="240">
                  <c:v>-1.6693015652104277</c:v>
                </c:pt>
                <c:pt idx="241">
                  <c:v>-1.7608191568174159</c:v>
                </c:pt>
                <c:pt idx="242">
                  <c:v>-1.8518479502573344</c:v>
                </c:pt>
                <c:pt idx="243">
                  <c:v>-1.9423673720660433</c:v>
                </c:pt>
                <c:pt idx="244">
                  <c:v>-2.0323569848710723</c:v>
                </c:pt>
                <c:pt idx="245">
                  <c:v>-2.1217964919870109</c:v>
                </c:pt>
                <c:pt idx="246">
                  <c:v>-2.2106657419742164</c:v>
                </c:pt>
                <c:pt idx="247">
                  <c:v>-2.2989447331599688</c:v>
                </c:pt>
                <c:pt idx="248">
                  <c:v>-2.386613618120935</c:v>
                </c:pt>
                <c:pt idx="249">
                  <c:v>-2.4736527081259845</c:v>
                </c:pt>
                <c:pt idx="250">
                  <c:v>-2.5600424775384365</c:v>
                </c:pt>
                <c:pt idx="251">
                  <c:v>-2.6457635681766249</c:v>
                </c:pt>
                <c:pt idx="252">
                  <c:v>-2.730796793631955</c:v>
                </c:pt>
                <c:pt idx="253">
                  <c:v>-2.8151231435433628</c:v>
                </c:pt>
                <c:pt idx="254">
                  <c:v>-2.8987237878273158</c:v>
                </c:pt>
                <c:pt idx="255">
                  <c:v>-2.9815800808624129</c:v>
                </c:pt>
                <c:pt idx="256">
                  <c:v>-3.0636735656275946</c:v>
                </c:pt>
                <c:pt idx="257">
                  <c:v>-3.1449859777931395</c:v>
                </c:pt>
                <c:pt idx="258">
                  <c:v>-3.2254992497634598</c:v>
                </c:pt>
                <c:pt idx="259">
                  <c:v>-3.3051955146708734</c:v>
                </c:pt>
                <c:pt idx="260">
                  <c:v>-3.3840571103194375</c:v>
                </c:pt>
                <c:pt idx="261">
                  <c:v>-3.4620665830779722</c:v>
                </c:pt>
                <c:pt idx="262">
                  <c:v>-3.5392066917214797</c:v>
                </c:pt>
                <c:pt idx="263">
                  <c:v>-3.6154604112200248</c:v>
                </c:pt>
                <c:pt idx="264">
                  <c:v>-3.6908109364743229</c:v>
                </c:pt>
                <c:pt idx="265">
                  <c:v>-3.7652416859972151</c:v>
                </c:pt>
                <c:pt idx="266">
                  <c:v>-3.838736305540182</c:v>
                </c:pt>
                <c:pt idx="267">
                  <c:v>-3.9112786716641597</c:v>
                </c:pt>
                <c:pt idx="268">
                  <c:v>-3.9828528952538544</c:v>
                </c:pt>
                <c:pt idx="269">
                  <c:v>-4.0534433249748059</c:v>
                </c:pt>
                <c:pt idx="270">
                  <c:v>-4.1230345506724575</c:v>
                </c:pt>
                <c:pt idx="271">
                  <c:v>-4.1916114067124717</c:v>
                </c:pt>
                <c:pt idx="272">
                  <c:v>-4.2591589752616406</c:v>
                </c:pt>
                <c:pt idx="273">
                  <c:v>-4.3256625895085898</c:v>
                </c:pt>
                <c:pt idx="274">
                  <c:v>-4.3911078368236662</c:v>
                </c:pt>
                <c:pt idx="275">
                  <c:v>-4.4554805618573186</c:v>
                </c:pt>
                <c:pt idx="276">
                  <c:v>-4.5187668695762691</c:v>
                </c:pt>
                <c:pt idx="277">
                  <c:v>-4.5809531282368878</c:v>
                </c:pt>
                <c:pt idx="278">
                  <c:v>-4.6420259722951043</c:v>
                </c:pt>
                <c:pt idx="279">
                  <c:v>-4.7019723052522497</c:v>
                </c:pt>
                <c:pt idx="280">
                  <c:v>-4.7607793024362381</c:v>
                </c:pt>
                <c:pt idx="281">
                  <c:v>-4.8184344137174815</c:v>
                </c:pt>
                <c:pt idx="282">
                  <c:v>-4.8749253661590188</c:v>
                </c:pt>
                <c:pt idx="283">
                  <c:v>-4.9302401666002424</c:v>
                </c:pt>
                <c:pt idx="284">
                  <c:v>-4.9843671041737156</c:v>
                </c:pt>
                <c:pt idx="285">
                  <c:v>-5.0372947527545957</c:v>
                </c:pt>
                <c:pt idx="286">
                  <c:v>-5.0890119733420773</c:v>
                </c:pt>
                <c:pt idx="287">
                  <c:v>-5.1395079163724509</c:v>
                </c:pt>
                <c:pt idx="288">
                  <c:v>-5.1887720239632467</c:v>
                </c:pt>
                <c:pt idx="289">
                  <c:v>-5.2367940320880262</c:v>
                </c:pt>
                <c:pt idx="290">
                  <c:v>-5.2835639726814065</c:v>
                </c:pt>
                <c:pt idx="291">
                  <c:v>-5.3290721756738346</c:v>
                </c:pt>
                <c:pt idx="292">
                  <c:v>-5.3733092709557706</c:v>
                </c:pt>
                <c:pt idx="293">
                  <c:v>-5.4162661902708553</c:v>
                </c:pt>
                <c:pt idx="294">
                  <c:v>-5.4579341690376815</c:v>
                </c:pt>
                <c:pt idx="295">
                  <c:v>-5.4983047480998417</c:v>
                </c:pt>
                <c:pt idx="296">
                  <c:v>-5.5373697754038886</c:v>
                </c:pt>
                <c:pt idx="297">
                  <c:v>-5.5751214076048896</c:v>
                </c:pt>
                <c:pt idx="298">
                  <c:v>-5.6115521115992859</c:v>
                </c:pt>
                <c:pt idx="299">
                  <c:v>-5.6466546659847578</c:v>
                </c:pt>
                <c:pt idx="300">
                  <c:v>-5.680422162446801</c:v>
                </c:pt>
                <c:pt idx="301">
                  <c:v>-5.7128480070718037</c:v>
                </c:pt>
                <c:pt idx="302">
                  <c:v>-5.7439259215863663</c:v>
                </c:pt>
                <c:pt idx="303">
                  <c:v>-5.7736499445226226</c:v>
                </c:pt>
                <c:pt idx="304">
                  <c:v>-5.8020144323094058</c:v>
                </c:pt>
                <c:pt idx="305">
                  <c:v>-5.8290140602890306</c:v>
                </c:pt>
                <c:pt idx="306">
                  <c:v>-5.854643823659563</c:v>
                </c:pt>
                <c:pt idx="307">
                  <c:v>-5.8788990383423743</c:v>
                </c:pt>
                <c:pt idx="308">
                  <c:v>-5.9017753417749095</c:v>
                </c:pt>
                <c:pt idx="309">
                  <c:v>-5.9232686936285184</c:v>
                </c:pt>
                <c:pt idx="310">
                  <c:v>-5.9433753764512272</c:v>
                </c:pt>
                <c:pt idx="311">
                  <c:v>-5.9620919962354435</c:v>
                </c:pt>
                <c:pt idx="312">
                  <c:v>-5.9794154829104542</c:v>
                </c:pt>
                <c:pt idx="313">
                  <c:v>-5.9953430907597092</c:v>
                </c:pt>
                <c:pt idx="314">
                  <c:v>-6.0098723987628606</c:v>
                </c:pt>
                <c:pt idx="315">
                  <c:v>-6.0230013108625426</c:v>
                </c:pt>
                <c:pt idx="316">
                  <c:v>-6.0347280561558874</c:v>
                </c:pt>
                <c:pt idx="317">
                  <c:v>-6.045051189010815</c:v>
                </c:pt>
                <c:pt idx="318">
                  <c:v>-6.0539695891071377</c:v>
                </c:pt>
                <c:pt idx="319">
                  <c:v>-6.0614824614025178</c:v>
                </c:pt>
                <c:pt idx="320">
                  <c:v>-6.0675893360233903</c:v>
                </c:pt>
                <c:pt idx="321">
                  <c:v>-6.0722900680808944</c:v>
                </c:pt>
                <c:pt idx="322">
                  <c:v>-6.0755848374119781</c:v>
                </c:pt>
                <c:pt idx="323">
                  <c:v>-6.0774741482457548</c:v>
                </c:pt>
                <c:pt idx="324">
                  <c:v>-6.0779588287952864</c:v>
                </c:pt>
                <c:pt idx="325">
                  <c:v>-6.0770400307749437</c:v>
                </c:pt>
                <c:pt idx="326">
                  <c:v>-6.0747192288435246</c:v>
                </c:pt>
                <c:pt idx="327">
                  <c:v>-6.0709982199733243</c:v>
                </c:pt>
                <c:pt idx="328">
                  <c:v>-6.0658791227453612</c:v>
                </c:pt>
                <c:pt idx="329">
                  <c:v>-6.059364376571013</c:v>
                </c:pt>
                <c:pt idx="330">
                  <c:v>-6.051456740840278</c:v>
                </c:pt>
                <c:pt idx="331">
                  <c:v>-6.042159293996944</c:v>
                </c:pt>
                <c:pt idx="332">
                  <c:v>-6.0314754325409341</c:v>
                </c:pt>
                <c:pt idx="333">
                  <c:v>-6.0194088699581441</c:v>
                </c:pt>
                <c:pt idx="334">
                  <c:v>-6.0059636355780448</c:v>
                </c:pt>
                <c:pt idx="335">
                  <c:v>-5.991144073359429</c:v>
                </c:pt>
                <c:pt idx="336">
                  <c:v>-5.9749548406045951</c:v>
                </c:pt>
                <c:pt idx="337">
                  <c:v>-5.9574009066023796</c:v>
                </c:pt>
                <c:pt idx="338">
                  <c:v>-5.9384875512003745</c:v>
                </c:pt>
                <c:pt idx="339">
                  <c:v>-5.9182203633067401</c:v>
                </c:pt>
                <c:pt idx="340">
                  <c:v>-5.8966052393220378</c:v>
                </c:pt>
                <c:pt idx="341">
                  <c:v>-5.8736483815014697</c:v>
                </c:pt>
                <c:pt idx="342">
                  <c:v>-5.8493562962479961</c:v>
                </c:pt>
                <c:pt idx="343">
                  <c:v>-5.8237357923367963</c:v>
                </c:pt>
                <c:pt idx="344">
                  <c:v>-5.7967939790714915</c:v>
                </c:pt>
                <c:pt idx="345">
                  <c:v>-5.7685382643726868</c:v>
                </c:pt>
                <c:pt idx="346">
                  <c:v>-5.7389763527992717</c:v>
                </c:pt>
                <c:pt idx="347">
                  <c:v>-5.7081162435030492</c:v>
                </c:pt>
                <c:pt idx="348">
                  <c:v>-5.6759662281171845</c:v>
                </c:pt>
                <c:pt idx="349">
                  <c:v>-5.6425348885790294</c:v>
                </c:pt>
                <c:pt idx="350">
                  <c:v>-5.6078310948879224</c:v>
                </c:pt>
                <c:pt idx="351">
                  <c:v>-5.5718640027984776</c:v>
                </c:pt>
                <c:pt idx="352">
                  <c:v>-5.53464305144999</c:v>
                </c:pt>
                <c:pt idx="353">
                  <c:v>-5.4961779609325809</c:v>
                </c:pt>
                <c:pt idx="354">
                  <c:v>-5.4564787297906454</c:v>
                </c:pt>
                <c:pt idx="355">
                  <c:v>-5.4155556324642902</c:v>
                </c:pt>
                <c:pt idx="356">
                  <c:v>-5.3734192166693608</c:v>
                </c:pt>
                <c:pt idx="357">
                  <c:v>-5.3300803007167818</c:v>
                </c:pt>
                <c:pt idx="358">
                  <c:v>-5.2855499707718074</c:v>
                </c:pt>
                <c:pt idx="359">
                  <c:v>-5.2398395780539069</c:v>
                </c:pt>
                <c:pt idx="360">
                  <c:v>-5.1929607359780192</c:v>
                </c:pt>
                <c:pt idx="361">
                  <c:v>-5.1449253172378207</c:v>
                </c:pt>
                <c:pt idx="362">
                  <c:v>-5.0957454508317568</c:v>
                </c:pt>
                <c:pt idx="363">
                  <c:v>-5.0454335190326276</c:v>
                </c:pt>
                <c:pt idx="364">
                  <c:v>-4.994002154301393</c:v>
                </c:pt>
                <c:pt idx="365">
                  <c:v>-4.9414642361460146</c:v>
                </c:pt>
                <c:pt idx="366">
                  <c:v>-4.8878328879260877</c:v>
                </c:pt>
                <c:pt idx="367">
                  <c:v>-4.8331214736040735</c:v>
                </c:pt>
                <c:pt idx="368">
                  <c:v>-4.7773435944439067</c:v>
                </c:pt>
                <c:pt idx="369">
                  <c:v>-4.720513085657764</c:v>
                </c:pt>
                <c:pt idx="370">
                  <c:v>-4.6626440130019029</c:v>
                </c:pt>
                <c:pt idx="371">
                  <c:v>-4.6037506693222969</c:v>
                </c:pt>
                <c:pt idx="372">
                  <c:v>-4.5438475710509509</c:v>
                </c:pt>
                <c:pt idx="373">
                  <c:v>-4.4829494546538156</c:v>
                </c:pt>
                <c:pt idx="374">
                  <c:v>-4.4210712730310338</c:v>
                </c:pt>
                <c:pt idx="375">
                  <c:v>-4.3582281918705075</c:v>
                </c:pt>
                <c:pt idx="376">
                  <c:v>-4.2944355859555996</c:v>
                </c:pt>
                <c:pt idx="377">
                  <c:v>-4.229709035427911</c:v>
                </c:pt>
                <c:pt idx="378">
                  <c:v>-4.1640643220060145</c:v>
                </c:pt>
                <c:pt idx="379">
                  <c:v>-4.0975174251610138</c:v>
                </c:pt>
                <c:pt idx="380">
                  <c:v>-4.0300845182499634</c:v>
                </c:pt>
                <c:pt idx="381">
                  <c:v>-3.9617819646079706</c:v>
                </c:pt>
                <c:pt idx="382">
                  <c:v>-3.8926263135999282</c:v>
                </c:pt>
                <c:pt idx="383">
                  <c:v>-3.8226342966329367</c:v>
                </c:pt>
                <c:pt idx="384">
                  <c:v>-3.7518228231302175</c:v>
                </c:pt>
                <c:pt idx="385">
                  <c:v>-3.6802089764675703</c:v>
                </c:pt>
                <c:pt idx="386">
                  <c:v>-3.6078100098733774</c:v>
                </c:pt>
                <c:pt idx="387">
                  <c:v>-3.534643342293017</c:v>
                </c:pt>
                <c:pt idx="388">
                  <c:v>-3.4607265542188039</c:v>
                </c:pt>
                <c:pt idx="389">
                  <c:v>-3.3860773834863283</c:v>
                </c:pt>
                <c:pt idx="390">
                  <c:v>-3.3107137210383253</c:v>
                </c:pt>
                <c:pt idx="391">
                  <c:v>-3.2346536066569689</c:v>
                </c:pt>
                <c:pt idx="392">
                  <c:v>-3.1579152246656212</c:v>
                </c:pt>
                <c:pt idx="393">
                  <c:v>-3.0805168996011645</c:v>
                </c:pt>
                <c:pt idx="394">
                  <c:v>-3.0024770918577799</c:v>
                </c:pt>
                <c:pt idx="395">
                  <c:v>-2.9238143933033052</c:v>
                </c:pt>
                <c:pt idx="396">
                  <c:v>-2.8445475228692296</c:v>
                </c:pt>
                <c:pt idx="397">
                  <c:v>-2.7646953221152568</c:v>
                </c:pt>
                <c:pt idx="398">
                  <c:v>-2.6842767507696084</c:v>
                </c:pt>
                <c:pt idx="399">
                  <c:v>-2.603310882246002</c:v>
                </c:pt>
                <c:pt idx="400">
                  <c:v>-2.5218168991384915</c:v>
                </c:pt>
                <c:pt idx="401">
                  <c:v>-2.4398140886951074</c:v>
                </c:pt>
                <c:pt idx="402">
                  <c:v>-2.3573218382713881</c:v>
                </c:pt>
                <c:pt idx="403">
                  <c:v>-2.2743596307649825</c:v>
                </c:pt>
                <c:pt idx="404">
                  <c:v>-2.1909470400322073</c:v>
                </c:pt>
                <c:pt idx="405">
                  <c:v>-2.107103726287769</c:v>
                </c:pt>
                <c:pt idx="406">
                  <c:v>-2.0228494314887255</c:v>
                </c:pt>
                <c:pt idx="407">
                  <c:v>-1.9382039747036612</c:v>
                </c:pt>
                <c:pt idx="408">
                  <c:v>-1.853187247468292</c:v>
                </c:pt>
                <c:pt idx="409">
                  <c:v>-1.7678192091284493</c:v>
                </c:pt>
                <c:pt idx="410">
                  <c:v>-1.682119882171687</c:v>
                </c:pt>
                <c:pt idx="411">
                  <c:v>-1.5961093475484527</c:v>
                </c:pt>
                <c:pt idx="412">
                  <c:v>-1.5098077399839585</c:v>
                </c:pt>
                <c:pt idx="413">
                  <c:v>-1.4232352432819275</c:v>
                </c:pt>
                <c:pt idx="414">
                  <c:v>-1.3364120856211699</c:v>
                </c:pt>
                <c:pt idx="415">
                  <c:v>-1.2493585348461491</c:v>
                </c:pt>
                <c:pt idx="416">
                  <c:v>-1.1620948937526965</c:v>
                </c:pt>
                <c:pt idx="417">
                  <c:v>-1.0746414953698034</c:v>
                </c:pt>
                <c:pt idx="418">
                  <c:v>-0.98701869823876265</c:v>
                </c:pt>
                <c:pt idx="419">
                  <c:v>-0.89924688169058598</c:v>
                </c:pt>
                <c:pt idx="420">
                  <c:v>-0.81134644112295862</c:v>
                </c:pt>
                <c:pt idx="421">
                  <c:v>-0.72333778327767984</c:v>
                </c:pt>
                <c:pt idx="422">
                  <c:v>-0.63524132151970925</c:v>
                </c:pt>
                <c:pt idx="423">
                  <c:v>-0.54707747111901928</c:v>
                </c:pt>
                <c:pt idx="424">
                  <c:v>-0.45886664453616516</c:v>
                </c:pt>
                <c:pt idx="425">
                  <c:v>-0.37062924671276659</c:v>
                </c:pt>
                <c:pt idx="426">
                  <c:v>-0.28238567036801709</c:v>
                </c:pt>
                <c:pt idx="427">
                  <c:v>-0.19415629130215784</c:v>
                </c:pt>
                <c:pt idx="428">
                  <c:v>-0.1059614637081619</c:v>
                </c:pt>
                <c:pt idx="429">
                  <c:v>-1.7821515492547291E-2</c:v>
                </c:pt>
                <c:pt idx="430">
                  <c:v>7.0243256393454301E-2</c:v>
                </c:pt>
                <c:pt idx="431">
                  <c:v>0.15821259061142434</c:v>
                </c:pt>
                <c:pt idx="432">
                  <c:v>0.24606626608090754</c:v>
                </c:pt>
                <c:pt idx="433">
                  <c:v>0.3337841066109965</c:v>
                </c:pt>
                <c:pt idx="434">
                  <c:v>0.42134598551747743</c:v>
                </c:pt>
                <c:pt idx="435">
                  <c:v>0.50873183022437063</c:v>
                </c:pt>
                <c:pt idx="436">
                  <c:v>0.59592162684878547</c:v>
                </c:pt>
                <c:pt idx="437">
                  <c:v>0.68289542476818976</c:v>
                </c:pt>
                <c:pt idx="438">
                  <c:v>0.7696333411688927</c:v>
                </c:pt>
                <c:pt idx="439">
                  <c:v>0.85611556557485324</c:v>
                </c:pt>
                <c:pt idx="440">
                  <c:v>0.94232236435562966</c:v>
                </c:pt>
                <c:pt idx="441">
                  <c:v>1.0282340852126104</c:v>
                </c:pt>
                <c:pt idx="442">
                  <c:v>1.1138311616424188</c:v>
                </c:pt>
                <c:pt idx="443">
                  <c:v>1.1990941173764433</c:v>
                </c:pt>
                <c:pt idx="444">
                  <c:v>1.2840035707956163</c:v>
                </c:pt>
                <c:pt idx="445">
                  <c:v>1.3685402393193515</c:v>
                </c:pt>
                <c:pt idx="446">
                  <c:v>1.4526849437676206</c:v>
                </c:pt>
                <c:pt idx="447">
                  <c:v>1.5364186126953152</c:v>
                </c:pt>
                <c:pt idx="448">
                  <c:v>1.6197222866977747</c:v>
                </c:pt>
                <c:pt idx="449">
                  <c:v>1.70257712268664</c:v>
                </c:pt>
                <c:pt idx="450">
                  <c:v>1.7849643981349299</c:v>
                </c:pt>
                <c:pt idx="451">
                  <c:v>1.8668655152905402</c:v>
                </c:pt>
                <c:pt idx="452">
                  <c:v>1.9482620053571336</c:v>
                </c:pt>
                <c:pt idx="453">
                  <c:v>2.0291355326414484</c:v>
                </c:pt>
                <c:pt idx="454">
                  <c:v>2.1094678986662228</c:v>
                </c:pt>
                <c:pt idx="455">
                  <c:v>2.1892410462477172</c:v>
                </c:pt>
                <c:pt idx="456">
                  <c:v>2.2684370635369127</c:v>
                </c:pt>
                <c:pt idx="457">
                  <c:v>2.3470381880235922</c:v>
                </c:pt>
                <c:pt idx="458">
                  <c:v>2.4250268105022892</c:v>
                </c:pt>
                <c:pt idx="459">
                  <c:v>2.5023854789993361</c:v>
                </c:pt>
                <c:pt idx="460">
                  <c:v>2.5790969026600079</c:v>
                </c:pt>
                <c:pt idx="461">
                  <c:v>2.65514395559505</c:v>
                </c:pt>
                <c:pt idx="462">
                  <c:v>2.730509680685639</c:v>
                </c:pt>
                <c:pt idx="463">
                  <c:v>2.8051772933459267</c:v>
                </c:pt>
                <c:pt idx="464">
                  <c:v>2.8791301852424294</c:v>
                </c:pt>
                <c:pt idx="465">
                  <c:v>2.9523519279693526</c:v>
                </c:pt>
                <c:pt idx="466">
                  <c:v>3.0248262766790717</c:v>
                </c:pt>
                <c:pt idx="467">
                  <c:v>3.0965371736669876</c:v>
                </c:pt>
                <c:pt idx="468">
                  <c:v>3.1674687519099418</c:v>
                </c:pt>
                <c:pt idx="469">
                  <c:v>3.2376053385574721</c:v>
                </c:pt>
                <c:pt idx="470">
                  <c:v>3.3069314583750287</c:v>
                </c:pt>
                <c:pt idx="471">
                  <c:v>3.3754318371385486</c:v>
                </c:pt>
                <c:pt idx="472">
                  <c:v>3.4430914049795507</c:v>
                </c:pt>
                <c:pt idx="473">
                  <c:v>3.5098952996800161</c:v>
                </c:pt>
                <c:pt idx="474">
                  <c:v>3.5758288699164185</c:v>
                </c:pt>
                <c:pt idx="475">
                  <c:v>3.6408776784521306</c:v>
                </c:pt>
                <c:pt idx="476">
                  <c:v>3.7050275052775308</c:v>
                </c:pt>
                <c:pt idx="477">
                  <c:v>3.768264350697156</c:v>
                </c:pt>
                <c:pt idx="478">
                  <c:v>3.8305744383632008</c:v>
                </c:pt>
                <c:pt idx="479">
                  <c:v>3.8919442182547721</c:v>
                </c:pt>
                <c:pt idx="480">
                  <c:v>3.9523603696021503</c:v>
                </c:pt>
                <c:pt idx="481">
                  <c:v>4.0118098037555558</c:v>
                </c:pt>
                <c:pt idx="482">
                  <c:v>4.0702796669977443</c:v>
                </c:pt>
                <c:pt idx="483">
                  <c:v>4.1277573432997992</c:v>
                </c:pt>
                <c:pt idx="484">
                  <c:v>4.1842304570196314</c:v>
                </c:pt>
                <c:pt idx="485">
                  <c:v>4.2396868755425254</c:v>
                </c:pt>
                <c:pt idx="486">
                  <c:v>4.2941147118632177</c:v>
                </c:pt>
                <c:pt idx="487">
                  <c:v>4.3475023271089626</c:v>
                </c:pt>
                <c:pt idx="488">
                  <c:v>4.3998383330030277</c:v>
                </c:pt>
                <c:pt idx="489">
                  <c:v>4.4511115942681716</c:v>
                </c:pt>
                <c:pt idx="490">
                  <c:v>4.5013112309694909</c:v>
                </c:pt>
                <c:pt idx="491">
                  <c:v>4.550426620796272</c:v>
                </c:pt>
                <c:pt idx="492">
                  <c:v>4.5984474012823036</c:v>
                </c:pt>
                <c:pt idx="493">
                  <c:v>4.645363471964183</c:v>
                </c:pt>
                <c:pt idx="494">
                  <c:v>4.6911649964772408</c:v>
                </c:pt>
                <c:pt idx="495">
                  <c:v>4.7358424045885927</c:v>
                </c:pt>
                <c:pt idx="496">
                  <c:v>4.7793863941669237</c:v>
                </c:pt>
                <c:pt idx="497">
                  <c:v>4.8217879330886273</c:v>
                </c:pt>
                <c:pt idx="498">
                  <c:v>4.8630382610798826</c:v>
                </c:pt>
                <c:pt idx="499">
                  <c:v>4.9031288914943509</c:v>
                </c:pt>
                <c:pt idx="500">
                  <c:v>4.9420516130260612</c:v>
                </c:pt>
                <c:pt idx="501">
                  <c:v>4.9797984913572435</c:v>
                </c:pt>
                <c:pt idx="502">
                  <c:v>5.0163618707407132</c:v>
                </c:pt>
                <c:pt idx="503">
                  <c:v>5.0517343755165207</c:v>
                </c:pt>
                <c:pt idx="504">
                  <c:v>5.0859089115626039</c:v>
                </c:pt>
                <c:pt idx="505">
                  <c:v>5.1188786676791311</c:v>
                </c:pt>
                <c:pt idx="506">
                  <c:v>5.1506371169062817</c:v>
                </c:pt>
                <c:pt idx="507">
                  <c:v>5.1811780177752453</c:v>
                </c:pt>
                <c:pt idx="508">
                  <c:v>5.2104954154921757</c:v>
                </c:pt>
                <c:pt idx="509">
                  <c:v>5.2385836430549197</c:v>
                </c:pt>
                <c:pt idx="510">
                  <c:v>5.2654373223022883</c:v>
                </c:pt>
                <c:pt idx="511">
                  <c:v>5.2910513648957185</c:v>
                </c:pt>
                <c:pt idx="512">
                  <c:v>5.3154209732331577</c:v>
                </c:pt>
                <c:pt idx="513">
                  <c:v>5.3385416412949862</c:v>
                </c:pt>
                <c:pt idx="514">
                  <c:v>5.3604091554219</c:v>
                </c:pt>
                <c:pt idx="515">
                  <c:v>5.3810195950245836</c:v>
                </c:pt>
                <c:pt idx="516">
                  <c:v>5.4003693332251004</c:v>
                </c:pt>
                <c:pt idx="517">
                  <c:v>5.418455037429899</c:v>
                </c:pt>
                <c:pt idx="518">
                  <c:v>5.4352736698343875</c:v>
                </c:pt>
                <c:pt idx="519">
                  <c:v>5.4508224878589786</c:v>
                </c:pt>
                <c:pt idx="520">
                  <c:v>5.4650990445166174</c:v>
                </c:pt>
                <c:pt idx="521">
                  <c:v>5.4781011887117277</c:v>
                </c:pt>
                <c:pt idx="522">
                  <c:v>5.4898270654705907</c:v>
                </c:pt>
                <c:pt idx="523">
                  <c:v>5.5002751161031629</c:v>
                </c:pt>
                <c:pt idx="524">
                  <c:v>5.5094440782963474</c:v>
                </c:pt>
                <c:pt idx="525">
                  <c:v>5.5173329861387712</c:v>
                </c:pt>
                <c:pt idx="526">
                  <c:v>5.5239411700771104</c:v>
                </c:pt>
                <c:pt idx="527">
                  <c:v>5.5292682568040501</c:v>
                </c:pt>
                <c:pt idx="528">
                  <c:v>5.5333141690779666</c:v>
                </c:pt>
                <c:pt idx="529">
                  <c:v>5.5360791254744033</c:v>
                </c:pt>
                <c:pt idx="530">
                  <c:v>5.5375636400695107</c:v>
                </c:pt>
                <c:pt idx="531">
                  <c:v>5.5377685220555399</c:v>
                </c:pt>
                <c:pt idx="532">
                  <c:v>5.5366948752885641</c:v>
                </c:pt>
                <c:pt idx="533">
                  <c:v>5.5343440977685923</c:v>
                </c:pt>
                <c:pt idx="534">
                  <c:v>5.5307178810522251</c:v>
                </c:pt>
                <c:pt idx="535">
                  <c:v>5.5258182095981105</c:v>
                </c:pt>
                <c:pt idx="536">
                  <c:v>5.5196473600453455</c:v>
                </c:pt>
                <c:pt idx="537">
                  <c:v>5.5122079004250963</c:v>
                </c:pt>
                <c:pt idx="538">
                  <c:v>5.5035026893056509</c:v>
                </c:pt>
                <c:pt idx="539">
                  <c:v>5.4935348748711794</c:v>
                </c:pt>
                <c:pt idx="540">
                  <c:v>5.4823078939344727</c:v>
                </c:pt>
                <c:pt idx="541">
                  <c:v>5.4698254708839276</c:v>
                </c:pt>
                <c:pt idx="542">
                  <c:v>5.4560916165651072</c:v>
                </c:pt>
                <c:pt idx="543">
                  <c:v>5.4411106270971805</c:v>
                </c:pt>
                <c:pt idx="544">
                  <c:v>5.424887082624565</c:v>
                </c:pt>
                <c:pt idx="545">
                  <c:v>5.4074258460041378</c:v>
                </c:pt>
                <c:pt idx="546">
                  <c:v>5.3887320614283594</c:v>
                </c:pt>
                <c:pt idx="547">
                  <c:v>5.3688111529846987</c:v>
                </c:pt>
                <c:pt idx="548">
                  <c:v>5.3476688231517304</c:v>
                </c:pt>
                <c:pt idx="549">
                  <c:v>5.3253110512323367</c:v>
                </c:pt>
                <c:pt idx="550">
                  <c:v>5.3017440917244114</c:v>
                </c:pt>
                <c:pt idx="551">
                  <c:v>5.2769744726294903</c:v>
                </c:pt>
                <c:pt idx="552">
                  <c:v>5.2510089936997826</c:v>
                </c:pt>
                <c:pt idx="553">
                  <c:v>5.2238547246240499</c:v>
                </c:pt>
                <c:pt idx="554">
                  <c:v>5.1955190031527865</c:v>
                </c:pt>
                <c:pt idx="555">
                  <c:v>5.1660094331632296</c:v>
                </c:pt>
                <c:pt idx="556">
                  <c:v>5.1353338826646535</c:v>
                </c:pt>
                <c:pt idx="557">
                  <c:v>5.1035004817445131</c:v>
                </c:pt>
                <c:pt idx="558">
                  <c:v>5.0705176204559042</c:v>
                </c:pt>
                <c:pt idx="559">
                  <c:v>5.0363939466469425</c:v>
                </c:pt>
                <c:pt idx="560">
                  <c:v>5.0011383637325757</c:v>
                </c:pt>
                <c:pt idx="561">
                  <c:v>4.964760028409394</c:v>
                </c:pt>
                <c:pt idx="562">
                  <c:v>4.9272683483140405</c:v>
                </c:pt>
                <c:pt idx="563">
                  <c:v>4.8886729796258006</c:v>
                </c:pt>
                <c:pt idx="564">
                  <c:v>4.8489838246139723</c:v>
                </c:pt>
                <c:pt idx="565">
                  <c:v>4.8082110291306259</c:v>
                </c:pt>
                <c:pt idx="566">
                  <c:v>4.7663649800494099</c:v>
                </c:pt>
                <c:pt idx="567">
                  <c:v>4.7234563026510124</c:v>
                </c:pt>
                <c:pt idx="568">
                  <c:v>4.6794958579559163</c:v>
                </c:pt>
                <c:pt idx="569">
                  <c:v>4.6344947400051932</c:v>
                </c:pt>
                <c:pt idx="570">
                  <c:v>4.588464273089901</c:v>
                </c:pt>
                <c:pt idx="571">
                  <c:v>4.5414160089298408</c:v>
                </c:pt>
                <c:pt idx="572">
                  <c:v>4.4933617238023498</c:v>
                </c:pt>
                <c:pt idx="573">
                  <c:v>4.4443134156218518</c:v>
                </c:pt>
                <c:pt idx="574">
                  <c:v>4.3942833009708542</c:v>
                </c:pt>
                <c:pt idx="575">
                  <c:v>4.3432838120831452</c:v>
                </c:pt>
                <c:pt idx="576">
                  <c:v>4.29132759377993</c:v>
                </c:pt>
                <c:pt idx="577">
                  <c:v>4.2384275003596468</c:v>
                </c:pt>
                <c:pt idx="578">
                  <c:v>4.1845965924422046</c:v>
                </c:pt>
                <c:pt idx="579">
                  <c:v>4.1298481337684709</c:v>
                </c:pt>
                <c:pt idx="580">
                  <c:v>4.0741955879557246</c:v>
                </c:pt>
                <c:pt idx="581">
                  <c:v>4.0176526152098759</c:v>
                </c:pt>
                <c:pt idx="582">
                  <c:v>3.960233068995298</c:v>
                </c:pt>
                <c:pt idx="583">
                  <c:v>3.9019509926630178</c:v>
                </c:pt>
                <c:pt idx="584">
                  <c:v>3.8428206160381118</c:v>
                </c:pt>
                <c:pt idx="585">
                  <c:v>3.7828563519671254</c:v>
                </c:pt>
                <c:pt idx="586">
                  <c:v>3.7220727928263524</c:v>
                </c:pt>
                <c:pt idx="587">
                  <c:v>3.66048470699182</c:v>
                </c:pt>
                <c:pt idx="588">
                  <c:v>3.5981070352717874</c:v>
                </c:pt>
                <c:pt idx="589">
                  <c:v>3.534954887302705</c:v>
                </c:pt>
                <c:pt idx="590">
                  <c:v>3.4710435379093907</c:v>
                </c:pt>
                <c:pt idx="591">
                  <c:v>3.4063884234303781</c:v>
                </c:pt>
                <c:pt idx="592">
                  <c:v>3.3410051380092867</c:v>
                </c:pt>
                <c:pt idx="593">
                  <c:v>3.2749094298530714</c:v>
                </c:pt>
                <c:pt idx="594">
                  <c:v>3.2081171974581197</c:v>
                </c:pt>
                <c:pt idx="595">
                  <c:v>3.1406444858050051</c:v>
                </c:pt>
                <c:pt idx="596">
                  <c:v>3.0725074825228882</c:v>
                </c:pt>
                <c:pt idx="597">
                  <c:v>3.0037225140243917</c:v>
                </c:pt>
                <c:pt idx="598">
                  <c:v>2.9343060416119844</c:v>
                </c:pt>
                <c:pt idx="599">
                  <c:v>2.8642746575566616</c:v>
                </c:pt>
                <c:pt idx="600">
                  <c:v>2.7936450811499656</c:v>
                </c:pt>
                <c:pt idx="601">
                  <c:v>2.7224341547302</c:v>
                </c:pt>
                <c:pt idx="602">
                  <c:v>2.6506588396838637</c:v>
                </c:pt>
                <c:pt idx="603">
                  <c:v>2.5783362124231219</c:v>
                </c:pt>
                <c:pt idx="604">
                  <c:v>2.5054834603404466</c:v>
                </c:pt>
                <c:pt idx="605">
                  <c:v>2.4321178777411987</c:v>
                </c:pt>
                <c:pt idx="606">
                  <c:v>2.3582568617552053</c:v>
                </c:pt>
                <c:pt idx="607">
                  <c:v>2.2839179082283056</c:v>
                </c:pt>
                <c:pt idx="608">
                  <c:v>2.209118607594768</c:v>
                </c:pt>
                <c:pt idx="609">
                  <c:v>2.1338766407316312</c:v>
                </c:pt>
                <c:pt idx="610">
                  <c:v>2.058209774795817</c:v>
                </c:pt>
                <c:pt idx="611">
                  <c:v>1.9821358590451874</c:v>
                </c:pt>
                <c:pt idx="612">
                  <c:v>1.905672820644313</c:v>
                </c:pt>
                <c:pt idx="613">
                  <c:v>1.8288386604560565</c:v>
                </c:pt>
                <c:pt idx="614">
                  <c:v>1.7516514488199546</c:v>
                </c:pt>
                <c:pt idx="615">
                  <c:v>1.6741293213183228</c:v>
                </c:pt>
                <c:pt idx="616">
                  <c:v>1.5962904745311439</c:v>
                </c:pt>
                <c:pt idx="617">
                  <c:v>1.5181531617806452</c:v>
                </c:pt>
                <c:pt idx="618">
                  <c:v>1.4397356888666784</c:v>
                </c:pt>
                <c:pt idx="619">
                  <c:v>1.3610564097937576</c:v>
                </c:pt>
                <c:pt idx="620">
                  <c:v>1.2821337224908351</c:v>
                </c:pt>
                <c:pt idx="621">
                  <c:v>1.2029860645247925</c:v>
                </c:pt>
                <c:pt idx="622">
                  <c:v>1.1236319088086533</c:v>
                </c:pt>
                <c:pt idx="623">
                  <c:v>1.0440897593054241</c:v>
                </c:pt>
                <c:pt idx="624">
                  <c:v>0.96437814672875466</c:v>
                </c:pt>
                <c:pt idx="625">
                  <c:v>0.88451562424119057</c:v>
                </c:pt>
                <c:pt idx="626">
                  <c:v>0.80452076315114018</c:v>
                </c:pt>
                <c:pt idx="627">
                  <c:v>0.72441214860954639</c:v>
                </c:pt>
                <c:pt idx="628">
                  <c:v>0.6442083753072021</c:v>
                </c:pt>
                <c:pt idx="629">
                  <c:v>0.56392804317377743</c:v>
                </c:pt>
                <c:pt idx="630">
                  <c:v>0.48358975307942165</c:v>
                </c:pt>
                <c:pt idx="631">
                  <c:v>0.40321210254013945</c:v>
                </c:pt>
                <c:pt idx="632">
                  <c:v>0.32281368142770667</c:v>
                </c:pt>
                <c:pt idx="633">
                  <c:v>0.24241306768523274</c:v>
                </c:pt>
                <c:pt idx="634">
                  <c:v>0.16202882304935906</c:v>
                </c:pt>
                <c:pt idx="635">
                  <c:v>8.167948878000808E-2</c:v>
                </c:pt>
                <c:pt idx="636">
                  <c:v>1.3835813987433943E-3</c:v>
                </c:pt>
                <c:pt idx="637">
                  <c:v>-7.8840411563399937E-2</c:v>
                </c:pt>
                <c:pt idx="638">
                  <c:v>-0.15897403580743713</c:v>
                </c:pt>
                <c:pt idx="639">
                  <c:v>-0.23899887449661628</c:v>
                </c:pt>
                <c:pt idx="640">
                  <c:v>-0.3188965524740538</c:v>
                </c:pt>
                <c:pt idx="641">
                  <c:v>-0.39864874046698107</c:v>
                </c:pt>
                <c:pt idx="642">
                  <c:v>-0.4782371592766137</c:v>
                </c:pt>
                <c:pt idx="643">
                  <c:v>-0.55764358395271507</c:v>
                </c:pt>
                <c:pt idx="644">
                  <c:v>-0.63684984795183253</c:v>
                </c:pt>
                <c:pt idx="645">
                  <c:v>-0.7158378472783562</c:v>
                </c:pt>
                <c:pt idx="646">
                  <c:v>-0.79458954460739561</c:v>
                </c:pt>
                <c:pt idx="647">
                  <c:v>-0.87308697338855989</c:v>
                </c:pt>
                <c:pt idx="648">
                  <c:v>-0.95131224192969355</c:v>
                </c:pt>
                <c:pt idx="649">
                  <c:v>-1.0292475374596841</c:v>
                </c:pt>
                <c:pt idx="650">
                  <c:v>-1.1068751301694082</c:v>
                </c:pt>
                <c:pt idx="651">
                  <c:v>-1.1841773772298125</c:v>
                </c:pt>
                <c:pt idx="652">
                  <c:v>-1.2611367267864022</c:v>
                </c:pt>
                <c:pt idx="653">
                  <c:v>-1.3377357219290593</c:v>
                </c:pt>
                <c:pt idx="654">
                  <c:v>-1.41395700463643</c:v>
                </c:pt>
                <c:pt idx="655">
                  <c:v>-1.4897833196938834</c:v>
                </c:pt>
                <c:pt idx="656">
                  <c:v>-1.5651975185842832</c:v>
                </c:pt>
                <c:pt idx="657">
                  <c:v>-1.6401825633505267</c:v>
                </c:pt>
                <c:pt idx="658">
                  <c:v>-1.714721530429173</c:v>
                </c:pt>
                <c:pt idx="659">
                  <c:v>-1.7887976144542019</c:v>
                </c:pt>
                <c:pt idx="660">
                  <c:v>-1.8623941320300366</c:v>
                </c:pt>
                <c:pt idx="661">
                  <c:v>-1.9354945254730356</c:v>
                </c:pt>
                <c:pt idx="662">
                  <c:v>-2.0080823665205934</c:v>
                </c:pt>
                <c:pt idx="663">
                  <c:v>-2.0801413600070493</c:v>
                </c:pt>
                <c:pt idx="664">
                  <c:v>-2.1516553475055193</c:v>
                </c:pt>
                <c:pt idx="665">
                  <c:v>-2.222608310934937</c:v>
                </c:pt>
                <c:pt idx="666">
                  <c:v>-2.2929843761314208</c:v>
                </c:pt>
                <c:pt idx="667">
                  <c:v>-2.3627678163832218</c:v>
                </c:pt>
                <c:pt idx="668">
                  <c:v>-2.431943055928433</c:v>
                </c:pt>
                <c:pt idx="669">
                  <c:v>-2.5004946734147371</c:v>
                </c:pt>
                <c:pt idx="670">
                  <c:v>-2.5684074053203951</c:v>
                </c:pt>
                <c:pt idx="671">
                  <c:v>-2.6356661493356701</c:v>
                </c:pt>
                <c:pt idx="672">
                  <c:v>-2.7022559677040663</c:v>
                </c:pt>
                <c:pt idx="673">
                  <c:v>-2.7681620905225293</c:v>
                </c:pt>
                <c:pt idx="674">
                  <c:v>-2.8333699189999617</c:v>
                </c:pt>
                <c:pt idx="675">
                  <c:v>-2.897865028673273</c:v>
                </c:pt>
                <c:pt idx="676">
                  <c:v>-2.96163317258035</c:v>
                </c:pt>
                <c:pt idx="677">
                  <c:v>-3.0246602843891148</c:v>
                </c:pt>
                <c:pt idx="678">
                  <c:v>-3.0869324814821377</c:v>
                </c:pt>
                <c:pt idx="679">
                  <c:v>-3.1484360679960592</c:v>
                </c:pt>
                <c:pt idx="680">
                  <c:v>-3.209157537815142</c:v>
                </c:pt>
                <c:pt idx="681">
                  <c:v>-3.2690835775183422</c:v>
                </c:pt>
                <c:pt idx="682">
                  <c:v>-3.3282010692792436</c:v>
                </c:pt>
                <c:pt idx="683">
                  <c:v>-3.3864970937182561</c:v>
                </c:pt>
                <c:pt idx="684">
                  <c:v>-3.4439589327063813</c:v>
                </c:pt>
                <c:pt idx="685">
                  <c:v>-3.5005740721200649</c:v>
                </c:pt>
                <c:pt idx="686">
                  <c:v>-3.5563302045464322</c:v>
                </c:pt>
                <c:pt idx="687">
                  <c:v>-3.6112152319384005</c:v>
                </c:pt>
                <c:pt idx="688">
                  <c:v>-3.6652172682190454</c:v>
                </c:pt>
                <c:pt idx="689">
                  <c:v>-3.7183246418347169</c:v>
                </c:pt>
                <c:pt idx="690">
                  <c:v>-3.7705258982563499</c:v>
                </c:pt>
                <c:pt idx="691">
                  <c:v>-3.8218098024283638</c:v>
                </c:pt>
                <c:pt idx="692">
                  <c:v>-3.8721653411647665</c:v>
                </c:pt>
                <c:pt idx="693">
                  <c:v>-3.9215817254918472</c:v>
                </c:pt>
                <c:pt idx="694">
                  <c:v>-3.9700483929370201</c:v>
                </c:pt>
                <c:pt idx="695">
                  <c:v>-4.0175550097633081</c:v>
                </c:pt>
                <c:pt idx="696">
                  <c:v>-4.0640914731490492</c:v>
                </c:pt>
                <c:pt idx="697">
                  <c:v>-4.1096479133122799</c:v>
                </c:pt>
                <c:pt idx="698">
                  <c:v>-4.1542146955794559</c:v>
                </c:pt>
                <c:pt idx="699">
                  <c:v>-4.1977824223980376</c:v>
                </c:pt>
                <c:pt idx="700">
                  <c:v>-4.2403419352925136</c:v>
                </c:pt>
                <c:pt idx="701">
                  <c:v>-4.2818843167634775</c:v>
                </c:pt>
                <c:pt idx="702">
                  <c:v>-4.3224008921293668</c:v>
                </c:pt>
                <c:pt idx="703">
                  <c:v>-4.3618832313105198</c:v>
                </c:pt>
                <c:pt idx="704">
                  <c:v>-4.4003231505551152</c:v>
                </c:pt>
                <c:pt idx="705">
                  <c:v>-4.4377127141067376</c:v>
                </c:pt>
                <c:pt idx="706">
                  <c:v>-4.4740442358131762</c:v>
                </c:pt>
                <c:pt idx="707">
                  <c:v>-4.5093102806761642</c:v>
                </c:pt>
                <c:pt idx="708">
                  <c:v>-4.5435036663417421</c:v>
                </c:pt>
                <c:pt idx="709">
                  <c:v>-4.5766174645309601</c:v>
                </c:pt>
                <c:pt idx="710">
                  <c:v>-4.6086450024106629</c:v>
                </c:pt>
                <c:pt idx="711">
                  <c:v>-4.6395798639040269</c:v>
                </c:pt>
                <c:pt idx="712">
                  <c:v>-4.669415890940698</c:v>
                </c:pt>
                <c:pt idx="713">
                  <c:v>-4.6981471846462197</c:v>
                </c:pt>
                <c:pt idx="714">
                  <c:v>-4.7257681064705626</c:v>
                </c:pt>
                <c:pt idx="715">
                  <c:v>-4.7522732792555482</c:v>
                </c:pt>
                <c:pt idx="716">
                  <c:v>-4.7776575882409809</c:v>
                </c:pt>
                <c:pt idx="717">
                  <c:v>-4.8019161820092737</c:v>
                </c:pt>
                <c:pt idx="718">
                  <c:v>-4.8250444733684636</c:v>
                </c:pt>
                <c:pt idx="719">
                  <c:v>-4.8470381401734297</c:v>
                </c:pt>
                <c:pt idx="720">
                  <c:v>-4.8678931260851837</c:v>
                </c:pt>
                <c:pt idx="721">
                  <c:v>-4.8876056412681246</c:v>
                </c:pt>
                <c:pt idx="722">
                  <c:v>-4.9061721630251327</c:v>
                </c:pt>
                <c:pt idx="723">
                  <c:v>-4.923589436370456</c:v>
                </c:pt>
                <c:pt idx="724">
                  <c:v>-4.9398544745402422</c:v>
                </c:pt>
                <c:pt idx="725">
                  <c:v>-4.9549645594407323</c:v>
                </c:pt>
                <c:pt idx="726">
                  <c:v>-4.9689172420339975</c:v>
                </c:pt>
                <c:pt idx="727">
                  <c:v>-4.9817103426612492</c:v>
                </c:pt>
                <c:pt idx="728">
                  <c:v>-4.993341951303659</c:v>
                </c:pt>
                <c:pt idx="729">
                  <c:v>-5.0038104277806985</c:v>
                </c:pt>
                <c:pt idx="730">
                  <c:v>-5.013114401886023</c:v>
                </c:pt>
                <c:pt idx="731">
                  <c:v>-5.0212527734608923</c:v>
                </c:pt>
                <c:pt idx="732">
                  <c:v>-5.0282247124052084</c:v>
                </c:pt>
                <c:pt idx="733">
                  <c:v>-5.0340296586261895</c:v>
                </c:pt>
                <c:pt idx="734">
                  <c:v>-5.0386673219247697</c:v>
                </c:pt>
                <c:pt idx="735">
                  <c:v>-5.0421376818197814</c:v>
                </c:pt>
                <c:pt idx="736">
                  <c:v>-5.0444409873100664</c:v>
                </c:pt>
                <c:pt idx="737">
                  <c:v>-5.0455777565745539</c:v>
                </c:pt>
                <c:pt idx="738">
                  <c:v>-5.045548776610504</c:v>
                </c:pt>
                <c:pt idx="739">
                  <c:v>-5.04435510281</c:v>
                </c:pt>
                <c:pt idx="740">
                  <c:v>-5.0419980584748805</c:v>
                </c:pt>
                <c:pt idx="741">
                  <c:v>-5.03847923427025</c:v>
                </c:pt>
                <c:pt idx="742">
                  <c:v>-5.0338004876167783</c:v>
                </c:pt>
                <c:pt idx="743">
                  <c:v>-5.0279639420219508</c:v>
                </c:pt>
                <c:pt idx="744">
                  <c:v>-5.02097198635051</c:v>
                </c:pt>
                <c:pt idx="745">
                  <c:v>-5.0128272740342918</c:v>
                </c:pt>
                <c:pt idx="746">
                  <c:v>-5.0035327222216992</c:v>
                </c:pt>
                <c:pt idx="747">
                  <c:v>-4.9930915108670764</c:v>
                </c:pt>
                <c:pt idx="748">
                  <c:v>-4.9815070817602098</c:v>
                </c:pt>
                <c:pt idx="749">
                  <c:v>-4.9687831374962901</c:v>
                </c:pt>
                <c:pt idx="750">
                  <c:v>-4.9549236403865731</c:v>
                </c:pt>
                <c:pt idx="751">
                  <c:v>-4.939932811310074</c:v>
                </c:pt>
                <c:pt idx="752">
                  <c:v>-4.9238151285066269</c:v>
                </c:pt>
                <c:pt idx="753">
                  <c:v>-4.906575326311577</c:v>
                </c:pt>
                <c:pt idx="754">
                  <c:v>-4.8882183938325401</c:v>
                </c:pt>
                <c:pt idx="755">
                  <c:v>-4.8687495735685085</c:v>
                </c:pt>
                <c:pt idx="756">
                  <c:v>-4.8481743599717149</c:v>
                </c:pt>
                <c:pt idx="757">
                  <c:v>-4.8264984979526453</c:v>
                </c:pt>
                <c:pt idx="758">
                  <c:v>-4.8037279813285547</c:v>
                </c:pt>
                <c:pt idx="759">
                  <c:v>-4.7798690512159361</c:v>
                </c:pt>
                <c:pt idx="760">
                  <c:v>-4.7549281943673432</c:v>
                </c:pt>
                <c:pt idx="761">
                  <c:v>-4.7289121414530069</c:v>
                </c:pt>
                <c:pt idx="762">
                  <c:v>-4.7018278652877115</c:v>
                </c:pt>
                <c:pt idx="763">
                  <c:v>-4.673682579003315</c:v>
                </c:pt>
                <c:pt idx="764">
                  <c:v>-4.6444837341675065</c:v>
                </c:pt>
                <c:pt idx="765">
                  <c:v>-4.614239018849168</c:v>
                </c:pt>
                <c:pt idx="766">
                  <c:v>-4.5829563556308983</c:v>
                </c:pt>
                <c:pt idx="767">
                  <c:v>-4.5506438995691925</c:v>
                </c:pt>
                <c:pt idx="768">
                  <c:v>-4.5173100361027849</c:v>
                </c:pt>
                <c:pt idx="769">
                  <c:v>-4.4829633789096821</c:v>
                </c:pt>
                <c:pt idx="770">
                  <c:v>-4.4476127677134762</c:v>
                </c:pt>
                <c:pt idx="771">
                  <c:v>-4.4112672660393972</c:v>
                </c:pt>
                <c:pt idx="772">
                  <c:v>-4.3739361589207739</c:v>
                </c:pt>
                <c:pt idx="773">
                  <c:v>-4.3356289505563739</c:v>
                </c:pt>
                <c:pt idx="774">
                  <c:v>-4.2963553619192973</c:v>
                </c:pt>
                <c:pt idx="775">
                  <c:v>-4.2561253283179736</c:v>
                </c:pt>
                <c:pt idx="776">
                  <c:v>-4.2149489969098424</c:v>
                </c:pt>
                <c:pt idx="777">
                  <c:v>-4.1728367241684374</c:v>
                </c:pt>
                <c:pt idx="778">
                  <c:v>-4.1297990733043495</c:v>
                </c:pt>
                <c:pt idx="779">
                  <c:v>-4.08584681164084</c:v>
                </c:pt>
                <c:pt idx="780">
                  <c:v>-4.040990907944682</c:v>
                </c:pt>
                <c:pt idx="781">
                  <c:v>-3.9952425297128924</c:v>
                </c:pt>
                <c:pt idx="782">
                  <c:v>-3.948613040416062</c:v>
                </c:pt>
                <c:pt idx="783">
                  <c:v>-3.9011139966988551</c:v>
                </c:pt>
                <c:pt idx="784">
                  <c:v>-3.8527571455385345</c:v>
                </c:pt>
                <c:pt idx="785">
                  <c:v>-3.803554421362028</c:v>
                </c:pt>
                <c:pt idx="786">
                  <c:v>-3.7535179431223429</c:v>
                </c:pt>
                <c:pt idx="787">
                  <c:v>-3.7026600113350296</c:v>
                </c:pt>
                <c:pt idx="788">
                  <c:v>-3.6509931050753739</c:v>
                </c:pt>
                <c:pt idx="789">
                  <c:v>-3.5985298789370663</c:v>
                </c:pt>
                <c:pt idx="790">
                  <c:v>-3.5452831599531431</c:v>
                </c:pt>
                <c:pt idx="791">
                  <c:v>-3.4912659444798271</c:v>
                </c:pt>
                <c:pt idx="792">
                  <c:v>-3.4364913950441287</c:v>
                </c:pt>
                <c:pt idx="793">
                  <c:v>-3.3809728371558911</c:v>
                </c:pt>
                <c:pt idx="794">
                  <c:v>-3.3247237560851088</c:v>
                </c:pt>
                <c:pt idx="795">
                  <c:v>-3.2677577936052571</c:v>
                </c:pt>
                <c:pt idx="796">
                  <c:v>-3.2100887447033886</c:v>
                </c:pt>
                <c:pt idx="797">
                  <c:v>-3.1517305542579113</c:v>
                </c:pt>
                <c:pt idx="798">
                  <c:v>-3.0926973136846465</c:v>
                </c:pt>
                <c:pt idx="799">
                  <c:v>-3.0330032575521466</c:v>
                </c:pt>
                <c:pt idx="800">
                  <c:v>-2.9726627601669913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DA-5E41-8350-6FBD726C84DC}"/>
            </c:ext>
          </c:extLst>
        </c:ser>
        <c:ser>
          <c:idx val="1"/>
          <c:order val="1"/>
          <c:tx>
            <c:strRef>
              <c:f>Summary!$N$2</c:f>
              <c:strCache>
                <c:ptCount val="1"/>
                <c:pt idx="0">
                  <c:v>Round ABCD</c:v>
                </c:pt>
              </c:strCache>
            </c:strRef>
          </c:tx>
          <c:marker>
            <c:symbol val="none"/>
          </c:marker>
          <c:xVal>
            <c:numRef>
              <c:f>Summary!$N$4:$N$804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Summary!$P$4:$P$804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DA-5E41-8350-6FBD726C84DC}"/>
            </c:ext>
          </c:extLst>
        </c:ser>
        <c:ser>
          <c:idx val="2"/>
          <c:order val="2"/>
          <c:tx>
            <c:strRef>
              <c:f>Summary!$S$2</c:f>
              <c:strCache>
                <c:ptCount val="1"/>
                <c:pt idx="0">
                  <c:v>Round ABCD</c:v>
                </c:pt>
              </c:strCache>
            </c:strRef>
          </c:tx>
          <c:marker>
            <c:symbol val="none"/>
          </c:marker>
          <c:xVal>
            <c:numRef>
              <c:f>Summary!$S$4:$S$804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Summary!$U$4:$U$804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DA-5E41-8350-6FBD726C84DC}"/>
            </c:ext>
          </c:extLst>
        </c:ser>
        <c:ser>
          <c:idx val="3"/>
          <c:order val="3"/>
          <c:tx>
            <c:strRef>
              <c:f>Summary!$X$2</c:f>
              <c:strCache>
                <c:ptCount val="1"/>
                <c:pt idx="0">
                  <c:v>Round ABCD</c:v>
                </c:pt>
              </c:strCache>
            </c:strRef>
          </c:tx>
          <c:marker>
            <c:symbol val="none"/>
          </c:marker>
          <c:xVal>
            <c:numRef>
              <c:f>Summary!$X$4:$X$804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Summary!$Z$4:$Z$804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CDA-5E41-8350-6FBD726C84DC}"/>
            </c:ext>
          </c:extLst>
        </c:ser>
        <c:ser>
          <c:idx val="4"/>
          <c:order val="4"/>
          <c:tx>
            <c:strRef>
              <c:f>Summary!$AC$2</c:f>
              <c:strCache>
                <c:ptCount val="1"/>
                <c:pt idx="0">
                  <c:v>Round ABCD</c:v>
                </c:pt>
              </c:strCache>
            </c:strRef>
          </c:tx>
          <c:marker>
            <c:symbol val="none"/>
          </c:marker>
          <c:xVal>
            <c:numRef>
              <c:f>Summary!$AC$4:$AC$804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Summary!$AE$4:$AE$804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DA-5E41-8350-6FBD726C84DC}"/>
            </c:ext>
          </c:extLst>
        </c:ser>
        <c:ser>
          <c:idx val="5"/>
          <c:order val="5"/>
          <c:tx>
            <c:strRef>
              <c:f>Summary!$AH$2</c:f>
              <c:strCache>
                <c:ptCount val="1"/>
                <c:pt idx="0">
                  <c:v>Round ABCD</c:v>
                </c:pt>
              </c:strCache>
            </c:strRef>
          </c:tx>
          <c:marker>
            <c:symbol val="none"/>
          </c:marker>
          <c:xVal>
            <c:numRef>
              <c:f>Summary!$AH$4:$AH$804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Summary!$AJ$4:$AJ$804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CDA-5E41-8350-6FBD726C84DC}"/>
            </c:ext>
          </c:extLst>
        </c:ser>
        <c:ser>
          <c:idx val="6"/>
          <c:order val="6"/>
          <c:tx>
            <c:strRef>
              <c:f>Summary!$AM$2</c:f>
              <c:strCache>
                <c:ptCount val="1"/>
                <c:pt idx="0">
                  <c:v>Round ABCD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Summary!$AM$4:$AM$804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Summary!$AO$4:$AO$804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DA-5E41-8350-6FBD726C84DC}"/>
            </c:ext>
          </c:extLst>
        </c:ser>
        <c:ser>
          <c:idx val="7"/>
          <c:order val="7"/>
          <c:tx>
            <c:strRef>
              <c:f>Summary!$AR$2</c:f>
              <c:strCache>
                <c:ptCount val="1"/>
                <c:pt idx="0">
                  <c:v>Round ABCD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Summary!$AR$4:$AR$804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Summary!$AT$4:$AT$804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CDA-5E41-8350-6FBD726C84DC}"/>
            </c:ext>
          </c:extLst>
        </c:ser>
        <c:ser>
          <c:idx val="8"/>
          <c:order val="8"/>
          <c:tx>
            <c:strRef>
              <c:f>Summary!$AW$2</c:f>
              <c:strCache>
                <c:ptCount val="1"/>
                <c:pt idx="0">
                  <c:v>Round ABCD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Summary!$AW$4:$AW$804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Summary!$AY$4:$AY$804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DA-5E41-8350-6FBD726C84DC}"/>
            </c:ext>
          </c:extLst>
        </c:ser>
        <c:ser>
          <c:idx val="9"/>
          <c:order val="9"/>
          <c:tx>
            <c:strRef>
              <c:f>Summary!$BB$2</c:f>
              <c:strCache>
                <c:ptCount val="1"/>
                <c:pt idx="0">
                  <c:v>Round ABCD</c:v>
                </c:pt>
              </c:strCache>
            </c:strRef>
          </c:tx>
          <c:spPr>
            <a:ln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Summary!$BB$4:$BB$804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Summary!$BD$4:$BD$804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CDA-5E41-8350-6FBD726C8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266832"/>
        <c:axId val="433270360"/>
      </c:scatterChart>
      <c:valAx>
        <c:axId val="433266832"/>
        <c:scaling>
          <c:orientation val="minMax"/>
          <c:max val="200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200"/>
                  <a:t>Range Location (m)</a:t>
                </a:r>
              </a:p>
            </c:rich>
          </c:tx>
          <c:layout>
            <c:manualLayout>
              <c:xMode val="edge"/>
              <c:yMode val="edge"/>
              <c:x val="0.31687747307448866"/>
              <c:y val="0.8286962459048227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none"/>
        <c:minorTickMark val="none"/>
        <c:tickLblPos val="low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3270360"/>
        <c:crosses val="autoZero"/>
        <c:crossBetween val="midCat"/>
        <c:majorUnit val="20"/>
      </c:valAx>
      <c:valAx>
        <c:axId val="433270360"/>
        <c:scaling>
          <c:orientation val="minMax"/>
          <c:max val="4"/>
          <c:min val="-4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Pitch (deg)</a:t>
                </a:r>
              </a:p>
            </c:rich>
          </c:tx>
          <c:layout>
            <c:manualLayout>
              <c:xMode val="edge"/>
              <c:yMode val="edge"/>
              <c:x val="7.9231640872477152E-2"/>
              <c:y val="0.3285750975638798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3266832"/>
        <c:crossesAt val="-100"/>
        <c:crossBetween val="midCat"/>
        <c:majorUnit val="1"/>
      </c:valAx>
      <c:spPr>
        <a:noFill/>
        <a:ln w="381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426023527427582"/>
          <c:y val="0.17439092981261656"/>
          <c:w val="0.17063328622383742"/>
          <c:h val="0.54177348213492793"/>
        </c:manualLayout>
      </c:layout>
      <c:overlay val="0"/>
      <c:spPr>
        <a:ln>
          <a:noFill/>
        </a:ln>
      </c:spPr>
      <c:txPr>
        <a:bodyPr/>
        <a:lstStyle/>
        <a:p>
          <a:pPr>
            <a:defRPr sz="900" b="1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75870995577606"/>
          <c:y val="0.17635064113405868"/>
          <c:w val="0.48804445651190159"/>
          <c:h val="0.53942407557050664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Summary!$I$2</c:f>
              <c:strCache>
                <c:ptCount val="1"/>
                <c:pt idx="0">
                  <c:v>Round ABCD</c:v>
                </c:pt>
              </c:strCache>
            </c:strRef>
          </c:tx>
          <c:spPr>
            <a:ln w="28575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Summary!$I$4:$I$804</c:f>
              <c:numCache>
                <c:formatCode>0.00</c:formatCode>
                <c:ptCount val="80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  <c:pt idx="201">
                  <c:v>50.25</c:v>
                </c:pt>
                <c:pt idx="202">
                  <c:v>50.5</c:v>
                </c:pt>
                <c:pt idx="203">
                  <c:v>50.75</c:v>
                </c:pt>
                <c:pt idx="204">
                  <c:v>51</c:v>
                </c:pt>
                <c:pt idx="205">
                  <c:v>51.25</c:v>
                </c:pt>
                <c:pt idx="206">
                  <c:v>51.5</c:v>
                </c:pt>
                <c:pt idx="207">
                  <c:v>51.75</c:v>
                </c:pt>
                <c:pt idx="208">
                  <c:v>52</c:v>
                </c:pt>
                <c:pt idx="209">
                  <c:v>52.25</c:v>
                </c:pt>
                <c:pt idx="210">
                  <c:v>52.5</c:v>
                </c:pt>
                <c:pt idx="211">
                  <c:v>52.75</c:v>
                </c:pt>
                <c:pt idx="212">
                  <c:v>53</c:v>
                </c:pt>
                <c:pt idx="213">
                  <c:v>53.25</c:v>
                </c:pt>
                <c:pt idx="214">
                  <c:v>53.5</c:v>
                </c:pt>
                <c:pt idx="215">
                  <c:v>53.75</c:v>
                </c:pt>
                <c:pt idx="216">
                  <c:v>54</c:v>
                </c:pt>
                <c:pt idx="217">
                  <c:v>54.25</c:v>
                </c:pt>
                <c:pt idx="218">
                  <c:v>54.5</c:v>
                </c:pt>
                <c:pt idx="219">
                  <c:v>54.75</c:v>
                </c:pt>
                <c:pt idx="220">
                  <c:v>55</c:v>
                </c:pt>
                <c:pt idx="221">
                  <c:v>55.25</c:v>
                </c:pt>
                <c:pt idx="222">
                  <c:v>55.5</c:v>
                </c:pt>
                <c:pt idx="223">
                  <c:v>55.75</c:v>
                </c:pt>
                <c:pt idx="224">
                  <c:v>56</c:v>
                </c:pt>
                <c:pt idx="225">
                  <c:v>56.25</c:v>
                </c:pt>
                <c:pt idx="226">
                  <c:v>56.5</c:v>
                </c:pt>
                <c:pt idx="227">
                  <c:v>56.75</c:v>
                </c:pt>
                <c:pt idx="228">
                  <c:v>57</c:v>
                </c:pt>
                <c:pt idx="229">
                  <c:v>57.25</c:v>
                </c:pt>
                <c:pt idx="230">
                  <c:v>57.5</c:v>
                </c:pt>
                <c:pt idx="231">
                  <c:v>57.75</c:v>
                </c:pt>
                <c:pt idx="232">
                  <c:v>58</c:v>
                </c:pt>
                <c:pt idx="233">
                  <c:v>58.25</c:v>
                </c:pt>
                <c:pt idx="234">
                  <c:v>58.5</c:v>
                </c:pt>
                <c:pt idx="235">
                  <c:v>58.75</c:v>
                </c:pt>
                <c:pt idx="236">
                  <c:v>59</c:v>
                </c:pt>
                <c:pt idx="237">
                  <c:v>59.25</c:v>
                </c:pt>
                <c:pt idx="238">
                  <c:v>59.5</c:v>
                </c:pt>
                <c:pt idx="239">
                  <c:v>59.75</c:v>
                </c:pt>
                <c:pt idx="240">
                  <c:v>60</c:v>
                </c:pt>
                <c:pt idx="241">
                  <c:v>60.25</c:v>
                </c:pt>
                <c:pt idx="242">
                  <c:v>60.5</c:v>
                </c:pt>
                <c:pt idx="243">
                  <c:v>60.75</c:v>
                </c:pt>
                <c:pt idx="244">
                  <c:v>61</c:v>
                </c:pt>
                <c:pt idx="245">
                  <c:v>61.25</c:v>
                </c:pt>
                <c:pt idx="246">
                  <c:v>61.5</c:v>
                </c:pt>
                <c:pt idx="247">
                  <c:v>61.75</c:v>
                </c:pt>
                <c:pt idx="248">
                  <c:v>62</c:v>
                </c:pt>
                <c:pt idx="249">
                  <c:v>62.25</c:v>
                </c:pt>
                <c:pt idx="250">
                  <c:v>62.5</c:v>
                </c:pt>
                <c:pt idx="251">
                  <c:v>62.75</c:v>
                </c:pt>
                <c:pt idx="252">
                  <c:v>63</c:v>
                </c:pt>
                <c:pt idx="253">
                  <c:v>63.25</c:v>
                </c:pt>
                <c:pt idx="254">
                  <c:v>63.5</c:v>
                </c:pt>
                <c:pt idx="255">
                  <c:v>63.75</c:v>
                </c:pt>
                <c:pt idx="256">
                  <c:v>64</c:v>
                </c:pt>
                <c:pt idx="257">
                  <c:v>64.25</c:v>
                </c:pt>
                <c:pt idx="258">
                  <c:v>64.5</c:v>
                </c:pt>
                <c:pt idx="259">
                  <c:v>64.75</c:v>
                </c:pt>
                <c:pt idx="260">
                  <c:v>65</c:v>
                </c:pt>
                <c:pt idx="261">
                  <c:v>65.25</c:v>
                </c:pt>
                <c:pt idx="262">
                  <c:v>65.5</c:v>
                </c:pt>
                <c:pt idx="263">
                  <c:v>65.75</c:v>
                </c:pt>
                <c:pt idx="264">
                  <c:v>66</c:v>
                </c:pt>
                <c:pt idx="265">
                  <c:v>66.25</c:v>
                </c:pt>
                <c:pt idx="266">
                  <c:v>66.5</c:v>
                </c:pt>
                <c:pt idx="267">
                  <c:v>66.75</c:v>
                </c:pt>
                <c:pt idx="268">
                  <c:v>67</c:v>
                </c:pt>
                <c:pt idx="269">
                  <c:v>67.25</c:v>
                </c:pt>
                <c:pt idx="270">
                  <c:v>67.5</c:v>
                </c:pt>
                <c:pt idx="271">
                  <c:v>67.75</c:v>
                </c:pt>
                <c:pt idx="272">
                  <c:v>68</c:v>
                </c:pt>
                <c:pt idx="273">
                  <c:v>68.25</c:v>
                </c:pt>
                <c:pt idx="274">
                  <c:v>68.5</c:v>
                </c:pt>
                <c:pt idx="275">
                  <c:v>68.75</c:v>
                </c:pt>
                <c:pt idx="276">
                  <c:v>69</c:v>
                </c:pt>
                <c:pt idx="277">
                  <c:v>69.25</c:v>
                </c:pt>
                <c:pt idx="278">
                  <c:v>69.5</c:v>
                </c:pt>
                <c:pt idx="279">
                  <c:v>69.75</c:v>
                </c:pt>
                <c:pt idx="280">
                  <c:v>70</c:v>
                </c:pt>
                <c:pt idx="281">
                  <c:v>70.25</c:v>
                </c:pt>
                <c:pt idx="282">
                  <c:v>70.5</c:v>
                </c:pt>
                <c:pt idx="283">
                  <c:v>70.75</c:v>
                </c:pt>
                <c:pt idx="284">
                  <c:v>71</c:v>
                </c:pt>
                <c:pt idx="285">
                  <c:v>71.25</c:v>
                </c:pt>
                <c:pt idx="286">
                  <c:v>71.5</c:v>
                </c:pt>
                <c:pt idx="287">
                  <c:v>71.75</c:v>
                </c:pt>
                <c:pt idx="288">
                  <c:v>72</c:v>
                </c:pt>
                <c:pt idx="289">
                  <c:v>72.25</c:v>
                </c:pt>
                <c:pt idx="290">
                  <c:v>72.5</c:v>
                </c:pt>
                <c:pt idx="291">
                  <c:v>72.75</c:v>
                </c:pt>
                <c:pt idx="292">
                  <c:v>73</c:v>
                </c:pt>
                <c:pt idx="293">
                  <c:v>73.25</c:v>
                </c:pt>
                <c:pt idx="294">
                  <c:v>73.5</c:v>
                </c:pt>
                <c:pt idx="295">
                  <c:v>73.75</c:v>
                </c:pt>
                <c:pt idx="296">
                  <c:v>74</c:v>
                </c:pt>
                <c:pt idx="297">
                  <c:v>74.25</c:v>
                </c:pt>
                <c:pt idx="298">
                  <c:v>74.5</c:v>
                </c:pt>
                <c:pt idx="299">
                  <c:v>74.75</c:v>
                </c:pt>
                <c:pt idx="300">
                  <c:v>75</c:v>
                </c:pt>
                <c:pt idx="301">
                  <c:v>75.25</c:v>
                </c:pt>
                <c:pt idx="302">
                  <c:v>75.5</c:v>
                </c:pt>
                <c:pt idx="303">
                  <c:v>75.75</c:v>
                </c:pt>
                <c:pt idx="304">
                  <c:v>76</c:v>
                </c:pt>
                <c:pt idx="305">
                  <c:v>76.25</c:v>
                </c:pt>
                <c:pt idx="306">
                  <c:v>76.5</c:v>
                </c:pt>
                <c:pt idx="307">
                  <c:v>76.75</c:v>
                </c:pt>
                <c:pt idx="308">
                  <c:v>77</c:v>
                </c:pt>
                <c:pt idx="309">
                  <c:v>77.25</c:v>
                </c:pt>
                <c:pt idx="310">
                  <c:v>77.5</c:v>
                </c:pt>
                <c:pt idx="311">
                  <c:v>77.75</c:v>
                </c:pt>
                <c:pt idx="312">
                  <c:v>78</c:v>
                </c:pt>
                <c:pt idx="313">
                  <c:v>78.25</c:v>
                </c:pt>
                <c:pt idx="314">
                  <c:v>78.5</c:v>
                </c:pt>
                <c:pt idx="315">
                  <c:v>78.75</c:v>
                </c:pt>
                <c:pt idx="316">
                  <c:v>79</c:v>
                </c:pt>
                <c:pt idx="317">
                  <c:v>79.25</c:v>
                </c:pt>
                <c:pt idx="318">
                  <c:v>79.5</c:v>
                </c:pt>
                <c:pt idx="319">
                  <c:v>79.75</c:v>
                </c:pt>
                <c:pt idx="320">
                  <c:v>80</c:v>
                </c:pt>
                <c:pt idx="321">
                  <c:v>80.25</c:v>
                </c:pt>
                <c:pt idx="322">
                  <c:v>80.5</c:v>
                </c:pt>
                <c:pt idx="323">
                  <c:v>80.75</c:v>
                </c:pt>
                <c:pt idx="324">
                  <c:v>81</c:v>
                </c:pt>
                <c:pt idx="325">
                  <c:v>81.25</c:v>
                </c:pt>
                <c:pt idx="326">
                  <c:v>81.5</c:v>
                </c:pt>
                <c:pt idx="327">
                  <c:v>81.75</c:v>
                </c:pt>
                <c:pt idx="328">
                  <c:v>82</c:v>
                </c:pt>
                <c:pt idx="329">
                  <c:v>82.25</c:v>
                </c:pt>
                <c:pt idx="330">
                  <c:v>82.5</c:v>
                </c:pt>
                <c:pt idx="331">
                  <c:v>82.75</c:v>
                </c:pt>
                <c:pt idx="332">
                  <c:v>83</c:v>
                </c:pt>
                <c:pt idx="333">
                  <c:v>83.25</c:v>
                </c:pt>
                <c:pt idx="334">
                  <c:v>83.5</c:v>
                </c:pt>
                <c:pt idx="335">
                  <c:v>83.75</c:v>
                </c:pt>
                <c:pt idx="336">
                  <c:v>84</c:v>
                </c:pt>
                <c:pt idx="337">
                  <c:v>84.25</c:v>
                </c:pt>
                <c:pt idx="338">
                  <c:v>84.5</c:v>
                </c:pt>
                <c:pt idx="339">
                  <c:v>84.75</c:v>
                </c:pt>
                <c:pt idx="340">
                  <c:v>85</c:v>
                </c:pt>
                <c:pt idx="341">
                  <c:v>85.25</c:v>
                </c:pt>
                <c:pt idx="342">
                  <c:v>85.5</c:v>
                </c:pt>
                <c:pt idx="343">
                  <c:v>85.75</c:v>
                </c:pt>
                <c:pt idx="344">
                  <c:v>86</c:v>
                </c:pt>
                <c:pt idx="345">
                  <c:v>86.25</c:v>
                </c:pt>
                <c:pt idx="346">
                  <c:v>86.5</c:v>
                </c:pt>
                <c:pt idx="347">
                  <c:v>86.75</c:v>
                </c:pt>
                <c:pt idx="348">
                  <c:v>87</c:v>
                </c:pt>
                <c:pt idx="349">
                  <c:v>87.25</c:v>
                </c:pt>
                <c:pt idx="350">
                  <c:v>87.5</c:v>
                </c:pt>
                <c:pt idx="351">
                  <c:v>87.75</c:v>
                </c:pt>
                <c:pt idx="352">
                  <c:v>88</c:v>
                </c:pt>
                <c:pt idx="353">
                  <c:v>88.25</c:v>
                </c:pt>
                <c:pt idx="354">
                  <c:v>88.5</c:v>
                </c:pt>
                <c:pt idx="355">
                  <c:v>88.75</c:v>
                </c:pt>
                <c:pt idx="356">
                  <c:v>89</c:v>
                </c:pt>
                <c:pt idx="357">
                  <c:v>89.25</c:v>
                </c:pt>
                <c:pt idx="358">
                  <c:v>89.5</c:v>
                </c:pt>
                <c:pt idx="359">
                  <c:v>89.75</c:v>
                </c:pt>
                <c:pt idx="360">
                  <c:v>90</c:v>
                </c:pt>
                <c:pt idx="361">
                  <c:v>90.25</c:v>
                </c:pt>
                <c:pt idx="362">
                  <c:v>90.5</c:v>
                </c:pt>
                <c:pt idx="363">
                  <c:v>90.75</c:v>
                </c:pt>
                <c:pt idx="364">
                  <c:v>91</c:v>
                </c:pt>
                <c:pt idx="365">
                  <c:v>91.25</c:v>
                </c:pt>
                <c:pt idx="366">
                  <c:v>91.5</c:v>
                </c:pt>
                <c:pt idx="367">
                  <c:v>91.75</c:v>
                </c:pt>
                <c:pt idx="368">
                  <c:v>92</c:v>
                </c:pt>
                <c:pt idx="369">
                  <c:v>92.25</c:v>
                </c:pt>
                <c:pt idx="370">
                  <c:v>92.5</c:v>
                </c:pt>
                <c:pt idx="371">
                  <c:v>92.75</c:v>
                </c:pt>
                <c:pt idx="372">
                  <c:v>93</c:v>
                </c:pt>
                <c:pt idx="373">
                  <c:v>93.25</c:v>
                </c:pt>
                <c:pt idx="374">
                  <c:v>93.5</c:v>
                </c:pt>
                <c:pt idx="375">
                  <c:v>93.75</c:v>
                </c:pt>
                <c:pt idx="376">
                  <c:v>94</c:v>
                </c:pt>
                <c:pt idx="377">
                  <c:v>94.25</c:v>
                </c:pt>
                <c:pt idx="378">
                  <c:v>94.5</c:v>
                </c:pt>
                <c:pt idx="379">
                  <c:v>94.75</c:v>
                </c:pt>
                <c:pt idx="380">
                  <c:v>95</c:v>
                </c:pt>
                <c:pt idx="381">
                  <c:v>95.25</c:v>
                </c:pt>
                <c:pt idx="382">
                  <c:v>95.5</c:v>
                </c:pt>
                <c:pt idx="383">
                  <c:v>95.75</c:v>
                </c:pt>
                <c:pt idx="384">
                  <c:v>96</c:v>
                </c:pt>
                <c:pt idx="385">
                  <c:v>96.25</c:v>
                </c:pt>
                <c:pt idx="386">
                  <c:v>96.5</c:v>
                </c:pt>
                <c:pt idx="387">
                  <c:v>96.75</c:v>
                </c:pt>
                <c:pt idx="388">
                  <c:v>97</c:v>
                </c:pt>
                <c:pt idx="389">
                  <c:v>97.25</c:v>
                </c:pt>
                <c:pt idx="390">
                  <c:v>97.5</c:v>
                </c:pt>
                <c:pt idx="391">
                  <c:v>97.75</c:v>
                </c:pt>
                <c:pt idx="392">
                  <c:v>98</c:v>
                </c:pt>
                <c:pt idx="393">
                  <c:v>98.25</c:v>
                </c:pt>
                <c:pt idx="394">
                  <c:v>98.5</c:v>
                </c:pt>
                <c:pt idx="395">
                  <c:v>98.75</c:v>
                </c:pt>
                <c:pt idx="396">
                  <c:v>99</c:v>
                </c:pt>
                <c:pt idx="397">
                  <c:v>99.25</c:v>
                </c:pt>
                <c:pt idx="398">
                  <c:v>99.5</c:v>
                </c:pt>
                <c:pt idx="399">
                  <c:v>99.75</c:v>
                </c:pt>
                <c:pt idx="400">
                  <c:v>100</c:v>
                </c:pt>
                <c:pt idx="401">
                  <c:v>100.25</c:v>
                </c:pt>
                <c:pt idx="402">
                  <c:v>100.5</c:v>
                </c:pt>
                <c:pt idx="403">
                  <c:v>100.75</c:v>
                </c:pt>
                <c:pt idx="404">
                  <c:v>101</c:v>
                </c:pt>
                <c:pt idx="405">
                  <c:v>101.25</c:v>
                </c:pt>
                <c:pt idx="406">
                  <c:v>101.5</c:v>
                </c:pt>
                <c:pt idx="407">
                  <c:v>101.75</c:v>
                </c:pt>
                <c:pt idx="408">
                  <c:v>102</c:v>
                </c:pt>
                <c:pt idx="409">
                  <c:v>102.25</c:v>
                </c:pt>
                <c:pt idx="410">
                  <c:v>102.5</c:v>
                </c:pt>
                <c:pt idx="411">
                  <c:v>102.75</c:v>
                </c:pt>
                <c:pt idx="412">
                  <c:v>103</c:v>
                </c:pt>
                <c:pt idx="413">
                  <c:v>103.25</c:v>
                </c:pt>
                <c:pt idx="414">
                  <c:v>103.5</c:v>
                </c:pt>
                <c:pt idx="415">
                  <c:v>103.75</c:v>
                </c:pt>
                <c:pt idx="416">
                  <c:v>104</c:v>
                </c:pt>
                <c:pt idx="417">
                  <c:v>104.25</c:v>
                </c:pt>
                <c:pt idx="418">
                  <c:v>104.5</c:v>
                </c:pt>
                <c:pt idx="419">
                  <c:v>104.75</c:v>
                </c:pt>
                <c:pt idx="420">
                  <c:v>105</c:v>
                </c:pt>
                <c:pt idx="421">
                  <c:v>105.25</c:v>
                </c:pt>
                <c:pt idx="422">
                  <c:v>105.5</c:v>
                </c:pt>
                <c:pt idx="423">
                  <c:v>105.75</c:v>
                </c:pt>
                <c:pt idx="424">
                  <c:v>106</c:v>
                </c:pt>
                <c:pt idx="425">
                  <c:v>106.25</c:v>
                </c:pt>
                <c:pt idx="426">
                  <c:v>106.5</c:v>
                </c:pt>
                <c:pt idx="427">
                  <c:v>106.75</c:v>
                </c:pt>
                <c:pt idx="428">
                  <c:v>107</c:v>
                </c:pt>
                <c:pt idx="429">
                  <c:v>107.25</c:v>
                </c:pt>
                <c:pt idx="430">
                  <c:v>107.5</c:v>
                </c:pt>
                <c:pt idx="431">
                  <c:v>107.75</c:v>
                </c:pt>
                <c:pt idx="432">
                  <c:v>108</c:v>
                </c:pt>
                <c:pt idx="433">
                  <c:v>108.25</c:v>
                </c:pt>
                <c:pt idx="434">
                  <c:v>108.5</c:v>
                </c:pt>
                <c:pt idx="435">
                  <c:v>108.75</c:v>
                </c:pt>
                <c:pt idx="436">
                  <c:v>109</c:v>
                </c:pt>
                <c:pt idx="437">
                  <c:v>109.25</c:v>
                </c:pt>
                <c:pt idx="438">
                  <c:v>109.5</c:v>
                </c:pt>
                <c:pt idx="439">
                  <c:v>109.75</c:v>
                </c:pt>
                <c:pt idx="440">
                  <c:v>110</c:v>
                </c:pt>
                <c:pt idx="441">
                  <c:v>110.25</c:v>
                </c:pt>
                <c:pt idx="442">
                  <c:v>110.5</c:v>
                </c:pt>
                <c:pt idx="443">
                  <c:v>110.75</c:v>
                </c:pt>
                <c:pt idx="444">
                  <c:v>111</c:v>
                </c:pt>
                <c:pt idx="445">
                  <c:v>111.25</c:v>
                </c:pt>
                <c:pt idx="446">
                  <c:v>111.5</c:v>
                </c:pt>
                <c:pt idx="447">
                  <c:v>111.75</c:v>
                </c:pt>
                <c:pt idx="448">
                  <c:v>112</c:v>
                </c:pt>
                <c:pt idx="449">
                  <c:v>112.25</c:v>
                </c:pt>
                <c:pt idx="450">
                  <c:v>112.5</c:v>
                </c:pt>
                <c:pt idx="451">
                  <c:v>112.75</c:v>
                </c:pt>
                <c:pt idx="452">
                  <c:v>113</c:v>
                </c:pt>
                <c:pt idx="453">
                  <c:v>113.25</c:v>
                </c:pt>
                <c:pt idx="454">
                  <c:v>113.5</c:v>
                </c:pt>
                <c:pt idx="455">
                  <c:v>113.75</c:v>
                </c:pt>
                <c:pt idx="456">
                  <c:v>114</c:v>
                </c:pt>
                <c:pt idx="457">
                  <c:v>114.25</c:v>
                </c:pt>
                <c:pt idx="458">
                  <c:v>114.5</c:v>
                </c:pt>
                <c:pt idx="459">
                  <c:v>114.75</c:v>
                </c:pt>
                <c:pt idx="460">
                  <c:v>115</c:v>
                </c:pt>
                <c:pt idx="461">
                  <c:v>115.25</c:v>
                </c:pt>
                <c:pt idx="462">
                  <c:v>115.5</c:v>
                </c:pt>
                <c:pt idx="463">
                  <c:v>115.75</c:v>
                </c:pt>
                <c:pt idx="464">
                  <c:v>116</c:v>
                </c:pt>
                <c:pt idx="465">
                  <c:v>116.25</c:v>
                </c:pt>
                <c:pt idx="466">
                  <c:v>116.5</c:v>
                </c:pt>
                <c:pt idx="467">
                  <c:v>116.75</c:v>
                </c:pt>
                <c:pt idx="468">
                  <c:v>117</c:v>
                </c:pt>
                <c:pt idx="469">
                  <c:v>117.25</c:v>
                </c:pt>
                <c:pt idx="470">
                  <c:v>117.5</c:v>
                </c:pt>
                <c:pt idx="471">
                  <c:v>117.75</c:v>
                </c:pt>
                <c:pt idx="472">
                  <c:v>118</c:v>
                </c:pt>
                <c:pt idx="473">
                  <c:v>118.25</c:v>
                </c:pt>
                <c:pt idx="474">
                  <c:v>118.5</c:v>
                </c:pt>
                <c:pt idx="475">
                  <c:v>118.75</c:v>
                </c:pt>
                <c:pt idx="476">
                  <c:v>119</c:v>
                </c:pt>
                <c:pt idx="477">
                  <c:v>119.25</c:v>
                </c:pt>
                <c:pt idx="478">
                  <c:v>119.5</c:v>
                </c:pt>
                <c:pt idx="479">
                  <c:v>119.75</c:v>
                </c:pt>
                <c:pt idx="480">
                  <c:v>120</c:v>
                </c:pt>
                <c:pt idx="481">
                  <c:v>120.25</c:v>
                </c:pt>
                <c:pt idx="482">
                  <c:v>120.5</c:v>
                </c:pt>
                <c:pt idx="483">
                  <c:v>120.75</c:v>
                </c:pt>
                <c:pt idx="484">
                  <c:v>121</c:v>
                </c:pt>
                <c:pt idx="485">
                  <c:v>121.25</c:v>
                </c:pt>
                <c:pt idx="486">
                  <c:v>121.5</c:v>
                </c:pt>
                <c:pt idx="487">
                  <c:v>121.75</c:v>
                </c:pt>
                <c:pt idx="488">
                  <c:v>122</c:v>
                </c:pt>
                <c:pt idx="489">
                  <c:v>122.25</c:v>
                </c:pt>
                <c:pt idx="490">
                  <c:v>122.5</c:v>
                </c:pt>
                <c:pt idx="491">
                  <c:v>122.75</c:v>
                </c:pt>
                <c:pt idx="492">
                  <c:v>123</c:v>
                </c:pt>
                <c:pt idx="493">
                  <c:v>123.25</c:v>
                </c:pt>
                <c:pt idx="494">
                  <c:v>123.5</c:v>
                </c:pt>
                <c:pt idx="495">
                  <c:v>123.75</c:v>
                </c:pt>
                <c:pt idx="496">
                  <c:v>124</c:v>
                </c:pt>
                <c:pt idx="497">
                  <c:v>124.25</c:v>
                </c:pt>
                <c:pt idx="498">
                  <c:v>124.5</c:v>
                </c:pt>
                <c:pt idx="499">
                  <c:v>124.75</c:v>
                </c:pt>
                <c:pt idx="500">
                  <c:v>125</c:v>
                </c:pt>
                <c:pt idx="501">
                  <c:v>125.25</c:v>
                </c:pt>
                <c:pt idx="502">
                  <c:v>125.5</c:v>
                </c:pt>
                <c:pt idx="503">
                  <c:v>125.75</c:v>
                </c:pt>
                <c:pt idx="504">
                  <c:v>126</c:v>
                </c:pt>
                <c:pt idx="505">
                  <c:v>126.25</c:v>
                </c:pt>
                <c:pt idx="506">
                  <c:v>126.5</c:v>
                </c:pt>
                <c:pt idx="507">
                  <c:v>126.75</c:v>
                </c:pt>
                <c:pt idx="508">
                  <c:v>127</c:v>
                </c:pt>
                <c:pt idx="509">
                  <c:v>127.25</c:v>
                </c:pt>
                <c:pt idx="510">
                  <c:v>127.5</c:v>
                </c:pt>
                <c:pt idx="511">
                  <c:v>127.75</c:v>
                </c:pt>
                <c:pt idx="512">
                  <c:v>128</c:v>
                </c:pt>
                <c:pt idx="513">
                  <c:v>128.25</c:v>
                </c:pt>
                <c:pt idx="514">
                  <c:v>128.5</c:v>
                </c:pt>
                <c:pt idx="515">
                  <c:v>128.75</c:v>
                </c:pt>
                <c:pt idx="516">
                  <c:v>129</c:v>
                </c:pt>
                <c:pt idx="517">
                  <c:v>129.25</c:v>
                </c:pt>
                <c:pt idx="518">
                  <c:v>129.5</c:v>
                </c:pt>
                <c:pt idx="519">
                  <c:v>129.75</c:v>
                </c:pt>
                <c:pt idx="520">
                  <c:v>130</c:v>
                </c:pt>
                <c:pt idx="521">
                  <c:v>130.25</c:v>
                </c:pt>
                <c:pt idx="522">
                  <c:v>130.5</c:v>
                </c:pt>
                <c:pt idx="523">
                  <c:v>130.75</c:v>
                </c:pt>
                <c:pt idx="524">
                  <c:v>131</c:v>
                </c:pt>
                <c:pt idx="525">
                  <c:v>131.25</c:v>
                </c:pt>
                <c:pt idx="526">
                  <c:v>131.5</c:v>
                </c:pt>
                <c:pt idx="527">
                  <c:v>131.75</c:v>
                </c:pt>
                <c:pt idx="528">
                  <c:v>132</c:v>
                </c:pt>
                <c:pt idx="529">
                  <c:v>132.25</c:v>
                </c:pt>
                <c:pt idx="530">
                  <c:v>132.5</c:v>
                </c:pt>
                <c:pt idx="531">
                  <c:v>132.75</c:v>
                </c:pt>
                <c:pt idx="532">
                  <c:v>133</c:v>
                </c:pt>
                <c:pt idx="533">
                  <c:v>133.25</c:v>
                </c:pt>
                <c:pt idx="534">
                  <c:v>133.5</c:v>
                </c:pt>
                <c:pt idx="535">
                  <c:v>133.75</c:v>
                </c:pt>
                <c:pt idx="536">
                  <c:v>134</c:v>
                </c:pt>
                <c:pt idx="537">
                  <c:v>134.25</c:v>
                </c:pt>
                <c:pt idx="538">
                  <c:v>134.5</c:v>
                </c:pt>
                <c:pt idx="539">
                  <c:v>134.75</c:v>
                </c:pt>
                <c:pt idx="540">
                  <c:v>135</c:v>
                </c:pt>
                <c:pt idx="541">
                  <c:v>135.25</c:v>
                </c:pt>
                <c:pt idx="542">
                  <c:v>135.5</c:v>
                </c:pt>
                <c:pt idx="543">
                  <c:v>135.75</c:v>
                </c:pt>
                <c:pt idx="544">
                  <c:v>136</c:v>
                </c:pt>
                <c:pt idx="545">
                  <c:v>136.25</c:v>
                </c:pt>
                <c:pt idx="546">
                  <c:v>136.5</c:v>
                </c:pt>
                <c:pt idx="547">
                  <c:v>136.75</c:v>
                </c:pt>
                <c:pt idx="548">
                  <c:v>137</c:v>
                </c:pt>
                <c:pt idx="549">
                  <c:v>137.25</c:v>
                </c:pt>
                <c:pt idx="550">
                  <c:v>137.5</c:v>
                </c:pt>
                <c:pt idx="551">
                  <c:v>137.75</c:v>
                </c:pt>
                <c:pt idx="552">
                  <c:v>138</c:v>
                </c:pt>
                <c:pt idx="553">
                  <c:v>138.25</c:v>
                </c:pt>
                <c:pt idx="554">
                  <c:v>138.5</c:v>
                </c:pt>
                <c:pt idx="555">
                  <c:v>138.75</c:v>
                </c:pt>
                <c:pt idx="556">
                  <c:v>139</c:v>
                </c:pt>
                <c:pt idx="557">
                  <c:v>139.25</c:v>
                </c:pt>
                <c:pt idx="558">
                  <c:v>139.5</c:v>
                </c:pt>
                <c:pt idx="559">
                  <c:v>139.75</c:v>
                </c:pt>
                <c:pt idx="560">
                  <c:v>140</c:v>
                </c:pt>
                <c:pt idx="561">
                  <c:v>140.25</c:v>
                </c:pt>
                <c:pt idx="562">
                  <c:v>140.5</c:v>
                </c:pt>
                <c:pt idx="563">
                  <c:v>140.75</c:v>
                </c:pt>
                <c:pt idx="564">
                  <c:v>141</c:v>
                </c:pt>
                <c:pt idx="565">
                  <c:v>141.25</c:v>
                </c:pt>
                <c:pt idx="566">
                  <c:v>141.5</c:v>
                </c:pt>
                <c:pt idx="567">
                  <c:v>141.75</c:v>
                </c:pt>
                <c:pt idx="568">
                  <c:v>142</c:v>
                </c:pt>
                <c:pt idx="569">
                  <c:v>142.25</c:v>
                </c:pt>
                <c:pt idx="570">
                  <c:v>142.5</c:v>
                </c:pt>
                <c:pt idx="571">
                  <c:v>142.75</c:v>
                </c:pt>
                <c:pt idx="572">
                  <c:v>143</c:v>
                </c:pt>
                <c:pt idx="573">
                  <c:v>143.25</c:v>
                </c:pt>
                <c:pt idx="574">
                  <c:v>143.5</c:v>
                </c:pt>
                <c:pt idx="575">
                  <c:v>143.75</c:v>
                </c:pt>
                <c:pt idx="576">
                  <c:v>144</c:v>
                </c:pt>
                <c:pt idx="577">
                  <c:v>144.25</c:v>
                </c:pt>
                <c:pt idx="578">
                  <c:v>144.5</c:v>
                </c:pt>
                <c:pt idx="579">
                  <c:v>144.75</c:v>
                </c:pt>
                <c:pt idx="580">
                  <c:v>145</c:v>
                </c:pt>
                <c:pt idx="581">
                  <c:v>145.25</c:v>
                </c:pt>
                <c:pt idx="582">
                  <c:v>145.5</c:v>
                </c:pt>
                <c:pt idx="583">
                  <c:v>145.75</c:v>
                </c:pt>
                <c:pt idx="584">
                  <c:v>146</c:v>
                </c:pt>
                <c:pt idx="585">
                  <c:v>146.25</c:v>
                </c:pt>
                <c:pt idx="586">
                  <c:v>146.5</c:v>
                </c:pt>
                <c:pt idx="587">
                  <c:v>146.75</c:v>
                </c:pt>
                <c:pt idx="588">
                  <c:v>147</c:v>
                </c:pt>
                <c:pt idx="589">
                  <c:v>147.25</c:v>
                </c:pt>
                <c:pt idx="590">
                  <c:v>147.5</c:v>
                </c:pt>
                <c:pt idx="591">
                  <c:v>147.75</c:v>
                </c:pt>
                <c:pt idx="592">
                  <c:v>148</c:v>
                </c:pt>
                <c:pt idx="593">
                  <c:v>148.25</c:v>
                </c:pt>
                <c:pt idx="594">
                  <c:v>148.5</c:v>
                </c:pt>
                <c:pt idx="595">
                  <c:v>148.75</c:v>
                </c:pt>
                <c:pt idx="596">
                  <c:v>149</c:v>
                </c:pt>
                <c:pt idx="597">
                  <c:v>149.25</c:v>
                </c:pt>
                <c:pt idx="598">
                  <c:v>149.5</c:v>
                </c:pt>
                <c:pt idx="599">
                  <c:v>149.75</c:v>
                </c:pt>
                <c:pt idx="600">
                  <c:v>150</c:v>
                </c:pt>
                <c:pt idx="601">
                  <c:v>150.25</c:v>
                </c:pt>
                <c:pt idx="602">
                  <c:v>150.5</c:v>
                </c:pt>
                <c:pt idx="603">
                  <c:v>150.75</c:v>
                </c:pt>
                <c:pt idx="604">
                  <c:v>151</c:v>
                </c:pt>
                <c:pt idx="605">
                  <c:v>151.25</c:v>
                </c:pt>
                <c:pt idx="606">
                  <c:v>151.5</c:v>
                </c:pt>
                <c:pt idx="607">
                  <c:v>151.75</c:v>
                </c:pt>
                <c:pt idx="608">
                  <c:v>152</c:v>
                </c:pt>
                <c:pt idx="609">
                  <c:v>152.25</c:v>
                </c:pt>
                <c:pt idx="610">
                  <c:v>152.5</c:v>
                </c:pt>
                <c:pt idx="611">
                  <c:v>152.75</c:v>
                </c:pt>
                <c:pt idx="612">
                  <c:v>153</c:v>
                </c:pt>
                <c:pt idx="613">
                  <c:v>153.25</c:v>
                </c:pt>
                <c:pt idx="614">
                  <c:v>153.5</c:v>
                </c:pt>
                <c:pt idx="615">
                  <c:v>153.75</c:v>
                </c:pt>
                <c:pt idx="616">
                  <c:v>154</c:v>
                </c:pt>
                <c:pt idx="617">
                  <c:v>154.25</c:v>
                </c:pt>
                <c:pt idx="618">
                  <c:v>154.5</c:v>
                </c:pt>
                <c:pt idx="619">
                  <c:v>154.75</c:v>
                </c:pt>
                <c:pt idx="620">
                  <c:v>155</c:v>
                </c:pt>
                <c:pt idx="621">
                  <c:v>155.25</c:v>
                </c:pt>
                <c:pt idx="622">
                  <c:v>155.5</c:v>
                </c:pt>
                <c:pt idx="623">
                  <c:v>155.75</c:v>
                </c:pt>
                <c:pt idx="624">
                  <c:v>156</c:v>
                </c:pt>
                <c:pt idx="625">
                  <c:v>156.25</c:v>
                </c:pt>
                <c:pt idx="626">
                  <c:v>156.5</c:v>
                </c:pt>
                <c:pt idx="627">
                  <c:v>156.75</c:v>
                </c:pt>
                <c:pt idx="628">
                  <c:v>157</c:v>
                </c:pt>
                <c:pt idx="629">
                  <c:v>157.25</c:v>
                </c:pt>
                <c:pt idx="630">
                  <c:v>157.5</c:v>
                </c:pt>
                <c:pt idx="631">
                  <c:v>157.75</c:v>
                </c:pt>
                <c:pt idx="632">
                  <c:v>158</c:v>
                </c:pt>
                <c:pt idx="633">
                  <c:v>158.25</c:v>
                </c:pt>
                <c:pt idx="634">
                  <c:v>158.5</c:v>
                </c:pt>
                <c:pt idx="635">
                  <c:v>158.75</c:v>
                </c:pt>
                <c:pt idx="636">
                  <c:v>159</c:v>
                </c:pt>
                <c:pt idx="637">
                  <c:v>159.25</c:v>
                </c:pt>
                <c:pt idx="638">
                  <c:v>159.5</c:v>
                </c:pt>
                <c:pt idx="639">
                  <c:v>159.75</c:v>
                </c:pt>
                <c:pt idx="640">
                  <c:v>160</c:v>
                </c:pt>
                <c:pt idx="641">
                  <c:v>160.25</c:v>
                </c:pt>
                <c:pt idx="642">
                  <c:v>160.5</c:v>
                </c:pt>
                <c:pt idx="643">
                  <c:v>160.75</c:v>
                </c:pt>
                <c:pt idx="644">
                  <c:v>161</c:v>
                </c:pt>
                <c:pt idx="645">
                  <c:v>161.25</c:v>
                </c:pt>
                <c:pt idx="646">
                  <c:v>161.5</c:v>
                </c:pt>
                <c:pt idx="647">
                  <c:v>161.75</c:v>
                </c:pt>
                <c:pt idx="648">
                  <c:v>162</c:v>
                </c:pt>
                <c:pt idx="649">
                  <c:v>162.25</c:v>
                </c:pt>
                <c:pt idx="650">
                  <c:v>162.5</c:v>
                </c:pt>
                <c:pt idx="651">
                  <c:v>162.75</c:v>
                </c:pt>
                <c:pt idx="652">
                  <c:v>163</c:v>
                </c:pt>
                <c:pt idx="653">
                  <c:v>163.25</c:v>
                </c:pt>
                <c:pt idx="654">
                  <c:v>163.5</c:v>
                </c:pt>
                <c:pt idx="655">
                  <c:v>163.75</c:v>
                </c:pt>
                <c:pt idx="656">
                  <c:v>164</c:v>
                </c:pt>
                <c:pt idx="657">
                  <c:v>164.25</c:v>
                </c:pt>
                <c:pt idx="658">
                  <c:v>164.5</c:v>
                </c:pt>
                <c:pt idx="659">
                  <c:v>164.75</c:v>
                </c:pt>
                <c:pt idx="660">
                  <c:v>165</c:v>
                </c:pt>
                <c:pt idx="661">
                  <c:v>165.25</c:v>
                </c:pt>
                <c:pt idx="662">
                  <c:v>165.5</c:v>
                </c:pt>
                <c:pt idx="663">
                  <c:v>165.75</c:v>
                </c:pt>
                <c:pt idx="664">
                  <c:v>166</c:v>
                </c:pt>
                <c:pt idx="665">
                  <c:v>166.25</c:v>
                </c:pt>
                <c:pt idx="666">
                  <c:v>166.5</c:v>
                </c:pt>
                <c:pt idx="667">
                  <c:v>166.75</c:v>
                </c:pt>
                <c:pt idx="668">
                  <c:v>167</c:v>
                </c:pt>
                <c:pt idx="669">
                  <c:v>167.25</c:v>
                </c:pt>
                <c:pt idx="670">
                  <c:v>167.5</c:v>
                </c:pt>
                <c:pt idx="671">
                  <c:v>167.75</c:v>
                </c:pt>
                <c:pt idx="672">
                  <c:v>168</c:v>
                </c:pt>
                <c:pt idx="673">
                  <c:v>168.25</c:v>
                </c:pt>
                <c:pt idx="674">
                  <c:v>168.5</c:v>
                </c:pt>
                <c:pt idx="675">
                  <c:v>168.75</c:v>
                </c:pt>
                <c:pt idx="676">
                  <c:v>169</c:v>
                </c:pt>
                <c:pt idx="677">
                  <c:v>169.25</c:v>
                </c:pt>
                <c:pt idx="678">
                  <c:v>169.5</c:v>
                </c:pt>
                <c:pt idx="679">
                  <c:v>169.75</c:v>
                </c:pt>
                <c:pt idx="680">
                  <c:v>170</c:v>
                </c:pt>
                <c:pt idx="681">
                  <c:v>170.25</c:v>
                </c:pt>
                <c:pt idx="682">
                  <c:v>170.5</c:v>
                </c:pt>
                <c:pt idx="683">
                  <c:v>170.75</c:v>
                </c:pt>
                <c:pt idx="684">
                  <c:v>171</c:v>
                </c:pt>
                <c:pt idx="685">
                  <c:v>171.25</c:v>
                </c:pt>
                <c:pt idx="686">
                  <c:v>171.5</c:v>
                </c:pt>
                <c:pt idx="687">
                  <c:v>171.75</c:v>
                </c:pt>
                <c:pt idx="688">
                  <c:v>172</c:v>
                </c:pt>
                <c:pt idx="689">
                  <c:v>172.25</c:v>
                </c:pt>
                <c:pt idx="690">
                  <c:v>172.5</c:v>
                </c:pt>
                <c:pt idx="691">
                  <c:v>172.75</c:v>
                </c:pt>
                <c:pt idx="692">
                  <c:v>173</c:v>
                </c:pt>
                <c:pt idx="693">
                  <c:v>173.25</c:v>
                </c:pt>
                <c:pt idx="694">
                  <c:v>173.5</c:v>
                </c:pt>
                <c:pt idx="695">
                  <c:v>173.75</c:v>
                </c:pt>
                <c:pt idx="696">
                  <c:v>174</c:v>
                </c:pt>
                <c:pt idx="697">
                  <c:v>174.25</c:v>
                </c:pt>
                <c:pt idx="698">
                  <c:v>174.5</c:v>
                </c:pt>
                <c:pt idx="699">
                  <c:v>174.75</c:v>
                </c:pt>
                <c:pt idx="700">
                  <c:v>175</c:v>
                </c:pt>
                <c:pt idx="701">
                  <c:v>175.25</c:v>
                </c:pt>
                <c:pt idx="702">
                  <c:v>175.5</c:v>
                </c:pt>
                <c:pt idx="703">
                  <c:v>175.75</c:v>
                </c:pt>
                <c:pt idx="704">
                  <c:v>176</c:v>
                </c:pt>
                <c:pt idx="705">
                  <c:v>176.25</c:v>
                </c:pt>
                <c:pt idx="706">
                  <c:v>176.5</c:v>
                </c:pt>
                <c:pt idx="707">
                  <c:v>176.75</c:v>
                </c:pt>
                <c:pt idx="708">
                  <c:v>177</c:v>
                </c:pt>
                <c:pt idx="709">
                  <c:v>177.25</c:v>
                </c:pt>
                <c:pt idx="710">
                  <c:v>177.5</c:v>
                </c:pt>
                <c:pt idx="711">
                  <c:v>177.75</c:v>
                </c:pt>
                <c:pt idx="712">
                  <c:v>178</c:v>
                </c:pt>
                <c:pt idx="713">
                  <c:v>178.25</c:v>
                </c:pt>
                <c:pt idx="714">
                  <c:v>178.5</c:v>
                </c:pt>
                <c:pt idx="715">
                  <c:v>178.75</c:v>
                </c:pt>
                <c:pt idx="716">
                  <c:v>179</c:v>
                </c:pt>
                <c:pt idx="717">
                  <c:v>179.25</c:v>
                </c:pt>
                <c:pt idx="718">
                  <c:v>179.5</c:v>
                </c:pt>
                <c:pt idx="719">
                  <c:v>179.75</c:v>
                </c:pt>
                <c:pt idx="720">
                  <c:v>180</c:v>
                </c:pt>
                <c:pt idx="721">
                  <c:v>180.25</c:v>
                </c:pt>
                <c:pt idx="722">
                  <c:v>180.5</c:v>
                </c:pt>
                <c:pt idx="723">
                  <c:v>180.75</c:v>
                </c:pt>
                <c:pt idx="724">
                  <c:v>181</c:v>
                </c:pt>
                <c:pt idx="725">
                  <c:v>181.25</c:v>
                </c:pt>
                <c:pt idx="726">
                  <c:v>181.5</c:v>
                </c:pt>
                <c:pt idx="727">
                  <c:v>181.75</c:v>
                </c:pt>
                <c:pt idx="728">
                  <c:v>182</c:v>
                </c:pt>
                <c:pt idx="729">
                  <c:v>182.25</c:v>
                </c:pt>
                <c:pt idx="730">
                  <c:v>182.5</c:v>
                </c:pt>
                <c:pt idx="731">
                  <c:v>182.75</c:v>
                </c:pt>
                <c:pt idx="732">
                  <c:v>183</c:v>
                </c:pt>
                <c:pt idx="733">
                  <c:v>183.25</c:v>
                </c:pt>
                <c:pt idx="734">
                  <c:v>183.5</c:v>
                </c:pt>
                <c:pt idx="735">
                  <c:v>183.75</c:v>
                </c:pt>
                <c:pt idx="736">
                  <c:v>184</c:v>
                </c:pt>
                <c:pt idx="737">
                  <c:v>184.25</c:v>
                </c:pt>
                <c:pt idx="738">
                  <c:v>184.5</c:v>
                </c:pt>
                <c:pt idx="739">
                  <c:v>184.75</c:v>
                </c:pt>
                <c:pt idx="740">
                  <c:v>185</c:v>
                </c:pt>
                <c:pt idx="741">
                  <c:v>185.25</c:v>
                </c:pt>
                <c:pt idx="742">
                  <c:v>185.5</c:v>
                </c:pt>
                <c:pt idx="743">
                  <c:v>185.75</c:v>
                </c:pt>
                <c:pt idx="744">
                  <c:v>186</c:v>
                </c:pt>
                <c:pt idx="745">
                  <c:v>186.25</c:v>
                </c:pt>
                <c:pt idx="746">
                  <c:v>186.5</c:v>
                </c:pt>
                <c:pt idx="747">
                  <c:v>186.75</c:v>
                </c:pt>
                <c:pt idx="748">
                  <c:v>187</c:v>
                </c:pt>
                <c:pt idx="749">
                  <c:v>187.25</c:v>
                </c:pt>
                <c:pt idx="750">
                  <c:v>187.5</c:v>
                </c:pt>
                <c:pt idx="751">
                  <c:v>187.75</c:v>
                </c:pt>
                <c:pt idx="752">
                  <c:v>188</c:v>
                </c:pt>
                <c:pt idx="753">
                  <c:v>188.25</c:v>
                </c:pt>
                <c:pt idx="754">
                  <c:v>188.5</c:v>
                </c:pt>
                <c:pt idx="755">
                  <c:v>188.75</c:v>
                </c:pt>
                <c:pt idx="756">
                  <c:v>189</c:v>
                </c:pt>
                <c:pt idx="757">
                  <c:v>189.25</c:v>
                </c:pt>
                <c:pt idx="758">
                  <c:v>189.5</c:v>
                </c:pt>
                <c:pt idx="759">
                  <c:v>189.75</c:v>
                </c:pt>
                <c:pt idx="760">
                  <c:v>190</c:v>
                </c:pt>
                <c:pt idx="761">
                  <c:v>190.25</c:v>
                </c:pt>
                <c:pt idx="762">
                  <c:v>190.5</c:v>
                </c:pt>
                <c:pt idx="763">
                  <c:v>190.75</c:v>
                </c:pt>
                <c:pt idx="764">
                  <c:v>191</c:v>
                </c:pt>
                <c:pt idx="765">
                  <c:v>191.25</c:v>
                </c:pt>
                <c:pt idx="766">
                  <c:v>191.5</c:v>
                </c:pt>
                <c:pt idx="767">
                  <c:v>191.75</c:v>
                </c:pt>
                <c:pt idx="768">
                  <c:v>192</c:v>
                </c:pt>
                <c:pt idx="769">
                  <c:v>192.25</c:v>
                </c:pt>
                <c:pt idx="770">
                  <c:v>192.5</c:v>
                </c:pt>
                <c:pt idx="771">
                  <c:v>192.75</c:v>
                </c:pt>
                <c:pt idx="772">
                  <c:v>193</c:v>
                </c:pt>
                <c:pt idx="773">
                  <c:v>193.25</c:v>
                </c:pt>
                <c:pt idx="774">
                  <c:v>193.5</c:v>
                </c:pt>
                <c:pt idx="775">
                  <c:v>193.75</c:v>
                </c:pt>
                <c:pt idx="776">
                  <c:v>194</c:v>
                </c:pt>
                <c:pt idx="777">
                  <c:v>194.25</c:v>
                </c:pt>
                <c:pt idx="778">
                  <c:v>194.5</c:v>
                </c:pt>
                <c:pt idx="779">
                  <c:v>194.75</c:v>
                </c:pt>
                <c:pt idx="780">
                  <c:v>195</c:v>
                </c:pt>
                <c:pt idx="781">
                  <c:v>195.25</c:v>
                </c:pt>
                <c:pt idx="782">
                  <c:v>195.5</c:v>
                </c:pt>
                <c:pt idx="783">
                  <c:v>195.75</c:v>
                </c:pt>
                <c:pt idx="784">
                  <c:v>196</c:v>
                </c:pt>
                <c:pt idx="785">
                  <c:v>196.25</c:v>
                </c:pt>
                <c:pt idx="786">
                  <c:v>196.5</c:v>
                </c:pt>
                <c:pt idx="787">
                  <c:v>196.75</c:v>
                </c:pt>
                <c:pt idx="788">
                  <c:v>197</c:v>
                </c:pt>
                <c:pt idx="789">
                  <c:v>197.25</c:v>
                </c:pt>
                <c:pt idx="790">
                  <c:v>197.5</c:v>
                </c:pt>
                <c:pt idx="791">
                  <c:v>197.75</c:v>
                </c:pt>
                <c:pt idx="792">
                  <c:v>198</c:v>
                </c:pt>
                <c:pt idx="793">
                  <c:v>198.25</c:v>
                </c:pt>
                <c:pt idx="794">
                  <c:v>198.5</c:v>
                </c:pt>
                <c:pt idx="795">
                  <c:v>198.75</c:v>
                </c:pt>
                <c:pt idx="796">
                  <c:v>199</c:v>
                </c:pt>
                <c:pt idx="797">
                  <c:v>199.25</c:v>
                </c:pt>
                <c:pt idx="798">
                  <c:v>199.5</c:v>
                </c:pt>
                <c:pt idx="799">
                  <c:v>199.75</c:v>
                </c:pt>
                <c:pt idx="800">
                  <c:v>200</c:v>
                </c:pt>
              </c:numCache>
            </c:numRef>
          </c:xVal>
          <c:yVal>
            <c:numRef>
              <c:f>Summary!$L$4:$L$804</c:f>
              <c:numCache>
                <c:formatCode>0.00</c:formatCode>
                <c:ptCount val="801"/>
                <c:pt idx="0">
                  <c:v>-0.36292719678997498</c:v>
                </c:pt>
                <c:pt idx="1">
                  <c:v>-0.34405459254494541</c:v>
                </c:pt>
                <c:pt idx="2">
                  <c:v>-0.32511954407040822</c:v>
                </c:pt>
                <c:pt idx="3">
                  <c:v>-0.30612647852784702</c:v>
                </c:pt>
                <c:pt idx="4">
                  <c:v>-0.28707983248880931</c:v>
                </c:pt>
                <c:pt idx="5">
                  <c:v>-0.2679840509023057</c:v>
                </c:pt>
                <c:pt idx="6">
                  <c:v>-0.24884358606120394</c:v>
                </c:pt>
                <c:pt idx="7">
                  <c:v>-0.22966289656782468</c:v>
                </c:pt>
                <c:pt idx="8">
                  <c:v>-0.21044644629906584</c:v>
                </c:pt>
                <c:pt idx="9">
                  <c:v>-0.19119870337120037</c:v>
                </c:pt>
                <c:pt idx="10">
                  <c:v>-0.17192413910462578</c:v>
                </c:pt>
                <c:pt idx="11">
                  <c:v>-0.15262722698883691</c:v>
                </c:pt>
                <c:pt idx="12">
                  <c:v>-0.13331244164780243</c:v>
                </c:pt>
                <c:pt idx="13">
                  <c:v>-0.11398425780600707</c:v>
                </c:pt>
                <c:pt idx="14">
                  <c:v>-9.4647149255429053E-2</c:v>
                </c:pt>
                <c:pt idx="15">
                  <c:v>-7.5305587823628617E-2</c:v>
                </c:pt>
                <c:pt idx="16">
                  <c:v>-5.5964042343237708E-2</c:v>
                </c:pt>
                <c:pt idx="17">
                  <c:v>-3.6626977623073653E-2</c:v>
                </c:pt>
                <c:pt idx="18">
                  <c:v>-1.7298853421083393E-2</c:v>
                </c:pt>
                <c:pt idx="19">
                  <c:v>2.015876580597098E-3</c:v>
                </c:pt>
                <c:pt idx="20">
                  <c:v>2.1312765798277677E-2</c:v>
                </c:pt>
                <c:pt idx="21">
                  <c:v>4.0587375766778067E-2</c:v>
                </c:pt>
                <c:pt idx="22">
                  <c:v>5.9835277156703004E-2</c:v>
                </c:pt>
                <c:pt idx="23">
                  <c:v>7.9052050788699368E-2</c:v>
                </c:pt>
                <c:pt idx="24">
                  <c:v>9.8233288644452799E-2</c:v>
                </c:pt>
                <c:pt idx="25">
                  <c:v>0.11737459487419599</c:v>
                </c:pt>
                <c:pt idx="26">
                  <c:v>0.13647158680050353</c:v>
                </c:pt>
                <c:pt idx="27">
                  <c:v>0.15551989591815074</c:v>
                </c:pt>
                <c:pt idx="28">
                  <c:v>0.17451516888978924</c:v>
                </c:pt>
                <c:pt idx="29">
                  <c:v>0.19345306853723399</c:v>
                </c:pt>
                <c:pt idx="30">
                  <c:v>0.21232927482812114</c:v>
                </c:pt>
                <c:pt idx="31">
                  <c:v>0.23113948585772937</c:v>
                </c:pt>
                <c:pt idx="32">
                  <c:v>0.24987941882572784</c:v>
                </c:pt>
                <c:pt idx="33">
                  <c:v>0.26854481100763561</c:v>
                </c:pt>
                <c:pt idx="34">
                  <c:v>0.28713142072077025</c:v>
                </c:pt>
                <c:pt idx="35">
                  <c:v>0.30563502828447797</c:v>
                </c:pt>
                <c:pt idx="36">
                  <c:v>0.32405143697441652</c:v>
                </c:pt>
                <c:pt idx="37">
                  <c:v>0.34237647397067406</c:v>
                </c:pt>
                <c:pt idx="38">
                  <c:v>0.36060599129953053</c:v>
                </c:pt>
                <c:pt idx="39">
                  <c:v>0.3787358667686247</c:v>
                </c:pt>
                <c:pt idx="40">
                  <c:v>0.39676200489533375</c:v>
                </c:pt>
                <c:pt idx="41">
                  <c:v>0.41468033782814873</c:v>
                </c:pt>
                <c:pt idx="42">
                  <c:v>0.43248682626084944</c:v>
                </c:pt>
                <c:pt idx="43">
                  <c:v>0.45017746033926098</c:v>
                </c:pt>
                <c:pt idx="44">
                  <c:v>0.46774826056039265</c:v>
                </c:pt>
                <c:pt idx="45">
                  <c:v>0.48519527866377965</c:v>
                </c:pt>
                <c:pt idx="46">
                  <c:v>0.50251459851478408</c:v>
                </c:pt>
                <c:pt idx="47">
                  <c:v>0.51970233697970647</c:v>
                </c:pt>
                <c:pt idx="48">
                  <c:v>0.53675464479248713</c:v>
                </c:pt>
                <c:pt idx="49">
                  <c:v>0.5536677074127998</c:v>
                </c:pt>
                <c:pt idx="50">
                  <c:v>0.57043774587537532</c:v>
                </c:pt>
                <c:pt idx="51">
                  <c:v>0.58706101763032903</c:v>
                </c:pt>
                <c:pt idx="52">
                  <c:v>0.60353381737434697</c:v>
                </c:pt>
                <c:pt idx="53">
                  <c:v>0.61985247787250142</c:v>
                </c:pt>
                <c:pt idx="54">
                  <c:v>0.6360133707705633</c:v>
                </c:pt>
                <c:pt idx="55">
                  <c:v>0.65201290739760065</c:v>
                </c:pt>
                <c:pt idx="56">
                  <c:v>0.6678475395586787</c:v>
                </c:pt>
                <c:pt idx="57">
                  <c:v>0.68351376031753164</c:v>
                </c:pt>
                <c:pt idx="58">
                  <c:v>0.69900810476898556</c:v>
                </c:pt>
                <c:pt idx="59">
                  <c:v>0.71432715080098808</c:v>
                </c:pt>
                <c:pt idx="60">
                  <c:v>0.7294675198460796</c:v>
                </c:pt>
                <c:pt idx="61">
                  <c:v>0.74442587762212664</c:v>
                </c:pt>
                <c:pt idx="62">
                  <c:v>0.75919893486218726</c:v>
                </c:pt>
                <c:pt idx="63">
                  <c:v>0.77378344803329036</c:v>
                </c:pt>
                <c:pt idx="64">
                  <c:v>0.78817622004405319</c:v>
                </c:pt>
                <c:pt idx="65">
                  <c:v>0.80237410094091866</c:v>
                </c:pt>
                <c:pt idx="66">
                  <c:v>0.81637398859288357</c:v>
                </c:pt>
                <c:pt idx="67">
                  <c:v>0.83017282936457892</c:v>
                </c:pt>
                <c:pt idx="68">
                  <c:v>0.84376761877755468</c:v>
                </c:pt>
                <c:pt idx="69">
                  <c:v>0.85715540215960173</c:v>
                </c:pt>
                <c:pt idx="70">
                  <c:v>0.87033327528202453</c:v>
                </c:pt>
                <c:pt idx="71">
                  <c:v>0.88329838498465829</c:v>
                </c:pt>
                <c:pt idx="72">
                  <c:v>0.89604792978857484</c:v>
                </c:pt>
                <c:pt idx="73">
                  <c:v>0.90857916049626275</c:v>
                </c:pt>
                <c:pt idx="74">
                  <c:v>0.92088938077924332</c:v>
                </c:pt>
                <c:pt idx="75">
                  <c:v>0.93297594775293025</c:v>
                </c:pt>
                <c:pt idx="76">
                  <c:v>0.94483627253862079</c:v>
                </c:pt>
                <c:pt idx="77">
                  <c:v>0.95646782081255899</c:v>
                </c:pt>
                <c:pt idx="78">
                  <c:v>0.96786811334186273</c:v>
                </c:pt>
                <c:pt idx="79">
                  <c:v>0.9790347265072803</c:v>
                </c:pt>
                <c:pt idx="80">
                  <c:v>0.98996529281263523</c:v>
                </c:pt>
                <c:pt idx="81">
                  <c:v>1.000657501380845</c:v>
                </c:pt>
                <c:pt idx="82">
                  <c:v>1.0111090984364459</c:v>
                </c:pt>
                <c:pt idx="83">
                  <c:v>1.0213178877744702</c:v>
                </c:pt>
                <c:pt idx="84">
                  <c:v>1.0312817312156435</c:v>
                </c:pt>
                <c:pt idx="85">
                  <c:v>1.040998549047766</c:v>
                </c:pt>
                <c:pt idx="86">
                  <c:v>1.0504663204531899</c:v>
                </c:pt>
                <c:pt idx="87">
                  <c:v>1.0596830839223286</c:v>
                </c:pt>
                <c:pt idx="88">
                  <c:v>1.0686469376531087</c:v>
                </c:pt>
                <c:pt idx="89">
                  <c:v>1.0773560399362516</c:v>
                </c:pt>
                <c:pt idx="90">
                  <c:v>1.0858086095263864</c:v>
                </c:pt>
                <c:pt idx="91">
                  <c:v>1.0940029259988098</c:v>
                </c:pt>
                <c:pt idx="92">
                  <c:v>1.1019373300919455</c:v>
                </c:pt>
                <c:pt idx="93">
                  <c:v>1.1096102240353214</c:v>
                </c:pt>
                <c:pt idx="94">
                  <c:v>1.1170200718630996</c:v>
                </c:pt>
                <c:pt idx="95">
                  <c:v>1.1241653997130481</c:v>
                </c:pt>
                <c:pt idx="96">
                  <c:v>1.1310447961108698</c:v>
                </c:pt>
                <c:pt idx="97">
                  <c:v>1.1376569122399482</c:v>
                </c:pt>
                <c:pt idx="98">
                  <c:v>1.1440004621963058</c:v>
                </c:pt>
                <c:pt idx="99">
                  <c:v>1.1500742232288663</c:v>
                </c:pt>
                <c:pt idx="100">
                  <c:v>1.1558770359648993</c:v>
                </c:pt>
                <c:pt idx="101">
                  <c:v>1.1614078046206364</c:v>
                </c:pt>
                <c:pt idx="102">
                  <c:v>1.166665497197021</c:v>
                </c:pt>
                <c:pt idx="103">
                  <c:v>1.1716491456605513</c:v>
                </c:pt>
                <c:pt idx="104">
                  <c:v>1.1763578461092001</c:v>
                </c:pt>
                <c:pt idx="105">
                  <c:v>1.1807907589233895</c:v>
                </c:pt>
                <c:pt idx="106">
                  <c:v>1.1849471089019636</c:v>
                </c:pt>
                <c:pt idx="107">
                  <c:v>1.1888261853832027</c:v>
                </c:pt>
                <c:pt idx="108">
                  <c:v>1.1924273423508067</c:v>
                </c:pt>
                <c:pt idx="109">
                  <c:v>1.1957499985248579</c:v>
                </c:pt>
                <c:pt idx="110">
                  <c:v>1.1987936374377945</c:v>
                </c:pt>
                <c:pt idx="111">
                  <c:v>1.2015578074952973</c:v>
                </c:pt>
                <c:pt idx="112">
                  <c:v>1.2040421220222053</c:v>
                </c:pt>
                <c:pt idx="113">
                  <c:v>1.2062462592933425</c:v>
                </c:pt>
                <c:pt idx="114">
                  <c:v>1.2081699625493818</c:v>
                </c:pt>
                <c:pt idx="115">
                  <c:v>1.2098130399976756</c:v>
                </c:pt>
                <c:pt idx="116">
                  <c:v>1.2111753647980534</c:v>
                </c:pt>
                <c:pt idx="117">
                  <c:v>1.2122568750337157</c:v>
                </c:pt>
                <c:pt idx="118">
                  <c:v>1.2130575736670854</c:v>
                </c:pt>
                <c:pt idx="119">
                  <c:v>1.2135775284807757</c:v>
                </c:pt>
                <c:pt idx="120">
                  <c:v>1.2138168720036291</c:v>
                </c:pt>
                <c:pt idx="121">
                  <c:v>1.2137758014218767</c:v>
                </c:pt>
                <c:pt idx="122">
                  <c:v>1.2134545784754578</c:v>
                </c:pt>
                <c:pt idx="123">
                  <c:v>1.2128535293395226</c:v>
                </c:pt>
                <c:pt idx="124">
                  <c:v>1.211973044491172</c:v>
                </c:pt>
                <c:pt idx="125">
                  <c:v>1.2108135785614855</c:v>
                </c:pt>
                <c:pt idx="126">
                  <c:v>1.209375650172841</c:v>
                </c:pt>
                <c:pt idx="127">
                  <c:v>1.2076598417616458</c:v>
                </c:pt>
                <c:pt idx="128">
                  <c:v>1.205666799386474</c:v>
                </c:pt>
                <c:pt idx="129">
                  <c:v>1.2033972325216833</c:v>
                </c:pt>
                <c:pt idx="130">
                  <c:v>1.2008519138366214</c:v>
                </c:pt>
                <c:pt idx="131">
                  <c:v>1.1980316789603762</c:v>
                </c:pt>
                <c:pt idx="132">
                  <c:v>1.1949374262322756</c:v>
                </c:pt>
                <c:pt idx="133">
                  <c:v>1.1915701164380605</c:v>
                </c:pt>
                <c:pt idx="134">
                  <c:v>1.1879307725319497</c:v>
                </c:pt>
                <c:pt idx="135">
                  <c:v>1.1840204793445741</c:v>
                </c:pt>
                <c:pt idx="136">
                  <c:v>1.1798403832768589</c:v>
                </c:pt>
                <c:pt idx="137">
                  <c:v>1.1753916919800409</c:v>
                </c:pt>
                <c:pt idx="138">
                  <c:v>1.1706756740217554</c:v>
                </c:pt>
                <c:pt idx="139">
                  <c:v>1.1656936585384301</c:v>
                </c:pt>
                <c:pt idx="140">
                  <c:v>1.1604470348739446</c:v>
                </c:pt>
                <c:pt idx="141">
                  <c:v>1.1549372522047809</c:v>
                </c:pt>
                <c:pt idx="142">
                  <c:v>1.1491658191516543</c:v>
                </c:pt>
                <c:pt idx="143">
                  <c:v>1.1431343033777863</c:v>
                </c:pt>
                <c:pt idx="144">
                  <c:v>1.1368443311739118</c:v>
                </c:pt>
                <c:pt idx="145">
                  <c:v>1.1302975870301268</c:v>
                </c:pt>
                <c:pt idx="146">
                  <c:v>1.1234958131946735</c:v>
                </c:pt>
                <c:pt idx="147">
                  <c:v>1.1164408092198079</c:v>
                </c:pt>
                <c:pt idx="148">
                  <c:v>1.1091344314948357</c:v>
                </c:pt>
                <c:pt idx="149">
                  <c:v>1.1015785927664405</c:v>
                </c:pt>
                <c:pt idx="150">
                  <c:v>1.0937752616464733</c:v>
                </c:pt>
                <c:pt idx="151">
                  <c:v>1.0857264621072238</c:v>
                </c:pt>
                <c:pt idx="152">
                  <c:v>1.0774342729644346</c:v>
                </c:pt>
                <c:pt idx="153">
                  <c:v>1.0689008273480625</c:v>
                </c:pt>
                <c:pt idx="154">
                  <c:v>1.0601283121610228</c:v>
                </c:pt>
                <c:pt idx="155">
                  <c:v>1.0511189675259711</c:v>
                </c:pt>
                <c:pt idx="156">
                  <c:v>1.0418750862203283</c:v>
                </c:pt>
                <c:pt idx="157">
                  <c:v>1.0323990130996503</c:v>
                </c:pt>
                <c:pt idx="158">
                  <c:v>1.0226931445094651</c:v>
                </c:pt>
                <c:pt idx="159">
                  <c:v>1.0127599276858108</c:v>
                </c:pt>
                <c:pt idx="160">
                  <c:v>1.0026018601444979</c:v>
                </c:pt>
                <c:pt idx="161">
                  <c:v>0.99222148905937213</c:v>
                </c:pt>
                <c:pt idx="162">
                  <c:v>0.98162141062964769</c:v>
                </c:pt>
                <c:pt idx="163">
                  <c:v>0.97080426943647979</c:v>
                </c:pt>
                <c:pt idx="164">
                  <c:v>0.95977275778898652</c:v>
                </c:pt>
                <c:pt idx="165">
                  <c:v>0.94852961505979527</c:v>
                </c:pt>
                <c:pt idx="166">
                  <c:v>0.93707762701035402</c:v>
                </c:pt>
                <c:pt idx="167">
                  <c:v>0.92541962510613618</c:v>
                </c:pt>
                <c:pt idx="168">
                  <c:v>0.91355848582189947</c:v>
                </c:pt>
                <c:pt idx="169">
                  <c:v>0.90149712993718278</c:v>
                </c:pt>
                <c:pt idx="170">
                  <c:v>0.8892385218222385</c:v>
                </c:pt>
                <c:pt idx="171">
                  <c:v>0.8767856687144866</c:v>
                </c:pt>
                <c:pt idx="172">
                  <c:v>0.86414161998578831</c:v>
                </c:pt>
                <c:pt idx="173">
                  <c:v>0.85130946640059424</c:v>
                </c:pt>
                <c:pt idx="174">
                  <c:v>0.83829233936525616</c:v>
                </c:pt>
                <c:pt idx="175">
                  <c:v>0.8250934101685905</c:v>
                </c:pt>
                <c:pt idx="176">
                  <c:v>0.81171588921394466</c:v>
                </c:pt>
                <c:pt idx="177">
                  <c:v>0.79816302524292571</c:v>
                </c:pt>
                <c:pt idx="178">
                  <c:v>0.78443810455094631</c:v>
                </c:pt>
                <c:pt idx="179">
                  <c:v>0.77054445019485662</c:v>
                </c:pt>
                <c:pt idx="180">
                  <c:v>0.75648542119274698</c:v>
                </c:pt>
                <c:pt idx="181">
                  <c:v>0.74226441171622071</c:v>
                </c:pt>
                <c:pt idx="182">
                  <c:v>0.72788485027524708</c:v>
                </c:pt>
                <c:pt idx="183">
                  <c:v>0.71335019889582707</c:v>
                </c:pt>
                <c:pt idx="184">
                  <c:v>0.69866395229067457</c:v>
                </c:pt>
                <c:pt idx="185">
                  <c:v>0.6838296370230772</c:v>
                </c:pt>
                <c:pt idx="186">
                  <c:v>0.6688508106641744</c:v>
                </c:pt>
                <c:pt idx="187">
                  <c:v>0.65373106094382516</c:v>
                </c:pt>
                <c:pt idx="188">
                  <c:v>0.63847400489528727</c:v>
                </c:pt>
                <c:pt idx="189">
                  <c:v>0.62308328799389345</c:v>
                </c:pt>
                <c:pt idx="190">
                  <c:v>0.60756258328993828</c:v>
                </c:pt>
                <c:pt idx="191">
                  <c:v>0.5919155905359812</c:v>
                </c:pt>
                <c:pt idx="192">
                  <c:v>0.57614603530877906</c:v>
                </c:pt>
                <c:pt idx="193">
                  <c:v>0.56025766812601985</c:v>
                </c:pt>
                <c:pt idx="194">
                  <c:v>0.54425426355813356</c:v>
                </c:pt>
                <c:pt idx="195">
                  <c:v>0.52813961933531184</c:v>
                </c:pt>
                <c:pt idx="196">
                  <c:v>0.5119175554500095</c:v>
                </c:pt>
                <c:pt idx="197">
                  <c:v>0.49559191325511209</c:v>
                </c:pt>
                <c:pt idx="198">
                  <c:v>0.47916655455796198</c:v>
                </c:pt>
                <c:pt idx="199">
                  <c:v>0.46264536071051188</c:v>
                </c:pt>
                <c:pt idx="200">
                  <c:v>0.44603223169574813</c:v>
                </c:pt>
                <c:pt idx="201">
                  <c:v>0.42933108521067398</c:v>
                </c:pt>
                <c:pt idx="202">
                  <c:v>0.41254585574599201</c:v>
                </c:pt>
                <c:pt idx="203">
                  <c:v>0.39568049366276625</c:v>
                </c:pt>
                <c:pt idx="204">
                  <c:v>0.37873896426623332</c:v>
                </c:pt>
                <c:pt idx="205">
                  <c:v>0.36172524687700491</c:v>
                </c:pt>
                <c:pt idx="206">
                  <c:v>0.34464333389987178</c:v>
                </c:pt>
                <c:pt idx="207">
                  <c:v>0.32749722989041574</c:v>
                </c:pt>
                <c:pt idx="208">
                  <c:v>0.31029095061966538</c:v>
                </c:pt>
                <c:pt idx="209">
                  <c:v>0.29302852213701103</c:v>
                </c:pt>
                <c:pt idx="210">
                  <c:v>0.27571397983156665</c:v>
                </c:pt>
                <c:pt idx="211">
                  <c:v>0.25835136749224219</c:v>
                </c:pt>
                <c:pt idx="212">
                  <c:v>0.24094473636671587</c:v>
                </c:pt>
                <c:pt idx="213">
                  <c:v>0.22349814421952185</c:v>
                </c:pt>
                <c:pt idx="214">
                  <c:v>0.2060156543895002</c:v>
                </c:pt>
                <c:pt idx="215">
                  <c:v>0.18850133484678633</c:v>
                </c:pt>
                <c:pt idx="216">
                  <c:v>0.1709592572495966</c:v>
                </c:pt>
                <c:pt idx="217">
                  <c:v>0.15339349600100372</c:v>
                </c:pt>
                <c:pt idx="218">
                  <c:v>0.13580812730592351</c:v>
                </c:pt>
                <c:pt idx="219">
                  <c:v>0.11820722822854757</c:v>
                </c:pt>
                <c:pt idx="220">
                  <c:v>0.10059487575040427</c:v>
                </c:pt>
                <c:pt idx="221">
                  <c:v>8.2975145829306651E-2</c:v>
                </c:pt>
                <c:pt idx="222">
                  <c:v>6.5352112459375888E-2</c:v>
                </c:pt>
                <c:pt idx="223">
                  <c:v>4.7729846732355252E-2</c:v>
                </c:pt>
                <c:pt idx="224">
                  <c:v>3.0112415900453104E-2</c:v>
                </c:pt>
                <c:pt idx="225">
                  <c:v>1.2503882440904945E-2</c:v>
                </c:pt>
                <c:pt idx="226">
                  <c:v>-5.0916968775189808E-3</c:v>
                </c:pt>
                <c:pt idx="227">
                  <c:v>-2.2670271925844254E-2</c:v>
                </c:pt>
                <c:pt idx="228">
                  <c:v>-4.0227800143858961E-2</c:v>
                </c:pt>
                <c:pt idx="229">
                  <c:v>-5.7760247466487336E-2</c:v>
                </c:pt>
                <c:pt idx="230">
                  <c:v>-7.5263589247384299E-2</c:v>
                </c:pt>
                <c:pt idx="231">
                  <c:v>-9.2733811179507963E-2</c:v>
                </c:pt>
                <c:pt idx="232">
                  <c:v>-0.11016691021249159</c:v>
                </c:pt>
                <c:pt idx="233">
                  <c:v>-0.12755889546658317</c:v>
                </c:pt>
                <c:pt idx="234">
                  <c:v>-0.14490578914295149</c:v>
                </c:pt>
                <c:pt idx="235">
                  <c:v>-0.16220362743016681</c:v>
                </c:pt>
                <c:pt idx="236">
                  <c:v>-0.17944846140662074</c:v>
                </c:pt>
                <c:pt idx="237">
                  <c:v>-0.19663635793871048</c:v>
                </c:pt>
                <c:pt idx="238">
                  <c:v>-0.21376340057455945</c:v>
                </c:pt>
                <c:pt idx="239">
                  <c:v>-0.23082569043308965</c:v>
                </c:pt>
                <c:pt idx="240">
                  <c:v>-0.24781934708824238</c:v>
                </c:pt>
                <c:pt idx="241">
                  <c:v>-0.26474050944813055</c:v>
                </c:pt>
                <c:pt idx="242">
                  <c:v>-0.28158533662894758</c:v>
                </c:pt>
                <c:pt idx="243">
                  <c:v>-0.29835000882342522</c:v>
                </c:pt>
                <c:pt idx="244">
                  <c:v>-0.3150307281636362</c:v>
                </c:pt>
                <c:pt idx="245">
                  <c:v>-0.33162371957796255</c:v>
                </c:pt>
                <c:pt idx="246">
                  <c:v>-0.34812523164203446</c:v>
                </c:pt>
                <c:pt idx="247">
                  <c:v>-0.36453153742343192</c:v>
                </c:pt>
                <c:pt idx="248">
                  <c:v>-0.38083893531999236</c:v>
                </c:pt>
                <c:pt idx="249">
                  <c:v>-0.39704374989149205</c:v>
                </c:pt>
                <c:pt idx="250">
                  <c:v>-0.41314233268456668</c:v>
                </c:pt>
                <c:pt idx="251">
                  <c:v>-0.42913106305063753</c:v>
                </c:pt>
                <c:pt idx="252">
                  <c:v>-0.44500634895669444</c:v>
                </c:pt>
                <c:pt idx="253">
                  <c:v>-0.46076462778874738</c:v>
                </c:pt>
                <c:pt idx="254">
                  <c:v>-0.47640236714775286</c:v>
                </c:pt>
                <c:pt idx="255">
                  <c:v>-0.49191606563786161</c:v>
                </c:pt>
                <c:pt idx="256">
                  <c:v>-0.50730225364678505</c:v>
                </c:pt>
                <c:pt idx="257">
                  <c:v>-0.52255749411814101</c:v>
                </c:pt>
                <c:pt idx="258">
                  <c:v>-0.53767838331557627</c:v>
                </c:pt>
                <c:pt idx="259">
                  <c:v>-0.55266155157851449</c:v>
                </c:pt>
                <c:pt idx="260">
                  <c:v>-0.56750366406935893</c:v>
                </c:pt>
                <c:pt idx="261">
                  <c:v>-0.58220142151198351</c:v>
                </c:pt>
                <c:pt idx="262">
                  <c:v>-0.59675156092134429</c:v>
                </c:pt>
                <c:pt idx="263">
                  <c:v>-0.61115085632407373</c:v>
                </c:pt>
                <c:pt idx="264">
                  <c:v>-0.62539611946986806</c:v>
                </c:pt>
                <c:pt idx="265">
                  <c:v>-0.63948420053352528</c:v>
                </c:pt>
                <c:pt idx="266">
                  <c:v>-0.65341198880749207</c:v>
                </c:pt>
                <c:pt idx="267">
                  <c:v>-0.66717641338475664</c:v>
                </c:pt>
                <c:pt idx="268">
                  <c:v>-0.68077444383192587</c:v>
                </c:pt>
                <c:pt idx="269">
                  <c:v>-0.69420309085237486</c:v>
                </c:pt>
                <c:pt idx="270">
                  <c:v>-0.70745940693928411</c:v>
                </c:pt>
                <c:pt idx="271">
                  <c:v>-0.72054048701845907</c:v>
                </c:pt>
                <c:pt idx="272">
                  <c:v>-0.73344346908075875</c:v>
                </c:pt>
                <c:pt idx="273">
                  <c:v>-0.74616553480403169</c:v>
                </c:pt>
                <c:pt idx="274">
                  <c:v>-0.75870391016440086</c:v>
                </c:pt>
                <c:pt idx="275">
                  <c:v>-0.77105586603676701</c:v>
                </c:pt>
                <c:pt idx="276">
                  <c:v>-0.78321871878440885</c:v>
                </c:pt>
                <c:pt idx="277">
                  <c:v>-0.79518983083756489</c:v>
                </c:pt>
                <c:pt idx="278">
                  <c:v>-0.80696661126084712</c:v>
                </c:pt>
                <c:pt idx="279">
                  <c:v>-0.81854651630938036</c:v>
                </c:pt>
                <c:pt idx="280">
                  <c:v>-0.82992704997355449</c:v>
                </c:pt>
                <c:pt idx="281">
                  <c:v>-0.84110576451226216</c:v>
                </c:pt>
                <c:pt idx="282">
                  <c:v>-0.8520802609745175</c:v>
                </c:pt>
                <c:pt idx="283">
                  <c:v>-0.86284818970933586</c:v>
                </c:pt>
                <c:pt idx="284">
                  <c:v>-0.87340725086378534</c:v>
                </c:pt>
                <c:pt idx="285">
                  <c:v>-0.88375519486908982</c:v>
                </c:pt>
                <c:pt idx="286">
                  <c:v>-0.89388982291468033</c:v>
                </c:pt>
                <c:pt idx="287">
                  <c:v>-0.90380898741011562</c:v>
                </c:pt>
                <c:pt idx="288">
                  <c:v>-0.91351059243475308</c:v>
                </c:pt>
                <c:pt idx="289">
                  <c:v>-0.92299259417509094</c:v>
                </c:pt>
                <c:pt idx="290">
                  <c:v>-0.93225300134969302</c:v>
                </c:pt>
                <c:pt idx="291">
                  <c:v>-0.94128987562159572</c:v>
                </c:pt>
                <c:pt idx="292">
                  <c:v>-0.95010133199813085</c:v>
                </c:pt>
                <c:pt idx="293">
                  <c:v>-0.9586855392180702</c:v>
                </c:pt>
                <c:pt idx="294">
                  <c:v>-0.96704072012601772</c:v>
                </c:pt>
                <c:pt idx="295">
                  <c:v>-0.9751651520339788</c:v>
                </c:pt>
                <c:pt idx="296">
                  <c:v>-0.9830571670700281</c:v>
                </c:pt>
                <c:pt idx="297">
                  <c:v>-0.99071515251400899</c:v>
                </c:pt>
                <c:pt idx="298">
                  <c:v>-0.99813755112020319</c:v>
                </c:pt>
                <c:pt idx="299">
                  <c:v>-1.0053228614269065</c:v>
                </c:pt>
                <c:pt idx="300">
                  <c:v>-1.0122696380528331</c:v>
                </c:pt>
                <c:pt idx="301">
                  <c:v>-1.0189764919803308</c:v>
                </c:pt>
                <c:pt idx="302">
                  <c:v>-1.0254420908253148</c:v>
                </c:pt>
                <c:pt idx="303">
                  <c:v>-1.0316651590938877</c:v>
                </c:pt>
                <c:pt idx="304">
                  <c:v>-1.0376444784255985</c:v>
                </c:pt>
                <c:pt idx="305">
                  <c:v>-1.0433788878233001</c:v>
                </c:pt>
                <c:pt idx="306">
                  <c:v>-1.0488672838695372</c:v>
                </c:pt>
                <c:pt idx="307">
                  <c:v>-1.054108620929475</c:v>
                </c:pt>
                <c:pt idx="308">
                  <c:v>-1.0591019113402873</c:v>
                </c:pt>
                <c:pt idx="309">
                  <c:v>-1.0638462255869996</c:v>
                </c:pt>
                <c:pt idx="310">
                  <c:v>-1.0683406924647538</c:v>
                </c:pt>
                <c:pt idx="311">
                  <c:v>-1.0725844992274525</c:v>
                </c:pt>
                <c:pt idx="312">
                  <c:v>-1.0765768917227954</c:v>
                </c:pt>
                <c:pt idx="313">
                  <c:v>-1.0803171745136535</c:v>
                </c:pt>
                <c:pt idx="314">
                  <c:v>-1.0838047109857838</c:v>
                </c:pt>
                <c:pt idx="315">
                  <c:v>-1.0870389234418711</c:v>
                </c:pt>
                <c:pt idx="316">
                  <c:v>-1.0900192931818831</c:v>
                </c:pt>
                <c:pt idx="317">
                  <c:v>-1.0927453605697315</c:v>
                </c:pt>
                <c:pt idx="318">
                  <c:v>-1.0952167250862439</c:v>
                </c:pt>
                <c:pt idx="319">
                  <c:v>-1.097433045368436</c:v>
                </c:pt>
                <c:pt idx="320">
                  <c:v>-1.0993940392351031</c:v>
                </c:pt>
                <c:pt idx="321">
                  <c:v>-1.1010994836987056</c:v>
                </c:pt>
                <c:pt idx="322">
                  <c:v>-1.1025492149636067</c:v>
                </c:pt>
                <c:pt idx="323">
                  <c:v>-1.1037431284106276</c:v>
                </c:pt>
                <c:pt idx="324">
                  <c:v>-1.1046811785679658</c:v>
                </c:pt>
                <c:pt idx="325">
                  <c:v>-1.1053633790684798</c:v>
                </c:pt>
                <c:pt idx="326">
                  <c:v>-1.1057898025933763</c:v>
                </c:pt>
                <c:pt idx="327">
                  <c:v>-1.1059605808023096</c:v>
                </c:pt>
                <c:pt idx="328">
                  <c:v>-1.1058759042499329</c:v>
                </c:pt>
                <c:pt idx="329">
                  <c:v>-1.1055360222889299</c:v>
                </c:pt>
                <c:pt idx="330">
                  <c:v>-1.1049412429595575</c:v>
                </c:pt>
                <c:pt idx="331">
                  <c:v>-1.1040919328657484</c:v>
                </c:pt>
                <c:pt idx="332">
                  <c:v>-1.1029885170377887</c:v>
                </c:pt>
                <c:pt idx="333">
                  <c:v>-1.1016314787816548</c:v>
                </c:pt>
                <c:pt idx="334">
                  <c:v>-1.1000213595150163</c:v>
                </c:pt>
                <c:pt idx="335">
                  <c:v>-1.0981587585899792</c:v>
                </c:pt>
                <c:pt idx="336">
                  <c:v>-1.0960443331026131</c:v>
                </c:pt>
                <c:pt idx="337">
                  <c:v>-1.0936787976893185</c:v>
                </c:pt>
                <c:pt idx="338">
                  <c:v>-1.0910629243101</c:v>
                </c:pt>
                <c:pt idx="339">
                  <c:v>-1.0881975420187944</c:v>
                </c:pt>
                <c:pt idx="340">
                  <c:v>-1.0850835367203309</c:v>
                </c:pt>
                <c:pt idx="341">
                  <c:v>-1.0817218509150901</c:v>
                </c:pt>
                <c:pt idx="342">
                  <c:v>-1.0781134834304109</c:v>
                </c:pt>
                <c:pt idx="343">
                  <c:v>-1.0742594891393615</c:v>
                </c:pt>
                <c:pt idx="344">
                  <c:v>-1.0701609786668063</c:v>
                </c:pt>
                <c:pt idx="345">
                  <c:v>-1.0658191180828753</c:v>
                </c:pt>
                <c:pt idx="346">
                  <c:v>-1.0612351285839083</c:v>
                </c:pt>
                <c:pt idx="347">
                  <c:v>-1.0564102861609632</c:v>
                </c:pt>
                <c:pt idx="348">
                  <c:v>-1.0513459212559697</c:v>
                </c:pt>
                <c:pt idx="349">
                  <c:v>-1.0460434184056266</c:v>
                </c:pt>
                <c:pt idx="350">
                  <c:v>-1.040504215873127</c:v>
                </c:pt>
                <c:pt idx="351">
                  <c:v>-1.034729805267826</c:v>
                </c:pt>
                <c:pt idx="352">
                  <c:v>-1.0287217311529084</c:v>
                </c:pt>
                <c:pt idx="353">
                  <c:v>-1.0224815906412208</c:v>
                </c:pt>
                <c:pt idx="354">
                  <c:v>-1.0160110329793093</c:v>
                </c:pt>
                <c:pt idx="355">
                  <c:v>-1.0093117591198077</c:v>
                </c:pt>
                <c:pt idx="356">
                  <c:v>-1.0023855212822776</c:v>
                </c:pt>
                <c:pt idx="357">
                  <c:v>-0.99523412250259657</c:v>
                </c:pt>
                <c:pt idx="358">
                  <c:v>-0.98785941617103723</c:v>
                </c:pt>
                <c:pt idx="359">
                  <c:v>-0.98026330555912422</c:v>
                </c:pt>
                <c:pt idx="360">
                  <c:v>-0.97244774333541395</c:v>
                </c:pt>
                <c:pt idx="361">
                  <c:v>-0.96441473107029596</c:v>
                </c:pt>
                <c:pt idx="362">
                  <c:v>-0.95616631872995717</c:v>
                </c:pt>
                <c:pt idx="363">
                  <c:v>-0.94770460415963287</c:v>
                </c:pt>
                <c:pt idx="364">
                  <c:v>-0.93903173255625982</c:v>
                </c:pt>
                <c:pt idx="365">
                  <c:v>-0.93014989593068487</c:v>
                </c:pt>
                <c:pt idx="366">
                  <c:v>-0.92106133255954492</c:v>
                </c:pt>
                <c:pt idx="367">
                  <c:v>-0.9117683264269536</c:v>
                </c:pt>
                <c:pt idx="368">
                  <c:v>-0.90227320665615407</c:v>
                </c:pt>
                <c:pt idx="369">
                  <c:v>-0.89257834693125004</c:v>
                </c:pt>
                <c:pt idx="370">
                  <c:v>-0.8826861649091764</c:v>
                </c:pt>
                <c:pt idx="371">
                  <c:v>-0.872599121622049</c:v>
                </c:pt>
                <c:pt idx="372">
                  <c:v>-0.86231972087003195</c:v>
                </c:pt>
                <c:pt idx="373">
                  <c:v>-0.85185050860488709</c:v>
                </c:pt>
                <c:pt idx="374">
                  <c:v>-0.84119407230434717</c:v>
                </c:pt>
                <c:pt idx="375">
                  <c:v>-0.83035304033746193</c:v>
                </c:pt>
                <c:pt idx="376">
                  <c:v>-0.81933008132106844</c:v>
                </c:pt>
                <c:pt idx="377">
                  <c:v>-0.80812790346756969</c:v>
                </c:pt>
                <c:pt idx="378">
                  <c:v>-0.79674925392414275</c:v>
                </c:pt>
                <c:pt idx="379">
                  <c:v>-0.78519691810355696</c:v>
                </c:pt>
                <c:pt idx="380">
                  <c:v>-0.7734737190067702</c:v>
                </c:pt>
                <c:pt idx="381">
                  <c:v>-0.76158251653743925</c:v>
                </c:pt>
                <c:pt idx="382">
                  <c:v>-0.74952620680854709</c:v>
                </c:pt>
                <c:pt idx="383">
                  <c:v>-0.73730772144128287</c:v>
                </c:pt>
                <c:pt idx="384">
                  <c:v>-0.72493002685636698</c:v>
                </c:pt>
                <c:pt idx="385">
                  <c:v>-0.71239612355796567</c:v>
                </c:pt>
                <c:pt idx="386">
                  <c:v>-0.69970904541039469</c:v>
                </c:pt>
                <c:pt idx="387">
                  <c:v>-0.68687185890776847</c:v>
                </c:pt>
                <c:pt idx="388">
                  <c:v>-0.67388766243676779</c:v>
                </c:pt>
                <c:pt idx="389">
                  <c:v>-0.66075958553272507</c:v>
                </c:pt>
                <c:pt idx="390">
                  <c:v>-0.64749078812916894</c:v>
                </c:pt>
                <c:pt idx="391">
                  <c:v>-0.63408445980103956</c:v>
                </c:pt>
                <c:pt idx="392">
                  <c:v>-0.62054381900173583</c:v>
                </c:pt>
                <c:pt idx="393">
                  <c:v>-0.60687211229418825</c:v>
                </c:pt>
                <c:pt idx="394">
                  <c:v>-0.59307261357613106</c:v>
                </c:pt>
                <c:pt idx="395">
                  <c:v>-0.57914862329976113</c:v>
                </c:pt>
                <c:pt idx="396">
                  <c:v>-0.56510346768596742</c:v>
                </c:pt>
                <c:pt idx="397">
                  <c:v>-0.55094049793332811</c:v>
                </c:pt>
                <c:pt idx="398">
                  <c:v>-0.53666308942203811</c:v>
                </c:pt>
                <c:pt idx="399">
                  <c:v>-0.52227464091298259</c:v>
                </c:pt>
                <c:pt idx="400">
                  <c:v>-0.50777857374213564</c:v>
                </c:pt>
                <c:pt idx="401">
                  <c:v>-0.49317833101045583</c:v>
                </c:pt>
                <c:pt idx="402">
                  <c:v>-0.47847737676950697</c:v>
                </c:pt>
                <c:pt idx="403">
                  <c:v>-0.46367919520295908</c:v>
                </c:pt>
                <c:pt idx="404">
                  <c:v>-0.44878728980419336</c:v>
                </c:pt>
                <c:pt idx="405">
                  <c:v>-0.43380518255017053</c:v>
                </c:pt>
                <c:pt idx="406">
                  <c:v>-0.41873641307179144</c:v>
                </c:pt>
                <c:pt idx="407">
                  <c:v>-0.40358453782092818</c:v>
                </c:pt>
                <c:pt idx="408">
                  <c:v>-0.38835312923430898</c:v>
                </c:pt>
                <c:pt idx="409">
                  <c:v>-0.37304577489447199</c:v>
                </c:pt>
                <c:pt idx="410">
                  <c:v>-0.35766607668799022</c:v>
                </c:pt>
                <c:pt idx="411">
                  <c:v>-0.34221764996113002</c:v>
                </c:pt>
                <c:pt idx="412">
                  <c:v>-0.32670412267317461</c:v>
                </c:pt>
                <c:pt idx="413">
                  <c:v>-0.31112913454759461</c:v>
                </c:pt>
                <c:pt idx="414">
                  <c:v>-0.29549633622127569</c:v>
                </c:pt>
                <c:pt idx="415">
                  <c:v>-0.27980938839196945</c:v>
                </c:pt>
                <c:pt idx="416">
                  <c:v>-0.26407196096421659</c:v>
                </c:pt>
                <c:pt idx="417">
                  <c:v>-0.24828773219389211</c:v>
                </c:pt>
                <c:pt idx="418">
                  <c:v>-0.23246038783160339</c:v>
                </c:pt>
                <c:pt idx="419">
                  <c:v>-0.21659362026512197</c:v>
                </c:pt>
                <c:pt idx="420">
                  <c:v>-0.20069112766106212</c:v>
                </c:pt>
                <c:pt idx="421">
                  <c:v>-0.18475661310599278</c:v>
                </c:pt>
                <c:pt idx="422">
                  <c:v>-0.1687937837471809</c:v>
                </c:pt>
                <c:pt idx="423">
                  <c:v>-0.15280634993318865</c:v>
                </c:pt>
                <c:pt idx="424">
                  <c:v>-0.13679802435447908</c:v>
                </c:pt>
                <c:pt idx="425">
                  <c:v>-0.12077252118427806</c:v>
                </c:pt>
                <c:pt idx="426">
                  <c:v>-0.10473355521985317</c:v>
                </c:pt>
                <c:pt idx="427">
                  <c:v>-8.8684841024421868E-2</c:v>
                </c:pt>
                <c:pt idx="428">
                  <c:v>-7.2630092069895014E-2</c:v>
                </c:pt>
                <c:pt idx="429">
                  <c:v>-5.6573019880628017E-2</c:v>
                </c:pt>
                <c:pt idx="430">
                  <c:v>-4.0517333178406112E-2</c:v>
                </c:pt>
                <c:pt idx="431">
                  <c:v>-2.4466737028842278E-2</c:v>
                </c:pt>
                <c:pt idx="432">
                  <c:v>-8.4249319893774377E-3</c:v>
                </c:pt>
                <c:pt idx="433">
                  <c:v>7.6043867408950305E-3</c:v>
                </c:pt>
                <c:pt idx="434">
                  <c:v>2.3617530169423251E-2</c:v>
                </c:pt>
                <c:pt idx="435">
                  <c:v>3.9610816356176137E-2</c:v>
                </c:pt>
                <c:pt idx="436">
                  <c:v>5.558057125724547E-2</c:v>
                </c:pt>
                <c:pt idx="437">
                  <c:v>7.1523129565862487E-2</c:v>
                </c:pt>
                <c:pt idx="438">
                  <c:v>8.7434835550638468E-2</c:v>
                </c:pt>
                <c:pt idx="439">
                  <c:v>0.10331204389085302</c:v>
                </c:pt>
                <c:pt idx="440">
                  <c:v>0.11915112050856624</c:v>
                </c:pt>
                <c:pt idx="441">
                  <c:v>0.13494844339740331</c:v>
                </c:pt>
                <c:pt idx="442">
                  <c:v>0.15070040344781299</c:v>
                </c:pt>
                <c:pt idx="443">
                  <c:v>0.16640340526857722</c:v>
                </c:pt>
                <c:pt idx="444">
                  <c:v>0.18205386800445256</c:v>
                </c:pt>
                <c:pt idx="445">
                  <c:v>0.19764822614969146</c:v>
                </c:pt>
                <c:pt idx="446">
                  <c:v>0.21318293035730118</c:v>
                </c:pt>
                <c:pt idx="447">
                  <c:v>0.22865444824384529</c:v>
                </c:pt>
                <c:pt idx="448">
                  <c:v>0.24405926518959742</c:v>
                </c:pt>
                <c:pt idx="449">
                  <c:v>0.25939388513388906</c:v>
                </c:pt>
                <c:pt idx="450">
                  <c:v>0.27465483136543289</c:v>
                </c:pt>
                <c:pt idx="451">
                  <c:v>0.28983864730750097</c:v>
                </c:pt>
                <c:pt idx="452">
                  <c:v>0.30494189729772314</c:v>
                </c:pt>
                <c:pt idx="453">
                  <c:v>0.31996116736236058</c:v>
                </c:pt>
                <c:pt idx="454">
                  <c:v>0.33489306598488877</c:v>
                </c:pt>
                <c:pt idx="455">
                  <c:v>0.3497342248686941</c:v>
                </c:pt>
                <c:pt idx="456">
                  <c:v>0.36448129969371834</c:v>
                </c:pt>
                <c:pt idx="457">
                  <c:v>0.37913097086691128</c:v>
                </c:pt>
                <c:pt idx="458">
                  <c:v>0.39367994426626751</c:v>
                </c:pt>
                <c:pt idx="459">
                  <c:v>0.40812495197834942</c:v>
                </c:pt>
                <c:pt idx="460">
                  <c:v>0.42246275302905945</c:v>
                </c:pt>
                <c:pt idx="461">
                  <c:v>0.43669013410757218</c:v>
                </c:pt>
                <c:pt idx="462">
                  <c:v>0.4508039102832071</c:v>
                </c:pt>
                <c:pt idx="463">
                  <c:v>0.46480092571510534</c:v>
                </c:pt>
                <c:pt idx="464">
                  <c:v>0.47867805435456301</c:v>
                </c:pt>
                <c:pt idx="465">
                  <c:v>0.49243220063985405</c:v>
                </c:pt>
                <c:pt idx="466">
                  <c:v>0.50606030018337966</c:v>
                </c:pt>
                <c:pt idx="467">
                  <c:v>0.51955932045102093</c:v>
                </c:pt>
                <c:pt idx="468">
                  <c:v>0.53292626143350041</c:v>
                </c:pt>
                <c:pt idx="469">
                  <c:v>0.54615815630966935</c:v>
                </c:pt>
                <c:pt idx="470">
                  <c:v>0.55925207210149797</c:v>
                </c:pt>
                <c:pt idx="471">
                  <c:v>0.57220511032069021</c:v>
                </c:pt>
                <c:pt idx="472">
                  <c:v>0.58501440760675361</c:v>
                </c:pt>
                <c:pt idx="473">
                  <c:v>0.59767713635636111</c:v>
                </c:pt>
                <c:pt idx="474">
                  <c:v>0.61019050534393249</c:v>
                </c:pt>
                <c:pt idx="475">
                  <c:v>0.62255176033322157</c:v>
                </c:pt>
                <c:pt idx="476">
                  <c:v>0.63475818467984135</c:v>
                </c:pt>
                <c:pt idx="477">
                  <c:v>0.64680709992456031</c:v>
                </c:pt>
                <c:pt idx="478">
                  <c:v>0.6586958663772382</c:v>
                </c:pt>
                <c:pt idx="479">
                  <c:v>0.67042188369131672</c:v>
                </c:pt>
                <c:pt idx="480">
                  <c:v>0.68198259142867168</c:v>
                </c:pt>
                <c:pt idx="481">
                  <c:v>0.69337546961478536</c:v>
                </c:pt>
                <c:pt idx="482">
                  <c:v>0.70459803928405118</c:v>
                </c:pt>
                <c:pt idx="483">
                  <c:v>0.71564786301512129</c:v>
                </c:pt>
                <c:pt idx="484">
                  <c:v>0.72652254545620831</c:v>
                </c:pt>
                <c:pt idx="485">
                  <c:v>0.73721973384016604</c:v>
                </c:pt>
                <c:pt idx="486">
                  <c:v>0.74773711848931201</c:v>
                </c:pt>
                <c:pt idx="487">
                  <c:v>0.75807243330982521</c:v>
                </c:pt>
                <c:pt idx="488">
                  <c:v>0.76822345627564204</c:v>
                </c:pt>
                <c:pt idx="489">
                  <c:v>0.77818800990175951</c:v>
                </c:pt>
                <c:pt idx="490">
                  <c:v>0.78796396170680372</c:v>
                </c:pt>
                <c:pt idx="491">
                  <c:v>0.79754922466482592</c:v>
                </c:pt>
                <c:pt idx="492">
                  <c:v>0.8069417576461746</c:v>
                </c:pt>
                <c:pt idx="493">
                  <c:v>0.81613956584737379</c:v>
                </c:pt>
                <c:pt idx="494">
                  <c:v>0.82514070120995231</c:v>
                </c:pt>
                <c:pt idx="495">
                  <c:v>0.83394326282806386</c:v>
                </c:pt>
                <c:pt idx="496">
                  <c:v>0.84254539734488954</c:v>
                </c:pt>
                <c:pt idx="497">
                  <c:v>0.85094529933769003</c:v>
                </c:pt>
                <c:pt idx="498">
                  <c:v>0.85914121169144109</c:v>
                </c:pt>
                <c:pt idx="499">
                  <c:v>0.86713142596100812</c:v>
                </c:pt>
                <c:pt idx="500">
                  <c:v>0.87491428272172378</c:v>
                </c:pt>
                <c:pt idx="501">
                  <c:v>0.88248817190836659</c:v>
                </c:pt>
                <c:pt idx="502">
                  <c:v>0.88985153314242404</c:v>
                </c:pt>
                <c:pt idx="503">
                  <c:v>0.89700285604758201</c:v>
                </c:pt>
                <c:pt idx="504">
                  <c:v>0.90394068055342025</c:v>
                </c:pt>
                <c:pt idx="505">
                  <c:v>0.91066359718718082</c:v>
                </c:pt>
                <c:pt idx="506">
                  <c:v>0.91717024735363251</c:v>
                </c:pt>
                <c:pt idx="507">
                  <c:v>0.92345932360291383</c:v>
                </c:pt>
                <c:pt idx="508">
                  <c:v>0.92952956988632762</c:v>
                </c:pt>
                <c:pt idx="509">
                  <c:v>0.93537978180006842</c:v>
                </c:pt>
                <c:pt idx="510">
                  <c:v>0.9410088068167648</c:v>
                </c:pt>
                <c:pt idx="511">
                  <c:v>0.94641554450488408</c:v>
                </c:pt>
                <c:pt idx="512">
                  <c:v>0.95159894673588075</c:v>
                </c:pt>
                <c:pt idx="513">
                  <c:v>0.95655801787909134</c:v>
                </c:pt>
                <c:pt idx="514">
                  <c:v>0.96129181498435712</c:v>
                </c:pt>
                <c:pt idx="515">
                  <c:v>0.96579944795228179</c:v>
                </c:pt>
                <c:pt idx="516">
                  <c:v>0.97008007969218335</c:v>
                </c:pt>
                <c:pt idx="517">
                  <c:v>0.97413292626761749</c:v>
                </c:pt>
                <c:pt idx="518">
                  <c:v>0.97795725702954794</c:v>
                </c:pt>
                <c:pt idx="519">
                  <c:v>0.9815523947370608</c:v>
                </c:pt>
                <c:pt idx="520">
                  <c:v>0.98491771566565001</c:v>
                </c:pt>
                <c:pt idx="521">
                  <c:v>0.98805264970306761</c:v>
                </c:pt>
                <c:pt idx="522">
                  <c:v>0.99095668043269447</c:v>
                </c:pt>
                <c:pt idx="523">
                  <c:v>0.99362934520443746</c:v>
                </c:pt>
                <c:pt idx="524">
                  <c:v>0.99607023519317817</c:v>
                </c:pt>
                <c:pt idx="525">
                  <c:v>0.99827899544470489</c:v>
                </c:pt>
                <c:pt idx="526">
                  <c:v>1.0002553249092094</c:v>
                </c:pt>
                <c:pt idx="527">
                  <c:v>1.0019989764622701</c:v>
                </c:pt>
                <c:pt idx="528">
                  <c:v>1.0035097569134028</c:v>
                </c:pt>
                <c:pt idx="529">
                  <c:v>1.0047875270021331</c:v>
                </c:pt>
                <c:pt idx="530">
                  <c:v>1.0058322013816197</c:v>
                </c:pt>
                <c:pt idx="531">
                  <c:v>1.0066437485898703</c:v>
                </c:pt>
                <c:pt idx="532">
                  <c:v>1.0072221910085228</c:v>
                </c:pt>
                <c:pt idx="533">
                  <c:v>1.0075676048092339</c:v>
                </c:pt>
                <c:pt idx="534">
                  <c:v>1.0076801198877234</c:v>
                </c:pt>
                <c:pt idx="535">
                  <c:v>1.0075599197854384</c:v>
                </c:pt>
                <c:pt idx="536">
                  <c:v>1.0072072415989459</c:v>
                </c:pt>
                <c:pt idx="537">
                  <c:v>1.0066223758770039</c:v>
                </c:pt>
                <c:pt idx="538">
                  <c:v>1.0058056665054211</c:v>
                </c:pt>
                <c:pt idx="539">
                  <c:v>1.0047575105796853</c:v>
                </c:pt>
                <c:pt idx="540">
                  <c:v>1.003478358265425</c:v>
                </c:pt>
                <c:pt idx="541">
                  <c:v>1.0019687126467649</c:v>
                </c:pt>
                <c:pt idx="542">
                  <c:v>1.0002291295625705</c:v>
                </c:pt>
                <c:pt idx="543">
                  <c:v>0.99826021743069726</c:v>
                </c:pt>
                <c:pt idx="544">
                  <c:v>0.99606263706023401</c:v>
                </c:pt>
                <c:pt idx="545">
                  <c:v>0.99363710145182438</c:v>
                </c:pt>
                <c:pt idx="546">
                  <c:v>0.99098437558614161</c:v>
                </c:pt>
                <c:pt idx="547">
                  <c:v>0.98810527620052124</c:v>
                </c:pt>
                <c:pt idx="548">
                  <c:v>0.98500067155387749</c:v>
                </c:pt>
                <c:pt idx="549">
                  <c:v>0.98167148117992187</c:v>
                </c:pt>
                <c:pt idx="550">
                  <c:v>0.97811867562876165</c:v>
                </c:pt>
                <c:pt idx="551">
                  <c:v>0.97434327619697914</c:v>
                </c:pt>
                <c:pt idx="552">
                  <c:v>0.97034635464620322</c:v>
                </c:pt>
                <c:pt idx="553">
                  <c:v>0.96612903291032426</c:v>
                </c:pt>
                <c:pt idx="554">
                  <c:v>0.96169248279136244</c:v>
                </c:pt>
                <c:pt idx="555">
                  <c:v>0.95703792564409729</c:v>
                </c:pt>
                <c:pt idx="556">
                  <c:v>0.95216663204957186</c:v>
                </c:pt>
                <c:pt idx="557">
                  <c:v>0.94707992147748521</c:v>
                </c:pt>
                <c:pt idx="558">
                  <c:v>0.94177916193764055</c:v>
                </c:pt>
                <c:pt idx="559">
                  <c:v>0.9362657696204818</c:v>
                </c:pt>
                <c:pt idx="560">
                  <c:v>0.93054120852682654</c:v>
                </c:pt>
                <c:pt idx="561">
                  <c:v>0.9246069900869206</c:v>
                </c:pt>
                <c:pt idx="562">
                  <c:v>0.91846467276885269</c:v>
                </c:pt>
                <c:pt idx="563">
                  <c:v>0.9121158616764975</c:v>
                </c:pt>
                <c:pt idx="564">
                  <c:v>0.9055622081370307</c:v>
                </c:pt>
                <c:pt idx="565">
                  <c:v>0.89880540927814578</c:v>
                </c:pt>
                <c:pt idx="566">
                  <c:v>0.89184720759510194</c:v>
                </c:pt>
                <c:pt idx="567">
                  <c:v>0.88468939050765483</c:v>
                </c:pt>
                <c:pt idx="568">
                  <c:v>0.87733378990704425</c:v>
                </c:pt>
                <c:pt idx="569">
                  <c:v>0.86978228169311145</c:v>
                </c:pt>
                <c:pt idx="570">
                  <c:v>0.86203678530166394</c:v>
                </c:pt>
                <c:pt idx="571">
                  <c:v>0.85409926322224305</c:v>
                </c:pt>
                <c:pt idx="572">
                  <c:v>0.8459717205063495</c:v>
                </c:pt>
                <c:pt idx="573">
                  <c:v>0.83765620426632692</c:v>
                </c:pt>
                <c:pt idx="574">
                  <c:v>0.82915480316495582</c:v>
                </c:pt>
                <c:pt idx="575">
                  <c:v>0.82046964689592095</c:v>
                </c:pt>
                <c:pt idx="576">
                  <c:v>0.81160290565529269</c:v>
                </c:pt>
                <c:pt idx="577">
                  <c:v>0.80255678960410926</c:v>
                </c:pt>
                <c:pt idx="578">
                  <c:v>0.79333354832223346</c:v>
                </c:pt>
                <c:pt idx="579">
                  <c:v>0.78393547025360122</c:v>
                </c:pt>
                <c:pt idx="580">
                  <c:v>0.77436488214297827</c:v>
                </c:pt>
                <c:pt idx="581">
                  <c:v>0.76462414846441473</c:v>
                </c:pt>
                <c:pt idx="582">
                  <c:v>0.75471567084146929</c:v>
                </c:pt>
                <c:pt idx="583">
                  <c:v>0.74464188745941029</c:v>
                </c:pt>
                <c:pt idx="584">
                  <c:v>0.73440527246948517</c:v>
                </c:pt>
                <c:pt idx="585">
                  <c:v>0.72400833538542519</c:v>
                </c:pt>
                <c:pt idx="586">
                  <c:v>0.71345362047234717</c:v>
                </c:pt>
                <c:pt idx="587">
                  <c:v>0.7027437061281574</c:v>
                </c:pt>
                <c:pt idx="588">
                  <c:v>0.6918812042576552</c:v>
                </c:pt>
                <c:pt idx="589">
                  <c:v>0.68086875963945159</c:v>
                </c:pt>
                <c:pt idx="590">
                  <c:v>0.66970904928586905</c:v>
                </c:pt>
                <c:pt idx="591">
                  <c:v>0.65840478179598794</c:v>
                </c:pt>
                <c:pt idx="592">
                  <c:v>0.64695869670196937</c:v>
                </c:pt>
                <c:pt idx="593">
                  <c:v>0.63537356380883292</c:v>
                </c:pt>
                <c:pt idx="594">
                  <c:v>0.62365218252783694</c:v>
                </c:pt>
                <c:pt idx="595">
                  <c:v>0.61179738120363103</c:v>
                </c:pt>
                <c:pt idx="596">
                  <c:v>0.59981201643532689</c:v>
                </c:pt>
                <c:pt idx="597">
                  <c:v>0.5876989723916497</c:v>
                </c:pt>
                <c:pt idx="598">
                  <c:v>0.57546116012037296</c:v>
                </c:pt>
                <c:pt idx="599">
                  <c:v>0.56310151685213383</c:v>
                </c:pt>
                <c:pt idx="600">
                  <c:v>0.55062300529884745</c:v>
                </c:pt>
                <c:pt idx="601">
                  <c:v>0.53802861294687432</c:v>
                </c:pt>
                <c:pt idx="602">
                  <c:v>0.5253213513450925</c:v>
                </c:pt>
                <c:pt idx="603">
                  <c:v>0.51250425538806255</c:v>
                </c:pt>
                <c:pt idx="604">
                  <c:v>0.49958038259445336</c:v>
                </c:pt>
                <c:pt idx="605">
                  <c:v>0.48655281238088222</c:v>
                </c:pt>
                <c:pt idx="606">
                  <c:v>0.47342464533136486</c:v>
                </c:pt>
                <c:pt idx="607">
                  <c:v>0.46019900246252377</c:v>
                </c:pt>
                <c:pt idx="608">
                  <c:v>0.44687902448476002</c:v>
                </c:pt>
                <c:pt idx="609">
                  <c:v>0.43346787105951945</c:v>
                </c:pt>
                <c:pt idx="610">
                  <c:v>0.41996872005287011</c:v>
                </c:pt>
                <c:pt idx="611">
                  <c:v>0.40638476678554625</c:v>
                </c:pt>
                <c:pt idx="612">
                  <c:v>0.39271922327963171</c:v>
                </c:pt>
                <c:pt idx="613">
                  <c:v>0.37897531750206825</c:v>
                </c:pt>
                <c:pt idx="614">
                  <c:v>0.36515629260516658</c:v>
                </c:pt>
                <c:pt idx="615">
                  <c:v>0.35126540616429125</c:v>
                </c:pt>
                <c:pt idx="616">
                  <c:v>0.33730592941290549</c:v>
                </c:pt>
                <c:pt idx="617">
                  <c:v>0.32328114647514328</c:v>
                </c:pt>
                <c:pt idx="618">
                  <c:v>0.30919435359611125</c:v>
                </c:pt>
                <c:pt idx="619">
                  <c:v>0.29504885837007055</c:v>
                </c:pt>
                <c:pt idx="620">
                  <c:v>0.28084797896669889</c:v>
                </c:pt>
                <c:pt idx="621">
                  <c:v>0.26659504335560946</c:v>
                </c:pt>
                <c:pt idx="622">
                  <c:v>0.25229338852930061</c:v>
                </c:pt>
                <c:pt idx="623">
                  <c:v>0.23794635972472067</c:v>
                </c:pt>
                <c:pt idx="624">
                  <c:v>0.22355730964364229</c:v>
                </c:pt>
                <c:pt idx="625">
                  <c:v>0.20912959767199801</c:v>
                </c:pt>
                <c:pt idx="626">
                  <c:v>0.19466658909838763</c:v>
                </c:pt>
                <c:pt idx="627">
                  <c:v>0.18017165433191629</c:v>
                </c:pt>
                <c:pt idx="628">
                  <c:v>0.16564816811956495</c:v>
                </c:pt>
                <c:pt idx="629">
                  <c:v>0.15109950876325495</c:v>
                </c:pt>
                <c:pt idx="630">
                  <c:v>0.1365290573367961</c:v>
                </c:pt>
                <c:pt idx="631">
                  <c:v>0.12194019690290903</c:v>
                </c:pt>
                <c:pt idx="632">
                  <c:v>0.10733631173048153</c:v>
                </c:pt>
                <c:pt idx="633">
                  <c:v>9.2720786512257014E-2</c:v>
                </c:pt>
                <c:pt idx="634">
                  <c:v>7.8097005583125156E-2</c:v>
                </c:pt>
                <c:pt idx="635">
                  <c:v>6.3468352139203432E-2</c:v>
                </c:pt>
                <c:pt idx="636">
                  <c:v>4.8838207457880145E-2</c:v>
                </c:pt>
                <c:pt idx="637">
                  <c:v>3.4209950118994747E-2</c:v>
                </c:pt>
                <c:pt idx="638">
                  <c:v>1.9586955227365088E-2</c:v>
                </c:pt>
                <c:pt idx="639">
                  <c:v>4.9725936367890355E-3</c:v>
                </c:pt>
                <c:pt idx="640">
                  <c:v>-9.6297688242601431E-3</c:v>
                </c:pt>
                <c:pt idx="641">
                  <c:v>-2.4216772125084773E-2</c:v>
                </c:pt>
                <c:pt idx="642">
                  <c:v>-3.8785062803176729E-2</c:v>
                </c:pt>
                <c:pt idx="643">
                  <c:v>-5.3331294732431367E-2</c:v>
                </c:pt>
                <c:pt idx="644">
                  <c:v>-6.7852129888966939E-2</c:v>
                </c:pt>
                <c:pt idx="645">
                  <c:v>-8.2344239114388706E-2</c:v>
                </c:pt>
                <c:pt idx="646">
                  <c:v>-9.6804302876323245E-2</c:v>
                </c:pt>
                <c:pt idx="647">
                  <c:v>-0.11122901202604218</c:v>
                </c:pt>
                <c:pt idx="648">
                  <c:v>-0.12561506855300353</c:v>
                </c:pt>
                <c:pt idx="649">
                  <c:v>-0.13995918633615556</c:v>
                </c:pt>
                <c:pt idx="650">
                  <c:v>-0.15425809189181194</c:v>
                </c:pt>
                <c:pt idx="651">
                  <c:v>-0.16850852511793413</c:v>
                </c:pt>
                <c:pt idx="652">
                  <c:v>-0.18270724003465943</c:v>
                </c:pt>
                <c:pt idx="653">
                  <c:v>-0.19685100552089851</c:v>
                </c:pt>
                <c:pt idx="654">
                  <c:v>-0.21093660604685649</c:v>
                </c:pt>
                <c:pt idx="655">
                  <c:v>-0.22496084240226866</c:v>
                </c:pt>
                <c:pt idx="656">
                  <c:v>-0.23892053242024103</c:v>
                </c:pt>
                <c:pt idx="657">
                  <c:v>-0.25281251169648788</c:v>
                </c:pt>
                <c:pt idx="658">
                  <c:v>-0.2666336343038167</c:v>
                </c:pt>
                <c:pt idx="659">
                  <c:v>-0.28038077350173607</c:v>
                </c:pt>
                <c:pt idx="660">
                  <c:v>-0.29405082244096059</c:v>
                </c:pt>
                <c:pt idx="661">
                  <c:v>-0.3076406948627084</c:v>
                </c:pt>
                <c:pt idx="662">
                  <c:v>-0.3211473257926194</c:v>
                </c:pt>
                <c:pt idx="663">
                  <c:v>-0.33456767222911887</c:v>
                </c:pt>
                <c:pt idx="664">
                  <c:v>-0.34789871382611093</c:v>
                </c:pt>
                <c:pt idx="665">
                  <c:v>-0.36113745356981086</c:v>
                </c:pt>
                <c:pt idx="666">
                  <c:v>-0.37428091844959344</c:v>
                </c:pt>
                <c:pt idx="667">
                  <c:v>-0.38732616012269538</c:v>
                </c:pt>
                <c:pt idx="668">
                  <c:v>-0.40027025557260831</c:v>
                </c:pt>
                <c:pt idx="669">
                  <c:v>-0.41311030776106561</c:v>
                </c:pt>
                <c:pt idx="670">
                  <c:v>-0.42584344627342308</c:v>
                </c:pt>
                <c:pt idx="671">
                  <c:v>-0.43846682795730985</c:v>
                </c:pt>
                <c:pt idx="672">
                  <c:v>-0.45097763755443099</c:v>
                </c:pt>
                <c:pt idx="673">
                  <c:v>-0.46337308832533619</c:v>
                </c:pt>
                <c:pt idx="674">
                  <c:v>-0.47565042266707569</c:v>
                </c:pt>
                <c:pt idx="675">
                  <c:v>-0.4878069127235487</c:v>
                </c:pt>
                <c:pt idx="676">
                  <c:v>-0.49983986098844557</c:v>
                </c:pt>
                <c:pt idx="677">
                  <c:v>-0.5117466009006415</c:v>
                </c:pt>
                <c:pt idx="678">
                  <c:v>-0.52352449743189911</c:v>
                </c:pt>
                <c:pt idx="679">
                  <c:v>-0.53517094766679496</c:v>
                </c:pt>
                <c:pt idx="680">
                  <c:v>-0.54668338137467765</c:v>
                </c:pt>
                <c:pt idx="681">
                  <c:v>-0.55805926157357977</c:v>
                </c:pt>
                <c:pt idx="682">
                  <c:v>-0.56929608508595253</c:v>
                </c:pt>
                <c:pt idx="683">
                  <c:v>-0.58039138308608296</c:v>
                </c:pt>
                <c:pt idx="684">
                  <c:v>-0.59134272163910961</c:v>
                </c:pt>
                <c:pt idx="685">
                  <c:v>-0.60214770223147607</c:v>
                </c:pt>
                <c:pt idx="686">
                  <c:v>-0.61280396229274814</c:v>
                </c:pt>
                <c:pt idx="687">
                  <c:v>-0.62330917570866062</c:v>
                </c:pt>
                <c:pt idx="688">
                  <c:v>-0.6336610533252649</c:v>
                </c:pt>
                <c:pt idx="689">
                  <c:v>-0.64385734344413814</c:v>
                </c:pt>
                <c:pt idx="690">
                  <c:v>-0.65389583230845783</c:v>
                </c:pt>
                <c:pt idx="691">
                  <c:v>-0.66377434457989426</c:v>
                </c:pt>
                <c:pt idx="692">
                  <c:v>-0.67349074380621543</c:v>
                </c:pt>
                <c:pt idx="693">
                  <c:v>-0.68304293287947004</c:v>
                </c:pt>
                <c:pt idx="694">
                  <c:v>-0.69242885448471414</c:v>
                </c:pt>
                <c:pt idx="695">
                  <c:v>-0.70164649153911118</c:v>
                </c:pt>
                <c:pt idx="696">
                  <c:v>-0.71069386762137077</c:v>
                </c:pt>
                <c:pt idx="697">
                  <c:v>-0.7195690473914107</c:v>
                </c:pt>
                <c:pt idx="698">
                  <c:v>-0.72827013700013943</c:v>
                </c:pt>
                <c:pt idx="699">
                  <c:v>-0.73679528448933884</c:v>
                </c:pt>
                <c:pt idx="700">
                  <c:v>-0.74514268018146246</c:v>
                </c:pt>
                <c:pt idx="701">
                  <c:v>-0.753310557059365</c:v>
                </c:pt>
                <c:pt idx="702">
                  <c:v>-0.76129719113580219</c:v>
                </c:pt>
                <c:pt idx="703">
                  <c:v>-0.76910090181272039</c:v>
                </c:pt>
                <c:pt idx="704">
                  <c:v>-0.77672005223014851</c:v>
                </c:pt>
                <c:pt idx="705">
                  <c:v>-0.78415304960471854</c:v>
                </c:pt>
                <c:pt idx="706">
                  <c:v>-0.79139834555769084</c:v>
                </c:pt>
                <c:pt idx="707">
                  <c:v>-0.79845443643244152</c:v>
                </c:pt>
                <c:pt idx="708">
                  <c:v>-0.80531986360132102</c:v>
                </c:pt>
                <c:pt idx="709">
                  <c:v>-0.81199321376187983</c:v>
                </c:pt>
                <c:pt idx="710">
                  <c:v>-0.81847311922232868</c:v>
                </c:pt>
                <c:pt idx="711">
                  <c:v>-0.82475825817623072</c:v>
                </c:pt>
                <c:pt idx="712">
                  <c:v>-0.83084735496635209</c:v>
                </c:pt>
                <c:pt idx="713">
                  <c:v>-0.83673918033760564</c:v>
                </c:pt>
                <c:pt idx="714">
                  <c:v>-0.8424325516790957</c:v>
                </c:pt>
                <c:pt idx="715">
                  <c:v>-0.84792633325513522</c:v>
                </c:pt>
                <c:pt idx="716">
                  <c:v>-0.85321943642525477</c:v>
                </c:pt>
                <c:pt idx="717">
                  <c:v>-0.85831081985314484</c:v>
                </c:pt>
                <c:pt idx="718">
                  <c:v>-0.86319948970446558</c:v>
                </c:pt>
                <c:pt idx="719">
                  <c:v>-0.86788449983355931</c:v>
                </c:pt>
                <c:pt idx="720">
                  <c:v>-0.8723649519589417</c:v>
                </c:pt>
                <c:pt idx="721">
                  <c:v>-0.87663999582761043</c:v>
                </c:pt>
                <c:pt idx="722">
                  <c:v>-0.88070882936809702</c:v>
                </c:pt>
                <c:pt idx="723">
                  <c:v>-0.88457069883230077</c:v>
                </c:pt>
                <c:pt idx="724">
                  <c:v>-0.88822489892599543</c:v>
                </c:pt>
                <c:pt idx="725">
                  <c:v>-0.89167077292805086</c:v>
                </c:pt>
                <c:pt idx="726">
                  <c:v>-0.89490771279834769</c:v>
                </c:pt>
                <c:pt idx="727">
                  <c:v>-0.89793515927432055</c:v>
                </c:pt>
                <c:pt idx="728">
                  <c:v>-0.90075260195620854</c:v>
                </c:pt>
                <c:pt idx="729">
                  <c:v>-0.9033595793809025</c:v>
                </c:pt>
                <c:pt idx="730">
                  <c:v>-0.90575567908444643</c:v>
                </c:pt>
                <c:pt idx="731">
                  <c:v>-0.90794053765317728</c:v>
                </c:pt>
                <c:pt idx="732">
                  <c:v>-0.90991384076349213</c:v>
                </c:pt>
                <c:pt idx="733">
                  <c:v>-0.91167532321022704</c:v>
                </c:pt>
                <c:pt idx="734">
                  <c:v>-0.91322476892372029</c:v>
                </c:pt>
                <c:pt idx="735">
                  <c:v>-0.91456201097546774</c:v>
                </c:pt>
                <c:pt idx="736">
                  <c:v>-0.91568693157245329</c:v>
                </c:pt>
                <c:pt idx="737">
                  <c:v>-0.91659946204014653</c:v>
                </c:pt>
                <c:pt idx="738">
                  <c:v>-0.91729958279414769</c:v>
                </c:pt>
                <c:pt idx="739">
                  <c:v>-0.91778732330057611</c:v>
                </c:pt>
                <c:pt idx="740">
                  <c:v>-0.91806276202512294</c:v>
                </c:pt>
                <c:pt idx="741">
                  <c:v>-0.91812602637086926</c:v>
                </c:pt>
                <c:pt idx="742">
                  <c:v>-0.91797729260483085</c:v>
                </c:pt>
                <c:pt idx="743">
                  <c:v>-0.9176167857733426</c:v>
                </c:pt>
                <c:pt idx="744">
                  <c:v>-0.91704477960620634</c:v>
                </c:pt>
                <c:pt idx="745">
                  <c:v>-0.91626159640971205</c:v>
                </c:pt>
                <c:pt idx="746">
                  <c:v>-0.91526760694853881</c:v>
                </c:pt>
                <c:pt idx="747">
                  <c:v>-0.91406323031656278</c:v>
                </c:pt>
                <c:pt idx="748">
                  <c:v>-0.9126489337966579</c:v>
                </c:pt>
                <c:pt idx="749">
                  <c:v>-0.91102523270946267</c:v>
                </c:pt>
                <c:pt idx="750">
                  <c:v>-0.90919269025120708</c:v>
                </c:pt>
                <c:pt idx="751">
                  <c:v>-0.90715191732064704</c:v>
                </c:pt>
                <c:pt idx="752">
                  <c:v>-0.90490357233510987</c:v>
                </c:pt>
                <c:pt idx="753">
                  <c:v>-0.9024483610357823</c:v>
                </c:pt>
                <c:pt idx="754">
                  <c:v>-0.89978703628220869</c:v>
                </c:pt>
                <c:pt idx="755">
                  <c:v>-0.89692039783611643</c:v>
                </c:pt>
                <c:pt idx="756">
                  <c:v>-0.89384929213460163</c:v>
                </c:pt>
                <c:pt idx="757">
                  <c:v>-0.89057461205275879</c:v>
                </c:pt>
                <c:pt idx="758">
                  <c:v>-0.88709729665577131</c:v>
                </c:pt>
                <c:pt idx="759">
                  <c:v>-0.88341833094061095</c:v>
                </c:pt>
                <c:pt idx="760">
                  <c:v>-0.87953874556732314</c:v>
                </c:pt>
                <c:pt idx="761">
                  <c:v>-0.87545961658003835</c:v>
                </c:pt>
                <c:pt idx="762">
                  <c:v>-0.87118206511773266</c:v>
                </c:pt>
                <c:pt idx="763">
                  <c:v>-0.86670725711488084</c:v>
                </c:pt>
                <c:pt idx="764">
                  <c:v>-0.86203640299199735</c:v>
                </c:pt>
                <c:pt idx="765">
                  <c:v>-0.85717075733620507</c:v>
                </c:pt>
                <c:pt idx="766">
                  <c:v>-0.8521116185718991</c:v>
                </c:pt>
                <c:pt idx="767">
                  <c:v>-0.84686032862155958</c:v>
                </c:pt>
                <c:pt idx="768">
                  <c:v>-0.84141827255688184</c:v>
                </c:pt>
                <c:pt idx="769">
                  <c:v>-0.83578687824020703</c:v>
                </c:pt>
                <c:pt idx="770">
                  <c:v>-0.82996761595642488</c:v>
                </c:pt>
                <c:pt idx="771">
                  <c:v>-0.82396199803540882</c:v>
                </c:pt>
                <c:pt idx="772">
                  <c:v>-0.81777157846507531</c:v>
                </c:pt>
                <c:pt idx="773">
                  <c:v>-0.81139795249520308</c:v>
                </c:pt>
                <c:pt idx="774">
                  <c:v>-0.8048427562320486</c:v>
                </c:pt>
                <c:pt idx="775">
                  <c:v>-0.79810766622392126</c:v>
                </c:pt>
                <c:pt idx="776">
                  <c:v>-0.79119439903777722</c:v>
                </c:pt>
                <c:pt idx="777">
                  <c:v>-0.78410471082696498</c:v>
                </c:pt>
                <c:pt idx="778">
                  <c:v>-0.7768403968902341</c:v>
                </c:pt>
                <c:pt idx="779">
                  <c:v>-0.76940329122207762</c:v>
                </c:pt>
                <c:pt idx="780">
                  <c:v>-0.7617952660545666</c:v>
                </c:pt>
                <c:pt idx="781">
                  <c:v>-0.75401823139076463</c:v>
                </c:pt>
                <c:pt idx="782">
                  <c:v>-0.74607413452983384</c:v>
                </c:pt>
                <c:pt idx="783">
                  <c:v>-0.73796495958397368</c:v>
                </c:pt>
                <c:pt idx="784">
                  <c:v>-0.72969272698729326</c:v>
                </c:pt>
                <c:pt idx="785">
                  <c:v>-0.72125949299673064</c:v>
                </c:pt>
                <c:pt idx="786">
                  <c:v>-0.71266734918516317</c:v>
                </c:pt>
                <c:pt idx="787">
                  <c:v>-0.70391842192680243</c:v>
                </c:pt>
                <c:pt idx="788">
                  <c:v>-0.69501487187505595</c:v>
                </c:pt>
                <c:pt idx="789">
                  <c:v>-0.68595889343290284</c:v>
                </c:pt>
                <c:pt idx="790">
                  <c:v>-0.67675271421598482</c:v>
                </c:pt>
                <c:pt idx="791">
                  <c:v>-0.66739859450850281</c:v>
                </c:pt>
                <c:pt idx="792">
                  <c:v>-0.65789882671204802</c:v>
                </c:pt>
                <c:pt idx="793">
                  <c:v>-0.64825573478755016</c:v>
                </c:pt>
                <c:pt idx="794">
                  <c:v>-0.6384716736904088</c:v>
                </c:pt>
                <c:pt idx="795">
                  <c:v>-0.6285490287989921</c:v>
                </c:pt>
                <c:pt idx="796">
                  <c:v>-0.61849021533662407</c:v>
                </c:pt>
                <c:pt idx="797">
                  <c:v>-0.60829767778720334</c:v>
                </c:pt>
                <c:pt idx="798">
                  <c:v>-0.59797388930460005</c:v>
                </c:pt>
                <c:pt idx="799">
                  <c:v>-0.58752135111595027</c:v>
                </c:pt>
                <c:pt idx="800">
                  <c:v>-0.5769425919190212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5F-F945-9F99-EF853B186C6E}"/>
            </c:ext>
          </c:extLst>
        </c:ser>
        <c:ser>
          <c:idx val="1"/>
          <c:order val="1"/>
          <c:tx>
            <c:strRef>
              <c:f>Summary!$N$2</c:f>
              <c:strCache>
                <c:ptCount val="1"/>
                <c:pt idx="0">
                  <c:v>Round ABCD</c:v>
                </c:pt>
              </c:strCache>
            </c:strRef>
          </c:tx>
          <c:marker>
            <c:symbol val="none"/>
          </c:marker>
          <c:xVal>
            <c:numRef>
              <c:f>Summary!$N$4:$N$804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Summary!$Q$4:$Q$804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5F-F945-9F99-EF853B186C6E}"/>
            </c:ext>
          </c:extLst>
        </c:ser>
        <c:ser>
          <c:idx val="2"/>
          <c:order val="2"/>
          <c:tx>
            <c:strRef>
              <c:f>Summary!$S$2</c:f>
              <c:strCache>
                <c:ptCount val="1"/>
                <c:pt idx="0">
                  <c:v>Round ABCD</c:v>
                </c:pt>
              </c:strCache>
            </c:strRef>
          </c:tx>
          <c:marker>
            <c:symbol val="none"/>
          </c:marker>
          <c:xVal>
            <c:numRef>
              <c:f>Summary!$S$4:$S$804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Summary!$V$4:$V$804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5F-F945-9F99-EF853B186C6E}"/>
            </c:ext>
          </c:extLst>
        </c:ser>
        <c:ser>
          <c:idx val="3"/>
          <c:order val="3"/>
          <c:tx>
            <c:strRef>
              <c:f>Summary!$X$2</c:f>
              <c:strCache>
                <c:ptCount val="1"/>
                <c:pt idx="0">
                  <c:v>Round ABCD</c:v>
                </c:pt>
              </c:strCache>
            </c:strRef>
          </c:tx>
          <c:marker>
            <c:symbol val="none"/>
          </c:marker>
          <c:xVal>
            <c:numRef>
              <c:f>Summary!$X$4:$X$804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Summary!$AA$4:$AA$804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5F-F945-9F99-EF853B186C6E}"/>
            </c:ext>
          </c:extLst>
        </c:ser>
        <c:ser>
          <c:idx val="4"/>
          <c:order val="4"/>
          <c:tx>
            <c:strRef>
              <c:f>Summary!$AC$2</c:f>
              <c:strCache>
                <c:ptCount val="1"/>
                <c:pt idx="0">
                  <c:v>Round ABCD</c:v>
                </c:pt>
              </c:strCache>
            </c:strRef>
          </c:tx>
          <c:marker>
            <c:symbol val="none"/>
          </c:marker>
          <c:xVal>
            <c:numRef>
              <c:f>Summary!$AC$4:$AC$804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Summary!$AF$4:$AF$804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A5F-F945-9F99-EF853B186C6E}"/>
            </c:ext>
          </c:extLst>
        </c:ser>
        <c:ser>
          <c:idx val="5"/>
          <c:order val="5"/>
          <c:tx>
            <c:strRef>
              <c:f>Summary!$AH$2</c:f>
              <c:strCache>
                <c:ptCount val="1"/>
                <c:pt idx="0">
                  <c:v>Round ABCD</c:v>
                </c:pt>
              </c:strCache>
            </c:strRef>
          </c:tx>
          <c:marker>
            <c:symbol val="none"/>
          </c:marker>
          <c:xVal>
            <c:numRef>
              <c:f>Summary!$AH$4:$AH$804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Summary!$AK$4:$AK$804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A5F-F945-9F99-EF853B186C6E}"/>
            </c:ext>
          </c:extLst>
        </c:ser>
        <c:ser>
          <c:idx val="6"/>
          <c:order val="6"/>
          <c:tx>
            <c:strRef>
              <c:f>Summary!$AM$2</c:f>
              <c:strCache>
                <c:ptCount val="1"/>
                <c:pt idx="0">
                  <c:v>Round ABCD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Summary!$AM$4:$AM$804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Summary!$AP$4:$AP$804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A5F-F945-9F99-EF853B186C6E}"/>
            </c:ext>
          </c:extLst>
        </c:ser>
        <c:ser>
          <c:idx val="7"/>
          <c:order val="7"/>
          <c:tx>
            <c:strRef>
              <c:f>Summary!$AR$2</c:f>
              <c:strCache>
                <c:ptCount val="1"/>
                <c:pt idx="0">
                  <c:v>Round ABCD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Summary!$AR$4:$AR$804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Summary!$AU$4:$AU$804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A5F-F945-9F99-EF853B186C6E}"/>
            </c:ext>
          </c:extLst>
        </c:ser>
        <c:ser>
          <c:idx val="8"/>
          <c:order val="8"/>
          <c:tx>
            <c:strRef>
              <c:f>Summary!$AW$2</c:f>
              <c:strCache>
                <c:ptCount val="1"/>
                <c:pt idx="0">
                  <c:v>Round ABCD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Summary!$AW$4:$AW$804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Summary!$AZ$4:$AZ$804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A5F-F945-9F99-EF853B186C6E}"/>
            </c:ext>
          </c:extLst>
        </c:ser>
        <c:ser>
          <c:idx val="9"/>
          <c:order val="9"/>
          <c:tx>
            <c:strRef>
              <c:f>Summary!$BB$2</c:f>
              <c:strCache>
                <c:ptCount val="1"/>
                <c:pt idx="0">
                  <c:v>Round ABCD</c:v>
                </c:pt>
              </c:strCache>
            </c:strRef>
          </c:tx>
          <c:spPr>
            <a:ln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Summary!$BB$4:$BB$804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xVal>
          <c:yVal>
            <c:numRef>
              <c:f>Summary!$BE$4:$BE$804</c:f>
              <c:numCache>
                <c:formatCode>0.00</c:formatCode>
                <c:ptCount val="8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A5F-F945-9F99-EF853B186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274280"/>
        <c:axId val="433272712"/>
      </c:scatterChart>
      <c:valAx>
        <c:axId val="433274280"/>
        <c:scaling>
          <c:orientation val="minMax"/>
          <c:max val="200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200"/>
                  <a:t>Range Location (m)</a:t>
                </a:r>
              </a:p>
            </c:rich>
          </c:tx>
          <c:layout>
            <c:manualLayout>
              <c:xMode val="edge"/>
              <c:yMode val="edge"/>
              <c:x val="0.31687747307448866"/>
              <c:y val="0.8286962459048227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none"/>
        <c:minorTickMark val="none"/>
        <c:tickLblPos val="low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3272712"/>
        <c:crosses val="autoZero"/>
        <c:crossBetween val="midCat"/>
        <c:majorUnit val="20"/>
      </c:valAx>
      <c:valAx>
        <c:axId val="433272712"/>
        <c:scaling>
          <c:orientation val="minMax"/>
          <c:max val="4.5"/>
          <c:min val="-4.5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Yaw (deg)</a:t>
                </a:r>
              </a:p>
            </c:rich>
          </c:tx>
          <c:layout>
            <c:manualLayout>
              <c:xMode val="edge"/>
              <c:yMode val="edge"/>
              <c:x val="7.9231640872477152E-2"/>
              <c:y val="0.3285750975638798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3274280"/>
        <c:crossesAt val="-100"/>
        <c:crossBetween val="midCat"/>
        <c:majorUnit val="1"/>
      </c:valAx>
      <c:spPr>
        <a:noFill/>
        <a:ln w="381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426023527427582"/>
          <c:y val="0.17752857143561693"/>
          <c:w val="0.16686469479776564"/>
          <c:h val="0.53866347871931708"/>
        </c:manualLayout>
      </c:layout>
      <c:overlay val="0"/>
      <c:spPr>
        <a:ln>
          <a:noFill/>
        </a:ln>
      </c:spPr>
      <c:txPr>
        <a:bodyPr/>
        <a:lstStyle/>
        <a:p>
          <a:pPr>
            <a:defRPr sz="900" b="1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/>
            </a:pPr>
            <a:r>
              <a:rPr lang="en-US" sz="1800" b="1"/>
              <a:t>EF-9  Shot </a:t>
            </a:r>
          </a:p>
        </c:rich>
      </c:tx>
      <c:layout>
        <c:manualLayout>
          <c:xMode val="edge"/>
          <c:yMode val="edge"/>
          <c:x val="0.27452434267846831"/>
          <c:y val="4.140127388535031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9846737616949964"/>
          <c:y val="0.15041125432569394"/>
          <c:w val="0.45820192331180942"/>
          <c:h val="0.63484486873508661"/>
        </c:manualLayout>
      </c:layout>
      <c:scatterChart>
        <c:scatterStyle val="lineMarker"/>
        <c:varyColors val="0"/>
        <c:ser>
          <c:idx val="0"/>
          <c:order val="0"/>
          <c:tx>
            <c:v>Data</c:v>
          </c:tx>
          <c:spPr>
            <a:ln w="28575">
              <a:noFill/>
            </a:ln>
          </c:spPr>
          <c:marker>
            <c:symbol val="circle"/>
            <c:size val="8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ABCD!$J$9:$J$20</c:f>
              <c:numCache>
                <c:formatCode>0.00</c:formatCode>
                <c:ptCount val="12"/>
                <c:pt idx="3">
                  <c:v>1.1373955637183937</c:v>
                </c:pt>
                <c:pt idx="6">
                  <c:v>1.1200307459517007</c:v>
                </c:pt>
                <c:pt idx="7">
                  <c:v>1.1543944220280959</c:v>
                </c:pt>
                <c:pt idx="8">
                  <c:v>0.83001912988796989</c:v>
                </c:pt>
                <c:pt idx="9">
                  <c:v>0.644526241535054</c:v>
                </c:pt>
                <c:pt idx="11">
                  <c:v>2.4192189559966774E-2</c:v>
                </c:pt>
              </c:numCache>
            </c:numRef>
          </c:xVal>
          <c:yVal>
            <c:numRef>
              <c:f>ABCD!$I$9:$I$20</c:f>
              <c:numCache>
                <c:formatCode>0.00</c:formatCode>
                <c:ptCount val="12"/>
                <c:pt idx="3">
                  <c:v>6.450490782229962</c:v>
                </c:pt>
                <c:pt idx="6">
                  <c:v>6.352010006928742</c:v>
                </c:pt>
                <c:pt idx="7">
                  <c:v>5.938844459858367</c:v>
                </c:pt>
                <c:pt idx="8">
                  <c:v>4.270078247997338</c:v>
                </c:pt>
                <c:pt idx="9">
                  <c:v>3.0322575622747978</c:v>
                </c:pt>
                <c:pt idx="11">
                  <c:v>9.7029572627599647E-2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17-3847-9561-14E35660D467}"/>
            </c:ext>
          </c:extLst>
        </c:ser>
        <c:ser>
          <c:idx val="1"/>
          <c:order val="1"/>
          <c:tx>
            <c:v>Motion Fit</c:v>
          </c:tx>
          <c:spPr>
            <a:ln w="12700">
              <a:solidFill>
                <a:srgbClr val="000000"/>
              </a:solidFill>
              <a:prstDash val="solid"/>
              <a:tailEnd type="none"/>
            </a:ln>
          </c:spPr>
          <c:marker>
            <c:symbol val="none"/>
          </c:marker>
          <c:xVal>
            <c:numRef>
              <c:f>ABCD!$M$53:$M$396</c:f>
              <c:numCache>
                <c:formatCode>General</c:formatCode>
                <c:ptCount val="344"/>
                <c:pt idx="0">
                  <c:v>-0.36292719678997498</c:v>
                </c:pt>
                <c:pt idx="1">
                  <c:v>-0.34405459254494541</c:v>
                </c:pt>
                <c:pt idx="2">
                  <c:v>-0.32511954407040822</c:v>
                </c:pt>
                <c:pt idx="3">
                  <c:v>-0.30612647852784702</c:v>
                </c:pt>
                <c:pt idx="4">
                  <c:v>-0.28707983248880931</c:v>
                </c:pt>
                <c:pt idx="5">
                  <c:v>-0.2679840509023057</c:v>
                </c:pt>
                <c:pt idx="6">
                  <c:v>-0.24884358606120394</c:v>
                </c:pt>
                <c:pt idx="7">
                  <c:v>-0.22966289656782468</c:v>
                </c:pt>
                <c:pt idx="8">
                  <c:v>-0.21044644629906584</c:v>
                </c:pt>
                <c:pt idx="9">
                  <c:v>-0.19119870337120037</c:v>
                </c:pt>
                <c:pt idx="10">
                  <c:v>-0.17192413910462578</c:v>
                </c:pt>
                <c:pt idx="11">
                  <c:v>-0.15262722698883691</c:v>
                </c:pt>
                <c:pt idx="12">
                  <c:v>-0.13331244164780243</c:v>
                </c:pt>
                <c:pt idx="13">
                  <c:v>-0.11398425780600707</c:v>
                </c:pt>
                <c:pt idx="14">
                  <c:v>-9.4647149255429053E-2</c:v>
                </c:pt>
                <c:pt idx="15">
                  <c:v>-7.5305587823628617E-2</c:v>
                </c:pt>
                <c:pt idx="16">
                  <c:v>-5.5964042343237708E-2</c:v>
                </c:pt>
                <c:pt idx="17">
                  <c:v>-3.6626977623073653E-2</c:v>
                </c:pt>
                <c:pt idx="18">
                  <c:v>-1.7298853421083393E-2</c:v>
                </c:pt>
                <c:pt idx="19">
                  <c:v>2.015876580597098E-3</c:v>
                </c:pt>
                <c:pt idx="20">
                  <c:v>2.1312765798277677E-2</c:v>
                </c:pt>
                <c:pt idx="21">
                  <c:v>4.0587375766778067E-2</c:v>
                </c:pt>
                <c:pt idx="22">
                  <c:v>5.9835277156703004E-2</c:v>
                </c:pt>
                <c:pt idx="23">
                  <c:v>7.9052050788699368E-2</c:v>
                </c:pt>
                <c:pt idx="24">
                  <c:v>9.8233288644452799E-2</c:v>
                </c:pt>
                <c:pt idx="25">
                  <c:v>0.11737459487419599</c:v>
                </c:pt>
                <c:pt idx="26">
                  <c:v>0.13647158680050353</c:v>
                </c:pt>
                <c:pt idx="27">
                  <c:v>0.15551989591815074</c:v>
                </c:pt>
                <c:pt idx="28">
                  <c:v>0.17451516888978924</c:v>
                </c:pt>
                <c:pt idx="29">
                  <c:v>0.19345306853723399</c:v>
                </c:pt>
                <c:pt idx="30">
                  <c:v>0.21232927482812114</c:v>
                </c:pt>
                <c:pt idx="31">
                  <c:v>0.23113948585772937</c:v>
                </c:pt>
                <c:pt idx="32">
                  <c:v>0.24987941882572784</c:v>
                </c:pt>
                <c:pt idx="33">
                  <c:v>0.26854481100763561</c:v>
                </c:pt>
                <c:pt idx="34">
                  <c:v>0.28713142072077025</c:v>
                </c:pt>
                <c:pt idx="35">
                  <c:v>0.30563502828447797</c:v>
                </c:pt>
                <c:pt idx="36">
                  <c:v>0.32405143697441652</c:v>
                </c:pt>
                <c:pt idx="37">
                  <c:v>0.34237647397067406</c:v>
                </c:pt>
                <c:pt idx="38">
                  <c:v>0.36060599129953053</c:v>
                </c:pt>
                <c:pt idx="39">
                  <c:v>0.3787358667686247</c:v>
                </c:pt>
                <c:pt idx="40">
                  <c:v>0.39676200489533375</c:v>
                </c:pt>
                <c:pt idx="41">
                  <c:v>0.41468033782814873</c:v>
                </c:pt>
                <c:pt idx="42">
                  <c:v>0.43248682626084944</c:v>
                </c:pt>
                <c:pt idx="43">
                  <c:v>0.45017746033926098</c:v>
                </c:pt>
                <c:pt idx="44">
                  <c:v>0.46774826056039265</c:v>
                </c:pt>
                <c:pt idx="45">
                  <c:v>0.48519527866377965</c:v>
                </c:pt>
                <c:pt idx="46">
                  <c:v>0.50251459851478408</c:v>
                </c:pt>
                <c:pt idx="47">
                  <c:v>0.51970233697970647</c:v>
                </c:pt>
                <c:pt idx="48">
                  <c:v>0.53675464479248713</c:v>
                </c:pt>
                <c:pt idx="49">
                  <c:v>0.5536677074127998</c:v>
                </c:pt>
                <c:pt idx="50">
                  <c:v>0.57043774587537532</c:v>
                </c:pt>
                <c:pt idx="51">
                  <c:v>0.58706101763032903</c:v>
                </c:pt>
                <c:pt idx="52">
                  <c:v>0.60353381737434697</c:v>
                </c:pt>
                <c:pt idx="53">
                  <c:v>0.61985247787250142</c:v>
                </c:pt>
                <c:pt idx="54">
                  <c:v>0.6360133707705633</c:v>
                </c:pt>
                <c:pt idx="55">
                  <c:v>0.65201290739760065</c:v>
                </c:pt>
                <c:pt idx="56">
                  <c:v>0.6678475395586787</c:v>
                </c:pt>
                <c:pt idx="57">
                  <c:v>0.68351376031753164</c:v>
                </c:pt>
                <c:pt idx="58">
                  <c:v>0.69900810476898556</c:v>
                </c:pt>
                <c:pt idx="59">
                  <c:v>0.71432715080098808</c:v>
                </c:pt>
                <c:pt idx="60">
                  <c:v>0.7294675198460796</c:v>
                </c:pt>
                <c:pt idx="61">
                  <c:v>0.74442587762212664</c:v>
                </c:pt>
                <c:pt idx="62">
                  <c:v>0.75919893486218726</c:v>
                </c:pt>
                <c:pt idx="63">
                  <c:v>0.77378344803329036</c:v>
                </c:pt>
                <c:pt idx="64">
                  <c:v>0.78817622004405319</c:v>
                </c:pt>
                <c:pt idx="65">
                  <c:v>0.80237410094091866</c:v>
                </c:pt>
                <c:pt idx="66">
                  <c:v>0.81637398859288357</c:v>
                </c:pt>
                <c:pt idx="67">
                  <c:v>0.83017282936457892</c:v>
                </c:pt>
                <c:pt idx="68">
                  <c:v>0.84376761877755468</c:v>
                </c:pt>
                <c:pt idx="69">
                  <c:v>0.85715540215960173</c:v>
                </c:pt>
                <c:pt idx="70">
                  <c:v>0.87033327528202453</c:v>
                </c:pt>
                <c:pt idx="71">
                  <c:v>0.88329838498465829</c:v>
                </c:pt>
                <c:pt idx="72">
                  <c:v>0.89604792978857484</c:v>
                </c:pt>
                <c:pt idx="73">
                  <c:v>0.90857916049626275</c:v>
                </c:pt>
                <c:pt idx="74">
                  <c:v>0.92088938077924332</c:v>
                </c:pt>
                <c:pt idx="75">
                  <c:v>0.93297594775293025</c:v>
                </c:pt>
                <c:pt idx="76">
                  <c:v>0.94483627253862079</c:v>
                </c:pt>
                <c:pt idx="77">
                  <c:v>0.95646782081255899</c:v>
                </c:pt>
                <c:pt idx="78">
                  <c:v>0.96786811334186273</c:v>
                </c:pt>
                <c:pt idx="79">
                  <c:v>0.9790347265072803</c:v>
                </c:pt>
                <c:pt idx="80">
                  <c:v>0.98996529281263523</c:v>
                </c:pt>
                <c:pt idx="81">
                  <c:v>1.000657501380845</c:v>
                </c:pt>
                <c:pt idx="82">
                  <c:v>1.0111090984364459</c:v>
                </c:pt>
                <c:pt idx="83">
                  <c:v>1.0213178877744702</c:v>
                </c:pt>
                <c:pt idx="84">
                  <c:v>1.0312817312156435</c:v>
                </c:pt>
                <c:pt idx="85">
                  <c:v>1.040998549047766</c:v>
                </c:pt>
                <c:pt idx="86">
                  <c:v>1.0504663204531899</c:v>
                </c:pt>
                <c:pt idx="87">
                  <c:v>1.0596830839223286</c:v>
                </c:pt>
                <c:pt idx="88">
                  <c:v>1.0686469376531087</c:v>
                </c:pt>
                <c:pt idx="89">
                  <c:v>1.0773560399362516</c:v>
                </c:pt>
                <c:pt idx="90">
                  <c:v>1.0858086095263864</c:v>
                </c:pt>
                <c:pt idx="91">
                  <c:v>1.0940029259988098</c:v>
                </c:pt>
                <c:pt idx="92">
                  <c:v>1.1019373300919455</c:v>
                </c:pt>
                <c:pt idx="93">
                  <c:v>1.1096102240353214</c:v>
                </c:pt>
                <c:pt idx="94">
                  <c:v>1.1170200718630996</c:v>
                </c:pt>
                <c:pt idx="95">
                  <c:v>1.1241653997130481</c:v>
                </c:pt>
                <c:pt idx="96">
                  <c:v>1.1310447961108698</c:v>
                </c:pt>
                <c:pt idx="97">
                  <c:v>1.1376569122399482</c:v>
                </c:pt>
                <c:pt idx="98">
                  <c:v>1.1440004621963058</c:v>
                </c:pt>
                <c:pt idx="99">
                  <c:v>1.1500742232288663</c:v>
                </c:pt>
                <c:pt idx="100">
                  <c:v>1.1558770359648993</c:v>
                </c:pt>
                <c:pt idx="101">
                  <c:v>1.1614078046206364</c:v>
                </c:pt>
                <c:pt idx="102">
                  <c:v>1.166665497197021</c:v>
                </c:pt>
                <c:pt idx="103">
                  <c:v>1.1716491456605513</c:v>
                </c:pt>
                <c:pt idx="104">
                  <c:v>1.1763578461092001</c:v>
                </c:pt>
                <c:pt idx="105">
                  <c:v>1.1807907589233895</c:v>
                </c:pt>
                <c:pt idx="106">
                  <c:v>1.1849471089019636</c:v>
                </c:pt>
                <c:pt idx="107">
                  <c:v>1.1888261853832027</c:v>
                </c:pt>
                <c:pt idx="108">
                  <c:v>1.1924273423508067</c:v>
                </c:pt>
                <c:pt idx="109">
                  <c:v>1.1957499985248579</c:v>
                </c:pt>
                <c:pt idx="110">
                  <c:v>1.1987936374377945</c:v>
                </c:pt>
                <c:pt idx="111">
                  <c:v>1.2015578074952973</c:v>
                </c:pt>
                <c:pt idx="112">
                  <c:v>1.2040421220222053</c:v>
                </c:pt>
                <c:pt idx="113">
                  <c:v>1.2062462592933425</c:v>
                </c:pt>
                <c:pt idx="114">
                  <c:v>1.2081699625493818</c:v>
                </c:pt>
                <c:pt idx="115">
                  <c:v>1.2098130399976756</c:v>
                </c:pt>
                <c:pt idx="116">
                  <c:v>1.2111753647980534</c:v>
                </c:pt>
                <c:pt idx="117">
                  <c:v>1.2122568750337157</c:v>
                </c:pt>
                <c:pt idx="118">
                  <c:v>1.2130575736670854</c:v>
                </c:pt>
                <c:pt idx="119">
                  <c:v>1.2135775284807757</c:v>
                </c:pt>
                <c:pt idx="120">
                  <c:v>1.2138168720036291</c:v>
                </c:pt>
                <c:pt idx="121">
                  <c:v>1.2137758014218767</c:v>
                </c:pt>
                <c:pt idx="122">
                  <c:v>1.2134545784754578</c:v>
                </c:pt>
                <c:pt idx="123">
                  <c:v>1.2128535293395226</c:v>
                </c:pt>
                <c:pt idx="124">
                  <c:v>1.211973044491172</c:v>
                </c:pt>
                <c:pt idx="125">
                  <c:v>1.2108135785614855</c:v>
                </c:pt>
                <c:pt idx="126">
                  <c:v>1.209375650172841</c:v>
                </c:pt>
                <c:pt idx="127">
                  <c:v>1.2076598417616458</c:v>
                </c:pt>
                <c:pt idx="128">
                  <c:v>1.205666799386474</c:v>
                </c:pt>
                <c:pt idx="129">
                  <c:v>1.2033972325216833</c:v>
                </c:pt>
                <c:pt idx="130">
                  <c:v>1.2008519138366214</c:v>
                </c:pt>
                <c:pt idx="131">
                  <c:v>1.1980316789603762</c:v>
                </c:pt>
                <c:pt idx="132">
                  <c:v>1.1949374262322756</c:v>
                </c:pt>
                <c:pt idx="133">
                  <c:v>1.1915701164380605</c:v>
                </c:pt>
                <c:pt idx="134">
                  <c:v>1.1879307725319497</c:v>
                </c:pt>
                <c:pt idx="135">
                  <c:v>1.1840204793445741</c:v>
                </c:pt>
                <c:pt idx="136">
                  <c:v>1.1798403832768589</c:v>
                </c:pt>
                <c:pt idx="137">
                  <c:v>1.1753916919800409</c:v>
                </c:pt>
                <c:pt idx="138">
                  <c:v>1.1706756740217554</c:v>
                </c:pt>
                <c:pt idx="139">
                  <c:v>1.1656936585384301</c:v>
                </c:pt>
                <c:pt idx="140">
                  <c:v>1.1604470348739446</c:v>
                </c:pt>
                <c:pt idx="141">
                  <c:v>1.1549372522047809</c:v>
                </c:pt>
                <c:pt idx="142">
                  <c:v>1.1491658191516543</c:v>
                </c:pt>
                <c:pt idx="143">
                  <c:v>1.1431343033777863</c:v>
                </c:pt>
                <c:pt idx="144">
                  <c:v>1.1368443311739118</c:v>
                </c:pt>
                <c:pt idx="145">
                  <c:v>1.1302975870301268</c:v>
                </c:pt>
                <c:pt idx="146">
                  <c:v>1.1234958131946735</c:v>
                </c:pt>
                <c:pt idx="147">
                  <c:v>1.1164408092198079</c:v>
                </c:pt>
                <c:pt idx="148">
                  <c:v>1.1091344314948357</c:v>
                </c:pt>
                <c:pt idx="149">
                  <c:v>1.1015785927664405</c:v>
                </c:pt>
                <c:pt idx="150">
                  <c:v>1.0937752616464733</c:v>
                </c:pt>
                <c:pt idx="151">
                  <c:v>1.0857264621072238</c:v>
                </c:pt>
                <c:pt idx="152">
                  <c:v>1.0774342729644346</c:v>
                </c:pt>
                <c:pt idx="153">
                  <c:v>1.0689008273480625</c:v>
                </c:pt>
                <c:pt idx="154">
                  <c:v>1.0601283121610228</c:v>
                </c:pt>
                <c:pt idx="155">
                  <c:v>1.0511189675259711</c:v>
                </c:pt>
                <c:pt idx="156">
                  <c:v>1.0418750862203283</c:v>
                </c:pt>
                <c:pt idx="157">
                  <c:v>1.0323990130996503</c:v>
                </c:pt>
                <c:pt idx="158">
                  <c:v>1.0226931445094651</c:v>
                </c:pt>
                <c:pt idx="159">
                  <c:v>1.0127599276858108</c:v>
                </c:pt>
                <c:pt idx="160">
                  <c:v>1.0026018601444979</c:v>
                </c:pt>
                <c:pt idx="161">
                  <c:v>0.99222148905937213</c:v>
                </c:pt>
                <c:pt idx="162">
                  <c:v>0.98162141062964769</c:v>
                </c:pt>
                <c:pt idx="163">
                  <c:v>0.97080426943647979</c:v>
                </c:pt>
                <c:pt idx="164">
                  <c:v>0.95977275778898652</c:v>
                </c:pt>
                <c:pt idx="165">
                  <c:v>0.94852961505979527</c:v>
                </c:pt>
                <c:pt idx="166">
                  <c:v>0.93707762701035402</c:v>
                </c:pt>
                <c:pt idx="167">
                  <c:v>0.92541962510613618</c:v>
                </c:pt>
                <c:pt idx="168">
                  <c:v>0.91355848582189947</c:v>
                </c:pt>
                <c:pt idx="169">
                  <c:v>0.90149712993718278</c:v>
                </c:pt>
                <c:pt idx="170">
                  <c:v>0.8892385218222385</c:v>
                </c:pt>
                <c:pt idx="171">
                  <c:v>0.8767856687144866</c:v>
                </c:pt>
                <c:pt idx="172">
                  <c:v>0.86414161998578831</c:v>
                </c:pt>
                <c:pt idx="173">
                  <c:v>0.85130946640059424</c:v>
                </c:pt>
                <c:pt idx="174">
                  <c:v>0.83829233936525616</c:v>
                </c:pt>
                <c:pt idx="175">
                  <c:v>0.8250934101685905</c:v>
                </c:pt>
                <c:pt idx="176">
                  <c:v>0.81171588921394466</c:v>
                </c:pt>
                <c:pt idx="177">
                  <c:v>0.79816302524292571</c:v>
                </c:pt>
                <c:pt idx="178">
                  <c:v>0.78443810455094631</c:v>
                </c:pt>
                <c:pt idx="179">
                  <c:v>0.77054445019485662</c:v>
                </c:pt>
                <c:pt idx="180">
                  <c:v>0.75648542119274698</c:v>
                </c:pt>
                <c:pt idx="181">
                  <c:v>0.74226441171622071</c:v>
                </c:pt>
                <c:pt idx="182">
                  <c:v>0.72788485027524708</c:v>
                </c:pt>
                <c:pt idx="183">
                  <c:v>0.71335019889582707</c:v>
                </c:pt>
                <c:pt idx="184">
                  <c:v>0.69866395229067457</c:v>
                </c:pt>
                <c:pt idx="185">
                  <c:v>0.6838296370230772</c:v>
                </c:pt>
                <c:pt idx="186">
                  <c:v>0.6688508106641744</c:v>
                </c:pt>
                <c:pt idx="187">
                  <c:v>0.65373106094382516</c:v>
                </c:pt>
                <c:pt idx="188">
                  <c:v>0.63847400489528727</c:v>
                </c:pt>
                <c:pt idx="189">
                  <c:v>0.62308328799389345</c:v>
                </c:pt>
                <c:pt idx="190">
                  <c:v>0.60756258328993828</c:v>
                </c:pt>
                <c:pt idx="191">
                  <c:v>0.5919155905359812</c:v>
                </c:pt>
                <c:pt idx="192">
                  <c:v>0.57614603530877906</c:v>
                </c:pt>
                <c:pt idx="193">
                  <c:v>0.56025766812601985</c:v>
                </c:pt>
                <c:pt idx="194">
                  <c:v>0.54425426355813356</c:v>
                </c:pt>
                <c:pt idx="195">
                  <c:v>0.52813961933531184</c:v>
                </c:pt>
                <c:pt idx="196">
                  <c:v>0.5119175554500095</c:v>
                </c:pt>
                <c:pt idx="197">
                  <c:v>0.49559191325511209</c:v>
                </c:pt>
                <c:pt idx="198">
                  <c:v>0.47916655455796198</c:v>
                </c:pt>
                <c:pt idx="199">
                  <c:v>0.46264536071051188</c:v>
                </c:pt>
                <c:pt idx="200">
                  <c:v>0.44603223169574813</c:v>
                </c:pt>
                <c:pt idx="201">
                  <c:v>0.42933108521067398</c:v>
                </c:pt>
                <c:pt idx="202">
                  <c:v>0.41254585574599201</c:v>
                </c:pt>
                <c:pt idx="203">
                  <c:v>0.39568049366276625</c:v>
                </c:pt>
                <c:pt idx="204">
                  <c:v>0.37873896426623332</c:v>
                </c:pt>
                <c:pt idx="205">
                  <c:v>0.36172524687700491</c:v>
                </c:pt>
                <c:pt idx="206">
                  <c:v>0.34464333389987178</c:v>
                </c:pt>
                <c:pt idx="207">
                  <c:v>0.32749722989041574</c:v>
                </c:pt>
                <c:pt idx="208">
                  <c:v>0.31029095061966538</c:v>
                </c:pt>
                <c:pt idx="209">
                  <c:v>0.29302852213701103</c:v>
                </c:pt>
                <c:pt idx="210">
                  <c:v>0.27571397983156665</c:v>
                </c:pt>
                <c:pt idx="211">
                  <c:v>0.25835136749224219</c:v>
                </c:pt>
                <c:pt idx="212">
                  <c:v>0.24094473636671587</c:v>
                </c:pt>
                <c:pt idx="213">
                  <c:v>0.22349814421952185</c:v>
                </c:pt>
                <c:pt idx="214">
                  <c:v>0.2060156543895002</c:v>
                </c:pt>
                <c:pt idx="215">
                  <c:v>0.18850133484678633</c:v>
                </c:pt>
                <c:pt idx="216">
                  <c:v>0.1709592572495966</c:v>
                </c:pt>
                <c:pt idx="217">
                  <c:v>0.15339349600100372</c:v>
                </c:pt>
                <c:pt idx="218">
                  <c:v>0.13580812730592351</c:v>
                </c:pt>
                <c:pt idx="219">
                  <c:v>0.11820722822854757</c:v>
                </c:pt>
                <c:pt idx="220">
                  <c:v>0.10059487575040427</c:v>
                </c:pt>
                <c:pt idx="221">
                  <c:v>8.2975145829306651E-2</c:v>
                </c:pt>
                <c:pt idx="222">
                  <c:v>6.5352112459375888E-2</c:v>
                </c:pt>
                <c:pt idx="223">
                  <c:v>4.7729846732355252E-2</c:v>
                </c:pt>
                <c:pt idx="224">
                  <c:v>3.0112415900453104E-2</c:v>
                </c:pt>
                <c:pt idx="225">
                  <c:v>1.2503882440904945E-2</c:v>
                </c:pt>
                <c:pt idx="226">
                  <c:v>-5.0916968775189808E-3</c:v>
                </c:pt>
                <c:pt idx="227">
                  <c:v>-2.2670271925844254E-2</c:v>
                </c:pt>
                <c:pt idx="228">
                  <c:v>-4.0227800143858961E-2</c:v>
                </c:pt>
                <c:pt idx="229">
                  <c:v>-5.7760247466487336E-2</c:v>
                </c:pt>
                <c:pt idx="230">
                  <c:v>-7.5263589247384299E-2</c:v>
                </c:pt>
                <c:pt idx="231">
                  <c:v>-9.2733811179507963E-2</c:v>
                </c:pt>
                <c:pt idx="232">
                  <c:v>-0.11016691021249159</c:v>
                </c:pt>
                <c:pt idx="233">
                  <c:v>-0.12755889546658317</c:v>
                </c:pt>
                <c:pt idx="234">
                  <c:v>-0.14490578914295149</c:v>
                </c:pt>
                <c:pt idx="235">
                  <c:v>-0.16220362743016681</c:v>
                </c:pt>
                <c:pt idx="236">
                  <c:v>-0.17944846140662074</c:v>
                </c:pt>
                <c:pt idx="237">
                  <c:v>-0.19663635793871048</c:v>
                </c:pt>
                <c:pt idx="238">
                  <c:v>-0.21376340057455945</c:v>
                </c:pt>
                <c:pt idx="239">
                  <c:v>-0.23082569043308965</c:v>
                </c:pt>
                <c:pt idx="240">
                  <c:v>-0.24781934708824238</c:v>
                </c:pt>
                <c:pt idx="241">
                  <c:v>-0.26474050944813055</c:v>
                </c:pt>
                <c:pt idx="242">
                  <c:v>-0.28158533662894758</c:v>
                </c:pt>
                <c:pt idx="243">
                  <c:v>-0.29835000882342522</c:v>
                </c:pt>
                <c:pt idx="244">
                  <c:v>-0.3150307281636362</c:v>
                </c:pt>
                <c:pt idx="245">
                  <c:v>-0.33162371957796255</c:v>
                </c:pt>
                <c:pt idx="246">
                  <c:v>-0.34812523164203446</c:v>
                </c:pt>
                <c:pt idx="247">
                  <c:v>-0.36453153742343192</c:v>
                </c:pt>
                <c:pt idx="248">
                  <c:v>-0.38083893531999236</c:v>
                </c:pt>
                <c:pt idx="249">
                  <c:v>-0.39704374989149205</c:v>
                </c:pt>
                <c:pt idx="250">
                  <c:v>-0.41314233268456668</c:v>
                </c:pt>
                <c:pt idx="251">
                  <c:v>-0.42913106305063753</c:v>
                </c:pt>
                <c:pt idx="252">
                  <c:v>-0.44500634895669444</c:v>
                </c:pt>
                <c:pt idx="253">
                  <c:v>-0.46076462778874738</c:v>
                </c:pt>
                <c:pt idx="254">
                  <c:v>-0.47640236714775286</c:v>
                </c:pt>
                <c:pt idx="255">
                  <c:v>-0.49191606563786161</c:v>
                </c:pt>
                <c:pt idx="256">
                  <c:v>-0.50730225364678505</c:v>
                </c:pt>
                <c:pt idx="257">
                  <c:v>-0.52255749411814101</c:v>
                </c:pt>
                <c:pt idx="258">
                  <c:v>-0.53767838331557627</c:v>
                </c:pt>
                <c:pt idx="259">
                  <c:v>-0.55266155157851449</c:v>
                </c:pt>
                <c:pt idx="260">
                  <c:v>-0.56750366406935893</c:v>
                </c:pt>
                <c:pt idx="261">
                  <c:v>-0.58220142151198351</c:v>
                </c:pt>
                <c:pt idx="262">
                  <c:v>-0.59675156092134429</c:v>
                </c:pt>
                <c:pt idx="263">
                  <c:v>-0.61115085632407373</c:v>
                </c:pt>
                <c:pt idx="264">
                  <c:v>-0.62539611946986806</c:v>
                </c:pt>
                <c:pt idx="265">
                  <c:v>-0.63948420053352528</c:v>
                </c:pt>
                <c:pt idx="266">
                  <c:v>-0.65341198880749207</c:v>
                </c:pt>
                <c:pt idx="267">
                  <c:v>-0.66717641338475664</c:v>
                </c:pt>
                <c:pt idx="268">
                  <c:v>-0.68077444383192587</c:v>
                </c:pt>
                <c:pt idx="269">
                  <c:v>-0.69420309085237486</c:v>
                </c:pt>
                <c:pt idx="270">
                  <c:v>-0.70745940693928411</c:v>
                </c:pt>
                <c:pt idx="271">
                  <c:v>-0.72054048701845907</c:v>
                </c:pt>
                <c:pt idx="272">
                  <c:v>-0.73344346908075875</c:v>
                </c:pt>
                <c:pt idx="273">
                  <c:v>-0.74616553480403169</c:v>
                </c:pt>
                <c:pt idx="274">
                  <c:v>-0.75870391016440086</c:v>
                </c:pt>
                <c:pt idx="275">
                  <c:v>-0.77105586603676701</c:v>
                </c:pt>
                <c:pt idx="276">
                  <c:v>-0.78321871878440885</c:v>
                </c:pt>
                <c:pt idx="277">
                  <c:v>-0.79518983083756489</c:v>
                </c:pt>
                <c:pt idx="278">
                  <c:v>-0.80696661126084712</c:v>
                </c:pt>
                <c:pt idx="279">
                  <c:v>-0.81854651630938036</c:v>
                </c:pt>
                <c:pt idx="280">
                  <c:v>-0.82992704997355449</c:v>
                </c:pt>
                <c:pt idx="281">
                  <c:v>-0.84110576451226216</c:v>
                </c:pt>
                <c:pt idx="282">
                  <c:v>-0.8520802609745175</c:v>
                </c:pt>
                <c:pt idx="283">
                  <c:v>-0.86284818970933586</c:v>
                </c:pt>
                <c:pt idx="284">
                  <c:v>-0.87340725086378534</c:v>
                </c:pt>
                <c:pt idx="285">
                  <c:v>-0.88375519486908982</c:v>
                </c:pt>
                <c:pt idx="286">
                  <c:v>-0.89388982291468033</c:v>
                </c:pt>
                <c:pt idx="287">
                  <c:v>-0.90380898741011562</c:v>
                </c:pt>
                <c:pt idx="288">
                  <c:v>-0.91351059243475308</c:v>
                </c:pt>
                <c:pt idx="289">
                  <c:v>-0.92299259417509094</c:v>
                </c:pt>
                <c:pt idx="290">
                  <c:v>-0.93225300134969302</c:v>
                </c:pt>
                <c:pt idx="291">
                  <c:v>-0.94128987562159572</c:v>
                </c:pt>
                <c:pt idx="292">
                  <c:v>-0.95010133199813085</c:v>
                </c:pt>
                <c:pt idx="293">
                  <c:v>-0.9586855392180702</c:v>
                </c:pt>
                <c:pt idx="294">
                  <c:v>-0.96704072012601772</c:v>
                </c:pt>
                <c:pt idx="295">
                  <c:v>-0.9751651520339788</c:v>
                </c:pt>
                <c:pt idx="296">
                  <c:v>-0.9830571670700281</c:v>
                </c:pt>
                <c:pt idx="297">
                  <c:v>-0.99071515251400899</c:v>
                </c:pt>
                <c:pt idx="298">
                  <c:v>-0.99813755112020319</c:v>
                </c:pt>
                <c:pt idx="299">
                  <c:v>-1.0053228614269065</c:v>
                </c:pt>
                <c:pt idx="300">
                  <c:v>-1.0122696380528331</c:v>
                </c:pt>
                <c:pt idx="301">
                  <c:v>-1.0189764919803308</c:v>
                </c:pt>
                <c:pt idx="302">
                  <c:v>-1.0254420908253148</c:v>
                </c:pt>
                <c:pt idx="303">
                  <c:v>-1.0316651590938877</c:v>
                </c:pt>
                <c:pt idx="304">
                  <c:v>-1.0376444784255985</c:v>
                </c:pt>
                <c:pt idx="305">
                  <c:v>-1.0433788878233001</c:v>
                </c:pt>
                <c:pt idx="306">
                  <c:v>-1.0488672838695372</c:v>
                </c:pt>
                <c:pt idx="307">
                  <c:v>-1.054108620929475</c:v>
                </c:pt>
                <c:pt idx="308">
                  <c:v>-1.0591019113402873</c:v>
                </c:pt>
                <c:pt idx="309">
                  <c:v>-1.0638462255869996</c:v>
                </c:pt>
                <c:pt idx="310">
                  <c:v>-1.0683406924647538</c:v>
                </c:pt>
                <c:pt idx="311">
                  <c:v>-1.0725844992274525</c:v>
                </c:pt>
                <c:pt idx="312">
                  <c:v>-1.0765768917227954</c:v>
                </c:pt>
                <c:pt idx="313">
                  <c:v>-1.0803171745136535</c:v>
                </c:pt>
                <c:pt idx="314">
                  <c:v>-1.0838047109857838</c:v>
                </c:pt>
                <c:pt idx="315">
                  <c:v>-1.0870389234418711</c:v>
                </c:pt>
                <c:pt idx="316">
                  <c:v>-1.0900192931818831</c:v>
                </c:pt>
                <c:pt idx="317">
                  <c:v>-1.0927453605697315</c:v>
                </c:pt>
                <c:pt idx="318">
                  <c:v>-1.0952167250862439</c:v>
                </c:pt>
                <c:pt idx="319">
                  <c:v>-1.097433045368436</c:v>
                </c:pt>
                <c:pt idx="320">
                  <c:v>-1.0993940392351031</c:v>
                </c:pt>
                <c:pt idx="321">
                  <c:v>-1.1010994836987056</c:v>
                </c:pt>
                <c:pt idx="322">
                  <c:v>-1.1025492149636067</c:v>
                </c:pt>
                <c:pt idx="323">
                  <c:v>-1.1037431284106276</c:v>
                </c:pt>
                <c:pt idx="324">
                  <c:v>-1.1046811785679658</c:v>
                </c:pt>
                <c:pt idx="325">
                  <c:v>-1.1053633790684798</c:v>
                </c:pt>
                <c:pt idx="326">
                  <c:v>-1.1057898025933763</c:v>
                </c:pt>
                <c:pt idx="327">
                  <c:v>-1.1059605808023096</c:v>
                </c:pt>
                <c:pt idx="328">
                  <c:v>-1.1058759042499329</c:v>
                </c:pt>
                <c:pt idx="329">
                  <c:v>-1.1055360222889299</c:v>
                </c:pt>
                <c:pt idx="330">
                  <c:v>-1.1049412429595575</c:v>
                </c:pt>
                <c:pt idx="331">
                  <c:v>-1.1040919328657484</c:v>
                </c:pt>
                <c:pt idx="332">
                  <c:v>-1.1029885170377887</c:v>
                </c:pt>
                <c:pt idx="333">
                  <c:v>-1.1016314787816548</c:v>
                </c:pt>
                <c:pt idx="334">
                  <c:v>-1.1000213595150163</c:v>
                </c:pt>
                <c:pt idx="335">
                  <c:v>-1.0981587585899792</c:v>
                </c:pt>
                <c:pt idx="336">
                  <c:v>-1.0960443331026131</c:v>
                </c:pt>
                <c:pt idx="337">
                  <c:v>-1.0936787976893185</c:v>
                </c:pt>
                <c:pt idx="338">
                  <c:v>-1.0910629243101</c:v>
                </c:pt>
                <c:pt idx="339">
                  <c:v>-1.0881975420187944</c:v>
                </c:pt>
                <c:pt idx="340">
                  <c:v>-1.0850835367203309</c:v>
                </c:pt>
                <c:pt idx="341">
                  <c:v>-1.0817218509150901</c:v>
                </c:pt>
                <c:pt idx="342">
                  <c:v>-1.0781134834304109</c:v>
                </c:pt>
                <c:pt idx="343">
                  <c:v>-1.0742594891393615</c:v>
                </c:pt>
              </c:numCache>
            </c:numRef>
          </c:xVal>
          <c:yVal>
            <c:numRef>
              <c:f>ABCD!$L$53:$L$396</c:f>
              <c:numCache>
                <c:formatCode>General</c:formatCode>
                <c:ptCount val="344"/>
                <c:pt idx="0">
                  <c:v>-1.64856088032918</c:v>
                </c:pt>
                <c:pt idx="1">
                  <c:v>-1.5437975191187505</c:v>
                </c:pt>
                <c:pt idx="2">
                  <c:v>-1.4387720306371208</c:v>
                </c:pt>
                <c:pt idx="3">
                  <c:v>-1.333508894889436</c:v>
                </c:pt>
                <c:pt idx="4">
                  <c:v>-1.2280326247174935</c:v>
                </c:pt>
                <c:pt idx="5">
                  <c:v>-1.1223677601116364</c:v>
                </c:pt>
                <c:pt idx="6">
                  <c:v>-1.0165388625215166</c:v>
                </c:pt>
                <c:pt idx="7">
                  <c:v>-0.91057050916693838</c:v>
                </c:pt>
                <c:pt idx="8">
                  <c:v>-0.80448728735029973</c:v>
                </c:pt>
                <c:pt idx="9">
                  <c:v>-0.6983137887717531</c:v>
                </c:pt>
                <c:pt idx="10">
                  <c:v>-0.5920746038484308</c:v>
                </c:pt>
                <c:pt idx="11">
                  <c:v>-0.48579431603916945</c:v>
                </c:pt>
                <c:pt idx="12">
                  <c:v>-0.37949749617589673</c:v>
                </c:pt>
                <c:pt idx="13">
                  <c:v>-0.27320869680297805</c:v>
                </c:pt>
                <c:pt idx="14">
                  <c:v>-0.16695244652600794</c:v>
                </c:pt>
                <c:pt idx="15">
                  <c:v>-6.0753244371085646E-2</c:v>
                </c:pt>
                <c:pt idx="16">
                  <c:v>4.5364445843963375E-2</c:v>
                </c:pt>
                <c:pt idx="17">
                  <c:v>0.15137620112511418</c:v>
                </c:pt>
                <c:pt idx="18">
                  <c:v>0.25725764490330238</c:v>
                </c:pt>
                <c:pt idx="19">
                  <c:v>0.36298445261975393</c:v>
                </c:pt>
                <c:pt idx="20">
                  <c:v>0.46853235729429871</c:v>
                </c:pt>
                <c:pt idx="21">
                  <c:v>0.57387715507539483</c:v>
                </c:pt>
                <c:pt idx="22">
                  <c:v>0.67899471077058393</c:v>
                </c:pt>
                <c:pt idx="23">
                  <c:v>0.78386096335611288</c:v>
                </c:pt>
                <c:pt idx="24">
                  <c:v>0.88845193146449397</c:v>
                </c:pt>
                <c:pt idx="25">
                  <c:v>0.99274371884871593</c:v>
                </c:pt>
                <c:pt idx="26">
                  <c:v>1.0967125198219192</c:v>
                </c:pt>
                <c:pt idx="27">
                  <c:v>1.2003346246712663</c:v>
                </c:pt>
                <c:pt idx="28">
                  <c:v>1.3035864250447471</c:v>
                </c:pt>
                <c:pt idx="29">
                  <c:v>1.4064444193098069</c:v>
                </c:pt>
                <c:pt idx="30">
                  <c:v>1.5088852178824685</c:v>
                </c:pt>
                <c:pt idx="31">
                  <c:v>1.61088554852581</c:v>
                </c:pt>
                <c:pt idx="32">
                  <c:v>1.7124222616165938</c:v>
                </c:pt>
                <c:pt idx="33">
                  <c:v>1.813472335378842</c:v>
                </c:pt>
                <c:pt idx="34">
                  <c:v>1.9140128810832056</c:v>
                </c:pt>
                <c:pt idx="35">
                  <c:v>2.0140211482109178</c:v>
                </c:pt>
                <c:pt idx="36">
                  <c:v>2.113474529581242</c:v>
                </c:pt>
                <c:pt idx="37">
                  <c:v>2.2123505664411698</c:v>
                </c:pt>
                <c:pt idx="38">
                  <c:v>2.3106269535162975</c:v>
                </c:pt>
                <c:pt idx="39">
                  <c:v>2.4082815440217495</c:v>
                </c:pt>
                <c:pt idx="40">
                  <c:v>2.5052923546319756</c:v>
                </c:pt>
                <c:pt idx="41">
                  <c:v>2.6016375704083594</c:v>
                </c:pt>
                <c:pt idx="42">
                  <c:v>2.6972955496835258</c:v>
                </c:pt>
                <c:pt idx="43">
                  <c:v>2.7922448289012523</c:v>
                </c:pt>
                <c:pt idx="44">
                  <c:v>2.8864641274109091</c:v>
                </c:pt>
                <c:pt idx="45">
                  <c:v>2.9799323522153651</c:v>
                </c:pt>
                <c:pt idx="46">
                  <c:v>3.0726286026713101</c:v>
                </c:pt>
                <c:pt idx="47">
                  <c:v>3.1645321751409483</c:v>
                </c:pt>
                <c:pt idx="48">
                  <c:v>3.2556225675939969</c:v>
                </c:pt>
                <c:pt idx="49">
                  <c:v>3.3458794841590711</c:v>
                </c:pt>
                <c:pt idx="50">
                  <c:v>3.4352828396233006</c:v>
                </c:pt>
                <c:pt idx="51">
                  <c:v>3.5238127638793548</c:v>
                </c:pt>
                <c:pt idx="52">
                  <c:v>3.6114496063187396</c:v>
                </c:pt>
                <c:pt idx="53">
                  <c:v>3.6981739401705367</c:v>
                </c:pt>
                <c:pt idx="54">
                  <c:v>3.7839665667845104</c:v>
                </c:pt>
                <c:pt idx="55">
                  <c:v>3.8688085198577293</c:v>
                </c:pt>
                <c:pt idx="56">
                  <c:v>3.9526810696037771</c:v>
                </c:pt>
                <c:pt idx="57">
                  <c:v>4.0355657268635587</c:v>
                </c:pt>
                <c:pt idx="58">
                  <c:v>4.1174442471568957</c:v>
                </c:pt>
                <c:pt idx="59">
                  <c:v>4.1982986346740034</c:v>
                </c:pt>
                <c:pt idx="60">
                  <c:v>4.278111146205946</c:v>
                </c:pt>
                <c:pt idx="61">
                  <c:v>4.3568642950132714</c:v>
                </c:pt>
                <c:pt idx="62">
                  <c:v>4.4345408546319316</c:v>
                </c:pt>
                <c:pt idx="63">
                  <c:v>4.5111238626157419</c:v>
                </c:pt>
                <c:pt idx="64">
                  <c:v>4.5865966242144829</c:v>
                </c:pt>
                <c:pt idx="65">
                  <c:v>4.6609427159869119</c:v>
                </c:pt>
                <c:pt idx="66">
                  <c:v>4.7341459893479154</c:v>
                </c:pt>
                <c:pt idx="67">
                  <c:v>4.8061905740490083</c:v>
                </c:pt>
                <c:pt idx="68">
                  <c:v>4.8770608815914196</c:v>
                </c:pt>
                <c:pt idx="69">
                  <c:v>4.9467416085711413</c:v>
                </c:pt>
                <c:pt idx="70">
                  <c:v>5.0152177399550713</c:v>
                </c:pt>
                <c:pt idx="71">
                  <c:v>5.0824745522877102</c:v>
                </c:pt>
                <c:pt idx="72">
                  <c:v>5.1484976168276209</c:v>
                </c:pt>
                <c:pt idx="73">
                  <c:v>5.213272802613071</c:v>
                </c:pt>
                <c:pt idx="74">
                  <c:v>5.2767862794561413</c:v>
                </c:pt>
                <c:pt idx="75">
                  <c:v>5.3390245208647222</c:v>
                </c:pt>
                <c:pt idx="76">
                  <c:v>5.3999743068918082</c:v>
                </c:pt>
                <c:pt idx="77">
                  <c:v>5.4596227269114008</c:v>
                </c:pt>
                <c:pt idx="78">
                  <c:v>5.5179571823205791</c:v>
                </c:pt>
                <c:pt idx="79">
                  <c:v>5.5749653891670636</c:v>
                </c:pt>
                <c:pt idx="80">
                  <c:v>5.6306353807018024</c:v>
                </c:pt>
                <c:pt idx="81">
                  <c:v>5.6849555098560405</c:v>
                </c:pt>
                <c:pt idx="82">
                  <c:v>5.7379144516423377</c:v>
                </c:pt>
                <c:pt idx="83">
                  <c:v>5.7895012054791337</c:v>
                </c:pt>
                <c:pt idx="84">
                  <c:v>5.8397050974382694</c:v>
                </c:pt>
                <c:pt idx="85">
                  <c:v>5.8885157824151193</c:v>
                </c:pt>
                <c:pt idx="86">
                  <c:v>5.9359232462208684</c:v>
                </c:pt>
                <c:pt idx="87">
                  <c:v>5.9819178075964974</c:v>
                </c:pt>
                <c:pt idx="88">
                  <c:v>6.0264901201481198</c:v>
                </c:pt>
                <c:pt idx="89">
                  <c:v>6.0696311742032698</c:v>
                </c:pt>
                <c:pt idx="90">
                  <c:v>6.1113322985877829</c:v>
                </c:pt>
                <c:pt idx="91">
                  <c:v>6.151585162322962</c:v>
                </c:pt>
                <c:pt idx="92">
                  <c:v>6.1903817762426545</c:v>
                </c:pt>
                <c:pt idx="93">
                  <c:v>6.2277144945300087</c:v>
                </c:pt>
                <c:pt idx="94">
                  <c:v>6.2635760161735483</c:v>
                </c:pt>
                <c:pt idx="95">
                  <c:v>6.2979593863423613</c:v>
                </c:pt>
                <c:pt idx="96">
                  <c:v>6.3308579976801571</c:v>
                </c:pt>
                <c:pt idx="97">
                  <c:v>6.3622655915179038</c:v>
                </c:pt>
                <c:pt idx="98">
                  <c:v>6.3921762590049287</c:v>
                </c:pt>
                <c:pt idx="99">
                  <c:v>6.4205844421582192</c:v>
                </c:pt>
                <c:pt idx="100">
                  <c:v>6.4474849348297951</c:v>
                </c:pt>
                <c:pt idx="101">
                  <c:v>6.4728728835919958</c:v>
                </c:pt>
                <c:pt idx="102">
                  <c:v>6.4967437885405435</c:v>
                </c:pt>
                <c:pt idx="103">
                  <c:v>6.5190935040152773</c:v>
                </c:pt>
                <c:pt idx="104">
                  <c:v>6.5399182392384674</c:v>
                </c:pt>
                <c:pt idx="105">
                  <c:v>6.5592145588706288</c:v>
                </c:pt>
                <c:pt idx="106">
                  <c:v>6.5769793834837929</c:v>
                </c:pt>
                <c:pt idx="107">
                  <c:v>6.5932099899521841</c:v>
                </c:pt>
                <c:pt idx="108">
                  <c:v>6.6079040117603052</c:v>
                </c:pt>
                <c:pt idx="109">
                  <c:v>6.6210594392284232</c:v>
                </c:pt>
                <c:pt idx="110">
                  <c:v>6.6326746196554716</c:v>
                </c:pt>
                <c:pt idx="111">
                  <c:v>6.6427482573794325</c:v>
                </c:pt>
                <c:pt idx="112">
                  <c:v>6.6512794137552298</c:v>
                </c:pt>
                <c:pt idx="113">
                  <c:v>6.6582675070502502</c:v>
                </c:pt>
                <c:pt idx="114">
                  <c:v>6.6637123122575375</c:v>
                </c:pt>
                <c:pt idx="115">
                  <c:v>6.6676139608268352</c:v>
                </c:pt>
                <c:pt idx="116">
                  <c:v>6.6699729403135777</c:v>
                </c:pt>
                <c:pt idx="117">
                  <c:v>6.6707900939459801</c:v>
                </c:pt>
                <c:pt idx="118">
                  <c:v>6.6700666201104362</c:v>
                </c:pt>
                <c:pt idx="119">
                  <c:v>6.6678040717553806</c:v>
                </c:pt>
                <c:pt idx="120">
                  <c:v>6.6640043557138355</c:v>
                </c:pt>
                <c:pt idx="121">
                  <c:v>6.6586697319448946</c:v>
                </c:pt>
                <c:pt idx="122">
                  <c:v>6.6518028126943474</c:v>
                </c:pt>
                <c:pt idx="123">
                  <c:v>6.6434065615747588</c:v>
                </c:pt>
                <c:pt idx="124">
                  <c:v>6.6334842925652602</c:v>
                </c:pt>
                <c:pt idx="125">
                  <c:v>6.6220396689313494</c:v>
                </c:pt>
                <c:pt idx="126">
                  <c:v>6.6090767020650496</c:v>
                </c:pt>
                <c:pt idx="127">
                  <c:v>6.5945997502457399</c:v>
                </c:pt>
                <c:pt idx="128">
                  <c:v>6.5786135173220286</c:v>
                </c:pt>
                <c:pt idx="129">
                  <c:v>6.5611230513150343</c:v>
                </c:pt>
                <c:pt idx="130">
                  <c:v>6.5421337429434914</c:v>
                </c:pt>
                <c:pt idx="131">
                  <c:v>6.5216513240710459</c:v>
                </c:pt>
                <c:pt idx="132">
                  <c:v>6.499681866076223</c:v>
                </c:pt>
                <c:pt idx="133">
                  <c:v>6.476231778145479</c:v>
                </c:pt>
                <c:pt idx="134">
                  <c:v>6.4513078054898019</c:v>
                </c:pt>
                <c:pt idx="135">
                  <c:v>6.4249170274853551</c:v>
                </c:pt>
                <c:pt idx="136">
                  <c:v>6.3970668557386574</c:v>
                </c:pt>
                <c:pt idx="137">
                  <c:v>6.3677650320768002</c:v>
                </c:pt>
                <c:pt idx="138">
                  <c:v>6.3370196264632561</c:v>
                </c:pt>
                <c:pt idx="139">
                  <c:v>6.3048390348398113</c:v>
                </c:pt>
                <c:pt idx="140">
                  <c:v>6.2712319768951801</c:v>
                </c:pt>
                <c:pt idx="141">
                  <c:v>6.2362074937609115</c:v>
                </c:pt>
                <c:pt idx="142">
                  <c:v>6.1997749456351521</c:v>
                </c:pt>
                <c:pt idx="143">
                  <c:v>6.1619440093348921</c:v>
                </c:pt>
                <c:pt idx="144">
                  <c:v>6.1227246757773433</c:v>
                </c:pt>
                <c:pt idx="145">
                  <c:v>6.0821272473910435</c:v>
                </c:pt>
                <c:pt idx="146">
                  <c:v>6.0401623354574188</c:v>
                </c:pt>
                <c:pt idx="147">
                  <c:v>5.996840857383404</c:v>
                </c:pt>
                <c:pt idx="148">
                  <c:v>5.9521740339058766</c:v>
                </c:pt>
                <c:pt idx="149">
                  <c:v>5.9061733862285735</c:v>
                </c:pt>
                <c:pt idx="150">
                  <c:v>5.858850733092229</c:v>
                </c:pt>
                <c:pt idx="151">
                  <c:v>5.8102181877786538</c:v>
                </c:pt>
                <c:pt idx="152">
                  <c:v>5.7602881550495315</c:v>
                </c:pt>
                <c:pt idx="153">
                  <c:v>5.709073328020672</c:v>
                </c:pt>
                <c:pt idx="154">
                  <c:v>5.6565866849725213</c:v>
                </c:pt>
                <c:pt idx="155">
                  <c:v>5.6028414860976987</c:v>
                </c:pt>
                <c:pt idx="156">
                  <c:v>5.5478512701864027</c:v>
                </c:pt>
                <c:pt idx="157">
                  <c:v>5.4916298512504795</c:v>
                </c:pt>
                <c:pt idx="158">
                  <c:v>5.4341913150869807</c:v>
                </c:pt>
                <c:pt idx="159">
                  <c:v>5.3755500157820997</c:v>
                </c:pt>
                <c:pt idx="160">
                  <c:v>5.3157205721562946</c:v>
                </c:pt>
                <c:pt idx="161">
                  <c:v>5.2547178641515213</c:v>
                </c:pt>
                <c:pt idx="162">
                  <c:v>5.1925570291614225</c:v>
                </c:pt>
                <c:pt idx="163">
                  <c:v>5.1292534583053957</c:v>
                </c:pt>
                <c:pt idx="164">
                  <c:v>5.0648227926474396</c:v>
                </c:pt>
                <c:pt idx="165">
                  <c:v>4.9992809193607002</c:v>
                </c:pt>
                <c:pt idx="166">
                  <c:v>4.9326439678386675</c:v>
                </c:pt>
                <c:pt idx="167">
                  <c:v>4.8649283057539456</c:v>
                </c:pt>
                <c:pt idx="168">
                  <c:v>4.7961505350655678</c:v>
                </c:pt>
                <c:pt idx="169">
                  <c:v>4.7263274879758139</c:v>
                </c:pt>
                <c:pt idx="170">
                  <c:v>4.655476222837529</c:v>
                </c:pt>
                <c:pt idx="171">
                  <c:v>4.5836140200129067</c:v>
                </c:pt>
                <c:pt idx="172">
                  <c:v>4.5107583776847555</c:v>
                </c:pt>
                <c:pt idx="173">
                  <c:v>4.4369270076212484</c:v>
                </c:pt>
                <c:pt idx="174">
                  <c:v>4.3621378308951755</c:v>
                </c:pt>
                <c:pt idx="175">
                  <c:v>4.2864089735587321</c:v>
                </c:pt>
                <c:pt idx="176">
                  <c:v>4.2097587622748982</c:v>
                </c:pt>
                <c:pt idx="177">
                  <c:v>4.1322057199064091</c:v>
                </c:pt>
                <c:pt idx="178">
                  <c:v>4.0537685610634213</c:v>
                </c:pt>
                <c:pt idx="179">
                  <c:v>3.9744661876109229</c:v>
                </c:pt>
                <c:pt idx="180">
                  <c:v>3.894317684136936</c:v>
                </c:pt>
                <c:pt idx="181">
                  <c:v>3.8133423133826545</c:v>
                </c:pt>
                <c:pt idx="182">
                  <c:v>3.7315595116355311</c:v>
                </c:pt>
                <c:pt idx="183">
                  <c:v>3.648988884086473</c:v>
                </c:pt>
                <c:pt idx="184">
                  <c:v>3.5656502001522066</c:v>
                </c:pt>
                <c:pt idx="185">
                  <c:v>3.4815633887639477</c:v>
                </c:pt>
                <c:pt idx="186">
                  <c:v>3.3967485336234913</c:v>
                </c:pt>
                <c:pt idx="187">
                  <c:v>3.3112258684278331</c:v>
                </c:pt>
                <c:pt idx="188">
                  <c:v>3.2250157720634727</c:v>
                </c:pt>
                <c:pt idx="189">
                  <c:v>3.1381387637715057</c:v>
                </c:pt>
                <c:pt idx="190">
                  <c:v>3.0506154982846914</c:v>
                </c:pt>
                <c:pt idx="191">
                  <c:v>2.9624667609375943</c:v>
                </c:pt>
                <c:pt idx="192">
                  <c:v>2.8737134627509988</c:v>
                </c:pt>
                <c:pt idx="193">
                  <c:v>2.7843766354916943</c:v>
                </c:pt>
                <c:pt idx="194">
                  <c:v>2.6944774267088976</c:v>
                </c:pt>
                <c:pt idx="195">
                  <c:v>2.6040370947483256</c:v>
                </c:pt>
                <c:pt idx="196">
                  <c:v>2.513077003745261</c:v>
                </c:pt>
                <c:pt idx="197">
                  <c:v>2.4216186185976536</c:v>
                </c:pt>
                <c:pt idx="198">
                  <c:v>2.3296834999204785</c:v>
                </c:pt>
                <c:pt idx="199">
                  <c:v>2.2372932989825869</c:v>
                </c:pt>
                <c:pt idx="200">
                  <c:v>2.1444697526271126</c:v>
                </c:pt>
                <c:pt idx="201">
                  <c:v>2.0512346781767663</c:v>
                </c:pt>
                <c:pt idx="202">
                  <c:v>1.9576099683250852</c:v>
                </c:pt>
                <c:pt idx="203">
                  <c:v>1.8636175860148994</c:v>
                </c:pt>
                <c:pt idx="204">
                  <c:v>1.7692795593051982</c:v>
                </c:pt>
                <c:pt idx="205">
                  <c:v>1.674617976227547</c:v>
                </c:pt>
                <c:pt idx="206">
                  <c:v>1.5796549796333448</c:v>
                </c:pt>
                <c:pt idx="207">
                  <c:v>1.4844127620329912</c:v>
                </c:pt>
                <c:pt idx="208">
                  <c:v>1.3889135604282903</c:v>
                </c:pt>
                <c:pt idx="209">
                  <c:v>1.2931796511392286</c:v>
                </c:pt>
                <c:pt idx="210">
                  <c:v>1.1972333446262815</c:v>
                </c:pt>
                <c:pt idx="211">
                  <c:v>1.1010969803095543</c:v>
                </c:pt>
                <c:pt idx="212">
                  <c:v>1.0047929213858702</c:v>
                </c:pt>
                <c:pt idx="213">
                  <c:v>0.90834354964501707</c:v>
                </c:pt>
                <c:pt idx="214">
                  <c:v>0.81177126028642455</c:v>
                </c:pt>
                <c:pt idx="215">
                  <c:v>0.71509845673732197</c:v>
                </c:pt>
                <c:pt idx="216">
                  <c:v>0.61834754547374304</c:v>
                </c:pt>
                <c:pt idx="217">
                  <c:v>0.52154093084543218</c:v>
                </c:pt>
                <c:pt idx="218">
                  <c:v>0.4247010099059077</c:v>
                </c:pt>
                <c:pt idx="219">
                  <c:v>0.3278501672488866</c:v>
                </c:pt>
                <c:pt idx="220">
                  <c:v>0.23101076985217589</c:v>
                </c:pt>
                <c:pt idx="221">
                  <c:v>0.13420516193033949</c:v>
                </c:pt>
                <c:pt idx="222">
                  <c:v>3.7455659797185903E-2</c:v>
                </c:pt>
                <c:pt idx="223">
                  <c:v>-5.9215453260642814E-2</c:v>
                </c:pt>
                <c:pt idx="224">
                  <c:v>-0.15578593209784986</c:v>
                </c:pt>
                <c:pt idx="225">
                  <c:v>-0.25223357481128889</c:v>
                </c:pt>
                <c:pt idx="226">
                  <c:v>-0.34853622782614058</c:v>
                </c:pt>
                <c:pt idx="227">
                  <c:v>-0.44467179096643183</c:v>
                </c:pt>
                <c:pt idx="228">
                  <c:v>-0.54061822250860447</c:v>
                </c:pt>
                <c:pt idx="229">
                  <c:v>-0.63635354421705026</c:v>
                </c:pt>
                <c:pt idx="230">
                  <c:v>-0.73185584636051737</c:v>
                </c:pt>
                <c:pt idx="231">
                  <c:v>-0.82710329270810912</c:v>
                </c:pt>
                <c:pt idx="232">
                  <c:v>-0.92207412550389389</c:v>
                </c:pt>
                <c:pt idx="233">
                  <c:v>-1.016746670418887</c:v>
                </c:pt>
                <c:pt idx="234">
                  <c:v>-1.1110993414792967</c:v>
                </c:pt>
                <c:pt idx="235">
                  <c:v>-1.2051106459700194</c:v>
                </c:pt>
                <c:pt idx="236">
                  <c:v>-1.2987591893121022</c:v>
                </c:pt>
                <c:pt idx="237">
                  <c:v>-1.3920236799132266</c:v>
                </c:pt>
                <c:pt idx="238">
                  <c:v>-1.4848829339900436</c:v>
                </c:pt>
                <c:pt idx="239">
                  <c:v>-1.5773158803612493</c:v>
                </c:pt>
                <c:pt idx="240">
                  <c:v>-1.6693015652104277</c:v>
                </c:pt>
                <c:pt idx="241">
                  <c:v>-1.7608191568174159</c:v>
                </c:pt>
                <c:pt idx="242">
                  <c:v>-1.8518479502573344</c:v>
                </c:pt>
                <c:pt idx="243">
                  <c:v>-1.9423673720660433</c:v>
                </c:pt>
                <c:pt idx="244">
                  <c:v>-2.0323569848710723</c:v>
                </c:pt>
                <c:pt idx="245">
                  <c:v>-2.1217964919870109</c:v>
                </c:pt>
                <c:pt idx="246">
                  <c:v>-2.2106657419742164</c:v>
                </c:pt>
                <c:pt idx="247">
                  <c:v>-2.2989447331599688</c:v>
                </c:pt>
                <c:pt idx="248">
                  <c:v>-2.386613618120935</c:v>
                </c:pt>
                <c:pt idx="249">
                  <c:v>-2.4736527081259845</c:v>
                </c:pt>
                <c:pt idx="250">
                  <c:v>-2.5600424775384365</c:v>
                </c:pt>
                <c:pt idx="251">
                  <c:v>-2.6457635681766249</c:v>
                </c:pt>
                <c:pt idx="252">
                  <c:v>-2.730796793631955</c:v>
                </c:pt>
                <c:pt idx="253">
                  <c:v>-2.8151231435433628</c:v>
                </c:pt>
                <c:pt idx="254">
                  <c:v>-2.8987237878273158</c:v>
                </c:pt>
                <c:pt idx="255">
                  <c:v>-2.9815800808624129</c:v>
                </c:pt>
                <c:pt idx="256">
                  <c:v>-3.0636735656275946</c:v>
                </c:pt>
                <c:pt idx="257">
                  <c:v>-3.1449859777931395</c:v>
                </c:pt>
                <c:pt idx="258">
                  <c:v>-3.2254992497634598</c:v>
                </c:pt>
                <c:pt idx="259">
                  <c:v>-3.3051955146708734</c:v>
                </c:pt>
                <c:pt idx="260">
                  <c:v>-3.3840571103194375</c:v>
                </c:pt>
                <c:pt idx="261">
                  <c:v>-3.4620665830779722</c:v>
                </c:pt>
                <c:pt idx="262">
                  <c:v>-3.5392066917214797</c:v>
                </c:pt>
                <c:pt idx="263">
                  <c:v>-3.6154604112200248</c:v>
                </c:pt>
                <c:pt idx="264">
                  <c:v>-3.6908109364743229</c:v>
                </c:pt>
                <c:pt idx="265">
                  <c:v>-3.7652416859972151</c:v>
                </c:pt>
                <c:pt idx="266">
                  <c:v>-3.838736305540182</c:v>
                </c:pt>
                <c:pt idx="267">
                  <c:v>-3.9112786716641597</c:v>
                </c:pt>
                <c:pt idx="268">
                  <c:v>-3.9828528952538544</c:v>
                </c:pt>
                <c:pt idx="269">
                  <c:v>-4.0534433249748059</c:v>
                </c:pt>
                <c:pt idx="270">
                  <c:v>-4.1230345506724575</c:v>
                </c:pt>
                <c:pt idx="271">
                  <c:v>-4.1916114067124717</c:v>
                </c:pt>
                <c:pt idx="272">
                  <c:v>-4.2591589752616406</c:v>
                </c:pt>
                <c:pt idx="273">
                  <c:v>-4.3256625895085898</c:v>
                </c:pt>
                <c:pt idx="274">
                  <c:v>-4.3911078368236662</c:v>
                </c:pt>
                <c:pt idx="275">
                  <c:v>-4.4554805618573186</c:v>
                </c:pt>
                <c:pt idx="276">
                  <c:v>-4.5187668695762691</c:v>
                </c:pt>
                <c:pt idx="277">
                  <c:v>-4.5809531282368878</c:v>
                </c:pt>
                <c:pt idx="278">
                  <c:v>-4.6420259722951043</c:v>
                </c:pt>
                <c:pt idx="279">
                  <c:v>-4.7019723052522497</c:v>
                </c:pt>
                <c:pt idx="280">
                  <c:v>-4.7607793024362381</c:v>
                </c:pt>
                <c:pt idx="281">
                  <c:v>-4.8184344137174815</c:v>
                </c:pt>
                <c:pt idx="282">
                  <c:v>-4.8749253661590188</c:v>
                </c:pt>
                <c:pt idx="283">
                  <c:v>-4.9302401666002424</c:v>
                </c:pt>
                <c:pt idx="284">
                  <c:v>-4.9843671041737156</c:v>
                </c:pt>
                <c:pt idx="285">
                  <c:v>-5.0372947527545957</c:v>
                </c:pt>
                <c:pt idx="286">
                  <c:v>-5.0890119733420773</c:v>
                </c:pt>
                <c:pt idx="287">
                  <c:v>-5.1395079163724509</c:v>
                </c:pt>
                <c:pt idx="288">
                  <c:v>-5.1887720239632467</c:v>
                </c:pt>
                <c:pt idx="289">
                  <c:v>-5.2367940320880262</c:v>
                </c:pt>
                <c:pt idx="290">
                  <c:v>-5.2835639726814065</c:v>
                </c:pt>
                <c:pt idx="291">
                  <c:v>-5.3290721756738346</c:v>
                </c:pt>
                <c:pt idx="292">
                  <c:v>-5.3733092709557706</c:v>
                </c:pt>
                <c:pt idx="293">
                  <c:v>-5.4162661902708553</c:v>
                </c:pt>
                <c:pt idx="294">
                  <c:v>-5.4579341690376815</c:v>
                </c:pt>
                <c:pt idx="295">
                  <c:v>-5.4983047480998417</c:v>
                </c:pt>
                <c:pt idx="296">
                  <c:v>-5.5373697754038886</c:v>
                </c:pt>
                <c:pt idx="297">
                  <c:v>-5.5751214076048896</c:v>
                </c:pt>
                <c:pt idx="298">
                  <c:v>-5.6115521115992859</c:v>
                </c:pt>
                <c:pt idx="299">
                  <c:v>-5.6466546659847578</c:v>
                </c:pt>
                <c:pt idx="300">
                  <c:v>-5.680422162446801</c:v>
                </c:pt>
                <c:pt idx="301">
                  <c:v>-5.7128480070718037</c:v>
                </c:pt>
                <c:pt idx="302">
                  <c:v>-5.7439259215863663</c:v>
                </c:pt>
                <c:pt idx="303">
                  <c:v>-5.7736499445226226</c:v>
                </c:pt>
                <c:pt idx="304">
                  <c:v>-5.8020144323094058</c:v>
                </c:pt>
                <c:pt idx="305">
                  <c:v>-5.8290140602890306</c:v>
                </c:pt>
                <c:pt idx="306">
                  <c:v>-5.854643823659563</c:v>
                </c:pt>
                <c:pt idx="307">
                  <c:v>-5.8788990383423743</c:v>
                </c:pt>
                <c:pt idx="308">
                  <c:v>-5.9017753417749095</c:v>
                </c:pt>
                <c:pt idx="309">
                  <c:v>-5.9232686936285184</c:v>
                </c:pt>
                <c:pt idx="310">
                  <c:v>-5.9433753764512272</c:v>
                </c:pt>
                <c:pt idx="311">
                  <c:v>-5.9620919962354435</c:v>
                </c:pt>
                <c:pt idx="312">
                  <c:v>-5.9794154829104542</c:v>
                </c:pt>
                <c:pt idx="313">
                  <c:v>-5.9953430907597092</c:v>
                </c:pt>
                <c:pt idx="314">
                  <c:v>-6.0098723987628606</c:v>
                </c:pt>
                <c:pt idx="315">
                  <c:v>-6.0230013108625426</c:v>
                </c:pt>
                <c:pt idx="316">
                  <c:v>-6.0347280561558874</c:v>
                </c:pt>
                <c:pt idx="317">
                  <c:v>-6.045051189010815</c:v>
                </c:pt>
                <c:pt idx="318">
                  <c:v>-6.0539695891071377</c:v>
                </c:pt>
                <c:pt idx="319">
                  <c:v>-6.0614824614025178</c:v>
                </c:pt>
                <c:pt idx="320">
                  <c:v>-6.0675893360233903</c:v>
                </c:pt>
                <c:pt idx="321">
                  <c:v>-6.0722900680808944</c:v>
                </c:pt>
                <c:pt idx="322">
                  <c:v>-6.0755848374119781</c:v>
                </c:pt>
                <c:pt idx="323">
                  <c:v>-6.0774741482457548</c:v>
                </c:pt>
                <c:pt idx="324">
                  <c:v>-6.0779588287952864</c:v>
                </c:pt>
                <c:pt idx="325">
                  <c:v>-6.0770400307749437</c:v>
                </c:pt>
                <c:pt idx="326">
                  <c:v>-6.0747192288435246</c:v>
                </c:pt>
                <c:pt idx="327">
                  <c:v>-6.0709982199733243</c:v>
                </c:pt>
                <c:pt idx="328">
                  <c:v>-6.0658791227453612</c:v>
                </c:pt>
                <c:pt idx="329">
                  <c:v>-6.059364376571013</c:v>
                </c:pt>
                <c:pt idx="330">
                  <c:v>-6.051456740840278</c:v>
                </c:pt>
                <c:pt idx="331">
                  <c:v>-6.042159293996944</c:v>
                </c:pt>
                <c:pt idx="332">
                  <c:v>-6.0314754325409341</c:v>
                </c:pt>
                <c:pt idx="333">
                  <c:v>-6.0194088699581441</c:v>
                </c:pt>
                <c:pt idx="334">
                  <c:v>-6.0059636355780448</c:v>
                </c:pt>
                <c:pt idx="335">
                  <c:v>-5.991144073359429</c:v>
                </c:pt>
                <c:pt idx="336">
                  <c:v>-5.9749548406045951</c:v>
                </c:pt>
                <c:pt idx="337">
                  <c:v>-5.9574009066023796</c:v>
                </c:pt>
                <c:pt idx="338">
                  <c:v>-5.9384875512003745</c:v>
                </c:pt>
                <c:pt idx="339">
                  <c:v>-5.9182203633067401</c:v>
                </c:pt>
                <c:pt idx="340">
                  <c:v>-5.8966052393220378</c:v>
                </c:pt>
                <c:pt idx="341">
                  <c:v>-5.8736483815014697</c:v>
                </c:pt>
                <c:pt idx="342">
                  <c:v>-5.8493562962479961</c:v>
                </c:pt>
                <c:pt idx="343">
                  <c:v>-5.8237357923367963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17-3847-9561-14E35660D467}"/>
            </c:ext>
          </c:extLst>
        </c:ser>
        <c:ser>
          <c:idx val="2"/>
          <c:order val="2"/>
          <c:tx>
            <c:v>Fit at Target 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>
                  <a:alpha val="40000"/>
                </a:srgbClr>
              </a:solidFill>
              <a:ln>
                <a:solidFill>
                  <a:srgbClr val="000000"/>
                </a:solidFill>
              </a:ln>
            </c:spPr>
          </c:marker>
          <c:xVal>
            <c:numRef>
              <c:f>ABCD!$M$22</c:f>
              <c:numCache>
                <c:formatCode>0.00</c:formatCode>
                <c:ptCount val="1"/>
                <c:pt idx="0">
                  <c:v>7.4059317183670537E-2</c:v>
                </c:pt>
              </c:numCache>
            </c:numRef>
          </c:xVal>
          <c:yVal>
            <c:numRef>
              <c:f>ABCD!$L$22</c:f>
              <c:numCache>
                <c:formatCode>0.00</c:formatCode>
                <c:ptCount val="1"/>
                <c:pt idx="0">
                  <c:v>8.5248468730415583E-2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17-3847-9561-14E35660D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268792"/>
        <c:axId val="433269576"/>
      </c:scatterChart>
      <c:valAx>
        <c:axId val="433268792"/>
        <c:scaling>
          <c:orientation val="minMax"/>
          <c:max val="5"/>
          <c:min val="-5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Yaw Angle (m)</a:t>
                </a:r>
              </a:p>
            </c:rich>
          </c:tx>
          <c:layout>
            <c:manualLayout>
              <c:xMode val="edge"/>
              <c:yMode val="edge"/>
              <c:x val="0.32998200457621263"/>
              <c:y val="0.8855022819599760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3269576"/>
        <c:crosses val="autoZero"/>
        <c:crossBetween val="midCat"/>
        <c:majorUnit val="1"/>
      </c:valAx>
      <c:valAx>
        <c:axId val="433269576"/>
        <c:scaling>
          <c:orientation val="minMax"/>
          <c:max val="7.5"/>
          <c:min val="-6.5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Pitch Angle (deg)</a:t>
                </a:r>
              </a:p>
            </c:rich>
          </c:tx>
          <c:layout>
            <c:manualLayout>
              <c:xMode val="edge"/>
              <c:yMode val="edge"/>
              <c:x val="5.0168961558192032E-2"/>
              <c:y val="0.2450328501930889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3268792"/>
        <c:crosses val="autoZero"/>
        <c:crossBetween val="midCat"/>
        <c:majorUnit val="1"/>
        <c:minorUnit val="8.0000000000000043E-2"/>
      </c:valAx>
      <c:spPr>
        <a:noFill/>
        <a:ln w="381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0067796334144894"/>
          <c:y val="0.24490445859872711"/>
          <c:w val="0.25027921406411574"/>
          <c:h val="0.20964240934851297"/>
        </c:manualLayout>
      </c:layout>
      <c:overlay val="0"/>
      <c:spPr>
        <a:ln>
          <a:solidFill>
            <a:srgbClr val="000000"/>
          </a:solidFill>
        </a:ln>
      </c:spPr>
      <c:txPr>
        <a:bodyPr/>
        <a:lstStyle/>
        <a:p>
          <a:pPr>
            <a:defRPr sz="1200" b="1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/>
            </a:pPr>
            <a:r>
              <a:rPr lang="en-US" sz="1800" b="1"/>
              <a:t>EF-9 Shot</a:t>
            </a:r>
          </a:p>
        </c:rich>
      </c:tx>
      <c:layout>
        <c:manualLayout>
          <c:xMode val="edge"/>
          <c:yMode val="edge"/>
          <c:x val="0.33670104235562781"/>
          <c:y val="5.107741420590588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219105296023826"/>
          <c:y val="0.16520376293745404"/>
          <c:w val="0.74022988505747356"/>
          <c:h val="0.63208398606467364"/>
        </c:manualLayout>
      </c:layout>
      <c:scatterChart>
        <c:scatterStyle val="lineMarker"/>
        <c:varyColors val="0"/>
        <c:ser>
          <c:idx val="0"/>
          <c:order val="0"/>
          <c:tx>
            <c:v>X-ray Data</c:v>
          </c:tx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C0C0C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ABCD!$D$9:$D$20</c:f>
              <c:numCache>
                <c:formatCode>0.00</c:formatCode>
                <c:ptCount val="12"/>
                <c:pt idx="3">
                  <c:v>24.033480000000001</c:v>
                </c:pt>
                <c:pt idx="6">
                  <c:v>31.476696</c:v>
                </c:pt>
                <c:pt idx="7">
                  <c:v>37.572696000000001</c:v>
                </c:pt>
                <c:pt idx="8">
                  <c:v>43.699176000000001</c:v>
                </c:pt>
                <c:pt idx="9">
                  <c:v>47.996856000000001</c:v>
                </c:pt>
                <c:pt idx="11">
                  <c:v>54.489096000000004</c:v>
                </c:pt>
              </c:numCache>
            </c:numRef>
          </c:xVal>
          <c:yVal>
            <c:numRef>
              <c:f>ABCD!$I$9:$I$20</c:f>
              <c:numCache>
                <c:formatCode>0.00</c:formatCode>
                <c:ptCount val="12"/>
                <c:pt idx="3">
                  <c:v>6.450490782229962</c:v>
                </c:pt>
                <c:pt idx="6">
                  <c:v>6.352010006928742</c:v>
                </c:pt>
                <c:pt idx="7">
                  <c:v>5.938844459858367</c:v>
                </c:pt>
                <c:pt idx="8">
                  <c:v>4.270078247997338</c:v>
                </c:pt>
                <c:pt idx="9">
                  <c:v>3.0322575622747978</c:v>
                </c:pt>
                <c:pt idx="11">
                  <c:v>9.7029572627599647E-2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86-D143-BFF1-E0BEB85A19F9}"/>
            </c:ext>
          </c:extLst>
        </c:ser>
        <c:ser>
          <c:idx val="1"/>
          <c:order val="1"/>
          <c:tx>
            <c:v>Motion Fit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ABCD!$J$53:$J$396</c:f>
              <c:numCache>
                <c:formatCode>General</c:formatCode>
                <c:ptCount val="344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  <c:pt idx="201">
                  <c:v>50.25</c:v>
                </c:pt>
                <c:pt idx="202">
                  <c:v>50.5</c:v>
                </c:pt>
                <c:pt idx="203">
                  <c:v>50.75</c:v>
                </c:pt>
                <c:pt idx="204">
                  <c:v>51</c:v>
                </c:pt>
                <c:pt idx="205">
                  <c:v>51.25</c:v>
                </c:pt>
                <c:pt idx="206">
                  <c:v>51.5</c:v>
                </c:pt>
                <c:pt idx="207">
                  <c:v>51.75</c:v>
                </c:pt>
                <c:pt idx="208">
                  <c:v>52</c:v>
                </c:pt>
                <c:pt idx="209">
                  <c:v>52.25</c:v>
                </c:pt>
                <c:pt idx="210">
                  <c:v>52.5</c:v>
                </c:pt>
                <c:pt idx="211">
                  <c:v>52.75</c:v>
                </c:pt>
                <c:pt idx="212">
                  <c:v>53</c:v>
                </c:pt>
                <c:pt idx="213">
                  <c:v>53.25</c:v>
                </c:pt>
                <c:pt idx="214">
                  <c:v>53.5</c:v>
                </c:pt>
                <c:pt idx="215">
                  <c:v>53.75</c:v>
                </c:pt>
                <c:pt idx="216">
                  <c:v>54</c:v>
                </c:pt>
                <c:pt idx="217">
                  <c:v>54.25</c:v>
                </c:pt>
                <c:pt idx="218">
                  <c:v>54.5</c:v>
                </c:pt>
                <c:pt idx="219">
                  <c:v>54.75</c:v>
                </c:pt>
                <c:pt idx="220">
                  <c:v>55</c:v>
                </c:pt>
                <c:pt idx="221">
                  <c:v>55.25</c:v>
                </c:pt>
                <c:pt idx="222">
                  <c:v>55.5</c:v>
                </c:pt>
                <c:pt idx="223">
                  <c:v>55.75</c:v>
                </c:pt>
                <c:pt idx="224">
                  <c:v>56</c:v>
                </c:pt>
                <c:pt idx="225">
                  <c:v>56.25</c:v>
                </c:pt>
                <c:pt idx="226">
                  <c:v>56.5</c:v>
                </c:pt>
                <c:pt idx="227">
                  <c:v>56.75</c:v>
                </c:pt>
                <c:pt idx="228">
                  <c:v>57</c:v>
                </c:pt>
                <c:pt idx="229">
                  <c:v>57.25</c:v>
                </c:pt>
                <c:pt idx="230">
                  <c:v>57.5</c:v>
                </c:pt>
                <c:pt idx="231">
                  <c:v>57.75</c:v>
                </c:pt>
                <c:pt idx="232">
                  <c:v>58</c:v>
                </c:pt>
                <c:pt idx="233">
                  <c:v>58.25</c:v>
                </c:pt>
                <c:pt idx="234">
                  <c:v>58.5</c:v>
                </c:pt>
                <c:pt idx="235">
                  <c:v>58.75</c:v>
                </c:pt>
                <c:pt idx="236">
                  <c:v>59</c:v>
                </c:pt>
                <c:pt idx="237">
                  <c:v>59.25</c:v>
                </c:pt>
                <c:pt idx="238">
                  <c:v>59.5</c:v>
                </c:pt>
                <c:pt idx="239">
                  <c:v>59.75</c:v>
                </c:pt>
                <c:pt idx="240">
                  <c:v>60</c:v>
                </c:pt>
                <c:pt idx="241">
                  <c:v>60.25</c:v>
                </c:pt>
                <c:pt idx="242">
                  <c:v>60.5</c:v>
                </c:pt>
                <c:pt idx="243">
                  <c:v>60.75</c:v>
                </c:pt>
                <c:pt idx="244">
                  <c:v>61</c:v>
                </c:pt>
                <c:pt idx="245">
                  <c:v>61.25</c:v>
                </c:pt>
                <c:pt idx="246">
                  <c:v>61.5</c:v>
                </c:pt>
                <c:pt idx="247">
                  <c:v>61.75</c:v>
                </c:pt>
                <c:pt idx="248">
                  <c:v>62</c:v>
                </c:pt>
                <c:pt idx="249">
                  <c:v>62.25</c:v>
                </c:pt>
                <c:pt idx="250">
                  <c:v>62.5</c:v>
                </c:pt>
                <c:pt idx="251">
                  <c:v>62.75</c:v>
                </c:pt>
                <c:pt idx="252">
                  <c:v>63</c:v>
                </c:pt>
                <c:pt idx="253">
                  <c:v>63.25</c:v>
                </c:pt>
                <c:pt idx="254">
                  <c:v>63.5</c:v>
                </c:pt>
                <c:pt idx="255">
                  <c:v>63.75</c:v>
                </c:pt>
                <c:pt idx="256">
                  <c:v>64</c:v>
                </c:pt>
                <c:pt idx="257">
                  <c:v>64.25</c:v>
                </c:pt>
                <c:pt idx="258">
                  <c:v>64.5</c:v>
                </c:pt>
                <c:pt idx="259">
                  <c:v>64.75</c:v>
                </c:pt>
                <c:pt idx="260">
                  <c:v>65</c:v>
                </c:pt>
                <c:pt idx="261">
                  <c:v>65.25</c:v>
                </c:pt>
                <c:pt idx="262">
                  <c:v>65.5</c:v>
                </c:pt>
                <c:pt idx="263">
                  <c:v>65.75</c:v>
                </c:pt>
                <c:pt idx="264">
                  <c:v>66</c:v>
                </c:pt>
                <c:pt idx="265">
                  <c:v>66.25</c:v>
                </c:pt>
                <c:pt idx="266">
                  <c:v>66.5</c:v>
                </c:pt>
                <c:pt idx="267">
                  <c:v>66.75</c:v>
                </c:pt>
                <c:pt idx="268">
                  <c:v>67</c:v>
                </c:pt>
                <c:pt idx="269">
                  <c:v>67.25</c:v>
                </c:pt>
                <c:pt idx="270">
                  <c:v>67.5</c:v>
                </c:pt>
                <c:pt idx="271">
                  <c:v>67.75</c:v>
                </c:pt>
                <c:pt idx="272">
                  <c:v>68</c:v>
                </c:pt>
                <c:pt idx="273">
                  <c:v>68.25</c:v>
                </c:pt>
                <c:pt idx="274">
                  <c:v>68.5</c:v>
                </c:pt>
                <c:pt idx="275">
                  <c:v>68.75</c:v>
                </c:pt>
                <c:pt idx="276">
                  <c:v>69</c:v>
                </c:pt>
                <c:pt idx="277">
                  <c:v>69.25</c:v>
                </c:pt>
                <c:pt idx="278">
                  <c:v>69.5</c:v>
                </c:pt>
                <c:pt idx="279">
                  <c:v>69.75</c:v>
                </c:pt>
                <c:pt idx="280">
                  <c:v>70</c:v>
                </c:pt>
                <c:pt idx="281">
                  <c:v>70.25</c:v>
                </c:pt>
                <c:pt idx="282">
                  <c:v>70.5</c:v>
                </c:pt>
                <c:pt idx="283">
                  <c:v>70.75</c:v>
                </c:pt>
                <c:pt idx="284">
                  <c:v>71</c:v>
                </c:pt>
                <c:pt idx="285">
                  <c:v>71.25</c:v>
                </c:pt>
                <c:pt idx="286">
                  <c:v>71.5</c:v>
                </c:pt>
                <c:pt idx="287">
                  <c:v>71.75</c:v>
                </c:pt>
                <c:pt idx="288">
                  <c:v>72</c:v>
                </c:pt>
                <c:pt idx="289">
                  <c:v>72.25</c:v>
                </c:pt>
                <c:pt idx="290">
                  <c:v>72.5</c:v>
                </c:pt>
                <c:pt idx="291">
                  <c:v>72.75</c:v>
                </c:pt>
                <c:pt idx="292">
                  <c:v>73</c:v>
                </c:pt>
                <c:pt idx="293">
                  <c:v>73.25</c:v>
                </c:pt>
                <c:pt idx="294">
                  <c:v>73.5</c:v>
                </c:pt>
                <c:pt idx="295">
                  <c:v>73.75</c:v>
                </c:pt>
                <c:pt idx="296">
                  <c:v>74</c:v>
                </c:pt>
                <c:pt idx="297">
                  <c:v>74.25</c:v>
                </c:pt>
                <c:pt idx="298">
                  <c:v>74.5</c:v>
                </c:pt>
                <c:pt idx="299">
                  <c:v>74.75</c:v>
                </c:pt>
                <c:pt idx="300">
                  <c:v>75</c:v>
                </c:pt>
                <c:pt idx="301">
                  <c:v>75.25</c:v>
                </c:pt>
                <c:pt idx="302">
                  <c:v>75.5</c:v>
                </c:pt>
                <c:pt idx="303">
                  <c:v>75.75</c:v>
                </c:pt>
                <c:pt idx="304">
                  <c:v>76</c:v>
                </c:pt>
                <c:pt idx="305">
                  <c:v>76.25</c:v>
                </c:pt>
                <c:pt idx="306">
                  <c:v>76.5</c:v>
                </c:pt>
                <c:pt idx="307">
                  <c:v>76.75</c:v>
                </c:pt>
                <c:pt idx="308">
                  <c:v>77</c:v>
                </c:pt>
                <c:pt idx="309">
                  <c:v>77.25</c:v>
                </c:pt>
                <c:pt idx="310">
                  <c:v>77.5</c:v>
                </c:pt>
                <c:pt idx="311">
                  <c:v>77.75</c:v>
                </c:pt>
                <c:pt idx="312">
                  <c:v>78</c:v>
                </c:pt>
                <c:pt idx="313">
                  <c:v>78.25</c:v>
                </c:pt>
                <c:pt idx="314">
                  <c:v>78.5</c:v>
                </c:pt>
                <c:pt idx="315">
                  <c:v>78.75</c:v>
                </c:pt>
                <c:pt idx="316">
                  <c:v>79</c:v>
                </c:pt>
                <c:pt idx="317">
                  <c:v>79.25</c:v>
                </c:pt>
                <c:pt idx="318">
                  <c:v>79.5</c:v>
                </c:pt>
                <c:pt idx="319">
                  <c:v>79.75</c:v>
                </c:pt>
                <c:pt idx="320">
                  <c:v>80</c:v>
                </c:pt>
                <c:pt idx="321">
                  <c:v>80.25</c:v>
                </c:pt>
                <c:pt idx="322">
                  <c:v>80.5</c:v>
                </c:pt>
                <c:pt idx="323">
                  <c:v>80.75</c:v>
                </c:pt>
                <c:pt idx="324">
                  <c:v>81</c:v>
                </c:pt>
                <c:pt idx="325">
                  <c:v>81.25</c:v>
                </c:pt>
                <c:pt idx="326">
                  <c:v>81.5</c:v>
                </c:pt>
                <c:pt idx="327">
                  <c:v>81.75</c:v>
                </c:pt>
                <c:pt idx="328">
                  <c:v>82</c:v>
                </c:pt>
                <c:pt idx="329">
                  <c:v>82.25</c:v>
                </c:pt>
                <c:pt idx="330">
                  <c:v>82.5</c:v>
                </c:pt>
                <c:pt idx="331">
                  <c:v>82.75</c:v>
                </c:pt>
                <c:pt idx="332">
                  <c:v>83</c:v>
                </c:pt>
                <c:pt idx="333">
                  <c:v>83.25</c:v>
                </c:pt>
                <c:pt idx="334">
                  <c:v>83.5</c:v>
                </c:pt>
                <c:pt idx="335">
                  <c:v>83.75</c:v>
                </c:pt>
                <c:pt idx="336">
                  <c:v>84</c:v>
                </c:pt>
                <c:pt idx="337">
                  <c:v>84.25</c:v>
                </c:pt>
                <c:pt idx="338">
                  <c:v>84.5</c:v>
                </c:pt>
                <c:pt idx="339">
                  <c:v>84.75</c:v>
                </c:pt>
                <c:pt idx="340">
                  <c:v>85</c:v>
                </c:pt>
                <c:pt idx="341">
                  <c:v>85.25</c:v>
                </c:pt>
                <c:pt idx="342">
                  <c:v>85.5</c:v>
                </c:pt>
                <c:pt idx="343">
                  <c:v>85.75</c:v>
                </c:pt>
              </c:numCache>
            </c:numRef>
          </c:xVal>
          <c:yVal>
            <c:numRef>
              <c:f>ABCD!$L$53:$L$396</c:f>
              <c:numCache>
                <c:formatCode>General</c:formatCode>
                <c:ptCount val="344"/>
                <c:pt idx="0">
                  <c:v>-1.64856088032918</c:v>
                </c:pt>
                <c:pt idx="1">
                  <c:v>-1.5437975191187505</c:v>
                </c:pt>
                <c:pt idx="2">
                  <c:v>-1.4387720306371208</c:v>
                </c:pt>
                <c:pt idx="3">
                  <c:v>-1.333508894889436</c:v>
                </c:pt>
                <c:pt idx="4">
                  <c:v>-1.2280326247174935</c:v>
                </c:pt>
                <c:pt idx="5">
                  <c:v>-1.1223677601116364</c:v>
                </c:pt>
                <c:pt idx="6">
                  <c:v>-1.0165388625215166</c:v>
                </c:pt>
                <c:pt idx="7">
                  <c:v>-0.91057050916693838</c:v>
                </c:pt>
                <c:pt idx="8">
                  <c:v>-0.80448728735029973</c:v>
                </c:pt>
                <c:pt idx="9">
                  <c:v>-0.6983137887717531</c:v>
                </c:pt>
                <c:pt idx="10">
                  <c:v>-0.5920746038484308</c:v>
                </c:pt>
                <c:pt idx="11">
                  <c:v>-0.48579431603916945</c:v>
                </c:pt>
                <c:pt idx="12">
                  <c:v>-0.37949749617589673</c:v>
                </c:pt>
                <c:pt idx="13">
                  <c:v>-0.27320869680297805</c:v>
                </c:pt>
                <c:pt idx="14">
                  <c:v>-0.16695244652600794</c:v>
                </c:pt>
                <c:pt idx="15">
                  <c:v>-6.0753244371085646E-2</c:v>
                </c:pt>
                <c:pt idx="16">
                  <c:v>4.5364445843963375E-2</c:v>
                </c:pt>
                <c:pt idx="17">
                  <c:v>0.15137620112511418</c:v>
                </c:pt>
                <c:pt idx="18">
                  <c:v>0.25725764490330238</c:v>
                </c:pt>
                <c:pt idx="19">
                  <c:v>0.36298445261975393</c:v>
                </c:pt>
                <c:pt idx="20">
                  <c:v>0.46853235729429871</c:v>
                </c:pt>
                <c:pt idx="21">
                  <c:v>0.57387715507539483</c:v>
                </c:pt>
                <c:pt idx="22">
                  <c:v>0.67899471077058393</c:v>
                </c:pt>
                <c:pt idx="23">
                  <c:v>0.78386096335611288</c:v>
                </c:pt>
                <c:pt idx="24">
                  <c:v>0.88845193146449397</c:v>
                </c:pt>
                <c:pt idx="25">
                  <c:v>0.99274371884871593</c:v>
                </c:pt>
                <c:pt idx="26">
                  <c:v>1.0967125198219192</c:v>
                </c:pt>
                <c:pt idx="27">
                  <c:v>1.2003346246712663</c:v>
                </c:pt>
                <c:pt idx="28">
                  <c:v>1.3035864250447471</c:v>
                </c:pt>
                <c:pt idx="29">
                  <c:v>1.4064444193098069</c:v>
                </c:pt>
                <c:pt idx="30">
                  <c:v>1.5088852178824685</c:v>
                </c:pt>
                <c:pt idx="31">
                  <c:v>1.61088554852581</c:v>
                </c:pt>
                <c:pt idx="32">
                  <c:v>1.7124222616165938</c:v>
                </c:pt>
                <c:pt idx="33">
                  <c:v>1.813472335378842</c:v>
                </c:pt>
                <c:pt idx="34">
                  <c:v>1.9140128810832056</c:v>
                </c:pt>
                <c:pt idx="35">
                  <c:v>2.0140211482109178</c:v>
                </c:pt>
                <c:pt idx="36">
                  <c:v>2.113474529581242</c:v>
                </c:pt>
                <c:pt idx="37">
                  <c:v>2.2123505664411698</c:v>
                </c:pt>
                <c:pt idx="38">
                  <c:v>2.3106269535162975</c:v>
                </c:pt>
                <c:pt idx="39">
                  <c:v>2.4082815440217495</c:v>
                </c:pt>
                <c:pt idx="40">
                  <c:v>2.5052923546319756</c:v>
                </c:pt>
                <c:pt idx="41">
                  <c:v>2.6016375704083594</c:v>
                </c:pt>
                <c:pt idx="42">
                  <c:v>2.6972955496835258</c:v>
                </c:pt>
                <c:pt idx="43">
                  <c:v>2.7922448289012523</c:v>
                </c:pt>
                <c:pt idx="44">
                  <c:v>2.8864641274109091</c:v>
                </c:pt>
                <c:pt idx="45">
                  <c:v>2.9799323522153651</c:v>
                </c:pt>
                <c:pt idx="46">
                  <c:v>3.0726286026713101</c:v>
                </c:pt>
                <c:pt idx="47">
                  <c:v>3.1645321751409483</c:v>
                </c:pt>
                <c:pt idx="48">
                  <c:v>3.2556225675939969</c:v>
                </c:pt>
                <c:pt idx="49">
                  <c:v>3.3458794841590711</c:v>
                </c:pt>
                <c:pt idx="50">
                  <c:v>3.4352828396233006</c:v>
                </c:pt>
                <c:pt idx="51">
                  <c:v>3.5238127638793548</c:v>
                </c:pt>
                <c:pt idx="52">
                  <c:v>3.6114496063187396</c:v>
                </c:pt>
                <c:pt idx="53">
                  <c:v>3.6981739401705367</c:v>
                </c:pt>
                <c:pt idx="54">
                  <c:v>3.7839665667845104</c:v>
                </c:pt>
                <c:pt idx="55">
                  <c:v>3.8688085198577293</c:v>
                </c:pt>
                <c:pt idx="56">
                  <c:v>3.9526810696037771</c:v>
                </c:pt>
                <c:pt idx="57">
                  <c:v>4.0355657268635587</c:v>
                </c:pt>
                <c:pt idx="58">
                  <c:v>4.1174442471568957</c:v>
                </c:pt>
                <c:pt idx="59">
                  <c:v>4.1982986346740034</c:v>
                </c:pt>
                <c:pt idx="60">
                  <c:v>4.278111146205946</c:v>
                </c:pt>
                <c:pt idx="61">
                  <c:v>4.3568642950132714</c:v>
                </c:pt>
                <c:pt idx="62">
                  <c:v>4.4345408546319316</c:v>
                </c:pt>
                <c:pt idx="63">
                  <c:v>4.5111238626157419</c:v>
                </c:pt>
                <c:pt idx="64">
                  <c:v>4.5865966242144829</c:v>
                </c:pt>
                <c:pt idx="65">
                  <c:v>4.6609427159869119</c:v>
                </c:pt>
                <c:pt idx="66">
                  <c:v>4.7341459893479154</c:v>
                </c:pt>
                <c:pt idx="67">
                  <c:v>4.8061905740490083</c:v>
                </c:pt>
                <c:pt idx="68">
                  <c:v>4.8770608815914196</c:v>
                </c:pt>
                <c:pt idx="69">
                  <c:v>4.9467416085711413</c:v>
                </c:pt>
                <c:pt idx="70">
                  <c:v>5.0152177399550713</c:v>
                </c:pt>
                <c:pt idx="71">
                  <c:v>5.0824745522877102</c:v>
                </c:pt>
                <c:pt idx="72">
                  <c:v>5.1484976168276209</c:v>
                </c:pt>
                <c:pt idx="73">
                  <c:v>5.213272802613071</c:v>
                </c:pt>
                <c:pt idx="74">
                  <c:v>5.2767862794561413</c:v>
                </c:pt>
                <c:pt idx="75">
                  <c:v>5.3390245208647222</c:v>
                </c:pt>
                <c:pt idx="76">
                  <c:v>5.3999743068918082</c:v>
                </c:pt>
                <c:pt idx="77">
                  <c:v>5.4596227269114008</c:v>
                </c:pt>
                <c:pt idx="78">
                  <c:v>5.5179571823205791</c:v>
                </c:pt>
                <c:pt idx="79">
                  <c:v>5.5749653891670636</c:v>
                </c:pt>
                <c:pt idx="80">
                  <c:v>5.6306353807018024</c:v>
                </c:pt>
                <c:pt idx="81">
                  <c:v>5.6849555098560405</c:v>
                </c:pt>
                <c:pt idx="82">
                  <c:v>5.7379144516423377</c:v>
                </c:pt>
                <c:pt idx="83">
                  <c:v>5.7895012054791337</c:v>
                </c:pt>
                <c:pt idx="84">
                  <c:v>5.8397050974382694</c:v>
                </c:pt>
                <c:pt idx="85">
                  <c:v>5.8885157824151193</c:v>
                </c:pt>
                <c:pt idx="86">
                  <c:v>5.9359232462208684</c:v>
                </c:pt>
                <c:pt idx="87">
                  <c:v>5.9819178075964974</c:v>
                </c:pt>
                <c:pt idx="88">
                  <c:v>6.0264901201481198</c:v>
                </c:pt>
                <c:pt idx="89">
                  <c:v>6.0696311742032698</c:v>
                </c:pt>
                <c:pt idx="90">
                  <c:v>6.1113322985877829</c:v>
                </c:pt>
                <c:pt idx="91">
                  <c:v>6.151585162322962</c:v>
                </c:pt>
                <c:pt idx="92">
                  <c:v>6.1903817762426545</c:v>
                </c:pt>
                <c:pt idx="93">
                  <c:v>6.2277144945300087</c:v>
                </c:pt>
                <c:pt idx="94">
                  <c:v>6.2635760161735483</c:v>
                </c:pt>
                <c:pt idx="95">
                  <c:v>6.2979593863423613</c:v>
                </c:pt>
                <c:pt idx="96">
                  <c:v>6.3308579976801571</c:v>
                </c:pt>
                <c:pt idx="97">
                  <c:v>6.3622655915179038</c:v>
                </c:pt>
                <c:pt idx="98">
                  <c:v>6.3921762590049287</c:v>
                </c:pt>
                <c:pt idx="99">
                  <c:v>6.4205844421582192</c:v>
                </c:pt>
                <c:pt idx="100">
                  <c:v>6.4474849348297951</c:v>
                </c:pt>
                <c:pt idx="101">
                  <c:v>6.4728728835919958</c:v>
                </c:pt>
                <c:pt idx="102">
                  <c:v>6.4967437885405435</c:v>
                </c:pt>
                <c:pt idx="103">
                  <c:v>6.5190935040152773</c:v>
                </c:pt>
                <c:pt idx="104">
                  <c:v>6.5399182392384674</c:v>
                </c:pt>
                <c:pt idx="105">
                  <c:v>6.5592145588706288</c:v>
                </c:pt>
                <c:pt idx="106">
                  <c:v>6.5769793834837929</c:v>
                </c:pt>
                <c:pt idx="107">
                  <c:v>6.5932099899521841</c:v>
                </c:pt>
                <c:pt idx="108">
                  <c:v>6.6079040117603052</c:v>
                </c:pt>
                <c:pt idx="109">
                  <c:v>6.6210594392284232</c:v>
                </c:pt>
                <c:pt idx="110">
                  <c:v>6.6326746196554716</c:v>
                </c:pt>
                <c:pt idx="111">
                  <c:v>6.6427482573794325</c:v>
                </c:pt>
                <c:pt idx="112">
                  <c:v>6.6512794137552298</c:v>
                </c:pt>
                <c:pt idx="113">
                  <c:v>6.6582675070502502</c:v>
                </c:pt>
                <c:pt idx="114">
                  <c:v>6.6637123122575375</c:v>
                </c:pt>
                <c:pt idx="115">
                  <c:v>6.6676139608268352</c:v>
                </c:pt>
                <c:pt idx="116">
                  <c:v>6.6699729403135777</c:v>
                </c:pt>
                <c:pt idx="117">
                  <c:v>6.6707900939459801</c:v>
                </c:pt>
                <c:pt idx="118">
                  <c:v>6.6700666201104362</c:v>
                </c:pt>
                <c:pt idx="119">
                  <c:v>6.6678040717553806</c:v>
                </c:pt>
                <c:pt idx="120">
                  <c:v>6.6640043557138355</c:v>
                </c:pt>
                <c:pt idx="121">
                  <c:v>6.6586697319448946</c:v>
                </c:pt>
                <c:pt idx="122">
                  <c:v>6.6518028126943474</c:v>
                </c:pt>
                <c:pt idx="123">
                  <c:v>6.6434065615747588</c:v>
                </c:pt>
                <c:pt idx="124">
                  <c:v>6.6334842925652602</c:v>
                </c:pt>
                <c:pt idx="125">
                  <c:v>6.6220396689313494</c:v>
                </c:pt>
                <c:pt idx="126">
                  <c:v>6.6090767020650496</c:v>
                </c:pt>
                <c:pt idx="127">
                  <c:v>6.5945997502457399</c:v>
                </c:pt>
                <c:pt idx="128">
                  <c:v>6.5786135173220286</c:v>
                </c:pt>
                <c:pt idx="129">
                  <c:v>6.5611230513150343</c:v>
                </c:pt>
                <c:pt idx="130">
                  <c:v>6.5421337429434914</c:v>
                </c:pt>
                <c:pt idx="131">
                  <c:v>6.5216513240710459</c:v>
                </c:pt>
                <c:pt idx="132">
                  <c:v>6.499681866076223</c:v>
                </c:pt>
                <c:pt idx="133">
                  <c:v>6.476231778145479</c:v>
                </c:pt>
                <c:pt idx="134">
                  <c:v>6.4513078054898019</c:v>
                </c:pt>
                <c:pt idx="135">
                  <c:v>6.4249170274853551</c:v>
                </c:pt>
                <c:pt idx="136">
                  <c:v>6.3970668557386574</c:v>
                </c:pt>
                <c:pt idx="137">
                  <c:v>6.3677650320768002</c:v>
                </c:pt>
                <c:pt idx="138">
                  <c:v>6.3370196264632561</c:v>
                </c:pt>
                <c:pt idx="139">
                  <c:v>6.3048390348398113</c:v>
                </c:pt>
                <c:pt idx="140">
                  <c:v>6.2712319768951801</c:v>
                </c:pt>
                <c:pt idx="141">
                  <c:v>6.2362074937609115</c:v>
                </c:pt>
                <c:pt idx="142">
                  <c:v>6.1997749456351521</c:v>
                </c:pt>
                <c:pt idx="143">
                  <c:v>6.1619440093348921</c:v>
                </c:pt>
                <c:pt idx="144">
                  <c:v>6.1227246757773433</c:v>
                </c:pt>
                <c:pt idx="145">
                  <c:v>6.0821272473910435</c:v>
                </c:pt>
                <c:pt idx="146">
                  <c:v>6.0401623354574188</c:v>
                </c:pt>
                <c:pt idx="147">
                  <c:v>5.996840857383404</c:v>
                </c:pt>
                <c:pt idx="148">
                  <c:v>5.9521740339058766</c:v>
                </c:pt>
                <c:pt idx="149">
                  <c:v>5.9061733862285735</c:v>
                </c:pt>
                <c:pt idx="150">
                  <c:v>5.858850733092229</c:v>
                </c:pt>
                <c:pt idx="151">
                  <c:v>5.8102181877786538</c:v>
                </c:pt>
                <c:pt idx="152">
                  <c:v>5.7602881550495315</c:v>
                </c:pt>
                <c:pt idx="153">
                  <c:v>5.709073328020672</c:v>
                </c:pt>
                <c:pt idx="154">
                  <c:v>5.6565866849725213</c:v>
                </c:pt>
                <c:pt idx="155">
                  <c:v>5.6028414860976987</c:v>
                </c:pt>
                <c:pt idx="156">
                  <c:v>5.5478512701864027</c:v>
                </c:pt>
                <c:pt idx="157">
                  <c:v>5.4916298512504795</c:v>
                </c:pt>
                <c:pt idx="158">
                  <c:v>5.4341913150869807</c:v>
                </c:pt>
                <c:pt idx="159">
                  <c:v>5.3755500157820997</c:v>
                </c:pt>
                <c:pt idx="160">
                  <c:v>5.3157205721562946</c:v>
                </c:pt>
                <c:pt idx="161">
                  <c:v>5.2547178641515213</c:v>
                </c:pt>
                <c:pt idx="162">
                  <c:v>5.1925570291614225</c:v>
                </c:pt>
                <c:pt idx="163">
                  <c:v>5.1292534583053957</c:v>
                </c:pt>
                <c:pt idx="164">
                  <c:v>5.0648227926474396</c:v>
                </c:pt>
                <c:pt idx="165">
                  <c:v>4.9992809193607002</c:v>
                </c:pt>
                <c:pt idx="166">
                  <c:v>4.9326439678386675</c:v>
                </c:pt>
                <c:pt idx="167">
                  <c:v>4.8649283057539456</c:v>
                </c:pt>
                <c:pt idx="168">
                  <c:v>4.7961505350655678</c:v>
                </c:pt>
                <c:pt idx="169">
                  <c:v>4.7263274879758139</c:v>
                </c:pt>
                <c:pt idx="170">
                  <c:v>4.655476222837529</c:v>
                </c:pt>
                <c:pt idx="171">
                  <c:v>4.5836140200129067</c:v>
                </c:pt>
                <c:pt idx="172">
                  <c:v>4.5107583776847555</c:v>
                </c:pt>
                <c:pt idx="173">
                  <c:v>4.4369270076212484</c:v>
                </c:pt>
                <c:pt idx="174">
                  <c:v>4.3621378308951755</c:v>
                </c:pt>
                <c:pt idx="175">
                  <c:v>4.2864089735587321</c:v>
                </c:pt>
                <c:pt idx="176">
                  <c:v>4.2097587622748982</c:v>
                </c:pt>
                <c:pt idx="177">
                  <c:v>4.1322057199064091</c:v>
                </c:pt>
                <c:pt idx="178">
                  <c:v>4.0537685610634213</c:v>
                </c:pt>
                <c:pt idx="179">
                  <c:v>3.9744661876109229</c:v>
                </c:pt>
                <c:pt idx="180">
                  <c:v>3.894317684136936</c:v>
                </c:pt>
                <c:pt idx="181">
                  <c:v>3.8133423133826545</c:v>
                </c:pt>
                <c:pt idx="182">
                  <c:v>3.7315595116355311</c:v>
                </c:pt>
                <c:pt idx="183">
                  <c:v>3.648988884086473</c:v>
                </c:pt>
                <c:pt idx="184">
                  <c:v>3.5656502001522066</c:v>
                </c:pt>
                <c:pt idx="185">
                  <c:v>3.4815633887639477</c:v>
                </c:pt>
                <c:pt idx="186">
                  <c:v>3.3967485336234913</c:v>
                </c:pt>
                <c:pt idx="187">
                  <c:v>3.3112258684278331</c:v>
                </c:pt>
                <c:pt idx="188">
                  <c:v>3.2250157720634727</c:v>
                </c:pt>
                <c:pt idx="189">
                  <c:v>3.1381387637715057</c:v>
                </c:pt>
                <c:pt idx="190">
                  <c:v>3.0506154982846914</c:v>
                </c:pt>
                <c:pt idx="191">
                  <c:v>2.9624667609375943</c:v>
                </c:pt>
                <c:pt idx="192">
                  <c:v>2.8737134627509988</c:v>
                </c:pt>
                <c:pt idx="193">
                  <c:v>2.7843766354916943</c:v>
                </c:pt>
                <c:pt idx="194">
                  <c:v>2.6944774267088976</c:v>
                </c:pt>
                <c:pt idx="195">
                  <c:v>2.6040370947483256</c:v>
                </c:pt>
                <c:pt idx="196">
                  <c:v>2.513077003745261</c:v>
                </c:pt>
                <c:pt idx="197">
                  <c:v>2.4216186185976536</c:v>
                </c:pt>
                <c:pt idx="198">
                  <c:v>2.3296834999204785</c:v>
                </c:pt>
                <c:pt idx="199">
                  <c:v>2.2372932989825869</c:v>
                </c:pt>
                <c:pt idx="200">
                  <c:v>2.1444697526271126</c:v>
                </c:pt>
                <c:pt idx="201">
                  <c:v>2.0512346781767663</c:v>
                </c:pt>
                <c:pt idx="202">
                  <c:v>1.9576099683250852</c:v>
                </c:pt>
                <c:pt idx="203">
                  <c:v>1.8636175860148994</c:v>
                </c:pt>
                <c:pt idx="204">
                  <c:v>1.7692795593051982</c:v>
                </c:pt>
                <c:pt idx="205">
                  <c:v>1.674617976227547</c:v>
                </c:pt>
                <c:pt idx="206">
                  <c:v>1.5796549796333448</c:v>
                </c:pt>
                <c:pt idx="207">
                  <c:v>1.4844127620329912</c:v>
                </c:pt>
                <c:pt idx="208">
                  <c:v>1.3889135604282903</c:v>
                </c:pt>
                <c:pt idx="209">
                  <c:v>1.2931796511392286</c:v>
                </c:pt>
                <c:pt idx="210">
                  <c:v>1.1972333446262815</c:v>
                </c:pt>
                <c:pt idx="211">
                  <c:v>1.1010969803095543</c:v>
                </c:pt>
                <c:pt idx="212">
                  <c:v>1.0047929213858702</c:v>
                </c:pt>
                <c:pt idx="213">
                  <c:v>0.90834354964501707</c:v>
                </c:pt>
                <c:pt idx="214">
                  <c:v>0.81177126028642455</c:v>
                </c:pt>
                <c:pt idx="215">
                  <c:v>0.71509845673732197</c:v>
                </c:pt>
                <c:pt idx="216">
                  <c:v>0.61834754547374304</c:v>
                </c:pt>
                <c:pt idx="217">
                  <c:v>0.52154093084543218</c:v>
                </c:pt>
                <c:pt idx="218">
                  <c:v>0.4247010099059077</c:v>
                </c:pt>
                <c:pt idx="219">
                  <c:v>0.3278501672488866</c:v>
                </c:pt>
                <c:pt idx="220">
                  <c:v>0.23101076985217589</c:v>
                </c:pt>
                <c:pt idx="221">
                  <c:v>0.13420516193033949</c:v>
                </c:pt>
                <c:pt idx="222">
                  <c:v>3.7455659797185903E-2</c:v>
                </c:pt>
                <c:pt idx="223">
                  <c:v>-5.9215453260642814E-2</c:v>
                </c:pt>
                <c:pt idx="224">
                  <c:v>-0.15578593209784986</c:v>
                </c:pt>
                <c:pt idx="225">
                  <c:v>-0.25223357481128889</c:v>
                </c:pt>
                <c:pt idx="226">
                  <c:v>-0.34853622782614058</c:v>
                </c:pt>
                <c:pt idx="227">
                  <c:v>-0.44467179096643183</c:v>
                </c:pt>
                <c:pt idx="228">
                  <c:v>-0.54061822250860447</c:v>
                </c:pt>
                <c:pt idx="229">
                  <c:v>-0.63635354421705026</c:v>
                </c:pt>
                <c:pt idx="230">
                  <c:v>-0.73185584636051737</c:v>
                </c:pt>
                <c:pt idx="231">
                  <c:v>-0.82710329270810912</c:v>
                </c:pt>
                <c:pt idx="232">
                  <c:v>-0.92207412550389389</c:v>
                </c:pt>
                <c:pt idx="233">
                  <c:v>-1.016746670418887</c:v>
                </c:pt>
                <c:pt idx="234">
                  <c:v>-1.1110993414792967</c:v>
                </c:pt>
                <c:pt idx="235">
                  <c:v>-1.2051106459700194</c:v>
                </c:pt>
                <c:pt idx="236">
                  <c:v>-1.2987591893121022</c:v>
                </c:pt>
                <c:pt idx="237">
                  <c:v>-1.3920236799132266</c:v>
                </c:pt>
                <c:pt idx="238">
                  <c:v>-1.4848829339900436</c:v>
                </c:pt>
                <c:pt idx="239">
                  <c:v>-1.5773158803612493</c:v>
                </c:pt>
                <c:pt idx="240">
                  <c:v>-1.6693015652104277</c:v>
                </c:pt>
                <c:pt idx="241">
                  <c:v>-1.7608191568174159</c:v>
                </c:pt>
                <c:pt idx="242">
                  <c:v>-1.8518479502573344</c:v>
                </c:pt>
                <c:pt idx="243">
                  <c:v>-1.9423673720660433</c:v>
                </c:pt>
                <c:pt idx="244">
                  <c:v>-2.0323569848710723</c:v>
                </c:pt>
                <c:pt idx="245">
                  <c:v>-2.1217964919870109</c:v>
                </c:pt>
                <c:pt idx="246">
                  <c:v>-2.2106657419742164</c:v>
                </c:pt>
                <c:pt idx="247">
                  <c:v>-2.2989447331599688</c:v>
                </c:pt>
                <c:pt idx="248">
                  <c:v>-2.386613618120935</c:v>
                </c:pt>
                <c:pt idx="249">
                  <c:v>-2.4736527081259845</c:v>
                </c:pt>
                <c:pt idx="250">
                  <c:v>-2.5600424775384365</c:v>
                </c:pt>
                <c:pt idx="251">
                  <c:v>-2.6457635681766249</c:v>
                </c:pt>
                <c:pt idx="252">
                  <c:v>-2.730796793631955</c:v>
                </c:pt>
                <c:pt idx="253">
                  <c:v>-2.8151231435433628</c:v>
                </c:pt>
                <c:pt idx="254">
                  <c:v>-2.8987237878273158</c:v>
                </c:pt>
                <c:pt idx="255">
                  <c:v>-2.9815800808624129</c:v>
                </c:pt>
                <c:pt idx="256">
                  <c:v>-3.0636735656275946</c:v>
                </c:pt>
                <c:pt idx="257">
                  <c:v>-3.1449859777931395</c:v>
                </c:pt>
                <c:pt idx="258">
                  <c:v>-3.2254992497634598</c:v>
                </c:pt>
                <c:pt idx="259">
                  <c:v>-3.3051955146708734</c:v>
                </c:pt>
                <c:pt idx="260">
                  <c:v>-3.3840571103194375</c:v>
                </c:pt>
                <c:pt idx="261">
                  <c:v>-3.4620665830779722</c:v>
                </c:pt>
                <c:pt idx="262">
                  <c:v>-3.5392066917214797</c:v>
                </c:pt>
                <c:pt idx="263">
                  <c:v>-3.6154604112200248</c:v>
                </c:pt>
                <c:pt idx="264">
                  <c:v>-3.6908109364743229</c:v>
                </c:pt>
                <c:pt idx="265">
                  <c:v>-3.7652416859972151</c:v>
                </c:pt>
                <c:pt idx="266">
                  <c:v>-3.838736305540182</c:v>
                </c:pt>
                <c:pt idx="267">
                  <c:v>-3.9112786716641597</c:v>
                </c:pt>
                <c:pt idx="268">
                  <c:v>-3.9828528952538544</c:v>
                </c:pt>
                <c:pt idx="269">
                  <c:v>-4.0534433249748059</c:v>
                </c:pt>
                <c:pt idx="270">
                  <c:v>-4.1230345506724575</c:v>
                </c:pt>
                <c:pt idx="271">
                  <c:v>-4.1916114067124717</c:v>
                </c:pt>
                <c:pt idx="272">
                  <c:v>-4.2591589752616406</c:v>
                </c:pt>
                <c:pt idx="273">
                  <c:v>-4.3256625895085898</c:v>
                </c:pt>
                <c:pt idx="274">
                  <c:v>-4.3911078368236662</c:v>
                </c:pt>
                <c:pt idx="275">
                  <c:v>-4.4554805618573186</c:v>
                </c:pt>
                <c:pt idx="276">
                  <c:v>-4.5187668695762691</c:v>
                </c:pt>
                <c:pt idx="277">
                  <c:v>-4.5809531282368878</c:v>
                </c:pt>
                <c:pt idx="278">
                  <c:v>-4.6420259722951043</c:v>
                </c:pt>
                <c:pt idx="279">
                  <c:v>-4.7019723052522497</c:v>
                </c:pt>
                <c:pt idx="280">
                  <c:v>-4.7607793024362381</c:v>
                </c:pt>
                <c:pt idx="281">
                  <c:v>-4.8184344137174815</c:v>
                </c:pt>
                <c:pt idx="282">
                  <c:v>-4.8749253661590188</c:v>
                </c:pt>
                <c:pt idx="283">
                  <c:v>-4.9302401666002424</c:v>
                </c:pt>
                <c:pt idx="284">
                  <c:v>-4.9843671041737156</c:v>
                </c:pt>
                <c:pt idx="285">
                  <c:v>-5.0372947527545957</c:v>
                </c:pt>
                <c:pt idx="286">
                  <c:v>-5.0890119733420773</c:v>
                </c:pt>
                <c:pt idx="287">
                  <c:v>-5.1395079163724509</c:v>
                </c:pt>
                <c:pt idx="288">
                  <c:v>-5.1887720239632467</c:v>
                </c:pt>
                <c:pt idx="289">
                  <c:v>-5.2367940320880262</c:v>
                </c:pt>
                <c:pt idx="290">
                  <c:v>-5.2835639726814065</c:v>
                </c:pt>
                <c:pt idx="291">
                  <c:v>-5.3290721756738346</c:v>
                </c:pt>
                <c:pt idx="292">
                  <c:v>-5.3733092709557706</c:v>
                </c:pt>
                <c:pt idx="293">
                  <c:v>-5.4162661902708553</c:v>
                </c:pt>
                <c:pt idx="294">
                  <c:v>-5.4579341690376815</c:v>
                </c:pt>
                <c:pt idx="295">
                  <c:v>-5.4983047480998417</c:v>
                </c:pt>
                <c:pt idx="296">
                  <c:v>-5.5373697754038886</c:v>
                </c:pt>
                <c:pt idx="297">
                  <c:v>-5.5751214076048896</c:v>
                </c:pt>
                <c:pt idx="298">
                  <c:v>-5.6115521115992859</c:v>
                </c:pt>
                <c:pt idx="299">
                  <c:v>-5.6466546659847578</c:v>
                </c:pt>
                <c:pt idx="300">
                  <c:v>-5.680422162446801</c:v>
                </c:pt>
                <c:pt idx="301">
                  <c:v>-5.7128480070718037</c:v>
                </c:pt>
                <c:pt idx="302">
                  <c:v>-5.7439259215863663</c:v>
                </c:pt>
                <c:pt idx="303">
                  <c:v>-5.7736499445226226</c:v>
                </c:pt>
                <c:pt idx="304">
                  <c:v>-5.8020144323094058</c:v>
                </c:pt>
                <c:pt idx="305">
                  <c:v>-5.8290140602890306</c:v>
                </c:pt>
                <c:pt idx="306">
                  <c:v>-5.854643823659563</c:v>
                </c:pt>
                <c:pt idx="307">
                  <c:v>-5.8788990383423743</c:v>
                </c:pt>
                <c:pt idx="308">
                  <c:v>-5.9017753417749095</c:v>
                </c:pt>
                <c:pt idx="309">
                  <c:v>-5.9232686936285184</c:v>
                </c:pt>
                <c:pt idx="310">
                  <c:v>-5.9433753764512272</c:v>
                </c:pt>
                <c:pt idx="311">
                  <c:v>-5.9620919962354435</c:v>
                </c:pt>
                <c:pt idx="312">
                  <c:v>-5.9794154829104542</c:v>
                </c:pt>
                <c:pt idx="313">
                  <c:v>-5.9953430907597092</c:v>
                </c:pt>
                <c:pt idx="314">
                  <c:v>-6.0098723987628606</c:v>
                </c:pt>
                <c:pt idx="315">
                  <c:v>-6.0230013108625426</c:v>
                </c:pt>
                <c:pt idx="316">
                  <c:v>-6.0347280561558874</c:v>
                </c:pt>
                <c:pt idx="317">
                  <c:v>-6.045051189010815</c:v>
                </c:pt>
                <c:pt idx="318">
                  <c:v>-6.0539695891071377</c:v>
                </c:pt>
                <c:pt idx="319">
                  <c:v>-6.0614824614025178</c:v>
                </c:pt>
                <c:pt idx="320">
                  <c:v>-6.0675893360233903</c:v>
                </c:pt>
                <c:pt idx="321">
                  <c:v>-6.0722900680808944</c:v>
                </c:pt>
                <c:pt idx="322">
                  <c:v>-6.0755848374119781</c:v>
                </c:pt>
                <c:pt idx="323">
                  <c:v>-6.0774741482457548</c:v>
                </c:pt>
                <c:pt idx="324">
                  <c:v>-6.0779588287952864</c:v>
                </c:pt>
                <c:pt idx="325">
                  <c:v>-6.0770400307749437</c:v>
                </c:pt>
                <c:pt idx="326">
                  <c:v>-6.0747192288435246</c:v>
                </c:pt>
                <c:pt idx="327">
                  <c:v>-6.0709982199733243</c:v>
                </c:pt>
                <c:pt idx="328">
                  <c:v>-6.0658791227453612</c:v>
                </c:pt>
                <c:pt idx="329">
                  <c:v>-6.059364376571013</c:v>
                </c:pt>
                <c:pt idx="330">
                  <c:v>-6.051456740840278</c:v>
                </c:pt>
                <c:pt idx="331">
                  <c:v>-6.042159293996944</c:v>
                </c:pt>
                <c:pt idx="332">
                  <c:v>-6.0314754325409341</c:v>
                </c:pt>
                <c:pt idx="333">
                  <c:v>-6.0194088699581441</c:v>
                </c:pt>
                <c:pt idx="334">
                  <c:v>-6.0059636355780448</c:v>
                </c:pt>
                <c:pt idx="335">
                  <c:v>-5.991144073359429</c:v>
                </c:pt>
                <c:pt idx="336">
                  <c:v>-5.9749548406045951</c:v>
                </c:pt>
                <c:pt idx="337">
                  <c:v>-5.9574009066023796</c:v>
                </c:pt>
                <c:pt idx="338">
                  <c:v>-5.9384875512003745</c:v>
                </c:pt>
                <c:pt idx="339">
                  <c:v>-5.9182203633067401</c:v>
                </c:pt>
                <c:pt idx="340">
                  <c:v>-5.8966052393220378</c:v>
                </c:pt>
                <c:pt idx="341">
                  <c:v>-5.8736483815014697</c:v>
                </c:pt>
                <c:pt idx="342">
                  <c:v>-5.8493562962479961</c:v>
                </c:pt>
                <c:pt idx="343">
                  <c:v>-5.8237357923367963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86-D143-BFF1-E0BEB85A1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568992"/>
        <c:axId val="434569384"/>
      </c:scatterChart>
      <c:valAx>
        <c:axId val="434568992"/>
        <c:scaling>
          <c:orientation val="minMax"/>
          <c:max val="90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Range Location (m)</a:t>
                </a:r>
              </a:p>
            </c:rich>
          </c:tx>
          <c:layout>
            <c:manualLayout>
              <c:xMode val="edge"/>
              <c:yMode val="edge"/>
              <c:x val="0.3755221939350521"/>
              <c:y val="0.8970636770962285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none"/>
        <c:minorTickMark val="none"/>
        <c:tickLblPos val="low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569384"/>
        <c:crosses val="autoZero"/>
        <c:crossBetween val="midCat"/>
        <c:majorUnit val="5"/>
        <c:minorUnit val="2"/>
      </c:valAx>
      <c:valAx>
        <c:axId val="434569384"/>
        <c:scaling>
          <c:orientation val="minMax"/>
          <c:max val="3"/>
          <c:min val="-3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Alpha (deg)</a:t>
                </a:r>
              </a:p>
            </c:rich>
          </c:tx>
          <c:layout>
            <c:manualLayout>
              <c:xMode val="edge"/>
              <c:yMode val="edge"/>
              <c:x val="1.609192316869482E-2"/>
              <c:y val="0.2944935795006076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568992"/>
        <c:crossesAt val="-100"/>
        <c:crossBetween val="midCat"/>
        <c:majorUnit val="1"/>
        <c:minorUnit val="0.5"/>
      </c:valAx>
      <c:spPr>
        <a:noFill/>
        <a:ln w="381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 orientation="landscape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/>
            </a:pPr>
            <a:r>
              <a:rPr lang="en-US" sz="1800" b="1"/>
              <a:t>EF-9 Shot</a:t>
            </a:r>
          </a:p>
        </c:rich>
      </c:tx>
      <c:layout>
        <c:manualLayout>
          <c:xMode val="edge"/>
          <c:yMode val="edge"/>
          <c:x val="0.40841592464493348"/>
          <c:y val="3.503184713375805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775303554345478"/>
          <c:y val="0.14909699583730482"/>
          <c:w val="0.7327540541796409"/>
          <c:h val="0.6344782435876456"/>
        </c:manualLayout>
      </c:layout>
      <c:scatterChart>
        <c:scatterStyle val="lineMarker"/>
        <c:varyColors val="0"/>
        <c:ser>
          <c:idx val="0"/>
          <c:order val="0"/>
          <c:tx>
            <c:v>X-ray Data</c:v>
          </c:tx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C0C0C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ABCD!$D$9:$D$20</c:f>
              <c:numCache>
                <c:formatCode>0.00</c:formatCode>
                <c:ptCount val="12"/>
                <c:pt idx="3">
                  <c:v>24.033480000000001</c:v>
                </c:pt>
                <c:pt idx="6">
                  <c:v>31.476696</c:v>
                </c:pt>
                <c:pt idx="7">
                  <c:v>37.572696000000001</c:v>
                </c:pt>
                <c:pt idx="8">
                  <c:v>43.699176000000001</c:v>
                </c:pt>
                <c:pt idx="9">
                  <c:v>47.996856000000001</c:v>
                </c:pt>
                <c:pt idx="11">
                  <c:v>54.489096000000004</c:v>
                </c:pt>
              </c:numCache>
            </c:numRef>
          </c:xVal>
          <c:yVal>
            <c:numRef>
              <c:f>ABCD!$J$9:$J$20</c:f>
              <c:numCache>
                <c:formatCode>0.00</c:formatCode>
                <c:ptCount val="12"/>
                <c:pt idx="3">
                  <c:v>1.1373955637183937</c:v>
                </c:pt>
                <c:pt idx="6">
                  <c:v>1.1200307459517007</c:v>
                </c:pt>
                <c:pt idx="7">
                  <c:v>1.1543944220280959</c:v>
                </c:pt>
                <c:pt idx="8">
                  <c:v>0.83001912988796989</c:v>
                </c:pt>
                <c:pt idx="9">
                  <c:v>0.644526241535054</c:v>
                </c:pt>
                <c:pt idx="11">
                  <c:v>2.4192189559966774E-2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29-FE4E-95F9-5BAD437A22F1}"/>
            </c:ext>
          </c:extLst>
        </c:ser>
        <c:ser>
          <c:idx val="1"/>
          <c:order val="1"/>
          <c:tx>
            <c:v>Motion Fit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ABCD!$J$53:$J$396</c:f>
              <c:numCache>
                <c:formatCode>General</c:formatCode>
                <c:ptCount val="344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  <c:pt idx="201">
                  <c:v>50.25</c:v>
                </c:pt>
                <c:pt idx="202">
                  <c:v>50.5</c:v>
                </c:pt>
                <c:pt idx="203">
                  <c:v>50.75</c:v>
                </c:pt>
                <c:pt idx="204">
                  <c:v>51</c:v>
                </c:pt>
                <c:pt idx="205">
                  <c:v>51.25</c:v>
                </c:pt>
                <c:pt idx="206">
                  <c:v>51.5</c:v>
                </c:pt>
                <c:pt idx="207">
                  <c:v>51.75</c:v>
                </c:pt>
                <c:pt idx="208">
                  <c:v>52</c:v>
                </c:pt>
                <c:pt idx="209">
                  <c:v>52.25</c:v>
                </c:pt>
                <c:pt idx="210">
                  <c:v>52.5</c:v>
                </c:pt>
                <c:pt idx="211">
                  <c:v>52.75</c:v>
                </c:pt>
                <c:pt idx="212">
                  <c:v>53</c:v>
                </c:pt>
                <c:pt idx="213">
                  <c:v>53.25</c:v>
                </c:pt>
                <c:pt idx="214">
                  <c:v>53.5</c:v>
                </c:pt>
                <c:pt idx="215">
                  <c:v>53.75</c:v>
                </c:pt>
                <c:pt idx="216">
                  <c:v>54</c:v>
                </c:pt>
                <c:pt idx="217">
                  <c:v>54.25</c:v>
                </c:pt>
                <c:pt idx="218">
                  <c:v>54.5</c:v>
                </c:pt>
                <c:pt idx="219">
                  <c:v>54.75</c:v>
                </c:pt>
                <c:pt idx="220">
                  <c:v>55</c:v>
                </c:pt>
                <c:pt idx="221">
                  <c:v>55.25</c:v>
                </c:pt>
                <c:pt idx="222">
                  <c:v>55.5</c:v>
                </c:pt>
                <c:pt idx="223">
                  <c:v>55.75</c:v>
                </c:pt>
                <c:pt idx="224">
                  <c:v>56</c:v>
                </c:pt>
                <c:pt idx="225">
                  <c:v>56.25</c:v>
                </c:pt>
                <c:pt idx="226">
                  <c:v>56.5</c:v>
                </c:pt>
                <c:pt idx="227">
                  <c:v>56.75</c:v>
                </c:pt>
                <c:pt idx="228">
                  <c:v>57</c:v>
                </c:pt>
                <c:pt idx="229">
                  <c:v>57.25</c:v>
                </c:pt>
                <c:pt idx="230">
                  <c:v>57.5</c:v>
                </c:pt>
                <c:pt idx="231">
                  <c:v>57.75</c:v>
                </c:pt>
                <c:pt idx="232">
                  <c:v>58</c:v>
                </c:pt>
                <c:pt idx="233">
                  <c:v>58.25</c:v>
                </c:pt>
                <c:pt idx="234">
                  <c:v>58.5</c:v>
                </c:pt>
                <c:pt idx="235">
                  <c:v>58.75</c:v>
                </c:pt>
                <c:pt idx="236">
                  <c:v>59</c:v>
                </c:pt>
                <c:pt idx="237">
                  <c:v>59.25</c:v>
                </c:pt>
                <c:pt idx="238">
                  <c:v>59.5</c:v>
                </c:pt>
                <c:pt idx="239">
                  <c:v>59.75</c:v>
                </c:pt>
                <c:pt idx="240">
                  <c:v>60</c:v>
                </c:pt>
                <c:pt idx="241">
                  <c:v>60.25</c:v>
                </c:pt>
                <c:pt idx="242">
                  <c:v>60.5</c:v>
                </c:pt>
                <c:pt idx="243">
                  <c:v>60.75</c:v>
                </c:pt>
                <c:pt idx="244">
                  <c:v>61</c:v>
                </c:pt>
                <c:pt idx="245">
                  <c:v>61.25</c:v>
                </c:pt>
                <c:pt idx="246">
                  <c:v>61.5</c:v>
                </c:pt>
                <c:pt idx="247">
                  <c:v>61.75</c:v>
                </c:pt>
                <c:pt idx="248">
                  <c:v>62</c:v>
                </c:pt>
                <c:pt idx="249">
                  <c:v>62.25</c:v>
                </c:pt>
                <c:pt idx="250">
                  <c:v>62.5</c:v>
                </c:pt>
                <c:pt idx="251">
                  <c:v>62.75</c:v>
                </c:pt>
                <c:pt idx="252">
                  <c:v>63</c:v>
                </c:pt>
                <c:pt idx="253">
                  <c:v>63.25</c:v>
                </c:pt>
                <c:pt idx="254">
                  <c:v>63.5</c:v>
                </c:pt>
                <c:pt idx="255">
                  <c:v>63.75</c:v>
                </c:pt>
                <c:pt idx="256">
                  <c:v>64</c:v>
                </c:pt>
                <c:pt idx="257">
                  <c:v>64.25</c:v>
                </c:pt>
                <c:pt idx="258">
                  <c:v>64.5</c:v>
                </c:pt>
                <c:pt idx="259">
                  <c:v>64.75</c:v>
                </c:pt>
                <c:pt idx="260">
                  <c:v>65</c:v>
                </c:pt>
                <c:pt idx="261">
                  <c:v>65.25</c:v>
                </c:pt>
                <c:pt idx="262">
                  <c:v>65.5</c:v>
                </c:pt>
                <c:pt idx="263">
                  <c:v>65.75</c:v>
                </c:pt>
                <c:pt idx="264">
                  <c:v>66</c:v>
                </c:pt>
                <c:pt idx="265">
                  <c:v>66.25</c:v>
                </c:pt>
                <c:pt idx="266">
                  <c:v>66.5</c:v>
                </c:pt>
                <c:pt idx="267">
                  <c:v>66.75</c:v>
                </c:pt>
                <c:pt idx="268">
                  <c:v>67</c:v>
                </c:pt>
                <c:pt idx="269">
                  <c:v>67.25</c:v>
                </c:pt>
                <c:pt idx="270">
                  <c:v>67.5</c:v>
                </c:pt>
                <c:pt idx="271">
                  <c:v>67.75</c:v>
                </c:pt>
                <c:pt idx="272">
                  <c:v>68</c:v>
                </c:pt>
                <c:pt idx="273">
                  <c:v>68.25</c:v>
                </c:pt>
                <c:pt idx="274">
                  <c:v>68.5</c:v>
                </c:pt>
                <c:pt idx="275">
                  <c:v>68.75</c:v>
                </c:pt>
                <c:pt idx="276">
                  <c:v>69</c:v>
                </c:pt>
                <c:pt idx="277">
                  <c:v>69.25</c:v>
                </c:pt>
                <c:pt idx="278">
                  <c:v>69.5</c:v>
                </c:pt>
                <c:pt idx="279">
                  <c:v>69.75</c:v>
                </c:pt>
                <c:pt idx="280">
                  <c:v>70</c:v>
                </c:pt>
                <c:pt idx="281">
                  <c:v>70.25</c:v>
                </c:pt>
                <c:pt idx="282">
                  <c:v>70.5</c:v>
                </c:pt>
                <c:pt idx="283">
                  <c:v>70.75</c:v>
                </c:pt>
                <c:pt idx="284">
                  <c:v>71</c:v>
                </c:pt>
                <c:pt idx="285">
                  <c:v>71.25</c:v>
                </c:pt>
                <c:pt idx="286">
                  <c:v>71.5</c:v>
                </c:pt>
                <c:pt idx="287">
                  <c:v>71.75</c:v>
                </c:pt>
                <c:pt idx="288">
                  <c:v>72</c:v>
                </c:pt>
                <c:pt idx="289">
                  <c:v>72.25</c:v>
                </c:pt>
                <c:pt idx="290">
                  <c:v>72.5</c:v>
                </c:pt>
                <c:pt idx="291">
                  <c:v>72.75</c:v>
                </c:pt>
                <c:pt idx="292">
                  <c:v>73</c:v>
                </c:pt>
                <c:pt idx="293">
                  <c:v>73.25</c:v>
                </c:pt>
                <c:pt idx="294">
                  <c:v>73.5</c:v>
                </c:pt>
                <c:pt idx="295">
                  <c:v>73.75</c:v>
                </c:pt>
                <c:pt idx="296">
                  <c:v>74</c:v>
                </c:pt>
                <c:pt idx="297">
                  <c:v>74.25</c:v>
                </c:pt>
                <c:pt idx="298">
                  <c:v>74.5</c:v>
                </c:pt>
                <c:pt idx="299">
                  <c:v>74.75</c:v>
                </c:pt>
                <c:pt idx="300">
                  <c:v>75</c:v>
                </c:pt>
                <c:pt idx="301">
                  <c:v>75.25</c:v>
                </c:pt>
                <c:pt idx="302">
                  <c:v>75.5</c:v>
                </c:pt>
                <c:pt idx="303">
                  <c:v>75.75</c:v>
                </c:pt>
                <c:pt idx="304">
                  <c:v>76</c:v>
                </c:pt>
                <c:pt idx="305">
                  <c:v>76.25</c:v>
                </c:pt>
                <c:pt idx="306">
                  <c:v>76.5</c:v>
                </c:pt>
                <c:pt idx="307">
                  <c:v>76.75</c:v>
                </c:pt>
                <c:pt idx="308">
                  <c:v>77</c:v>
                </c:pt>
                <c:pt idx="309">
                  <c:v>77.25</c:v>
                </c:pt>
                <c:pt idx="310">
                  <c:v>77.5</c:v>
                </c:pt>
                <c:pt idx="311">
                  <c:v>77.75</c:v>
                </c:pt>
                <c:pt idx="312">
                  <c:v>78</c:v>
                </c:pt>
                <c:pt idx="313">
                  <c:v>78.25</c:v>
                </c:pt>
                <c:pt idx="314">
                  <c:v>78.5</c:v>
                </c:pt>
                <c:pt idx="315">
                  <c:v>78.75</c:v>
                </c:pt>
                <c:pt idx="316">
                  <c:v>79</c:v>
                </c:pt>
                <c:pt idx="317">
                  <c:v>79.25</c:v>
                </c:pt>
                <c:pt idx="318">
                  <c:v>79.5</c:v>
                </c:pt>
                <c:pt idx="319">
                  <c:v>79.75</c:v>
                </c:pt>
                <c:pt idx="320">
                  <c:v>80</c:v>
                </c:pt>
                <c:pt idx="321">
                  <c:v>80.25</c:v>
                </c:pt>
                <c:pt idx="322">
                  <c:v>80.5</c:v>
                </c:pt>
                <c:pt idx="323">
                  <c:v>80.75</c:v>
                </c:pt>
                <c:pt idx="324">
                  <c:v>81</c:v>
                </c:pt>
                <c:pt idx="325">
                  <c:v>81.25</c:v>
                </c:pt>
                <c:pt idx="326">
                  <c:v>81.5</c:v>
                </c:pt>
                <c:pt idx="327">
                  <c:v>81.75</c:v>
                </c:pt>
                <c:pt idx="328">
                  <c:v>82</c:v>
                </c:pt>
                <c:pt idx="329">
                  <c:v>82.25</c:v>
                </c:pt>
                <c:pt idx="330">
                  <c:v>82.5</c:v>
                </c:pt>
                <c:pt idx="331">
                  <c:v>82.75</c:v>
                </c:pt>
                <c:pt idx="332">
                  <c:v>83</c:v>
                </c:pt>
                <c:pt idx="333">
                  <c:v>83.25</c:v>
                </c:pt>
                <c:pt idx="334">
                  <c:v>83.5</c:v>
                </c:pt>
                <c:pt idx="335">
                  <c:v>83.75</c:v>
                </c:pt>
                <c:pt idx="336">
                  <c:v>84</c:v>
                </c:pt>
                <c:pt idx="337">
                  <c:v>84.25</c:v>
                </c:pt>
                <c:pt idx="338">
                  <c:v>84.5</c:v>
                </c:pt>
                <c:pt idx="339">
                  <c:v>84.75</c:v>
                </c:pt>
                <c:pt idx="340">
                  <c:v>85</c:v>
                </c:pt>
                <c:pt idx="341">
                  <c:v>85.25</c:v>
                </c:pt>
                <c:pt idx="342">
                  <c:v>85.5</c:v>
                </c:pt>
                <c:pt idx="343">
                  <c:v>85.75</c:v>
                </c:pt>
              </c:numCache>
            </c:numRef>
          </c:xVal>
          <c:yVal>
            <c:numRef>
              <c:f>ABCD!$M$53:$M$396</c:f>
              <c:numCache>
                <c:formatCode>General</c:formatCode>
                <c:ptCount val="344"/>
                <c:pt idx="0">
                  <c:v>-0.36292719678997498</c:v>
                </c:pt>
                <c:pt idx="1">
                  <c:v>-0.34405459254494541</c:v>
                </c:pt>
                <c:pt idx="2">
                  <c:v>-0.32511954407040822</c:v>
                </c:pt>
                <c:pt idx="3">
                  <c:v>-0.30612647852784702</c:v>
                </c:pt>
                <c:pt idx="4">
                  <c:v>-0.28707983248880931</c:v>
                </c:pt>
                <c:pt idx="5">
                  <c:v>-0.2679840509023057</c:v>
                </c:pt>
                <c:pt idx="6">
                  <c:v>-0.24884358606120394</c:v>
                </c:pt>
                <c:pt idx="7">
                  <c:v>-0.22966289656782468</c:v>
                </c:pt>
                <c:pt idx="8">
                  <c:v>-0.21044644629906584</c:v>
                </c:pt>
                <c:pt idx="9">
                  <c:v>-0.19119870337120037</c:v>
                </c:pt>
                <c:pt idx="10">
                  <c:v>-0.17192413910462578</c:v>
                </c:pt>
                <c:pt idx="11">
                  <c:v>-0.15262722698883691</c:v>
                </c:pt>
                <c:pt idx="12">
                  <c:v>-0.13331244164780243</c:v>
                </c:pt>
                <c:pt idx="13">
                  <c:v>-0.11398425780600707</c:v>
                </c:pt>
                <c:pt idx="14">
                  <c:v>-9.4647149255429053E-2</c:v>
                </c:pt>
                <c:pt idx="15">
                  <c:v>-7.5305587823628617E-2</c:v>
                </c:pt>
                <c:pt idx="16">
                  <c:v>-5.5964042343237708E-2</c:v>
                </c:pt>
                <c:pt idx="17">
                  <c:v>-3.6626977623073653E-2</c:v>
                </c:pt>
                <c:pt idx="18">
                  <c:v>-1.7298853421083393E-2</c:v>
                </c:pt>
                <c:pt idx="19">
                  <c:v>2.015876580597098E-3</c:v>
                </c:pt>
                <c:pt idx="20">
                  <c:v>2.1312765798277677E-2</c:v>
                </c:pt>
                <c:pt idx="21">
                  <c:v>4.0587375766778067E-2</c:v>
                </c:pt>
                <c:pt idx="22">
                  <c:v>5.9835277156703004E-2</c:v>
                </c:pt>
                <c:pt idx="23">
                  <c:v>7.9052050788699368E-2</c:v>
                </c:pt>
                <c:pt idx="24">
                  <c:v>9.8233288644452799E-2</c:v>
                </c:pt>
                <c:pt idx="25">
                  <c:v>0.11737459487419599</c:v>
                </c:pt>
                <c:pt idx="26">
                  <c:v>0.13647158680050353</c:v>
                </c:pt>
                <c:pt idx="27">
                  <c:v>0.15551989591815074</c:v>
                </c:pt>
                <c:pt idx="28">
                  <c:v>0.17451516888978924</c:v>
                </c:pt>
                <c:pt idx="29">
                  <c:v>0.19345306853723399</c:v>
                </c:pt>
                <c:pt idx="30">
                  <c:v>0.21232927482812114</c:v>
                </c:pt>
                <c:pt idx="31">
                  <c:v>0.23113948585772937</c:v>
                </c:pt>
                <c:pt idx="32">
                  <c:v>0.24987941882572784</c:v>
                </c:pt>
                <c:pt idx="33">
                  <c:v>0.26854481100763561</c:v>
                </c:pt>
                <c:pt idx="34">
                  <c:v>0.28713142072077025</c:v>
                </c:pt>
                <c:pt idx="35">
                  <c:v>0.30563502828447797</c:v>
                </c:pt>
                <c:pt idx="36">
                  <c:v>0.32405143697441652</c:v>
                </c:pt>
                <c:pt idx="37">
                  <c:v>0.34237647397067406</c:v>
                </c:pt>
                <c:pt idx="38">
                  <c:v>0.36060599129953053</c:v>
                </c:pt>
                <c:pt idx="39">
                  <c:v>0.3787358667686247</c:v>
                </c:pt>
                <c:pt idx="40">
                  <c:v>0.39676200489533375</c:v>
                </c:pt>
                <c:pt idx="41">
                  <c:v>0.41468033782814873</c:v>
                </c:pt>
                <c:pt idx="42">
                  <c:v>0.43248682626084944</c:v>
                </c:pt>
                <c:pt idx="43">
                  <c:v>0.45017746033926098</c:v>
                </c:pt>
                <c:pt idx="44">
                  <c:v>0.46774826056039265</c:v>
                </c:pt>
                <c:pt idx="45">
                  <c:v>0.48519527866377965</c:v>
                </c:pt>
                <c:pt idx="46">
                  <c:v>0.50251459851478408</c:v>
                </c:pt>
                <c:pt idx="47">
                  <c:v>0.51970233697970647</c:v>
                </c:pt>
                <c:pt idx="48">
                  <c:v>0.53675464479248713</c:v>
                </c:pt>
                <c:pt idx="49">
                  <c:v>0.5536677074127998</c:v>
                </c:pt>
                <c:pt idx="50">
                  <c:v>0.57043774587537532</c:v>
                </c:pt>
                <c:pt idx="51">
                  <c:v>0.58706101763032903</c:v>
                </c:pt>
                <c:pt idx="52">
                  <c:v>0.60353381737434697</c:v>
                </c:pt>
                <c:pt idx="53">
                  <c:v>0.61985247787250142</c:v>
                </c:pt>
                <c:pt idx="54">
                  <c:v>0.6360133707705633</c:v>
                </c:pt>
                <c:pt idx="55">
                  <c:v>0.65201290739760065</c:v>
                </c:pt>
                <c:pt idx="56">
                  <c:v>0.6678475395586787</c:v>
                </c:pt>
                <c:pt idx="57">
                  <c:v>0.68351376031753164</c:v>
                </c:pt>
                <c:pt idx="58">
                  <c:v>0.69900810476898556</c:v>
                </c:pt>
                <c:pt idx="59">
                  <c:v>0.71432715080098808</c:v>
                </c:pt>
                <c:pt idx="60">
                  <c:v>0.7294675198460796</c:v>
                </c:pt>
                <c:pt idx="61">
                  <c:v>0.74442587762212664</c:v>
                </c:pt>
                <c:pt idx="62">
                  <c:v>0.75919893486218726</c:v>
                </c:pt>
                <c:pt idx="63">
                  <c:v>0.77378344803329036</c:v>
                </c:pt>
                <c:pt idx="64">
                  <c:v>0.78817622004405319</c:v>
                </c:pt>
                <c:pt idx="65">
                  <c:v>0.80237410094091866</c:v>
                </c:pt>
                <c:pt idx="66">
                  <c:v>0.81637398859288357</c:v>
                </c:pt>
                <c:pt idx="67">
                  <c:v>0.83017282936457892</c:v>
                </c:pt>
                <c:pt idx="68">
                  <c:v>0.84376761877755468</c:v>
                </c:pt>
                <c:pt idx="69">
                  <c:v>0.85715540215960173</c:v>
                </c:pt>
                <c:pt idx="70">
                  <c:v>0.87033327528202453</c:v>
                </c:pt>
                <c:pt idx="71">
                  <c:v>0.88329838498465829</c:v>
                </c:pt>
                <c:pt idx="72">
                  <c:v>0.89604792978857484</c:v>
                </c:pt>
                <c:pt idx="73">
                  <c:v>0.90857916049626275</c:v>
                </c:pt>
                <c:pt idx="74">
                  <c:v>0.92088938077924332</c:v>
                </c:pt>
                <c:pt idx="75">
                  <c:v>0.93297594775293025</c:v>
                </c:pt>
                <c:pt idx="76">
                  <c:v>0.94483627253862079</c:v>
                </c:pt>
                <c:pt idx="77">
                  <c:v>0.95646782081255899</c:v>
                </c:pt>
                <c:pt idx="78">
                  <c:v>0.96786811334186273</c:v>
                </c:pt>
                <c:pt idx="79">
                  <c:v>0.9790347265072803</c:v>
                </c:pt>
                <c:pt idx="80">
                  <c:v>0.98996529281263523</c:v>
                </c:pt>
                <c:pt idx="81">
                  <c:v>1.000657501380845</c:v>
                </c:pt>
                <c:pt idx="82">
                  <c:v>1.0111090984364459</c:v>
                </c:pt>
                <c:pt idx="83">
                  <c:v>1.0213178877744702</c:v>
                </c:pt>
                <c:pt idx="84">
                  <c:v>1.0312817312156435</c:v>
                </c:pt>
                <c:pt idx="85">
                  <c:v>1.040998549047766</c:v>
                </c:pt>
                <c:pt idx="86">
                  <c:v>1.0504663204531899</c:v>
                </c:pt>
                <c:pt idx="87">
                  <c:v>1.0596830839223286</c:v>
                </c:pt>
                <c:pt idx="88">
                  <c:v>1.0686469376531087</c:v>
                </c:pt>
                <c:pt idx="89">
                  <c:v>1.0773560399362516</c:v>
                </c:pt>
                <c:pt idx="90">
                  <c:v>1.0858086095263864</c:v>
                </c:pt>
                <c:pt idx="91">
                  <c:v>1.0940029259988098</c:v>
                </c:pt>
                <c:pt idx="92">
                  <c:v>1.1019373300919455</c:v>
                </c:pt>
                <c:pt idx="93">
                  <c:v>1.1096102240353214</c:v>
                </c:pt>
                <c:pt idx="94">
                  <c:v>1.1170200718630996</c:v>
                </c:pt>
                <c:pt idx="95">
                  <c:v>1.1241653997130481</c:v>
                </c:pt>
                <c:pt idx="96">
                  <c:v>1.1310447961108698</c:v>
                </c:pt>
                <c:pt idx="97">
                  <c:v>1.1376569122399482</c:v>
                </c:pt>
                <c:pt idx="98">
                  <c:v>1.1440004621963058</c:v>
                </c:pt>
                <c:pt idx="99">
                  <c:v>1.1500742232288663</c:v>
                </c:pt>
                <c:pt idx="100">
                  <c:v>1.1558770359648993</c:v>
                </c:pt>
                <c:pt idx="101">
                  <c:v>1.1614078046206364</c:v>
                </c:pt>
                <c:pt idx="102">
                  <c:v>1.166665497197021</c:v>
                </c:pt>
                <c:pt idx="103">
                  <c:v>1.1716491456605513</c:v>
                </c:pt>
                <c:pt idx="104">
                  <c:v>1.1763578461092001</c:v>
                </c:pt>
                <c:pt idx="105">
                  <c:v>1.1807907589233895</c:v>
                </c:pt>
                <c:pt idx="106">
                  <c:v>1.1849471089019636</c:v>
                </c:pt>
                <c:pt idx="107">
                  <c:v>1.1888261853832027</c:v>
                </c:pt>
                <c:pt idx="108">
                  <c:v>1.1924273423508067</c:v>
                </c:pt>
                <c:pt idx="109">
                  <c:v>1.1957499985248579</c:v>
                </c:pt>
                <c:pt idx="110">
                  <c:v>1.1987936374377945</c:v>
                </c:pt>
                <c:pt idx="111">
                  <c:v>1.2015578074952973</c:v>
                </c:pt>
                <c:pt idx="112">
                  <c:v>1.2040421220222053</c:v>
                </c:pt>
                <c:pt idx="113">
                  <c:v>1.2062462592933425</c:v>
                </c:pt>
                <c:pt idx="114">
                  <c:v>1.2081699625493818</c:v>
                </c:pt>
                <c:pt idx="115">
                  <c:v>1.2098130399976756</c:v>
                </c:pt>
                <c:pt idx="116">
                  <c:v>1.2111753647980534</c:v>
                </c:pt>
                <c:pt idx="117">
                  <c:v>1.2122568750337157</c:v>
                </c:pt>
                <c:pt idx="118">
                  <c:v>1.2130575736670854</c:v>
                </c:pt>
                <c:pt idx="119">
                  <c:v>1.2135775284807757</c:v>
                </c:pt>
                <c:pt idx="120">
                  <c:v>1.2138168720036291</c:v>
                </c:pt>
                <c:pt idx="121">
                  <c:v>1.2137758014218767</c:v>
                </c:pt>
                <c:pt idx="122">
                  <c:v>1.2134545784754578</c:v>
                </c:pt>
                <c:pt idx="123">
                  <c:v>1.2128535293395226</c:v>
                </c:pt>
                <c:pt idx="124">
                  <c:v>1.211973044491172</c:v>
                </c:pt>
                <c:pt idx="125">
                  <c:v>1.2108135785614855</c:v>
                </c:pt>
                <c:pt idx="126">
                  <c:v>1.209375650172841</c:v>
                </c:pt>
                <c:pt idx="127">
                  <c:v>1.2076598417616458</c:v>
                </c:pt>
                <c:pt idx="128">
                  <c:v>1.205666799386474</c:v>
                </c:pt>
                <c:pt idx="129">
                  <c:v>1.2033972325216833</c:v>
                </c:pt>
                <c:pt idx="130">
                  <c:v>1.2008519138366214</c:v>
                </c:pt>
                <c:pt idx="131">
                  <c:v>1.1980316789603762</c:v>
                </c:pt>
                <c:pt idx="132">
                  <c:v>1.1949374262322756</c:v>
                </c:pt>
                <c:pt idx="133">
                  <c:v>1.1915701164380605</c:v>
                </c:pt>
                <c:pt idx="134">
                  <c:v>1.1879307725319497</c:v>
                </c:pt>
                <c:pt idx="135">
                  <c:v>1.1840204793445741</c:v>
                </c:pt>
                <c:pt idx="136">
                  <c:v>1.1798403832768589</c:v>
                </c:pt>
                <c:pt idx="137">
                  <c:v>1.1753916919800409</c:v>
                </c:pt>
                <c:pt idx="138">
                  <c:v>1.1706756740217554</c:v>
                </c:pt>
                <c:pt idx="139">
                  <c:v>1.1656936585384301</c:v>
                </c:pt>
                <c:pt idx="140">
                  <c:v>1.1604470348739446</c:v>
                </c:pt>
                <c:pt idx="141">
                  <c:v>1.1549372522047809</c:v>
                </c:pt>
                <c:pt idx="142">
                  <c:v>1.1491658191516543</c:v>
                </c:pt>
                <c:pt idx="143">
                  <c:v>1.1431343033777863</c:v>
                </c:pt>
                <c:pt idx="144">
                  <c:v>1.1368443311739118</c:v>
                </c:pt>
                <c:pt idx="145">
                  <c:v>1.1302975870301268</c:v>
                </c:pt>
                <c:pt idx="146">
                  <c:v>1.1234958131946735</c:v>
                </c:pt>
                <c:pt idx="147">
                  <c:v>1.1164408092198079</c:v>
                </c:pt>
                <c:pt idx="148">
                  <c:v>1.1091344314948357</c:v>
                </c:pt>
                <c:pt idx="149">
                  <c:v>1.1015785927664405</c:v>
                </c:pt>
                <c:pt idx="150">
                  <c:v>1.0937752616464733</c:v>
                </c:pt>
                <c:pt idx="151">
                  <c:v>1.0857264621072238</c:v>
                </c:pt>
                <c:pt idx="152">
                  <c:v>1.0774342729644346</c:v>
                </c:pt>
                <c:pt idx="153">
                  <c:v>1.0689008273480625</c:v>
                </c:pt>
                <c:pt idx="154">
                  <c:v>1.0601283121610228</c:v>
                </c:pt>
                <c:pt idx="155">
                  <c:v>1.0511189675259711</c:v>
                </c:pt>
                <c:pt idx="156">
                  <c:v>1.0418750862203283</c:v>
                </c:pt>
                <c:pt idx="157">
                  <c:v>1.0323990130996503</c:v>
                </c:pt>
                <c:pt idx="158">
                  <c:v>1.0226931445094651</c:v>
                </c:pt>
                <c:pt idx="159">
                  <c:v>1.0127599276858108</c:v>
                </c:pt>
                <c:pt idx="160">
                  <c:v>1.0026018601444979</c:v>
                </c:pt>
                <c:pt idx="161">
                  <c:v>0.99222148905937213</c:v>
                </c:pt>
                <c:pt idx="162">
                  <c:v>0.98162141062964769</c:v>
                </c:pt>
                <c:pt idx="163">
                  <c:v>0.97080426943647979</c:v>
                </c:pt>
                <c:pt idx="164">
                  <c:v>0.95977275778898652</c:v>
                </c:pt>
                <c:pt idx="165">
                  <c:v>0.94852961505979527</c:v>
                </c:pt>
                <c:pt idx="166">
                  <c:v>0.93707762701035402</c:v>
                </c:pt>
                <c:pt idx="167">
                  <c:v>0.92541962510613618</c:v>
                </c:pt>
                <c:pt idx="168">
                  <c:v>0.91355848582189947</c:v>
                </c:pt>
                <c:pt idx="169">
                  <c:v>0.90149712993718278</c:v>
                </c:pt>
                <c:pt idx="170">
                  <c:v>0.8892385218222385</c:v>
                </c:pt>
                <c:pt idx="171">
                  <c:v>0.8767856687144866</c:v>
                </c:pt>
                <c:pt idx="172">
                  <c:v>0.86414161998578831</c:v>
                </c:pt>
                <c:pt idx="173">
                  <c:v>0.85130946640059424</c:v>
                </c:pt>
                <c:pt idx="174">
                  <c:v>0.83829233936525616</c:v>
                </c:pt>
                <c:pt idx="175">
                  <c:v>0.8250934101685905</c:v>
                </c:pt>
                <c:pt idx="176">
                  <c:v>0.81171588921394466</c:v>
                </c:pt>
                <c:pt idx="177">
                  <c:v>0.79816302524292571</c:v>
                </c:pt>
                <c:pt idx="178">
                  <c:v>0.78443810455094631</c:v>
                </c:pt>
                <c:pt idx="179">
                  <c:v>0.77054445019485662</c:v>
                </c:pt>
                <c:pt idx="180">
                  <c:v>0.75648542119274698</c:v>
                </c:pt>
                <c:pt idx="181">
                  <c:v>0.74226441171622071</c:v>
                </c:pt>
                <c:pt idx="182">
                  <c:v>0.72788485027524708</c:v>
                </c:pt>
                <c:pt idx="183">
                  <c:v>0.71335019889582707</c:v>
                </c:pt>
                <c:pt idx="184">
                  <c:v>0.69866395229067457</c:v>
                </c:pt>
                <c:pt idx="185">
                  <c:v>0.6838296370230772</c:v>
                </c:pt>
                <c:pt idx="186">
                  <c:v>0.6688508106641744</c:v>
                </c:pt>
                <c:pt idx="187">
                  <c:v>0.65373106094382516</c:v>
                </c:pt>
                <c:pt idx="188">
                  <c:v>0.63847400489528727</c:v>
                </c:pt>
                <c:pt idx="189">
                  <c:v>0.62308328799389345</c:v>
                </c:pt>
                <c:pt idx="190">
                  <c:v>0.60756258328993828</c:v>
                </c:pt>
                <c:pt idx="191">
                  <c:v>0.5919155905359812</c:v>
                </c:pt>
                <c:pt idx="192">
                  <c:v>0.57614603530877906</c:v>
                </c:pt>
                <c:pt idx="193">
                  <c:v>0.56025766812601985</c:v>
                </c:pt>
                <c:pt idx="194">
                  <c:v>0.54425426355813356</c:v>
                </c:pt>
                <c:pt idx="195">
                  <c:v>0.52813961933531184</c:v>
                </c:pt>
                <c:pt idx="196">
                  <c:v>0.5119175554500095</c:v>
                </c:pt>
                <c:pt idx="197">
                  <c:v>0.49559191325511209</c:v>
                </c:pt>
                <c:pt idx="198">
                  <c:v>0.47916655455796198</c:v>
                </c:pt>
                <c:pt idx="199">
                  <c:v>0.46264536071051188</c:v>
                </c:pt>
                <c:pt idx="200">
                  <c:v>0.44603223169574813</c:v>
                </c:pt>
                <c:pt idx="201">
                  <c:v>0.42933108521067398</c:v>
                </c:pt>
                <c:pt idx="202">
                  <c:v>0.41254585574599201</c:v>
                </c:pt>
                <c:pt idx="203">
                  <c:v>0.39568049366276625</c:v>
                </c:pt>
                <c:pt idx="204">
                  <c:v>0.37873896426623332</c:v>
                </c:pt>
                <c:pt idx="205">
                  <c:v>0.36172524687700491</c:v>
                </c:pt>
                <c:pt idx="206">
                  <c:v>0.34464333389987178</c:v>
                </c:pt>
                <c:pt idx="207">
                  <c:v>0.32749722989041574</c:v>
                </c:pt>
                <c:pt idx="208">
                  <c:v>0.31029095061966538</c:v>
                </c:pt>
                <c:pt idx="209">
                  <c:v>0.29302852213701103</c:v>
                </c:pt>
                <c:pt idx="210">
                  <c:v>0.27571397983156665</c:v>
                </c:pt>
                <c:pt idx="211">
                  <c:v>0.25835136749224219</c:v>
                </c:pt>
                <c:pt idx="212">
                  <c:v>0.24094473636671587</c:v>
                </c:pt>
                <c:pt idx="213">
                  <c:v>0.22349814421952185</c:v>
                </c:pt>
                <c:pt idx="214">
                  <c:v>0.2060156543895002</c:v>
                </c:pt>
                <c:pt idx="215">
                  <c:v>0.18850133484678633</c:v>
                </c:pt>
                <c:pt idx="216">
                  <c:v>0.1709592572495966</c:v>
                </c:pt>
                <c:pt idx="217">
                  <c:v>0.15339349600100372</c:v>
                </c:pt>
                <c:pt idx="218">
                  <c:v>0.13580812730592351</c:v>
                </c:pt>
                <c:pt idx="219">
                  <c:v>0.11820722822854757</c:v>
                </c:pt>
                <c:pt idx="220">
                  <c:v>0.10059487575040427</c:v>
                </c:pt>
                <c:pt idx="221">
                  <c:v>8.2975145829306651E-2</c:v>
                </c:pt>
                <c:pt idx="222">
                  <c:v>6.5352112459375888E-2</c:v>
                </c:pt>
                <c:pt idx="223">
                  <c:v>4.7729846732355252E-2</c:v>
                </c:pt>
                <c:pt idx="224">
                  <c:v>3.0112415900453104E-2</c:v>
                </c:pt>
                <c:pt idx="225">
                  <c:v>1.2503882440904945E-2</c:v>
                </c:pt>
                <c:pt idx="226">
                  <c:v>-5.0916968775189808E-3</c:v>
                </c:pt>
                <c:pt idx="227">
                  <c:v>-2.2670271925844254E-2</c:v>
                </c:pt>
                <c:pt idx="228">
                  <c:v>-4.0227800143858961E-2</c:v>
                </c:pt>
                <c:pt idx="229">
                  <c:v>-5.7760247466487336E-2</c:v>
                </c:pt>
                <c:pt idx="230">
                  <c:v>-7.5263589247384299E-2</c:v>
                </c:pt>
                <c:pt idx="231">
                  <c:v>-9.2733811179507963E-2</c:v>
                </c:pt>
                <c:pt idx="232">
                  <c:v>-0.11016691021249159</c:v>
                </c:pt>
                <c:pt idx="233">
                  <c:v>-0.12755889546658317</c:v>
                </c:pt>
                <c:pt idx="234">
                  <c:v>-0.14490578914295149</c:v>
                </c:pt>
                <c:pt idx="235">
                  <c:v>-0.16220362743016681</c:v>
                </c:pt>
                <c:pt idx="236">
                  <c:v>-0.17944846140662074</c:v>
                </c:pt>
                <c:pt idx="237">
                  <c:v>-0.19663635793871048</c:v>
                </c:pt>
                <c:pt idx="238">
                  <c:v>-0.21376340057455945</c:v>
                </c:pt>
                <c:pt idx="239">
                  <c:v>-0.23082569043308965</c:v>
                </c:pt>
                <c:pt idx="240">
                  <c:v>-0.24781934708824238</c:v>
                </c:pt>
                <c:pt idx="241">
                  <c:v>-0.26474050944813055</c:v>
                </c:pt>
                <c:pt idx="242">
                  <c:v>-0.28158533662894758</c:v>
                </c:pt>
                <c:pt idx="243">
                  <c:v>-0.29835000882342522</c:v>
                </c:pt>
                <c:pt idx="244">
                  <c:v>-0.3150307281636362</c:v>
                </c:pt>
                <c:pt idx="245">
                  <c:v>-0.33162371957796255</c:v>
                </c:pt>
                <c:pt idx="246">
                  <c:v>-0.34812523164203446</c:v>
                </c:pt>
                <c:pt idx="247">
                  <c:v>-0.36453153742343192</c:v>
                </c:pt>
                <c:pt idx="248">
                  <c:v>-0.38083893531999236</c:v>
                </c:pt>
                <c:pt idx="249">
                  <c:v>-0.39704374989149205</c:v>
                </c:pt>
                <c:pt idx="250">
                  <c:v>-0.41314233268456668</c:v>
                </c:pt>
                <c:pt idx="251">
                  <c:v>-0.42913106305063753</c:v>
                </c:pt>
                <c:pt idx="252">
                  <c:v>-0.44500634895669444</c:v>
                </c:pt>
                <c:pt idx="253">
                  <c:v>-0.46076462778874738</c:v>
                </c:pt>
                <c:pt idx="254">
                  <c:v>-0.47640236714775286</c:v>
                </c:pt>
                <c:pt idx="255">
                  <c:v>-0.49191606563786161</c:v>
                </c:pt>
                <c:pt idx="256">
                  <c:v>-0.50730225364678505</c:v>
                </c:pt>
                <c:pt idx="257">
                  <c:v>-0.52255749411814101</c:v>
                </c:pt>
                <c:pt idx="258">
                  <c:v>-0.53767838331557627</c:v>
                </c:pt>
                <c:pt idx="259">
                  <c:v>-0.55266155157851449</c:v>
                </c:pt>
                <c:pt idx="260">
                  <c:v>-0.56750366406935893</c:v>
                </c:pt>
                <c:pt idx="261">
                  <c:v>-0.58220142151198351</c:v>
                </c:pt>
                <c:pt idx="262">
                  <c:v>-0.59675156092134429</c:v>
                </c:pt>
                <c:pt idx="263">
                  <c:v>-0.61115085632407373</c:v>
                </c:pt>
                <c:pt idx="264">
                  <c:v>-0.62539611946986806</c:v>
                </c:pt>
                <c:pt idx="265">
                  <c:v>-0.63948420053352528</c:v>
                </c:pt>
                <c:pt idx="266">
                  <c:v>-0.65341198880749207</c:v>
                </c:pt>
                <c:pt idx="267">
                  <c:v>-0.66717641338475664</c:v>
                </c:pt>
                <c:pt idx="268">
                  <c:v>-0.68077444383192587</c:v>
                </c:pt>
                <c:pt idx="269">
                  <c:v>-0.69420309085237486</c:v>
                </c:pt>
                <c:pt idx="270">
                  <c:v>-0.70745940693928411</c:v>
                </c:pt>
                <c:pt idx="271">
                  <c:v>-0.72054048701845907</c:v>
                </c:pt>
                <c:pt idx="272">
                  <c:v>-0.73344346908075875</c:v>
                </c:pt>
                <c:pt idx="273">
                  <c:v>-0.74616553480403169</c:v>
                </c:pt>
                <c:pt idx="274">
                  <c:v>-0.75870391016440086</c:v>
                </c:pt>
                <c:pt idx="275">
                  <c:v>-0.77105586603676701</c:v>
                </c:pt>
                <c:pt idx="276">
                  <c:v>-0.78321871878440885</c:v>
                </c:pt>
                <c:pt idx="277">
                  <c:v>-0.79518983083756489</c:v>
                </c:pt>
                <c:pt idx="278">
                  <c:v>-0.80696661126084712</c:v>
                </c:pt>
                <c:pt idx="279">
                  <c:v>-0.81854651630938036</c:v>
                </c:pt>
                <c:pt idx="280">
                  <c:v>-0.82992704997355449</c:v>
                </c:pt>
                <c:pt idx="281">
                  <c:v>-0.84110576451226216</c:v>
                </c:pt>
                <c:pt idx="282">
                  <c:v>-0.8520802609745175</c:v>
                </c:pt>
                <c:pt idx="283">
                  <c:v>-0.86284818970933586</c:v>
                </c:pt>
                <c:pt idx="284">
                  <c:v>-0.87340725086378534</c:v>
                </c:pt>
                <c:pt idx="285">
                  <c:v>-0.88375519486908982</c:v>
                </c:pt>
                <c:pt idx="286">
                  <c:v>-0.89388982291468033</c:v>
                </c:pt>
                <c:pt idx="287">
                  <c:v>-0.90380898741011562</c:v>
                </c:pt>
                <c:pt idx="288">
                  <c:v>-0.91351059243475308</c:v>
                </c:pt>
                <c:pt idx="289">
                  <c:v>-0.92299259417509094</c:v>
                </c:pt>
                <c:pt idx="290">
                  <c:v>-0.93225300134969302</c:v>
                </c:pt>
                <c:pt idx="291">
                  <c:v>-0.94128987562159572</c:v>
                </c:pt>
                <c:pt idx="292">
                  <c:v>-0.95010133199813085</c:v>
                </c:pt>
                <c:pt idx="293">
                  <c:v>-0.9586855392180702</c:v>
                </c:pt>
                <c:pt idx="294">
                  <c:v>-0.96704072012601772</c:v>
                </c:pt>
                <c:pt idx="295">
                  <c:v>-0.9751651520339788</c:v>
                </c:pt>
                <c:pt idx="296">
                  <c:v>-0.9830571670700281</c:v>
                </c:pt>
                <c:pt idx="297">
                  <c:v>-0.99071515251400899</c:v>
                </c:pt>
                <c:pt idx="298">
                  <c:v>-0.99813755112020319</c:v>
                </c:pt>
                <c:pt idx="299">
                  <c:v>-1.0053228614269065</c:v>
                </c:pt>
                <c:pt idx="300">
                  <c:v>-1.0122696380528331</c:v>
                </c:pt>
                <c:pt idx="301">
                  <c:v>-1.0189764919803308</c:v>
                </c:pt>
                <c:pt idx="302">
                  <c:v>-1.0254420908253148</c:v>
                </c:pt>
                <c:pt idx="303">
                  <c:v>-1.0316651590938877</c:v>
                </c:pt>
                <c:pt idx="304">
                  <c:v>-1.0376444784255985</c:v>
                </c:pt>
                <c:pt idx="305">
                  <c:v>-1.0433788878233001</c:v>
                </c:pt>
                <c:pt idx="306">
                  <c:v>-1.0488672838695372</c:v>
                </c:pt>
                <c:pt idx="307">
                  <c:v>-1.054108620929475</c:v>
                </c:pt>
                <c:pt idx="308">
                  <c:v>-1.0591019113402873</c:v>
                </c:pt>
                <c:pt idx="309">
                  <c:v>-1.0638462255869996</c:v>
                </c:pt>
                <c:pt idx="310">
                  <c:v>-1.0683406924647538</c:v>
                </c:pt>
                <c:pt idx="311">
                  <c:v>-1.0725844992274525</c:v>
                </c:pt>
                <c:pt idx="312">
                  <c:v>-1.0765768917227954</c:v>
                </c:pt>
                <c:pt idx="313">
                  <c:v>-1.0803171745136535</c:v>
                </c:pt>
                <c:pt idx="314">
                  <c:v>-1.0838047109857838</c:v>
                </c:pt>
                <c:pt idx="315">
                  <c:v>-1.0870389234418711</c:v>
                </c:pt>
                <c:pt idx="316">
                  <c:v>-1.0900192931818831</c:v>
                </c:pt>
                <c:pt idx="317">
                  <c:v>-1.0927453605697315</c:v>
                </c:pt>
                <c:pt idx="318">
                  <c:v>-1.0952167250862439</c:v>
                </c:pt>
                <c:pt idx="319">
                  <c:v>-1.097433045368436</c:v>
                </c:pt>
                <c:pt idx="320">
                  <c:v>-1.0993940392351031</c:v>
                </c:pt>
                <c:pt idx="321">
                  <c:v>-1.1010994836987056</c:v>
                </c:pt>
                <c:pt idx="322">
                  <c:v>-1.1025492149636067</c:v>
                </c:pt>
                <c:pt idx="323">
                  <c:v>-1.1037431284106276</c:v>
                </c:pt>
                <c:pt idx="324">
                  <c:v>-1.1046811785679658</c:v>
                </c:pt>
                <c:pt idx="325">
                  <c:v>-1.1053633790684798</c:v>
                </c:pt>
                <c:pt idx="326">
                  <c:v>-1.1057898025933763</c:v>
                </c:pt>
                <c:pt idx="327">
                  <c:v>-1.1059605808023096</c:v>
                </c:pt>
                <c:pt idx="328">
                  <c:v>-1.1058759042499329</c:v>
                </c:pt>
                <c:pt idx="329">
                  <c:v>-1.1055360222889299</c:v>
                </c:pt>
                <c:pt idx="330">
                  <c:v>-1.1049412429595575</c:v>
                </c:pt>
                <c:pt idx="331">
                  <c:v>-1.1040919328657484</c:v>
                </c:pt>
                <c:pt idx="332">
                  <c:v>-1.1029885170377887</c:v>
                </c:pt>
                <c:pt idx="333">
                  <c:v>-1.1016314787816548</c:v>
                </c:pt>
                <c:pt idx="334">
                  <c:v>-1.1000213595150163</c:v>
                </c:pt>
                <c:pt idx="335">
                  <c:v>-1.0981587585899792</c:v>
                </c:pt>
                <c:pt idx="336">
                  <c:v>-1.0960443331026131</c:v>
                </c:pt>
                <c:pt idx="337">
                  <c:v>-1.0936787976893185</c:v>
                </c:pt>
                <c:pt idx="338">
                  <c:v>-1.0910629243101</c:v>
                </c:pt>
                <c:pt idx="339">
                  <c:v>-1.0881975420187944</c:v>
                </c:pt>
                <c:pt idx="340">
                  <c:v>-1.0850835367203309</c:v>
                </c:pt>
                <c:pt idx="341">
                  <c:v>-1.0817218509150901</c:v>
                </c:pt>
                <c:pt idx="342">
                  <c:v>-1.0781134834304109</c:v>
                </c:pt>
                <c:pt idx="343">
                  <c:v>-1.0742594891393615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29-FE4E-95F9-5BAD437A22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569776"/>
        <c:axId val="434573696"/>
      </c:scatterChart>
      <c:valAx>
        <c:axId val="434569776"/>
        <c:scaling>
          <c:orientation val="minMax"/>
          <c:max val="90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Range Location (m)</a:t>
                </a:r>
              </a:p>
            </c:rich>
          </c:tx>
          <c:layout>
            <c:manualLayout>
              <c:xMode val="edge"/>
              <c:yMode val="edge"/>
              <c:x val="0.45626874678048435"/>
              <c:y val="0.8833208786799755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none"/>
        <c:minorTickMark val="none"/>
        <c:tickLblPos val="low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573696"/>
        <c:crosses val="autoZero"/>
        <c:crossBetween val="midCat"/>
        <c:majorUnit val="5"/>
      </c:valAx>
      <c:valAx>
        <c:axId val="434573696"/>
        <c:scaling>
          <c:orientation val="minMax"/>
          <c:max val="4"/>
          <c:min val="-5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Beta (deg)</a:t>
                </a:r>
              </a:p>
            </c:rich>
          </c:tx>
          <c:layout>
            <c:manualLayout>
              <c:xMode val="edge"/>
              <c:yMode val="edge"/>
              <c:x val="4.9960518391291793E-2"/>
              <c:y val="0.3112535689136434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569776"/>
        <c:crossesAt val="-100"/>
        <c:crossBetween val="midCat"/>
        <c:majorUnit val="1"/>
        <c:minorUnit val="0.2"/>
      </c:valAx>
      <c:spPr>
        <a:noFill/>
        <a:ln w="381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/>
            </a:pPr>
            <a:r>
              <a:rPr lang="en-US" sz="1800" b="1"/>
              <a:t>EF-9  Shot </a:t>
            </a:r>
          </a:p>
        </c:rich>
      </c:tx>
      <c:layout>
        <c:manualLayout>
          <c:xMode val="edge"/>
          <c:yMode val="edge"/>
          <c:x val="0.32985283736085036"/>
          <c:y val="5.72792362768496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675870995577606"/>
          <c:y val="0.17635064113405868"/>
          <c:w val="0.48804445651190159"/>
          <c:h val="0.53942407557050664"/>
        </c:manualLayout>
      </c:layout>
      <c:scatterChart>
        <c:scatterStyle val="lineMarker"/>
        <c:varyColors val="0"/>
        <c:ser>
          <c:idx val="0"/>
          <c:order val="0"/>
          <c:tx>
            <c:v>Data</c:v>
          </c:tx>
          <c:spPr>
            <a:ln w="28575">
              <a:noFill/>
            </a:ln>
          </c:spPr>
          <c:marker>
            <c:symbol val="circle"/>
            <c:size val="8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ABCD!$D$9:$D$20</c:f>
              <c:numCache>
                <c:formatCode>0.00</c:formatCode>
                <c:ptCount val="12"/>
                <c:pt idx="3">
                  <c:v>24.033480000000001</c:v>
                </c:pt>
                <c:pt idx="6">
                  <c:v>31.476696</c:v>
                </c:pt>
                <c:pt idx="7">
                  <c:v>37.572696000000001</c:v>
                </c:pt>
                <c:pt idx="8">
                  <c:v>43.699176000000001</c:v>
                </c:pt>
                <c:pt idx="9">
                  <c:v>47.996856000000001</c:v>
                </c:pt>
                <c:pt idx="11">
                  <c:v>54.489096000000004</c:v>
                </c:pt>
              </c:numCache>
            </c:numRef>
          </c:xVal>
          <c:yVal>
            <c:numRef>
              <c:f>ABCD!$K$9:$K$20</c:f>
              <c:numCache>
                <c:formatCode>0.00</c:formatCode>
                <c:ptCount val="12"/>
                <c:pt idx="3">
                  <c:v>6.5499999999999989</c:v>
                </c:pt>
                <c:pt idx="6">
                  <c:v>6.45</c:v>
                </c:pt>
                <c:pt idx="7">
                  <c:v>6.05</c:v>
                </c:pt>
                <c:pt idx="8">
                  <c:v>4.3499999999999996</c:v>
                </c:pt>
                <c:pt idx="9">
                  <c:v>3.1</c:v>
                </c:pt>
                <c:pt idx="1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04-394D-86EC-04A70143FEC7}"/>
            </c:ext>
          </c:extLst>
        </c:ser>
        <c:ser>
          <c:idx val="1"/>
          <c:order val="1"/>
          <c:tx>
            <c:v>Motion Fit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ABCD!$J$53:$J$417</c:f>
              <c:numCache>
                <c:formatCode>General</c:formatCode>
                <c:ptCount val="36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  <c:pt idx="201">
                  <c:v>50.25</c:v>
                </c:pt>
                <c:pt idx="202">
                  <c:v>50.5</c:v>
                </c:pt>
                <c:pt idx="203">
                  <c:v>50.75</c:v>
                </c:pt>
                <c:pt idx="204">
                  <c:v>51</c:v>
                </c:pt>
                <c:pt idx="205">
                  <c:v>51.25</c:v>
                </c:pt>
                <c:pt idx="206">
                  <c:v>51.5</c:v>
                </c:pt>
                <c:pt idx="207">
                  <c:v>51.75</c:v>
                </c:pt>
                <c:pt idx="208">
                  <c:v>52</c:v>
                </c:pt>
                <c:pt idx="209">
                  <c:v>52.25</c:v>
                </c:pt>
                <c:pt idx="210">
                  <c:v>52.5</c:v>
                </c:pt>
                <c:pt idx="211">
                  <c:v>52.75</c:v>
                </c:pt>
                <c:pt idx="212">
                  <c:v>53</c:v>
                </c:pt>
                <c:pt idx="213">
                  <c:v>53.25</c:v>
                </c:pt>
                <c:pt idx="214">
                  <c:v>53.5</c:v>
                </c:pt>
                <c:pt idx="215">
                  <c:v>53.75</c:v>
                </c:pt>
                <c:pt idx="216">
                  <c:v>54</c:v>
                </c:pt>
                <c:pt idx="217">
                  <c:v>54.25</c:v>
                </c:pt>
                <c:pt idx="218">
                  <c:v>54.5</c:v>
                </c:pt>
                <c:pt idx="219">
                  <c:v>54.75</c:v>
                </c:pt>
                <c:pt idx="220">
                  <c:v>55</c:v>
                </c:pt>
                <c:pt idx="221">
                  <c:v>55.25</c:v>
                </c:pt>
                <c:pt idx="222">
                  <c:v>55.5</c:v>
                </c:pt>
                <c:pt idx="223">
                  <c:v>55.75</c:v>
                </c:pt>
                <c:pt idx="224">
                  <c:v>56</c:v>
                </c:pt>
                <c:pt idx="225">
                  <c:v>56.25</c:v>
                </c:pt>
                <c:pt idx="226">
                  <c:v>56.5</c:v>
                </c:pt>
                <c:pt idx="227">
                  <c:v>56.75</c:v>
                </c:pt>
                <c:pt idx="228">
                  <c:v>57</c:v>
                </c:pt>
                <c:pt idx="229">
                  <c:v>57.25</c:v>
                </c:pt>
                <c:pt idx="230">
                  <c:v>57.5</c:v>
                </c:pt>
                <c:pt idx="231">
                  <c:v>57.75</c:v>
                </c:pt>
                <c:pt idx="232">
                  <c:v>58</c:v>
                </c:pt>
                <c:pt idx="233">
                  <c:v>58.25</c:v>
                </c:pt>
                <c:pt idx="234">
                  <c:v>58.5</c:v>
                </c:pt>
                <c:pt idx="235">
                  <c:v>58.75</c:v>
                </c:pt>
                <c:pt idx="236">
                  <c:v>59</c:v>
                </c:pt>
                <c:pt idx="237">
                  <c:v>59.25</c:v>
                </c:pt>
                <c:pt idx="238">
                  <c:v>59.5</c:v>
                </c:pt>
                <c:pt idx="239">
                  <c:v>59.75</c:v>
                </c:pt>
                <c:pt idx="240">
                  <c:v>60</c:v>
                </c:pt>
                <c:pt idx="241">
                  <c:v>60.25</c:v>
                </c:pt>
                <c:pt idx="242">
                  <c:v>60.5</c:v>
                </c:pt>
                <c:pt idx="243">
                  <c:v>60.75</c:v>
                </c:pt>
                <c:pt idx="244">
                  <c:v>61</c:v>
                </c:pt>
                <c:pt idx="245">
                  <c:v>61.25</c:v>
                </c:pt>
                <c:pt idx="246">
                  <c:v>61.5</c:v>
                </c:pt>
                <c:pt idx="247">
                  <c:v>61.75</c:v>
                </c:pt>
                <c:pt idx="248">
                  <c:v>62</c:v>
                </c:pt>
                <c:pt idx="249">
                  <c:v>62.25</c:v>
                </c:pt>
                <c:pt idx="250">
                  <c:v>62.5</c:v>
                </c:pt>
                <c:pt idx="251">
                  <c:v>62.75</c:v>
                </c:pt>
                <c:pt idx="252">
                  <c:v>63</c:v>
                </c:pt>
                <c:pt idx="253">
                  <c:v>63.25</c:v>
                </c:pt>
                <c:pt idx="254">
                  <c:v>63.5</c:v>
                </c:pt>
                <c:pt idx="255">
                  <c:v>63.75</c:v>
                </c:pt>
                <c:pt idx="256">
                  <c:v>64</c:v>
                </c:pt>
                <c:pt idx="257">
                  <c:v>64.25</c:v>
                </c:pt>
                <c:pt idx="258">
                  <c:v>64.5</c:v>
                </c:pt>
                <c:pt idx="259">
                  <c:v>64.75</c:v>
                </c:pt>
                <c:pt idx="260">
                  <c:v>65</c:v>
                </c:pt>
                <c:pt idx="261">
                  <c:v>65.25</c:v>
                </c:pt>
                <c:pt idx="262">
                  <c:v>65.5</c:v>
                </c:pt>
                <c:pt idx="263">
                  <c:v>65.75</c:v>
                </c:pt>
                <c:pt idx="264">
                  <c:v>66</c:v>
                </c:pt>
                <c:pt idx="265">
                  <c:v>66.25</c:v>
                </c:pt>
                <c:pt idx="266">
                  <c:v>66.5</c:v>
                </c:pt>
                <c:pt idx="267">
                  <c:v>66.75</c:v>
                </c:pt>
                <c:pt idx="268">
                  <c:v>67</c:v>
                </c:pt>
                <c:pt idx="269">
                  <c:v>67.25</c:v>
                </c:pt>
                <c:pt idx="270">
                  <c:v>67.5</c:v>
                </c:pt>
                <c:pt idx="271">
                  <c:v>67.75</c:v>
                </c:pt>
                <c:pt idx="272">
                  <c:v>68</c:v>
                </c:pt>
                <c:pt idx="273">
                  <c:v>68.25</c:v>
                </c:pt>
                <c:pt idx="274">
                  <c:v>68.5</c:v>
                </c:pt>
                <c:pt idx="275">
                  <c:v>68.75</c:v>
                </c:pt>
                <c:pt idx="276">
                  <c:v>69</c:v>
                </c:pt>
                <c:pt idx="277">
                  <c:v>69.25</c:v>
                </c:pt>
                <c:pt idx="278">
                  <c:v>69.5</c:v>
                </c:pt>
                <c:pt idx="279">
                  <c:v>69.75</c:v>
                </c:pt>
                <c:pt idx="280">
                  <c:v>70</c:v>
                </c:pt>
                <c:pt idx="281">
                  <c:v>70.25</c:v>
                </c:pt>
                <c:pt idx="282">
                  <c:v>70.5</c:v>
                </c:pt>
                <c:pt idx="283">
                  <c:v>70.75</c:v>
                </c:pt>
                <c:pt idx="284">
                  <c:v>71</c:v>
                </c:pt>
                <c:pt idx="285">
                  <c:v>71.25</c:v>
                </c:pt>
                <c:pt idx="286">
                  <c:v>71.5</c:v>
                </c:pt>
                <c:pt idx="287">
                  <c:v>71.75</c:v>
                </c:pt>
                <c:pt idx="288">
                  <c:v>72</c:v>
                </c:pt>
                <c:pt idx="289">
                  <c:v>72.25</c:v>
                </c:pt>
                <c:pt idx="290">
                  <c:v>72.5</c:v>
                </c:pt>
                <c:pt idx="291">
                  <c:v>72.75</c:v>
                </c:pt>
                <c:pt idx="292">
                  <c:v>73</c:v>
                </c:pt>
                <c:pt idx="293">
                  <c:v>73.25</c:v>
                </c:pt>
                <c:pt idx="294">
                  <c:v>73.5</c:v>
                </c:pt>
                <c:pt idx="295">
                  <c:v>73.75</c:v>
                </c:pt>
                <c:pt idx="296">
                  <c:v>74</c:v>
                </c:pt>
                <c:pt idx="297">
                  <c:v>74.25</c:v>
                </c:pt>
                <c:pt idx="298">
                  <c:v>74.5</c:v>
                </c:pt>
                <c:pt idx="299">
                  <c:v>74.75</c:v>
                </c:pt>
                <c:pt idx="300">
                  <c:v>75</c:v>
                </c:pt>
                <c:pt idx="301">
                  <c:v>75.25</c:v>
                </c:pt>
                <c:pt idx="302">
                  <c:v>75.5</c:v>
                </c:pt>
                <c:pt idx="303">
                  <c:v>75.75</c:v>
                </c:pt>
                <c:pt idx="304">
                  <c:v>76</c:v>
                </c:pt>
                <c:pt idx="305">
                  <c:v>76.25</c:v>
                </c:pt>
                <c:pt idx="306">
                  <c:v>76.5</c:v>
                </c:pt>
                <c:pt idx="307">
                  <c:v>76.75</c:v>
                </c:pt>
                <c:pt idx="308">
                  <c:v>77</c:v>
                </c:pt>
                <c:pt idx="309">
                  <c:v>77.25</c:v>
                </c:pt>
                <c:pt idx="310">
                  <c:v>77.5</c:v>
                </c:pt>
                <c:pt idx="311">
                  <c:v>77.75</c:v>
                </c:pt>
                <c:pt idx="312">
                  <c:v>78</c:v>
                </c:pt>
                <c:pt idx="313">
                  <c:v>78.25</c:v>
                </c:pt>
                <c:pt idx="314">
                  <c:v>78.5</c:v>
                </c:pt>
                <c:pt idx="315">
                  <c:v>78.75</c:v>
                </c:pt>
                <c:pt idx="316">
                  <c:v>79</c:v>
                </c:pt>
                <c:pt idx="317">
                  <c:v>79.25</c:v>
                </c:pt>
                <c:pt idx="318">
                  <c:v>79.5</c:v>
                </c:pt>
                <c:pt idx="319">
                  <c:v>79.75</c:v>
                </c:pt>
                <c:pt idx="320">
                  <c:v>80</c:v>
                </c:pt>
                <c:pt idx="321">
                  <c:v>80.25</c:v>
                </c:pt>
                <c:pt idx="322">
                  <c:v>80.5</c:v>
                </c:pt>
                <c:pt idx="323">
                  <c:v>80.75</c:v>
                </c:pt>
                <c:pt idx="324">
                  <c:v>81</c:v>
                </c:pt>
                <c:pt idx="325">
                  <c:v>81.25</c:v>
                </c:pt>
                <c:pt idx="326">
                  <c:v>81.5</c:v>
                </c:pt>
                <c:pt idx="327">
                  <c:v>81.75</c:v>
                </c:pt>
                <c:pt idx="328">
                  <c:v>82</c:v>
                </c:pt>
                <c:pt idx="329">
                  <c:v>82.25</c:v>
                </c:pt>
                <c:pt idx="330">
                  <c:v>82.5</c:v>
                </c:pt>
                <c:pt idx="331">
                  <c:v>82.75</c:v>
                </c:pt>
                <c:pt idx="332">
                  <c:v>83</c:v>
                </c:pt>
                <c:pt idx="333">
                  <c:v>83.25</c:v>
                </c:pt>
                <c:pt idx="334">
                  <c:v>83.5</c:v>
                </c:pt>
                <c:pt idx="335">
                  <c:v>83.75</c:v>
                </c:pt>
                <c:pt idx="336">
                  <c:v>84</c:v>
                </c:pt>
                <c:pt idx="337">
                  <c:v>84.25</c:v>
                </c:pt>
                <c:pt idx="338">
                  <c:v>84.5</c:v>
                </c:pt>
                <c:pt idx="339">
                  <c:v>84.75</c:v>
                </c:pt>
                <c:pt idx="340">
                  <c:v>85</c:v>
                </c:pt>
                <c:pt idx="341">
                  <c:v>85.25</c:v>
                </c:pt>
                <c:pt idx="342">
                  <c:v>85.5</c:v>
                </c:pt>
                <c:pt idx="343">
                  <c:v>85.75</c:v>
                </c:pt>
                <c:pt idx="344">
                  <c:v>86</c:v>
                </c:pt>
                <c:pt idx="345">
                  <c:v>86.25</c:v>
                </c:pt>
                <c:pt idx="346">
                  <c:v>86.5</c:v>
                </c:pt>
                <c:pt idx="347">
                  <c:v>86.75</c:v>
                </c:pt>
                <c:pt idx="348">
                  <c:v>87</c:v>
                </c:pt>
                <c:pt idx="349">
                  <c:v>87.25</c:v>
                </c:pt>
                <c:pt idx="350">
                  <c:v>87.5</c:v>
                </c:pt>
                <c:pt idx="351">
                  <c:v>87.75</c:v>
                </c:pt>
                <c:pt idx="352">
                  <c:v>88</c:v>
                </c:pt>
                <c:pt idx="353">
                  <c:v>88.25</c:v>
                </c:pt>
                <c:pt idx="354">
                  <c:v>88.5</c:v>
                </c:pt>
                <c:pt idx="355">
                  <c:v>88.75</c:v>
                </c:pt>
                <c:pt idx="356">
                  <c:v>89</c:v>
                </c:pt>
                <c:pt idx="357">
                  <c:v>89.25</c:v>
                </c:pt>
                <c:pt idx="358">
                  <c:v>89.5</c:v>
                </c:pt>
                <c:pt idx="359">
                  <c:v>89.75</c:v>
                </c:pt>
                <c:pt idx="360">
                  <c:v>90</c:v>
                </c:pt>
                <c:pt idx="361">
                  <c:v>90.25</c:v>
                </c:pt>
                <c:pt idx="362">
                  <c:v>90.5</c:v>
                </c:pt>
                <c:pt idx="363">
                  <c:v>90.75</c:v>
                </c:pt>
                <c:pt idx="364">
                  <c:v>91</c:v>
                </c:pt>
              </c:numCache>
            </c:numRef>
          </c:xVal>
          <c:yVal>
            <c:numRef>
              <c:f>ABCD!$N$53:$N$417</c:f>
              <c:numCache>
                <c:formatCode>General</c:formatCode>
                <c:ptCount val="365"/>
                <c:pt idx="0">
                  <c:v>1.6880370630769783</c:v>
                </c:pt>
                <c:pt idx="1">
                  <c:v>1.5816713763258401</c:v>
                </c:pt>
                <c:pt idx="2">
                  <c:v>1.4750483633021034</c:v>
                </c:pt>
                <c:pt idx="3">
                  <c:v>1.368195670803378</c:v>
                </c:pt>
                <c:pt idx="4">
                  <c:v>1.2611419260306664</c:v>
                </c:pt>
                <c:pt idx="5">
                  <c:v>1.1539171722771187</c:v>
                </c:pt>
                <c:pt idx="6">
                  <c:v>1.0465535769086733</c:v>
                </c:pt>
                <c:pt idx="7">
                  <c:v>0.93908662977622082</c:v>
                </c:pt>
                <c:pt idx="8">
                  <c:v>0.83155727539848345</c:v>
                </c:pt>
                <c:pt idx="9">
                  <c:v>0.72401594717215234</c:v>
                </c:pt>
                <c:pt idx="10">
                  <c:v>0.61653081523079045</c:v>
                </c:pt>
                <c:pt idx="11">
                  <c:v>0.50920642956885998</c:v>
                </c:pt>
                <c:pt idx="12">
                  <c:v>0.40223196877159512</c:v>
                </c:pt>
                <c:pt idx="13">
                  <c:v>0.29603277358489866</c:v>
                </c:pt>
                <c:pt idx="14">
                  <c:v>0.1919145702212289</c:v>
                </c:pt>
                <c:pt idx="15">
                  <c:v>9.675685122550802E-2</c:v>
                </c:pt>
                <c:pt idx="16">
                  <c:v>7.2041009030451464E-2</c:v>
                </c:pt>
                <c:pt idx="17">
                  <c:v>0.15574430890684948</c:v>
                </c:pt>
                <c:pt idx="18">
                  <c:v>0.25783860492734162</c:v>
                </c:pt>
                <c:pt idx="19">
                  <c:v>0.36299005027968823</c:v>
                </c:pt>
                <c:pt idx="20">
                  <c:v>0.46901684811712752</c:v>
                </c:pt>
                <c:pt idx="21">
                  <c:v>0.57531063277942507</c:v>
                </c:pt>
                <c:pt idx="22">
                  <c:v>0.68162605411387289</c:v>
                </c:pt>
                <c:pt idx="23">
                  <c:v>0.78783706222002048</c:v>
                </c:pt>
                <c:pt idx="24">
                  <c:v>0.89386610491778595</c:v>
                </c:pt>
                <c:pt idx="25">
                  <c:v>0.99965838506734883</c:v>
                </c:pt>
                <c:pt idx="26">
                  <c:v>1.1051709574260404</c:v>
                </c:pt>
                <c:pt idx="27">
                  <c:v>1.2103675678119858</c:v>
                </c:pt>
                <c:pt idx="28">
                  <c:v>1.3152159943270063</c:v>
                </c:pt>
                <c:pt idx="29">
                  <c:v>1.4196865831352254</c:v>
                </c:pt>
                <c:pt idx="30">
                  <c:v>1.5237513976017414</c:v>
                </c:pt>
                <c:pt idx="31">
                  <c:v>1.6273837016425705</c:v>
                </c:pt>
                <c:pt idx="32">
                  <c:v>1.7305576344152118</c:v>
                </c:pt>
                <c:pt idx="33">
                  <c:v>1.8332479992361965</c:v>
                </c:pt>
                <c:pt idx="34">
                  <c:v>1.9354301231812945</c:v>
                </c:pt>
                <c:pt idx="35">
                  <c:v>2.0370797618049417</c:v>
                </c:pt>
                <c:pt idx="36">
                  <c:v>2.1381730334549252</c:v>
                </c:pt>
                <c:pt idx="37">
                  <c:v>2.2386863734702001</c:v>
                </c:pt>
                <c:pt idx="38">
                  <c:v>2.3385965020236226</c:v>
                </c:pt>
                <c:pt idx="39">
                  <c:v>2.4378804015071709</c:v>
                </c:pt>
                <c:pt idx="40">
                  <c:v>2.5365153007040964</c:v>
                </c:pt>
                <c:pt idx="41">
                  <c:v>2.6344786638615201</c:v>
                </c:pt>
                <c:pt idx="42">
                  <c:v>2.731748183349215</c:v>
                </c:pt>
                <c:pt idx="43">
                  <c:v>2.8283017749743911</c:v>
                </c:pt>
                <c:pt idx="44">
                  <c:v>2.9241175752844297</c:v>
                </c:pt>
                <c:pt idx="45">
                  <c:v>3.0191739403713429</c:v>
                </c:pt>
                <c:pt idx="46">
                  <c:v>3.1134494458195916</c:v>
                </c:pt>
                <c:pt idx="47">
                  <c:v>3.2069228875301117</c:v>
                </c:pt>
                <c:pt idx="48">
                  <c:v>3.2995732832191558</c:v>
                </c:pt>
                <c:pt idx="49">
                  <c:v>3.3913798744387686</c:v>
                </c:pt>
                <c:pt idx="50">
                  <c:v>3.4823221290009498</c:v>
                </c:pt>
                <c:pt idx="51">
                  <c:v>3.5723797437142957</c:v>
                </c:pt>
                <c:pt idx="52">
                  <c:v>3.6615326473615162</c:v>
                </c:pt>
                <c:pt idx="53">
                  <c:v>3.7497610038615998</c:v>
                </c:pt>
                <c:pt idx="54">
                  <c:v>3.8370452155717278</c:v>
                </c:pt>
                <c:pt idx="55">
                  <c:v>3.9233659266931533</c:v>
                </c:pt>
                <c:pt idx="56">
                  <c:v>4.0087040267521177</c:v>
                </c:pt>
                <c:pt idx="57">
                  <c:v>4.0930406541322331</c:v>
                </c:pt>
                <c:pt idx="58">
                  <c:v>4.1763571996391953</c:v>
                </c:pt>
                <c:pt idx="59">
                  <c:v>4.2586353100819823</c:v>
                </c:pt>
                <c:pt idx="60">
                  <c:v>4.3398568918573739</c:v>
                </c:pt>
                <c:pt idx="61">
                  <c:v>4.4200041145269271</c:v>
                </c:pt>
                <c:pt idx="62">
                  <c:v>4.4990594143771405</c:v>
                </c:pt>
                <c:pt idx="63">
                  <c:v>4.5770054979551267</c:v>
                </c:pt>
                <c:pt idx="64">
                  <c:v>4.6538253455731038</c:v>
                </c:pt>
                <c:pt idx="65">
                  <c:v>4.729502214776117</c:v>
                </c:pt>
                <c:pt idx="66">
                  <c:v>4.8040196437681235</c:v>
                </c:pt>
                <c:pt idx="67">
                  <c:v>4.8773614547922044</c:v>
                </c:pt>
                <c:pt idx="68">
                  <c:v>4.9495117574612166</c:v>
                </c:pt>
                <c:pt idx="69">
                  <c:v>5.0204549520357604</c:v>
                </c:pt>
                <c:pt idx="70">
                  <c:v>5.090175732646486</c:v>
                </c:pt>
                <c:pt idx="71">
                  <c:v>5.1586590904583591</c:v>
                </c:pt>
                <c:pt idx="72">
                  <c:v>5.2258903167745574</c:v>
                </c:pt>
                <c:pt idx="73">
                  <c:v>5.291855006078042</c:v>
                </c:pt>
                <c:pt idx="74">
                  <c:v>5.3565390590089574</c:v>
                </c:pt>
                <c:pt idx="75">
                  <c:v>5.4199286852762425</c:v>
                </c:pt>
                <c:pt idx="76">
                  <c:v>5.4820104065020105</c:v>
                </c:pt>
                <c:pt idx="77">
                  <c:v>5.5427710589972419</c:v>
                </c:pt>
                <c:pt idx="78">
                  <c:v>5.6021977964676681</c:v>
                </c:pt>
                <c:pt idx="79">
                  <c:v>5.6602780926486158</c:v>
                </c:pt>
                <c:pt idx="80">
                  <c:v>5.7169997438678042</c:v>
                </c:pt>
                <c:pt idx="81">
                  <c:v>5.7723508715351244</c:v>
                </c:pt>
                <c:pt idx="82">
                  <c:v>5.8263199245584643</c:v>
                </c:pt>
                <c:pt idx="83">
                  <c:v>5.8788956816848223</c:v>
                </c:pt>
                <c:pt idx="84">
                  <c:v>5.9300672537658157</c:v>
                </c:pt>
                <c:pt idx="85">
                  <c:v>5.9798240859469693</c:v>
                </c:pt>
                <c:pt idx="86">
                  <c:v>6.0281559597800518</c:v>
                </c:pt>
                <c:pt idx="87">
                  <c:v>6.0750529952578374</c:v>
                </c:pt>
                <c:pt idx="88">
                  <c:v>6.1205056527707145</c:v>
                </c:pt>
                <c:pt idx="89">
                  <c:v>6.1645047349845781</c:v>
                </c:pt>
                <c:pt idx="90">
                  <c:v>6.2070413886395075</c:v>
                </c:pt>
                <c:pt idx="91">
                  <c:v>6.2481071062687441</c:v>
                </c:pt>
                <c:pt idx="92">
                  <c:v>6.2876937278375227</c:v>
                </c:pt>
                <c:pt idx="93">
                  <c:v>6.3257934423013591</c:v>
                </c:pt>
                <c:pt idx="94">
                  <c:v>6.3623987890833709</c:v>
                </c:pt>
                <c:pt idx="95">
                  <c:v>6.397502659470323</c:v>
                </c:pt>
                <c:pt idx="96">
                  <c:v>6.4310982979270568</c:v>
                </c:pt>
                <c:pt idx="97">
                  <c:v>6.4631793033289737</c:v>
                </c:pt>
                <c:pt idx="98">
                  <c:v>6.4937396301123442</c:v>
                </c:pt>
                <c:pt idx="99">
                  <c:v>6.5227735893421634</c:v>
                </c:pt>
                <c:pt idx="100">
                  <c:v>6.5502758496973374</c:v>
                </c:pt>
                <c:pt idx="101">
                  <c:v>6.5762414383730077</c:v>
                </c:pt>
                <c:pt idx="102">
                  <c:v>6.600665741899836</c:v>
                </c:pt>
                <c:pt idx="103">
                  <c:v>6.6235445068800809</c:v>
                </c:pt>
                <c:pt idx="104">
                  <c:v>6.6448738406403667</c:v>
                </c:pt>
                <c:pt idx="105">
                  <c:v>6.6646502118010131</c:v>
                </c:pt>
                <c:pt idx="106">
                  <c:v>6.6828704507618557</c:v>
                </c:pt>
                <c:pt idx="107">
                  <c:v>6.6995317501044847</c:v>
                </c:pt>
                <c:pt idx="108">
                  <c:v>6.7146316649108719</c:v>
                </c:pt>
                <c:pt idx="109">
                  <c:v>6.7281681129983664</c:v>
                </c:pt>
                <c:pt idx="110">
                  <c:v>6.7401393750710525</c:v>
                </c:pt>
                <c:pt idx="111">
                  <c:v>6.7505440947875002</c:v>
                </c:pt>
                <c:pt idx="112">
                  <c:v>6.7593812787449599</c:v>
                </c:pt>
                <c:pt idx="113">
                  <c:v>6.7666502963800585</c:v>
                </c:pt>
                <c:pt idx="114">
                  <c:v>6.772350879786079</c:v>
                </c:pt>
                <c:pt idx="115">
                  <c:v>6.7764831234469503</c:v>
                </c:pt>
                <c:pt idx="116">
                  <c:v>6.7790474838880614</c:v>
                </c:pt>
                <c:pt idx="117">
                  <c:v>6.7800447792440375</c:v>
                </c:pt>
                <c:pt idx="118">
                  <c:v>6.7794761887436801</c:v>
                </c:pt>
                <c:pt idx="119">
                  <c:v>6.7773432521122272</c:v>
                </c:pt>
                <c:pt idx="120">
                  <c:v>6.7736478688911523</c:v>
                </c:pt>
                <c:pt idx="121">
                  <c:v>6.7683922976757493</c:v>
                </c:pt>
                <c:pt idx="122">
                  <c:v>6.7615791552707183</c:v>
                </c:pt>
                <c:pt idx="123">
                  <c:v>6.753211415764051</c:v>
                </c:pt>
                <c:pt idx="124">
                  <c:v>6.743292409519495</c:v>
                </c:pt>
                <c:pt idx="125">
                  <c:v>6.731825822087889</c:v>
                </c:pt>
                <c:pt idx="126">
                  <c:v>6.7188156930377261</c:v>
                </c:pt>
                <c:pt idx="127">
                  <c:v>6.7042664147052617</c:v>
                </c:pt>
                <c:pt idx="128">
                  <c:v>6.6881827308645612</c:v>
                </c:pt>
                <c:pt idx="129">
                  <c:v>6.6705697353178426</c:v>
                </c:pt>
                <c:pt idx="130">
                  <c:v>6.6514328704065635</c:v>
                </c:pt>
                <c:pt idx="131">
                  <c:v>6.6307779254436081</c:v>
                </c:pt>
                <c:pt idx="132">
                  <c:v>6.6086110350671046</c:v>
                </c:pt>
                <c:pt idx="133">
                  <c:v>6.5849386775162584</c:v>
                </c:pt>
                <c:pt idx="134">
                  <c:v>6.5597676728297314</c:v>
                </c:pt>
                <c:pt idx="135">
                  <c:v>6.5331051809670573</c:v>
                </c:pt>
                <c:pt idx="136">
                  <c:v>6.504958699853594</c:v>
                </c:pt>
                <c:pt idx="137">
                  <c:v>6.4753360633495891</c:v>
                </c:pt>
                <c:pt idx="138">
                  <c:v>6.4442454391438879</c:v>
                </c:pt>
                <c:pt idx="139">
                  <c:v>6.4116953265728807</c:v>
                </c:pt>
                <c:pt idx="140">
                  <c:v>6.3776945543652657</c:v>
                </c:pt>
                <c:pt idx="141">
                  <c:v>6.3422522783132873</c:v>
                </c:pt>
                <c:pt idx="142">
                  <c:v>6.3053779788710402</c:v>
                </c:pt>
                <c:pt idx="143">
                  <c:v>6.2670814586805221</c:v>
                </c:pt>
                <c:pt idx="144">
                  <c:v>6.2273728400261241</c:v>
                </c:pt>
                <c:pt idx="145">
                  <c:v>6.1862625622182152</c:v>
                </c:pt>
                <c:pt idx="146">
                  <c:v>6.1437613789066043</c:v>
                </c:pt>
                <c:pt idx="147">
                  <c:v>6.0998803553245455</c:v>
                </c:pt>
                <c:pt idx="148">
                  <c:v>6.0546308654641141</c:v>
                </c:pt>
                <c:pt idx="149">
                  <c:v>6.0080245891837007</c:v>
                </c:pt>
                <c:pt idx="150">
                  <c:v>5.9600735092484518</c:v>
                </c:pt>
                <c:pt idx="151">
                  <c:v>5.9107899083044506</c:v>
                </c:pt>
                <c:pt idx="152">
                  <c:v>5.8601863657875537</c:v>
                </c:pt>
                <c:pt idx="153">
                  <c:v>5.8082757547677097</c:v>
                </c:pt>
                <c:pt idx="154">
                  <c:v>5.7550712387296992</c:v>
                </c:pt>
                <c:pt idx="155">
                  <c:v>5.7005862682912118</c:v>
                </c:pt>
                <c:pt idx="156">
                  <c:v>5.6448345778592568</c:v>
                </c:pt>
                <c:pt idx="157">
                  <c:v>5.5878301822258782</c:v>
                </c:pt>
                <c:pt idx="158">
                  <c:v>5.529587373104202</c:v>
                </c:pt>
                <c:pt idx="159">
                  <c:v>5.4701207156059271</c:v>
                </c:pt>
                <c:pt idx="160">
                  <c:v>5.4094450446613145</c:v>
                </c:pt>
                <c:pt idx="161">
                  <c:v>5.3475754613828803</c:v>
                </c:pt>
                <c:pt idx="162">
                  <c:v>5.2845273293739563</c:v>
                </c:pt>
                <c:pt idx="163">
                  <c:v>5.2203162709833935</c:v>
                </c:pt>
                <c:pt idx="164">
                  <c:v>5.15495816350772</c:v>
                </c:pt>
                <c:pt idx="165">
                  <c:v>5.0884691353421267</c:v>
                </c:pt>
                <c:pt idx="166">
                  <c:v>5.0208655620817568</c:v>
                </c:pt>
                <c:pt idx="167">
                  <c:v>4.9521640625748189</c:v>
                </c:pt>
                <c:pt idx="168">
                  <c:v>4.8823814949291844</c:v>
                </c:pt>
                <c:pt idx="169">
                  <c:v>4.8115349524741839</c:v>
                </c:pt>
                <c:pt idx="170">
                  <c:v>4.7396417596795422</c:v>
                </c:pt>
                <c:pt idx="171">
                  <c:v>4.6667194680334054</c:v>
                </c:pt>
                <c:pt idx="172">
                  <c:v>4.5927858518817173</c:v>
                </c:pt>
                <c:pt idx="173">
                  <c:v>4.5178589042313071</c:v>
                </c:pt>
                <c:pt idx="174">
                  <c:v>4.4419568325193497</c:v>
                </c:pt>
                <c:pt idx="175">
                  <c:v>4.3650980543520959</c:v>
                </c:pt>
                <c:pt idx="176">
                  <c:v>4.2873011932161553</c:v>
                </c:pt>
                <c:pt idx="177">
                  <c:v>4.2085850741659225</c:v>
                </c:pt>
                <c:pt idx="178">
                  <c:v>4.1289687194913069</c:v>
                </c:pt>
                <c:pt idx="179">
                  <c:v>4.0484713443704399</c:v>
                </c:pt>
                <c:pt idx="180">
                  <c:v>3.9671123525126983</c:v>
                </c:pt>
                <c:pt idx="181">
                  <c:v>3.884911331798321</c:v>
                </c:pt>
                <c:pt idx="182">
                  <c:v>3.801888049921752</c:v>
                </c:pt>
                <c:pt idx="183">
                  <c:v>3.7180624500472503</c:v>
                </c:pt>
                <c:pt idx="184">
                  <c:v>3.6334546464867148</c:v>
                </c:pt>
                <c:pt idx="185">
                  <c:v>3.54808492041166</c:v>
                </c:pt>
                <c:pt idx="186">
                  <c:v>3.4619737156136039</c:v>
                </c:pt>
                <c:pt idx="187">
                  <c:v>3.3751416343300908</c:v>
                </c:pt>
                <c:pt idx="188">
                  <c:v>3.2876094331573489</c:v>
                </c:pt>
                <c:pt idx="189">
                  <c:v>3.1993980190752502</c:v>
                </c:pt>
                <c:pt idx="190">
                  <c:v>3.1105284456163873</c:v>
                </c:pt>
                <c:pt idx="191">
                  <c:v>3.02102190921874</c:v>
                </c:pt>
                <c:pt idx="192">
                  <c:v>2.9308997458115758</c:v>
                </c:pt>
                <c:pt idx="193">
                  <c:v>2.8401834276972417</c:v>
                </c:pt>
                <c:pt idx="194">
                  <c:v>2.7488945608089459</c:v>
                </c:pt>
                <c:pt idx="195">
                  <c:v>2.6570548824472837</c:v>
                </c:pt>
                <c:pt idx="196">
                  <c:v>2.5646862596292692</c:v>
                </c:pt>
                <c:pt idx="197">
                  <c:v>2.4718106882248629</c:v>
                </c:pt>
                <c:pt idx="198">
                  <c:v>2.3784502931128659</c:v>
                </c:pt>
                <c:pt idx="199">
                  <c:v>2.2846273296665576</c:v>
                </c:pt>
                <c:pt idx="200">
                  <c:v>2.1903641869890218</c:v>
                </c:pt>
                <c:pt idx="201">
                  <c:v>2.0956833934740993</c:v>
                </c:pt>
                <c:pt idx="202">
                  <c:v>2.0006076254925484</c:v>
                </c:pt>
                <c:pt idx="203">
                  <c:v>1.9051597203303483</c:v>
                </c:pt>
                <c:pt idx="204">
                  <c:v>1.8093626949919841</c:v>
                </c:pt>
                <c:pt idx="205">
                  <c:v>1.713239773217011</c:v>
                </c:pt>
                <c:pt idx="206">
                  <c:v>1.6168144241940823</c:v>
                </c:pt>
                <c:pt idx="207">
                  <c:v>1.5201104182500393</c:v>
                </c:pt>
                <c:pt idx="208">
                  <c:v>1.4231519076957475</c:v>
                </c:pt>
                <c:pt idx="209">
                  <c:v>1.3259635458436925</c:v>
                </c:pt>
                <c:pt idx="210">
                  <c:v>1.2285706655132191</c:v>
                </c:pt>
                <c:pt idx="211">
                  <c:v>1.1309995531086343</c:v>
                </c:pt>
                <c:pt idx="212">
                  <c:v>1.0332778817191326</c:v>
                </c:pt>
                <c:pt idx="213">
                  <c:v>0.93543541981864242</c:v>
                </c:pt>
                <c:pt idx="214">
                  <c:v>0.8375052411063133</c:v>
                </c:pt>
                <c:pt idx="215">
                  <c:v>0.73952589952422887</c:v>
                </c:pt>
                <c:pt idx="216">
                  <c:v>0.64154559824905388</c:v>
                </c:pt>
                <c:pt idx="217">
                  <c:v>0.54363085560196989</c:v>
                </c:pt>
                <c:pt idx="218">
                  <c:v>0.44588652733340106</c:v>
                </c:pt>
                <c:pt idx="219">
                  <c:v>0.34850922652147798</c:v>
                </c:pt>
                <c:pt idx="220">
                  <c:v>0.25196290364840268</c:v>
                </c:pt>
                <c:pt idx="221">
                  <c:v>0.1577843474941141</c:v>
                </c:pt>
                <c:pt idx="222">
                  <c:v>7.5324797070721941E-2</c:v>
                </c:pt>
                <c:pt idx="223">
                  <c:v>7.6056611638683311E-2</c:v>
                </c:pt>
                <c:pt idx="224">
                  <c:v>0.15866951260704668</c:v>
                </c:pt>
                <c:pt idx="225">
                  <c:v>0.25254330982660783</c:v>
                </c:pt>
                <c:pt idx="226">
                  <c:v>0.34857341763876359</c:v>
                </c:pt>
                <c:pt idx="227">
                  <c:v>0.44524930422234882</c:v>
                </c:pt>
                <c:pt idx="228">
                  <c:v>0.54211284656681691</c:v>
                </c:pt>
                <c:pt idx="229">
                  <c:v>0.63896954499020631</c:v>
                </c:pt>
                <c:pt idx="230">
                  <c:v>0.73571569761591216</c:v>
                </c:pt>
                <c:pt idx="231">
                  <c:v>0.83228565801921195</c:v>
                </c:pt>
                <c:pt idx="232">
                  <c:v>0.92863202670893163</c:v>
                </c:pt>
                <c:pt idx="233">
                  <c:v>1.0247170651553275</c:v>
                </c:pt>
                <c:pt idx="234">
                  <c:v>1.1205085605932996</c:v>
                </c:pt>
                <c:pt idx="235">
                  <c:v>1.2159776666459716</c:v>
                </c:pt>
                <c:pt idx="236">
                  <c:v>1.3110977012121685</c:v>
                </c:pt>
                <c:pt idx="237">
                  <c:v>1.4058434417468262</c:v>
                </c:pt>
                <c:pt idx="238">
                  <c:v>1.5001906942385956</c:v>
                </c:pt>
                <c:pt idx="239">
                  <c:v>1.594116020182877</c:v>
                </c:pt>
                <c:pt idx="240">
                  <c:v>1.6875965585427184</c:v>
                </c:pt>
                <c:pt idx="241">
                  <c:v>1.7806099068459804</c:v>
                </c:pt>
                <c:pt idx="242">
                  <c:v>1.873134040232233</c:v>
                </c:pt>
                <c:pt idx="243">
                  <c:v>1.9651472555082699</c:v>
                </c:pt>
                <c:pt idx="244">
                  <c:v>2.0566281320748159</c:v>
                </c:pt>
                <c:pt idx="245">
                  <c:v>2.1475555044736585</c:v>
                </c:pt>
                <c:pt idx="246">
                  <c:v>2.2379084430879277</c:v>
                </c:pt>
                <c:pt idx="247">
                  <c:v>2.3276662406582802</c:v>
                </c:pt>
                <c:pt idx="248">
                  <c:v>2.4168084030092181</c:v>
                </c:pt>
                <c:pt idx="249">
                  <c:v>2.5053146428636293</c:v>
                </c:pt>
                <c:pt idx="250">
                  <c:v>2.5931648759493062</c:v>
                </c:pt>
                <c:pt idx="251">
                  <c:v>2.6803392188239301</c:v>
                </c:pt>
                <c:pt idx="252">
                  <c:v>2.7668179880003554</c:v>
                </c:pt>
                <c:pt idx="253">
                  <c:v>2.8525817000630793</c:v>
                </c:pt>
                <c:pt idx="254">
                  <c:v>2.9376110725451596</c:v>
                </c:pt>
                <c:pt idx="255">
                  <c:v>3.021887025391278</c:v>
                </c:pt>
                <c:pt idx="256">
                  <c:v>3.1053906828739608</c:v>
                </c:pt>
                <c:pt idx="257">
                  <c:v>3.1881033758607171</c:v>
                </c:pt>
                <c:pt idx="258">
                  <c:v>3.2700066443524998</c:v>
                </c:pt>
                <c:pt idx="259">
                  <c:v>3.3510822402313001</c:v>
                </c:pt>
                <c:pt idx="260">
                  <c:v>3.431312130167655</c:v>
                </c:pt>
                <c:pt idx="261">
                  <c:v>3.5106784986489092</c:v>
                </c:pt>
                <c:pt idx="262">
                  <c:v>3.589163751096927</c:v>
                </c:pt>
                <c:pt idx="263">
                  <c:v>3.6667505170497923</c:v>
                </c:pt>
                <c:pt idx="264">
                  <c:v>3.74342165338697</c:v>
                </c:pt>
                <c:pt idx="265">
                  <c:v>3.8191602475810247</c:v>
                </c:pt>
                <c:pt idx="266">
                  <c:v>3.8939496209619415</c:v>
                </c:pt>
                <c:pt idx="267">
                  <c:v>3.9677733319825492</c:v>
                </c:pt>
                <c:pt idx="268">
                  <c:v>4.040615179475358</c:v>
                </c:pt>
                <c:pt idx="269">
                  <c:v>4.1124592058927227</c:v>
                </c:pt>
                <c:pt idx="270">
                  <c:v>4.183289700523467</c:v>
                </c:pt>
                <c:pt idx="271">
                  <c:v>4.2530912026801051</c:v>
                </c:pt>
                <c:pt idx="272">
                  <c:v>4.3218485048517152</c:v>
                </c:pt>
                <c:pt idx="273">
                  <c:v>4.389546655818064</c:v>
                </c:pt>
                <c:pt idx="274">
                  <c:v>4.4561709637213172</c:v>
                </c:pt>
                <c:pt idx="275">
                  <c:v>4.5217069990920589</c:v>
                </c:pt>
                <c:pt idx="276">
                  <c:v>4.5861405978267182</c:v>
                </c:pt>
                <c:pt idx="277">
                  <c:v>4.6494578641139235</c:v>
                </c:pt>
                <c:pt idx="278">
                  <c:v>4.7116451733075282</c:v>
                </c:pt>
                <c:pt idx="279">
                  <c:v>4.7726891747442952</c:v>
                </c:pt>
                <c:pt idx="280">
                  <c:v>4.8325767945044689</c:v>
                </c:pt>
                <c:pt idx="281">
                  <c:v>4.8912952381135906</c:v>
                </c:pt>
                <c:pt idx="282">
                  <c:v>4.9488319931841538</c:v>
                </c:pt>
                <c:pt idx="283">
                  <c:v>5.0051748319956877</c:v>
                </c:pt>
                <c:pt idx="284">
                  <c:v>5.0603118140121079</c:v>
                </c:pt>
                <c:pt idx="285">
                  <c:v>5.1142312883352359</c:v>
                </c:pt>
                <c:pt idx="286">
                  <c:v>5.1669218960934042</c:v>
                </c:pt>
                <c:pt idx="287">
                  <c:v>5.2183725727642702</c:v>
                </c:pt>
                <c:pt idx="288">
                  <c:v>5.2685725504309175</c:v>
                </c:pt>
                <c:pt idx="289">
                  <c:v>5.317511359970454</c:v>
                </c:pt>
                <c:pt idx="290">
                  <c:v>5.365178833174383</c:v>
                </c:pt>
                <c:pt idx="291">
                  <c:v>5.4115651047999762</c:v>
                </c:pt>
                <c:pt idx="292">
                  <c:v>5.456660614552078</c:v>
                </c:pt>
                <c:pt idx="293">
                  <c:v>5.5004561089946904</c:v>
                </c:pt>
                <c:pt idx="294">
                  <c:v>5.5429426433917657</c:v>
                </c:pt>
                <c:pt idx="295">
                  <c:v>5.5841115834767052</c:v>
                </c:pt>
                <c:pt idx="296">
                  <c:v>5.6239546071500488</c:v>
                </c:pt>
                <c:pt idx="297">
                  <c:v>5.6624637061048952</c:v>
                </c:pt>
                <c:pt idx="298">
                  <c:v>5.6996311873796399</c:v>
                </c:pt>
                <c:pt idx="299">
                  <c:v>5.7354496748376258</c:v>
                </c:pt>
                <c:pt idx="300">
                  <c:v>5.7699121105732978</c:v>
                </c:pt>
                <c:pt idx="301">
                  <c:v>5.8030117562445822</c:v>
                </c:pt>
                <c:pt idx="302">
                  <c:v>5.8347421943311248</c:v>
                </c:pt>
                <c:pt idx="303">
                  <c:v>5.8650973293180995</c:v>
                </c:pt>
                <c:pt idx="304">
                  <c:v>5.8940713888053455</c:v>
                </c:pt>
                <c:pt idx="305">
                  <c:v>5.9216589245415507</c:v>
                </c:pt>
                <c:pt idx="306">
                  <c:v>5.9478548133833034</c:v>
                </c:pt>
                <c:pt idx="307">
                  <c:v>5.9726542581787481</c:v>
                </c:pt>
                <c:pt idx="308">
                  <c:v>5.9960527885757475</c:v>
                </c:pt>
                <c:pt idx="309">
                  <c:v>6.0180462617543409</c:v>
                </c:pt>
                <c:pt idx="310">
                  <c:v>6.0386308630833554</c:v>
                </c:pt>
                <c:pt idx="311">
                  <c:v>6.0578031067011198</c:v>
                </c:pt>
                <c:pt idx="312">
                  <c:v>6.0755598360201155</c:v>
                </c:pt>
                <c:pt idx="313">
                  <c:v>6.0918982241555337</c:v>
                </c:pt>
                <c:pt idx="314">
                  <c:v>6.106815774277675</c:v>
                </c:pt>
                <c:pt idx="315">
                  <c:v>6.1203103198881648</c:v>
                </c:pt>
                <c:pt idx="316">
                  <c:v>6.1323800250199554</c:v>
                </c:pt>
                <c:pt idx="317">
                  <c:v>6.1430233843611353</c:v>
                </c:pt>
                <c:pt idx="318">
                  <c:v>6.1522392233025753</c:v>
                </c:pt>
                <c:pt idx="319">
                  <c:v>6.1600266979094309</c:v>
                </c:pt>
                <c:pt idx="320">
                  <c:v>6.1663852948166031</c:v>
                </c:pt>
                <c:pt idx="321">
                  <c:v>6.1713148310481962</c:v>
                </c:pt>
                <c:pt idx="322">
                  <c:v>6.1748154537611244</c:v>
                </c:pt>
                <c:pt idx="323">
                  <c:v>6.1768876399129313</c:v>
                </c:pt>
                <c:pt idx="324">
                  <c:v>6.1775321958540115</c:v>
                </c:pt>
                <c:pt idx="325">
                  <c:v>6.1767502568443566</c:v>
                </c:pt>
                <c:pt idx="326">
                  <c:v>6.1745432864950232</c:v>
                </c:pt>
                <c:pt idx="327">
                  <c:v>6.1709130761345081</c:v>
                </c:pt>
                <c:pt idx="328">
                  <c:v>6.1658617441002228</c:v>
                </c:pt>
                <c:pt idx="329">
                  <c:v>6.1593917349553475</c:v>
                </c:pt>
                <c:pt idx="330">
                  <c:v>6.1515058186312599</c:v>
                </c:pt>
                <c:pt idx="331">
                  <c:v>6.1422070894958329</c:v>
                </c:pt>
                <c:pt idx="332">
                  <c:v>6.1314989653478751</c:v>
                </c:pt>
                <c:pt idx="333">
                  <c:v>6.1193851863380386</c:v>
                </c:pt>
                <c:pt idx="334">
                  <c:v>6.1058698138164642</c:v>
                </c:pt>
                <c:pt idx="335">
                  <c:v>6.0909572291075635</c:v>
                </c:pt>
                <c:pt idx="336">
                  <c:v>6.0746521322122335</c:v>
                </c:pt>
                <c:pt idx="337">
                  <c:v>6.0569595404379255</c:v>
                </c:pt>
                <c:pt idx="338">
                  <c:v>6.0378847869569299</c:v>
                </c:pt>
                <c:pt idx="339">
                  <c:v>6.01743351929328</c:v>
                </c:pt>
                <c:pt idx="340">
                  <c:v>5.9956116977387399</c:v>
                </c:pt>
                <c:pt idx="341">
                  <c:v>5.9724255936982598</c:v>
                </c:pt>
                <c:pt idx="342">
                  <c:v>5.9478817879654038</c:v>
                </c:pt>
                <c:pt idx="343">
                  <c:v>5.9219871689282355</c:v>
                </c:pt>
                <c:pt idx="344">
                  <c:v>5.8947489307060899</c:v>
                </c:pt>
                <c:pt idx="345">
                  <c:v>5.8661745712178401</c:v>
                </c:pt>
                <c:pt idx="346">
                  <c:v>5.8362718901820996</c:v>
                </c:pt>
                <c:pt idx="347">
                  <c:v>5.8050489870499842</c:v>
                </c:pt>
                <c:pt idx="348">
                  <c:v>5.7725142588709453</c:v>
                </c:pt>
                <c:pt idx="349">
                  <c:v>5.7386763980922719</c:v>
                </c:pt>
                <c:pt idx="350">
                  <c:v>5.7035443902929019</c:v>
                </c:pt>
                <c:pt idx="351">
                  <c:v>5.6671275118521081</c:v>
                </c:pt>
                <c:pt idx="352">
                  <c:v>5.6294353275537228</c:v>
                </c:pt>
                <c:pt idx="353">
                  <c:v>5.5904776881265903</c:v>
                </c:pt>
                <c:pt idx="354">
                  <c:v>5.5502647277218609</c:v>
                </c:pt>
                <c:pt idx="355">
                  <c:v>5.508806861327888</c:v>
                </c:pt>
                <c:pt idx="356">
                  <c:v>5.4661147821233973</c:v>
                </c:pt>
                <c:pt idx="357">
                  <c:v>5.4221994587697173</c:v>
                </c:pt>
                <c:pt idx="358">
                  <c:v>5.3770721326427857</c:v>
                </c:pt>
                <c:pt idx="359">
                  <c:v>5.3307443150057239</c:v>
                </c:pt>
                <c:pt idx="360">
                  <c:v>5.2832277841228379</c:v>
                </c:pt>
                <c:pt idx="361">
                  <c:v>5.2345345823158036</c:v>
                </c:pt>
                <c:pt idx="362">
                  <c:v>5.1846770129629229</c:v>
                </c:pt>
                <c:pt idx="363">
                  <c:v>5.1336676374423904</c:v>
                </c:pt>
                <c:pt idx="364">
                  <c:v>5.0815192720203832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04-394D-86EC-04A70143FEC7}"/>
            </c:ext>
          </c:extLst>
        </c:ser>
        <c:ser>
          <c:idx val="2"/>
          <c:order val="2"/>
          <c:tx>
            <c:v>Fit at Target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>
                  <a:alpha val="45000"/>
                </a:srgbClr>
              </a:solidFill>
              <a:ln>
                <a:solidFill>
                  <a:srgbClr val="000000"/>
                </a:solidFill>
              </a:ln>
            </c:spPr>
          </c:marker>
          <c:xVal>
            <c:numRef>
              <c:f>ABCD!$D$22</c:f>
              <c:numCache>
                <c:formatCode>0.00</c:formatCode>
                <c:ptCount val="1"/>
                <c:pt idx="0">
                  <c:v>55.376482000000003</c:v>
                </c:pt>
              </c:numCache>
            </c:numRef>
          </c:xVal>
          <c:yVal>
            <c:numRef>
              <c:f>ABCD!$N$22</c:f>
              <c:numCache>
                <c:formatCode>0.00</c:formatCode>
                <c:ptCount val="1"/>
                <c:pt idx="0">
                  <c:v>0.11292512511656633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04-394D-86EC-04A70143F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576048"/>
        <c:axId val="434572520"/>
      </c:scatterChart>
      <c:valAx>
        <c:axId val="434576048"/>
        <c:scaling>
          <c:orientation val="minMax"/>
          <c:max val="90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Range Location (m)</a:t>
                </a:r>
              </a:p>
            </c:rich>
          </c:tx>
          <c:layout>
            <c:manualLayout>
              <c:xMode val="edge"/>
              <c:yMode val="edge"/>
              <c:x val="0.31687747307448894"/>
              <c:y val="0.8286962459048227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none"/>
        <c:minorTickMark val="none"/>
        <c:tickLblPos val="low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572520"/>
        <c:crosses val="autoZero"/>
        <c:crossBetween val="midCat"/>
        <c:majorUnit val="10"/>
      </c:valAx>
      <c:valAx>
        <c:axId val="434572520"/>
        <c:scaling>
          <c:orientation val="minMax"/>
          <c:max val="7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Total Yaw (deg)</a:t>
                </a:r>
              </a:p>
            </c:rich>
          </c:tx>
          <c:layout>
            <c:manualLayout>
              <c:xMode val="edge"/>
              <c:yMode val="edge"/>
              <c:x val="7.9231640872477152E-2"/>
              <c:y val="0.32857509756388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576048"/>
        <c:crossesAt val="-100"/>
        <c:crossBetween val="midCat"/>
        <c:majorUnit val="0.5"/>
      </c:valAx>
      <c:spPr>
        <a:noFill/>
        <a:ln w="381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1565050230790161"/>
          <c:y val="0.19005556286371117"/>
          <c:w val="0.21643225631278901"/>
          <c:h val="0.19586892927166918"/>
        </c:manualLayout>
      </c:layout>
      <c:overlay val="0"/>
      <c:spPr>
        <a:ln>
          <a:solidFill>
            <a:srgbClr val="000000"/>
          </a:solidFill>
        </a:ln>
      </c:spPr>
      <c:txPr>
        <a:bodyPr/>
        <a:lstStyle/>
        <a:p>
          <a:pPr>
            <a:defRPr sz="1200" b="1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117231</xdr:colOff>
      <xdr:row>21</xdr:row>
      <xdr:rowOff>58617</xdr:rowOff>
    </xdr:from>
    <xdr:to>
      <xdr:col>8</xdr:col>
      <xdr:colOff>544990</xdr:colOff>
      <xdr:row>49</xdr:row>
      <xdr:rowOff>23980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25BEA2D9-484D-6244-939F-C27366B24FC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49</xdr:row>
      <xdr:rowOff>143208</xdr:rowOff>
    </xdr:from>
    <xdr:to>
      <xdr:col>8</xdr:col>
      <xdr:colOff>554759</xdr:colOff>
      <xdr:row>77</xdr:row>
      <xdr:rowOff>108572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3E4F990-151C-4148-99A3-7CAE25278F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128525</xdr:colOff>
      <xdr:row>78</xdr:row>
      <xdr:rowOff>53002</xdr:rowOff>
    </xdr:from>
    <xdr:to>
      <xdr:col>8</xdr:col>
      <xdr:colOff>556284</xdr:colOff>
      <xdr:row>106</xdr:row>
      <xdr:rowOff>18366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0E9C768-1604-7D42-91B0-02D4C403CF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44450</xdr:colOff>
      <xdr:row>22</xdr:row>
      <xdr:rowOff>111125</xdr:rowOff>
    </xdr:from>
    <xdr:to>
      <xdr:col>26</xdr:col>
      <xdr:colOff>533400</xdr:colOff>
      <xdr:row>46</xdr:row>
      <xdr:rowOff>136525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203200</xdr:colOff>
      <xdr:row>25</xdr:row>
      <xdr:rowOff>60325</xdr:rowOff>
    </xdr:from>
    <xdr:to>
      <xdr:col>38</xdr:col>
      <xdr:colOff>492125</xdr:colOff>
      <xdr:row>49</xdr:row>
      <xdr:rowOff>76200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120650</xdr:colOff>
      <xdr:row>3</xdr:row>
      <xdr:rowOff>120650</xdr:rowOff>
    </xdr:from>
    <xdr:to>
      <xdr:col>40</xdr:col>
      <xdr:colOff>476250</xdr:colOff>
      <xdr:row>23</xdr:row>
      <xdr:rowOff>107950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139700</xdr:colOff>
      <xdr:row>22</xdr:row>
      <xdr:rowOff>79375</xdr:rowOff>
    </xdr:from>
    <xdr:to>
      <xdr:col>13</xdr:col>
      <xdr:colOff>225425</xdr:colOff>
      <xdr:row>46</xdr:row>
      <xdr:rowOff>107950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0.46639</cdr:x>
      <cdr:y>0.03264</cdr:y>
    </cdr:from>
    <cdr:to>
      <cdr:x>0.59049</cdr:x>
      <cdr:y>0.12818</cdr:y>
    </cdr:to>
    <cdr:sp macro="" textlink="ABCD!$D$3">
      <cdr:nvSpPr>
        <cdr:cNvPr id="3" name="TextBox 2"/>
        <cdr:cNvSpPr txBox="1"/>
      </cdr:nvSpPr>
      <cdr:spPr>
        <a:xfrm xmlns:a="http://schemas.openxmlformats.org/drawingml/2006/main">
          <a:off x="2863850" y="130175"/>
          <a:ext cx="762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3D7F2E5F-6CC8-4B74-8801-0632AB3D07BB}" type="TxLink">
            <a:rPr lang="en-US" sz="1800" b="1" i="0" u="none" strike="noStrike">
              <a:solidFill>
                <a:srgbClr val="000000"/>
              </a:solidFill>
              <a:latin typeface="Arialri"/>
            </a:rPr>
            <a:pPr/>
            <a:t>ABCD</a:t>
          </a:fld>
          <a:endParaRPr lang="en-US" sz="18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0.49742</cdr:x>
      <cdr:y>0.0423</cdr:y>
    </cdr:from>
    <cdr:to>
      <cdr:x>0.63257</cdr:x>
      <cdr:y>0.13488</cdr:y>
    </cdr:to>
    <cdr:sp macro="" textlink="ABCD!$D$3">
      <cdr:nvSpPr>
        <cdr:cNvPr id="3" name="TextBox 2"/>
        <cdr:cNvSpPr txBox="1"/>
      </cdr:nvSpPr>
      <cdr:spPr>
        <a:xfrm xmlns:a="http://schemas.openxmlformats.org/drawingml/2006/main">
          <a:off x="3365500" y="168275"/>
          <a:ext cx="914400" cy="36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65BD32AE-65B5-4089-B17B-8BBC8B4D33D7}" type="TxLink">
            <a:rPr lang="en-US" sz="1800" b="1" i="0" u="none" strike="noStrike">
              <a:solidFill>
                <a:srgbClr val="000000"/>
              </a:solidFill>
              <a:latin typeface="Arialri"/>
            </a:rPr>
            <a:pPr/>
            <a:t>ABCD</a:t>
          </a:fld>
          <a:endParaRPr lang="en-US" sz="1800" b="1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0.58224</cdr:x>
      <cdr:y>0.03025</cdr:y>
    </cdr:from>
    <cdr:to>
      <cdr:x>0.72056</cdr:x>
      <cdr:y>0.1258</cdr:y>
    </cdr:to>
    <cdr:sp macro="" textlink="ABCD!$D$3">
      <cdr:nvSpPr>
        <cdr:cNvPr id="3" name="TextBox 2"/>
        <cdr:cNvSpPr txBox="1"/>
      </cdr:nvSpPr>
      <cdr:spPr>
        <a:xfrm xmlns:a="http://schemas.openxmlformats.org/drawingml/2006/main">
          <a:off x="3956050" y="120650"/>
          <a:ext cx="9398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47157BC-CAC6-499A-ACB3-55A7228CA106}" type="TxLink">
            <a:rPr lang="en-US" sz="1800" b="1" i="0" u="none" strike="noStrike">
              <a:solidFill>
                <a:srgbClr val="000000"/>
              </a:solidFill>
              <a:latin typeface="Arialri"/>
            </a:rPr>
            <a:pPr/>
            <a:t>ABCD</a:t>
          </a:fld>
          <a:endParaRPr lang="en-US" sz="1800" b="1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0.50391</cdr:x>
      <cdr:y>0.04375</cdr:y>
    </cdr:from>
    <cdr:to>
      <cdr:x>0.6069</cdr:x>
      <cdr:y>0.13286</cdr:y>
    </cdr:to>
    <cdr:sp macro="" textlink="ABCD!$D$3">
      <cdr:nvSpPr>
        <cdr:cNvPr id="2" name="TextBox 1"/>
        <cdr:cNvSpPr txBox="1"/>
      </cdr:nvSpPr>
      <cdr:spPr>
        <a:xfrm xmlns:a="http://schemas.openxmlformats.org/drawingml/2006/main">
          <a:off x="3479800" y="174625"/>
          <a:ext cx="711200" cy="355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3132F334-6213-470D-9E3B-A05726FD755D}" type="TxLink">
            <a:rPr lang="en-US" sz="1800" b="1" i="0" u="none" strike="noStrike">
              <a:solidFill>
                <a:srgbClr val="000000"/>
              </a:solidFill>
              <a:latin typeface="Arialri"/>
            </a:rPr>
            <a:pPr/>
            <a:t>ABCD</a:t>
          </a:fld>
          <a:endParaRPr lang="en-US" sz="1800" b="1"/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>
  <person displayName="Jonathan Baldauf" id="{C1071630-5979-4745-9A28-0718ECEC9029}" userId="60b24e23c0fb14ea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737FA3-B9FE-4DDD-B406-7F6621AAA77D}" name="Penetrator_List" displayName="Penetrator_List" ref="A1:A6" totalsRowShown="0" headerRowDxfId="3" dataDxfId="2" tableBorderDxfId="1">
  <autoFilter ref="A1:A6" xr:uid="{16737FA3-B9FE-4DDD-B406-7F6621AAA77D}"/>
  <tableColumns count="1">
    <tableColumn id="1" xr3:uid="{F271319D-0182-495E-94BA-B4A2AB5887DC}" name="Penetrato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3" dT="2023-08-07T01:48:28.52" personId="{C1071630-5979-4745-9A28-0718ECEC9029}" id="{C4404E23-E0AD-42DC-B258-5F861FB3D62E}">
    <text>This whole column uses a UDF I wrote in Excel's VBA to convert mm of yaw into degrees of yaw. I removed it for this sample due to security concerns.</text>
  </threadedComment>
  <threadedComment ref="G19" dT="2023-08-07T01:47:38.19" personId="{C1071630-5979-4745-9A28-0718ECEC9029}" id="{C3AD3974-58F2-4972-B01D-1613D6579B09}">
    <text>Some cards are unreadable leading to blank lines like this. Reasons include a burned or demolished card from the explosion.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F1124"/>
  <sheetViews>
    <sheetView zoomScale="130" zoomScaleNormal="130" workbookViewId="0">
      <selection activeCell="B8" sqref="B8"/>
    </sheetView>
  </sheetViews>
  <sheetFormatPr defaultColWidth="8.81640625" defaultRowHeight="12.5" x14ac:dyDescent="0.25"/>
  <cols>
    <col min="1" max="1" width="4.81640625" customWidth="1"/>
    <col min="2" max="2" width="9" customWidth="1"/>
    <col min="3" max="3" width="7.453125" customWidth="1"/>
    <col min="4" max="4" width="12.1796875" customWidth="1"/>
    <col min="5" max="6" width="7" customWidth="1"/>
    <col min="7" max="7" width="26.453125" customWidth="1"/>
    <col min="9" max="9" width="9.1796875" style="88" bestFit="1" customWidth="1"/>
    <col min="10" max="10" width="8.81640625" style="88" bestFit="1" customWidth="1"/>
    <col min="11" max="12" width="12.7265625" style="88" bestFit="1" customWidth="1"/>
    <col min="13" max="13" width="13.453125" style="88" bestFit="1" customWidth="1"/>
    <col min="14" max="14" width="9.1796875" style="88" bestFit="1" customWidth="1"/>
    <col min="15" max="15" width="8.81640625" style="88" bestFit="1"/>
    <col min="16" max="17" width="12.7265625" style="88" bestFit="1" customWidth="1"/>
    <col min="18" max="18" width="13.453125" style="88" bestFit="1" customWidth="1"/>
    <col min="19" max="19" width="9.1796875" style="88" bestFit="1" customWidth="1"/>
    <col min="20" max="20" width="8.81640625" style="88"/>
    <col min="21" max="22" width="12.7265625" style="88" bestFit="1" customWidth="1"/>
    <col min="23" max="23" width="13.453125" style="88" bestFit="1" customWidth="1"/>
    <col min="24" max="24" width="9.1796875" style="88" bestFit="1" customWidth="1"/>
    <col min="25" max="25" width="8.81640625" style="88"/>
    <col min="26" max="27" width="12.7265625" style="88" bestFit="1" customWidth="1"/>
    <col min="28" max="28" width="13.453125" style="88" bestFit="1" customWidth="1"/>
    <col min="29" max="29" width="9.1796875" style="88" bestFit="1" customWidth="1"/>
    <col min="30" max="30" width="8.81640625" style="88"/>
    <col min="31" max="32" width="12.7265625" style="88" bestFit="1" customWidth="1"/>
    <col min="33" max="33" width="13.453125" style="88" bestFit="1" customWidth="1"/>
    <col min="34" max="34" width="9.1796875" style="88" bestFit="1" customWidth="1"/>
    <col min="35" max="35" width="8.81640625" style="88"/>
    <col min="36" max="37" width="12.7265625" style="88" bestFit="1" customWidth="1"/>
    <col min="38" max="38" width="13.453125" style="88" bestFit="1" customWidth="1"/>
    <col min="39" max="39" width="9.1796875" style="88" bestFit="1" customWidth="1"/>
    <col min="40" max="40" width="8.81640625" style="88"/>
    <col min="41" max="42" width="12.7265625" style="88" bestFit="1" customWidth="1"/>
    <col min="43" max="43" width="13.453125" style="88" bestFit="1" customWidth="1"/>
    <col min="44" max="44" width="9.1796875" style="88" bestFit="1" customWidth="1"/>
    <col min="45" max="45" width="8.81640625" style="88"/>
    <col min="46" max="47" width="12.7265625" style="88" bestFit="1" customWidth="1"/>
    <col min="48" max="48" width="13.453125" style="88" bestFit="1" customWidth="1"/>
    <col min="49" max="49" width="9.1796875" style="88" bestFit="1" customWidth="1"/>
    <col min="50" max="50" width="8.81640625" style="88"/>
    <col min="51" max="52" width="12.7265625" style="88" bestFit="1" customWidth="1"/>
    <col min="53" max="53" width="13.453125" style="88" bestFit="1" customWidth="1"/>
    <col min="54" max="54" width="9.1796875" style="88" bestFit="1" customWidth="1"/>
    <col min="55" max="55" width="8.81640625" style="88"/>
    <col min="56" max="57" width="12.7265625" style="88" bestFit="1" customWidth="1"/>
    <col min="58" max="58" width="13.453125" style="88" bestFit="1" customWidth="1"/>
  </cols>
  <sheetData>
    <row r="2" spans="1:58" ht="13" x14ac:dyDescent="0.3">
      <c r="B2" s="83" t="s">
        <v>112</v>
      </c>
      <c r="C2" s="83"/>
      <c r="D2" s="83"/>
      <c r="I2" s="143" t="s">
        <v>114</v>
      </c>
      <c r="J2" s="143"/>
      <c r="K2" s="143"/>
      <c r="L2" s="143"/>
      <c r="M2" s="143"/>
      <c r="N2" s="144" t="s">
        <v>114</v>
      </c>
      <c r="O2" s="144"/>
      <c r="P2" s="144"/>
      <c r="Q2" s="144"/>
      <c r="R2" s="144"/>
      <c r="S2" s="145" t="s">
        <v>114</v>
      </c>
      <c r="T2" s="145"/>
      <c r="U2" s="145"/>
      <c r="V2" s="145"/>
      <c r="W2" s="145"/>
      <c r="X2" s="146" t="s">
        <v>114</v>
      </c>
      <c r="Y2" s="146"/>
      <c r="Z2" s="146"/>
      <c r="AA2" s="146"/>
      <c r="AB2" s="146"/>
      <c r="AC2" s="147" t="s">
        <v>114</v>
      </c>
      <c r="AD2" s="147"/>
      <c r="AE2" s="147"/>
      <c r="AF2" s="147"/>
      <c r="AG2" s="147"/>
      <c r="AH2" s="148" t="s">
        <v>114</v>
      </c>
      <c r="AI2" s="148"/>
      <c r="AJ2" s="148"/>
      <c r="AK2" s="148"/>
      <c r="AL2" s="148"/>
      <c r="AM2" s="148" t="s">
        <v>114</v>
      </c>
      <c r="AN2" s="148"/>
      <c r="AO2" s="148"/>
      <c r="AP2" s="148"/>
      <c r="AQ2" s="148"/>
      <c r="AR2" s="148" t="s">
        <v>114</v>
      </c>
      <c r="AS2" s="148"/>
      <c r="AT2" s="148"/>
      <c r="AU2" s="148"/>
      <c r="AV2" s="148"/>
      <c r="AW2" s="148" t="s">
        <v>114</v>
      </c>
      <c r="AX2" s="148"/>
      <c r="AY2" s="148"/>
      <c r="AZ2" s="148"/>
      <c r="BA2" s="148"/>
      <c r="BB2" s="148" t="s">
        <v>114</v>
      </c>
      <c r="BC2" s="148"/>
      <c r="BD2" s="148"/>
      <c r="BE2" s="148"/>
      <c r="BF2" s="148"/>
    </row>
    <row r="3" spans="1:58" ht="13" thickBot="1" x14ac:dyDescent="0.3">
      <c r="C3" s="68"/>
      <c r="D3" s="68"/>
      <c r="I3" s="88" t="s">
        <v>96</v>
      </c>
      <c r="J3" s="88" t="s">
        <v>95</v>
      </c>
      <c r="K3" s="88" t="s">
        <v>92</v>
      </c>
      <c r="L3" s="88" t="s">
        <v>93</v>
      </c>
      <c r="M3" s="88" t="s">
        <v>94</v>
      </c>
      <c r="N3" s="88" t="s">
        <v>96</v>
      </c>
      <c r="O3" s="88" t="s">
        <v>95</v>
      </c>
      <c r="P3" s="88" t="s">
        <v>92</v>
      </c>
      <c r="Q3" s="88" t="s">
        <v>93</v>
      </c>
      <c r="R3" s="88" t="s">
        <v>94</v>
      </c>
      <c r="S3" s="88" t="s">
        <v>96</v>
      </c>
      <c r="T3" s="88" t="s">
        <v>95</v>
      </c>
      <c r="U3" s="88" t="s">
        <v>92</v>
      </c>
      <c r="V3" s="88" t="s">
        <v>93</v>
      </c>
      <c r="W3" s="88" t="s">
        <v>94</v>
      </c>
      <c r="X3" s="88" t="s">
        <v>96</v>
      </c>
      <c r="Y3" s="88" t="s">
        <v>95</v>
      </c>
      <c r="Z3" s="88" t="s">
        <v>92</v>
      </c>
      <c r="AA3" s="88" t="s">
        <v>93</v>
      </c>
      <c r="AB3" s="88" t="s">
        <v>94</v>
      </c>
      <c r="AC3" s="88" t="s">
        <v>96</v>
      </c>
      <c r="AD3" s="88" t="s">
        <v>95</v>
      </c>
      <c r="AE3" s="88" t="s">
        <v>92</v>
      </c>
      <c r="AF3" s="88" t="s">
        <v>93</v>
      </c>
      <c r="AG3" s="88" t="s">
        <v>94</v>
      </c>
      <c r="AH3" s="88" t="s">
        <v>96</v>
      </c>
      <c r="AI3" s="88" t="s">
        <v>95</v>
      </c>
      <c r="AJ3" s="88" t="s">
        <v>92</v>
      </c>
      <c r="AK3" s="88" t="s">
        <v>93</v>
      </c>
      <c r="AL3" s="88" t="s">
        <v>94</v>
      </c>
      <c r="AM3" s="88" t="s">
        <v>96</v>
      </c>
      <c r="AN3" s="88" t="s">
        <v>95</v>
      </c>
      <c r="AO3" s="88" t="s">
        <v>92</v>
      </c>
      <c r="AP3" s="88" t="s">
        <v>93</v>
      </c>
      <c r="AQ3" s="88" t="s">
        <v>94</v>
      </c>
      <c r="AR3" s="88" t="s">
        <v>96</v>
      </c>
      <c r="AS3" s="88" t="s">
        <v>95</v>
      </c>
      <c r="AT3" s="88" t="s">
        <v>92</v>
      </c>
      <c r="AU3" s="88" t="s">
        <v>93</v>
      </c>
      <c r="AV3" s="88" t="s">
        <v>94</v>
      </c>
      <c r="AW3" s="88" t="s">
        <v>96</v>
      </c>
      <c r="AX3" s="88" t="s">
        <v>95</v>
      </c>
      <c r="AY3" s="88" t="s">
        <v>92</v>
      </c>
      <c r="AZ3" s="88" t="s">
        <v>93</v>
      </c>
      <c r="BA3" s="88" t="s">
        <v>94</v>
      </c>
      <c r="BB3" s="88" t="s">
        <v>96</v>
      </c>
      <c r="BC3" s="88" t="s">
        <v>95</v>
      </c>
      <c r="BD3" s="88" t="s">
        <v>92</v>
      </c>
      <c r="BE3" s="88" t="s">
        <v>93</v>
      </c>
      <c r="BF3" s="88" t="s">
        <v>94</v>
      </c>
    </row>
    <row r="4" spans="1:58" ht="13" x14ac:dyDescent="0.25">
      <c r="B4" s="73" t="s">
        <v>113</v>
      </c>
      <c r="C4" s="73" t="s">
        <v>82</v>
      </c>
      <c r="D4" s="73" t="s">
        <v>87</v>
      </c>
      <c r="E4" s="73" t="s">
        <v>57</v>
      </c>
      <c r="F4" s="73" t="s">
        <v>86</v>
      </c>
      <c r="G4" s="86"/>
      <c r="I4" s="89">
        <f>ABCD!J53</f>
        <v>0</v>
      </c>
      <c r="J4" s="89">
        <f>ABCD!K53</f>
        <v>0</v>
      </c>
      <c r="K4" s="89">
        <f>ABCD!L53</f>
        <v>-1.64856088032918</v>
      </c>
      <c r="L4" s="89">
        <f>ABCD!M53</f>
        <v>-0.36292719678997498</v>
      </c>
      <c r="M4" s="89">
        <f>ABCD!N53</f>
        <v>1.6880370630769783</v>
      </c>
      <c r="N4" s="89" t="e">
        <v>#REF!</v>
      </c>
      <c r="O4" s="89" t="e">
        <v>#REF!</v>
      </c>
      <c r="P4" s="89" t="e">
        <v>#REF!</v>
      </c>
      <c r="Q4" s="89" t="e">
        <v>#REF!</v>
      </c>
      <c r="R4" s="89" t="e">
        <v>#REF!</v>
      </c>
      <c r="S4" s="89" t="e">
        <f>#REF!</f>
        <v>#REF!</v>
      </c>
      <c r="T4" s="89" t="e">
        <f>#REF!</f>
        <v>#REF!</v>
      </c>
      <c r="U4" s="89" t="e">
        <f>#REF!</f>
        <v>#REF!</v>
      </c>
      <c r="V4" s="89" t="e">
        <f>#REF!</f>
        <v>#REF!</v>
      </c>
      <c r="W4" s="89" t="e">
        <f>#REF!</f>
        <v>#REF!</v>
      </c>
      <c r="X4" s="89" t="e">
        <f>#REF!</f>
        <v>#REF!</v>
      </c>
      <c r="Y4" s="89" t="e">
        <f>#REF!</f>
        <v>#REF!</v>
      </c>
      <c r="Z4" s="89" t="e">
        <f>#REF!</f>
        <v>#REF!</v>
      </c>
      <c r="AA4" s="89" t="e">
        <f>#REF!</f>
        <v>#REF!</v>
      </c>
      <c r="AB4" s="89" t="e">
        <f>#REF!</f>
        <v>#REF!</v>
      </c>
      <c r="AC4" s="89" t="e">
        <f>#REF!</f>
        <v>#REF!</v>
      </c>
      <c r="AD4" s="89" t="e">
        <f>#REF!</f>
        <v>#REF!</v>
      </c>
      <c r="AE4" s="89" t="e">
        <f>#REF!</f>
        <v>#REF!</v>
      </c>
      <c r="AF4" s="89" t="e">
        <f>#REF!</f>
        <v>#REF!</v>
      </c>
      <c r="AG4" s="89" t="e">
        <f>#REF!</f>
        <v>#REF!</v>
      </c>
      <c r="AH4" s="89" t="e">
        <f>#REF!</f>
        <v>#REF!</v>
      </c>
      <c r="AI4" s="89" t="e">
        <f>#REF!</f>
        <v>#REF!</v>
      </c>
      <c r="AJ4" s="89" t="e">
        <f>#REF!</f>
        <v>#REF!</v>
      </c>
      <c r="AK4" s="89" t="e">
        <f>#REF!</f>
        <v>#REF!</v>
      </c>
      <c r="AL4" s="89" t="e">
        <f>#REF!</f>
        <v>#REF!</v>
      </c>
      <c r="AM4" s="89" t="e">
        <f>#REF!</f>
        <v>#REF!</v>
      </c>
      <c r="AN4" s="89" t="e">
        <f>#REF!</f>
        <v>#REF!</v>
      </c>
      <c r="AO4" s="89" t="e">
        <f>#REF!</f>
        <v>#REF!</v>
      </c>
      <c r="AP4" s="89" t="e">
        <f>#REF!</f>
        <v>#REF!</v>
      </c>
      <c r="AQ4" s="89" t="e">
        <f>#REF!</f>
        <v>#REF!</v>
      </c>
      <c r="AR4" s="89" t="e">
        <f>#REF!</f>
        <v>#REF!</v>
      </c>
      <c r="AS4" s="89" t="e">
        <f>#REF!</f>
        <v>#REF!</v>
      </c>
      <c r="AT4" s="89" t="e">
        <f>#REF!</f>
        <v>#REF!</v>
      </c>
      <c r="AU4" s="89" t="e">
        <f>#REF!</f>
        <v>#REF!</v>
      </c>
      <c r="AV4" s="89" t="e">
        <f>#REF!</f>
        <v>#REF!</v>
      </c>
      <c r="AW4" s="89" t="e">
        <f>#REF!</f>
        <v>#REF!</v>
      </c>
      <c r="AX4" s="89" t="e">
        <f>#REF!</f>
        <v>#REF!</v>
      </c>
      <c r="AY4" s="89" t="e">
        <f>#REF!</f>
        <v>#REF!</v>
      </c>
      <c r="AZ4" s="89" t="e">
        <f>#REF!</f>
        <v>#REF!</v>
      </c>
      <c r="BA4" s="89" t="e">
        <f>#REF!</f>
        <v>#REF!</v>
      </c>
      <c r="BB4" s="89" t="e">
        <f>#REF!</f>
        <v>#REF!</v>
      </c>
      <c r="BC4" s="89" t="e">
        <f>#REF!</f>
        <v>#REF!</v>
      </c>
      <c r="BD4" s="89" t="e">
        <f>#REF!</f>
        <v>#REF!</v>
      </c>
      <c r="BE4" s="89" t="e">
        <f>#REF!</f>
        <v>#REF!</v>
      </c>
      <c r="BF4" s="89" t="e">
        <f>#REF!</f>
        <v>#REF!</v>
      </c>
    </row>
    <row r="5" spans="1:58" ht="13" x14ac:dyDescent="0.3">
      <c r="B5" s="74"/>
      <c r="C5" s="74" t="s">
        <v>85</v>
      </c>
      <c r="D5" s="74" t="s">
        <v>88</v>
      </c>
      <c r="E5" s="85" t="s">
        <v>90</v>
      </c>
      <c r="F5" s="85" t="s">
        <v>82</v>
      </c>
      <c r="G5" s="74" t="s">
        <v>15</v>
      </c>
      <c r="I5" s="89">
        <f>ABCD!J54</f>
        <v>0.25</v>
      </c>
      <c r="J5" s="89">
        <f>ABCD!K54</f>
        <v>0.82</v>
      </c>
      <c r="K5" s="89">
        <f>ABCD!L54</f>
        <v>-1.5437975191187505</v>
      </c>
      <c r="L5" s="89">
        <f>ABCD!M54</f>
        <v>-0.34405459254494541</v>
      </c>
      <c r="M5" s="89">
        <f>ABCD!N54</f>
        <v>1.5816713763258401</v>
      </c>
      <c r="N5" s="89" t="e">
        <v>#REF!</v>
      </c>
      <c r="O5" s="89" t="e">
        <v>#REF!</v>
      </c>
      <c r="P5" s="89" t="e">
        <v>#REF!</v>
      </c>
      <c r="Q5" s="89" t="e">
        <v>#REF!</v>
      </c>
      <c r="R5" s="89" t="e">
        <v>#REF!</v>
      </c>
      <c r="S5" s="89" t="e">
        <f>#REF!</f>
        <v>#REF!</v>
      </c>
      <c r="T5" s="89" t="e">
        <f>#REF!</f>
        <v>#REF!</v>
      </c>
      <c r="U5" s="89" t="e">
        <f>#REF!</f>
        <v>#REF!</v>
      </c>
      <c r="V5" s="89" t="e">
        <f>#REF!</f>
        <v>#REF!</v>
      </c>
      <c r="W5" s="89" t="e">
        <f>#REF!</f>
        <v>#REF!</v>
      </c>
      <c r="X5" s="89" t="e">
        <f>#REF!</f>
        <v>#REF!</v>
      </c>
      <c r="Y5" s="89" t="e">
        <f>#REF!</f>
        <v>#REF!</v>
      </c>
      <c r="Z5" s="89" t="e">
        <f>#REF!</f>
        <v>#REF!</v>
      </c>
      <c r="AA5" s="89" t="e">
        <f>#REF!</f>
        <v>#REF!</v>
      </c>
      <c r="AB5" s="89" t="e">
        <f>#REF!</f>
        <v>#REF!</v>
      </c>
      <c r="AC5" s="89" t="e">
        <f>#REF!</f>
        <v>#REF!</v>
      </c>
      <c r="AD5" s="89" t="e">
        <f>#REF!</f>
        <v>#REF!</v>
      </c>
      <c r="AE5" s="89" t="e">
        <f>#REF!</f>
        <v>#REF!</v>
      </c>
      <c r="AF5" s="89" t="e">
        <f>#REF!</f>
        <v>#REF!</v>
      </c>
      <c r="AG5" s="89" t="e">
        <f>#REF!</f>
        <v>#REF!</v>
      </c>
      <c r="AH5" s="89" t="e">
        <f>#REF!</f>
        <v>#REF!</v>
      </c>
      <c r="AI5" s="89" t="e">
        <f>#REF!</f>
        <v>#REF!</v>
      </c>
      <c r="AJ5" s="89" t="e">
        <f>#REF!</f>
        <v>#REF!</v>
      </c>
      <c r="AK5" s="89" t="e">
        <f>#REF!</f>
        <v>#REF!</v>
      </c>
      <c r="AL5" s="89" t="e">
        <f>#REF!</f>
        <v>#REF!</v>
      </c>
      <c r="AM5" s="89" t="e">
        <f>#REF!</f>
        <v>#REF!</v>
      </c>
      <c r="AN5" s="89" t="e">
        <f>#REF!</f>
        <v>#REF!</v>
      </c>
      <c r="AO5" s="89" t="e">
        <f>#REF!</f>
        <v>#REF!</v>
      </c>
      <c r="AP5" s="89" t="e">
        <f>#REF!</f>
        <v>#REF!</v>
      </c>
      <c r="AQ5" s="89" t="e">
        <f>#REF!</f>
        <v>#REF!</v>
      </c>
      <c r="AR5" s="89" t="e">
        <f>#REF!</f>
        <v>#REF!</v>
      </c>
      <c r="AS5" s="89" t="e">
        <f>#REF!</f>
        <v>#REF!</v>
      </c>
      <c r="AT5" s="89" t="e">
        <f>#REF!</f>
        <v>#REF!</v>
      </c>
      <c r="AU5" s="89" t="e">
        <f>#REF!</f>
        <v>#REF!</v>
      </c>
      <c r="AV5" s="89" t="e">
        <f>#REF!</f>
        <v>#REF!</v>
      </c>
      <c r="AW5" s="89" t="e">
        <f>#REF!</f>
        <v>#REF!</v>
      </c>
      <c r="AX5" s="89" t="e">
        <f>#REF!</f>
        <v>#REF!</v>
      </c>
      <c r="AY5" s="89" t="e">
        <f>#REF!</f>
        <v>#REF!</v>
      </c>
      <c r="AZ5" s="89" t="e">
        <f>#REF!</f>
        <v>#REF!</v>
      </c>
      <c r="BA5" s="89" t="e">
        <f>#REF!</f>
        <v>#REF!</v>
      </c>
      <c r="BB5" s="89" t="e">
        <f>#REF!</f>
        <v>#REF!</v>
      </c>
      <c r="BC5" s="89" t="e">
        <f>#REF!</f>
        <v>#REF!</v>
      </c>
      <c r="BD5" s="89" t="e">
        <f>#REF!</f>
        <v>#REF!</v>
      </c>
      <c r="BE5" s="89" t="e">
        <f>#REF!</f>
        <v>#REF!</v>
      </c>
      <c r="BF5" s="89" t="e">
        <f>#REF!</f>
        <v>#REF!</v>
      </c>
    </row>
    <row r="6" spans="1:58" ht="13.5" thickBot="1" x14ac:dyDescent="0.35">
      <c r="B6" s="75"/>
      <c r="C6" s="75" t="s">
        <v>9</v>
      </c>
      <c r="D6" s="75" t="s">
        <v>89</v>
      </c>
      <c r="E6" s="85" t="s">
        <v>11</v>
      </c>
      <c r="F6" s="85" t="s">
        <v>11</v>
      </c>
      <c r="G6" s="87"/>
      <c r="I6" s="89">
        <f>ABCD!J55</f>
        <v>0.5</v>
      </c>
      <c r="J6" s="89">
        <f>ABCD!K55</f>
        <v>1.64</v>
      </c>
      <c r="K6" s="89">
        <f>ABCD!L55</f>
        <v>-1.4387720306371208</v>
      </c>
      <c r="L6" s="89">
        <f>ABCD!M55</f>
        <v>-0.32511954407040822</v>
      </c>
      <c r="M6" s="89">
        <f>ABCD!N55</f>
        <v>1.4750483633021034</v>
      </c>
      <c r="N6" s="89" t="e">
        <v>#REF!</v>
      </c>
      <c r="O6" s="89" t="e">
        <v>#REF!</v>
      </c>
      <c r="P6" s="89" t="e">
        <v>#REF!</v>
      </c>
      <c r="Q6" s="89" t="e">
        <v>#REF!</v>
      </c>
      <c r="R6" s="89" t="e">
        <v>#REF!</v>
      </c>
      <c r="S6" s="89" t="e">
        <f>#REF!</f>
        <v>#REF!</v>
      </c>
      <c r="T6" s="89" t="e">
        <f>#REF!</f>
        <v>#REF!</v>
      </c>
      <c r="U6" s="89" t="e">
        <f>#REF!</f>
        <v>#REF!</v>
      </c>
      <c r="V6" s="89" t="e">
        <f>#REF!</f>
        <v>#REF!</v>
      </c>
      <c r="W6" s="89" t="e">
        <f>#REF!</f>
        <v>#REF!</v>
      </c>
      <c r="X6" s="89" t="e">
        <f>#REF!</f>
        <v>#REF!</v>
      </c>
      <c r="Y6" s="89" t="e">
        <f>#REF!</f>
        <v>#REF!</v>
      </c>
      <c r="Z6" s="89" t="e">
        <f>#REF!</f>
        <v>#REF!</v>
      </c>
      <c r="AA6" s="89" t="e">
        <f>#REF!</f>
        <v>#REF!</v>
      </c>
      <c r="AB6" s="89" t="e">
        <f>#REF!</f>
        <v>#REF!</v>
      </c>
      <c r="AC6" s="89" t="e">
        <f>#REF!</f>
        <v>#REF!</v>
      </c>
      <c r="AD6" s="89" t="e">
        <f>#REF!</f>
        <v>#REF!</v>
      </c>
      <c r="AE6" s="89" t="e">
        <f>#REF!</f>
        <v>#REF!</v>
      </c>
      <c r="AF6" s="89" t="e">
        <f>#REF!</f>
        <v>#REF!</v>
      </c>
      <c r="AG6" s="89" t="e">
        <f>#REF!</f>
        <v>#REF!</v>
      </c>
      <c r="AH6" s="89" t="e">
        <f>#REF!</f>
        <v>#REF!</v>
      </c>
      <c r="AI6" s="89" t="e">
        <f>#REF!</f>
        <v>#REF!</v>
      </c>
      <c r="AJ6" s="89" t="e">
        <f>#REF!</f>
        <v>#REF!</v>
      </c>
      <c r="AK6" s="89" t="e">
        <f>#REF!</f>
        <v>#REF!</v>
      </c>
      <c r="AL6" s="89" t="e">
        <f>#REF!</f>
        <v>#REF!</v>
      </c>
      <c r="AM6" s="89" t="e">
        <f>#REF!</f>
        <v>#REF!</v>
      </c>
      <c r="AN6" s="89" t="e">
        <f>#REF!</f>
        <v>#REF!</v>
      </c>
      <c r="AO6" s="89" t="e">
        <f>#REF!</f>
        <v>#REF!</v>
      </c>
      <c r="AP6" s="89" t="e">
        <f>#REF!</f>
        <v>#REF!</v>
      </c>
      <c r="AQ6" s="89" t="e">
        <f>#REF!</f>
        <v>#REF!</v>
      </c>
      <c r="AR6" s="89" t="e">
        <f>#REF!</f>
        <v>#REF!</v>
      </c>
      <c r="AS6" s="89" t="e">
        <f>#REF!</f>
        <v>#REF!</v>
      </c>
      <c r="AT6" s="89" t="e">
        <f>#REF!</f>
        <v>#REF!</v>
      </c>
      <c r="AU6" s="89" t="e">
        <f>#REF!</f>
        <v>#REF!</v>
      </c>
      <c r="AV6" s="89" t="e">
        <f>#REF!</f>
        <v>#REF!</v>
      </c>
      <c r="AW6" s="89" t="e">
        <f>#REF!</f>
        <v>#REF!</v>
      </c>
      <c r="AX6" s="89" t="e">
        <f>#REF!</f>
        <v>#REF!</v>
      </c>
      <c r="AY6" s="89" t="e">
        <f>#REF!</f>
        <v>#REF!</v>
      </c>
      <c r="AZ6" s="89" t="e">
        <f>#REF!</f>
        <v>#REF!</v>
      </c>
      <c r="BA6" s="89" t="e">
        <f>#REF!</f>
        <v>#REF!</v>
      </c>
      <c r="BB6" s="89" t="e">
        <f>#REF!</f>
        <v>#REF!</v>
      </c>
      <c r="BC6" s="89" t="e">
        <f>#REF!</f>
        <v>#REF!</v>
      </c>
      <c r="BD6" s="89" t="e">
        <f>#REF!</f>
        <v>#REF!</v>
      </c>
      <c r="BE6" s="89" t="e">
        <f>#REF!</f>
        <v>#REF!</v>
      </c>
      <c r="BF6" s="89" t="e">
        <f>#REF!</f>
        <v>#REF!</v>
      </c>
    </row>
    <row r="7" spans="1:58" x14ac:dyDescent="0.25">
      <c r="A7" s="60"/>
      <c r="B7" s="76" t="s">
        <v>104</v>
      </c>
      <c r="C7" s="138">
        <f>ABCD!K3</f>
        <v>339.17651189459946</v>
      </c>
      <c r="D7" s="80">
        <f>ABCD!$K$4</f>
        <v>0.11292512511656633</v>
      </c>
      <c r="E7" s="80">
        <f>ABCD!$P$4</f>
        <v>0.14551908359253851</v>
      </c>
      <c r="F7" s="80">
        <f>ABCD!$Y$7+ABCD!$Y$9</f>
        <v>7.1501693238023094</v>
      </c>
      <c r="G7" s="77" t="s">
        <v>115</v>
      </c>
      <c r="H7" s="72"/>
      <c r="I7" s="89">
        <f>ABCD!J56</f>
        <v>0.75</v>
      </c>
      <c r="J7" s="89">
        <f>ABCD!K56</f>
        <v>2.46</v>
      </c>
      <c r="K7" s="89">
        <f>ABCD!L56</f>
        <v>-1.333508894889436</v>
      </c>
      <c r="L7" s="89">
        <f>ABCD!M56</f>
        <v>-0.30612647852784702</v>
      </c>
      <c r="M7" s="89">
        <f>ABCD!N56</f>
        <v>1.368195670803378</v>
      </c>
      <c r="N7" s="89" t="e">
        <v>#REF!</v>
      </c>
      <c r="O7" s="89" t="e">
        <v>#REF!</v>
      </c>
      <c r="P7" s="89" t="e">
        <v>#REF!</v>
      </c>
      <c r="Q7" s="89" t="e">
        <v>#REF!</v>
      </c>
      <c r="R7" s="89" t="e">
        <v>#REF!</v>
      </c>
      <c r="S7" s="89" t="e">
        <f>#REF!</f>
        <v>#REF!</v>
      </c>
      <c r="T7" s="89" t="e">
        <f>#REF!</f>
        <v>#REF!</v>
      </c>
      <c r="U7" s="89" t="e">
        <f>#REF!</f>
        <v>#REF!</v>
      </c>
      <c r="V7" s="89" t="e">
        <f>#REF!</f>
        <v>#REF!</v>
      </c>
      <c r="W7" s="89" t="e">
        <f>#REF!</f>
        <v>#REF!</v>
      </c>
      <c r="X7" s="89" t="e">
        <f>#REF!</f>
        <v>#REF!</v>
      </c>
      <c r="Y7" s="89" t="e">
        <f>#REF!</f>
        <v>#REF!</v>
      </c>
      <c r="Z7" s="89" t="e">
        <f>#REF!</f>
        <v>#REF!</v>
      </c>
      <c r="AA7" s="89" t="e">
        <f>#REF!</f>
        <v>#REF!</v>
      </c>
      <c r="AB7" s="89" t="e">
        <f>#REF!</f>
        <v>#REF!</v>
      </c>
      <c r="AC7" s="89" t="e">
        <f>#REF!</f>
        <v>#REF!</v>
      </c>
      <c r="AD7" s="89" t="e">
        <f>#REF!</f>
        <v>#REF!</v>
      </c>
      <c r="AE7" s="89" t="e">
        <f>#REF!</f>
        <v>#REF!</v>
      </c>
      <c r="AF7" s="89" t="e">
        <f>#REF!</f>
        <v>#REF!</v>
      </c>
      <c r="AG7" s="89" t="e">
        <f>#REF!</f>
        <v>#REF!</v>
      </c>
      <c r="AH7" s="89" t="e">
        <f>#REF!</f>
        <v>#REF!</v>
      </c>
      <c r="AI7" s="89" t="e">
        <f>#REF!</f>
        <v>#REF!</v>
      </c>
      <c r="AJ7" s="89" t="e">
        <f>#REF!</f>
        <v>#REF!</v>
      </c>
      <c r="AK7" s="89" t="e">
        <f>#REF!</f>
        <v>#REF!</v>
      </c>
      <c r="AL7" s="89" t="e">
        <f>#REF!</f>
        <v>#REF!</v>
      </c>
      <c r="AM7" s="89" t="e">
        <f>#REF!</f>
        <v>#REF!</v>
      </c>
      <c r="AN7" s="89" t="e">
        <f>#REF!</f>
        <v>#REF!</v>
      </c>
      <c r="AO7" s="89" t="e">
        <f>#REF!</f>
        <v>#REF!</v>
      </c>
      <c r="AP7" s="89" t="e">
        <f>#REF!</f>
        <v>#REF!</v>
      </c>
      <c r="AQ7" s="89" t="e">
        <f>#REF!</f>
        <v>#REF!</v>
      </c>
      <c r="AR7" s="89" t="e">
        <f>#REF!</f>
        <v>#REF!</v>
      </c>
      <c r="AS7" s="89" t="e">
        <f>#REF!</f>
        <v>#REF!</v>
      </c>
      <c r="AT7" s="89" t="e">
        <f>#REF!</f>
        <v>#REF!</v>
      </c>
      <c r="AU7" s="89" t="e">
        <f>#REF!</f>
        <v>#REF!</v>
      </c>
      <c r="AV7" s="89" t="e">
        <f>#REF!</f>
        <v>#REF!</v>
      </c>
      <c r="AW7" s="89" t="e">
        <f>#REF!</f>
        <v>#REF!</v>
      </c>
      <c r="AX7" s="89" t="e">
        <f>#REF!</f>
        <v>#REF!</v>
      </c>
      <c r="AY7" s="89" t="e">
        <f>#REF!</f>
        <v>#REF!</v>
      </c>
      <c r="AZ7" s="89" t="e">
        <f>#REF!</f>
        <v>#REF!</v>
      </c>
      <c r="BA7" s="89" t="e">
        <f>#REF!</f>
        <v>#REF!</v>
      </c>
      <c r="BB7" s="89" t="e">
        <f>#REF!</f>
        <v>#REF!</v>
      </c>
      <c r="BC7" s="89" t="e">
        <f>#REF!</f>
        <v>#REF!</v>
      </c>
      <c r="BD7" s="89" t="e">
        <f>#REF!</f>
        <v>#REF!</v>
      </c>
      <c r="BE7" s="89" t="e">
        <f>#REF!</f>
        <v>#REF!</v>
      </c>
      <c r="BF7" s="89" t="e">
        <f>#REF!</f>
        <v>#REF!</v>
      </c>
    </row>
    <row r="8" spans="1:58" x14ac:dyDescent="0.25">
      <c r="A8" s="60"/>
      <c r="B8" s="137"/>
      <c r="D8" s="137"/>
      <c r="E8" s="137"/>
      <c r="F8" s="137"/>
      <c r="G8" s="77"/>
      <c r="H8" s="72"/>
      <c r="I8" s="89">
        <f>ABCD!J57</f>
        <v>1</v>
      </c>
      <c r="J8" s="89">
        <f>ABCD!K57</f>
        <v>3.28</v>
      </c>
      <c r="K8" s="89">
        <f>ABCD!L57</f>
        <v>-1.2280326247174935</v>
      </c>
      <c r="L8" s="89">
        <f>ABCD!M57</f>
        <v>-0.28707983248880931</v>
      </c>
      <c r="M8" s="89">
        <f>ABCD!N57</f>
        <v>1.2611419260306664</v>
      </c>
      <c r="N8" s="89" t="e">
        <v>#REF!</v>
      </c>
      <c r="O8" s="89" t="e">
        <v>#REF!</v>
      </c>
      <c r="P8" s="89" t="e">
        <v>#REF!</v>
      </c>
      <c r="Q8" s="89" t="e">
        <v>#REF!</v>
      </c>
      <c r="R8" s="89" t="e">
        <v>#REF!</v>
      </c>
      <c r="S8" s="89" t="e">
        <f>#REF!</f>
        <v>#REF!</v>
      </c>
      <c r="T8" s="89" t="e">
        <f>#REF!</f>
        <v>#REF!</v>
      </c>
      <c r="U8" s="89" t="e">
        <f>#REF!</f>
        <v>#REF!</v>
      </c>
      <c r="V8" s="89" t="e">
        <f>#REF!</f>
        <v>#REF!</v>
      </c>
      <c r="W8" s="89" t="e">
        <f>#REF!</f>
        <v>#REF!</v>
      </c>
      <c r="X8" s="89" t="e">
        <f>#REF!</f>
        <v>#REF!</v>
      </c>
      <c r="Y8" s="89" t="e">
        <f>#REF!</f>
        <v>#REF!</v>
      </c>
      <c r="Z8" s="89" t="e">
        <f>#REF!</f>
        <v>#REF!</v>
      </c>
      <c r="AA8" s="89" t="e">
        <f>#REF!</f>
        <v>#REF!</v>
      </c>
      <c r="AB8" s="89" t="e">
        <f>#REF!</f>
        <v>#REF!</v>
      </c>
      <c r="AC8" s="89" t="e">
        <f>#REF!</f>
        <v>#REF!</v>
      </c>
      <c r="AD8" s="89" t="e">
        <f>#REF!</f>
        <v>#REF!</v>
      </c>
      <c r="AE8" s="89" t="e">
        <f>#REF!</f>
        <v>#REF!</v>
      </c>
      <c r="AF8" s="89" t="e">
        <f>#REF!</f>
        <v>#REF!</v>
      </c>
      <c r="AG8" s="89" t="e">
        <f>#REF!</f>
        <v>#REF!</v>
      </c>
      <c r="AH8" s="89" t="e">
        <f>#REF!</f>
        <v>#REF!</v>
      </c>
      <c r="AI8" s="89" t="e">
        <f>#REF!</f>
        <v>#REF!</v>
      </c>
      <c r="AJ8" s="89" t="e">
        <f>#REF!</f>
        <v>#REF!</v>
      </c>
      <c r="AK8" s="89" t="e">
        <f>#REF!</f>
        <v>#REF!</v>
      </c>
      <c r="AL8" s="89" t="e">
        <f>#REF!</f>
        <v>#REF!</v>
      </c>
      <c r="AM8" s="89" t="e">
        <f>#REF!</f>
        <v>#REF!</v>
      </c>
      <c r="AN8" s="89" t="e">
        <f>#REF!</f>
        <v>#REF!</v>
      </c>
      <c r="AO8" s="89" t="e">
        <f>#REF!</f>
        <v>#REF!</v>
      </c>
      <c r="AP8" s="89" t="e">
        <f>#REF!</f>
        <v>#REF!</v>
      </c>
      <c r="AQ8" s="89" t="e">
        <f>#REF!</f>
        <v>#REF!</v>
      </c>
      <c r="AR8" s="89" t="e">
        <f>#REF!</f>
        <v>#REF!</v>
      </c>
      <c r="AS8" s="89" t="e">
        <f>#REF!</f>
        <v>#REF!</v>
      </c>
      <c r="AT8" s="89" t="e">
        <f>#REF!</f>
        <v>#REF!</v>
      </c>
      <c r="AU8" s="89" t="e">
        <f>#REF!</f>
        <v>#REF!</v>
      </c>
      <c r="AV8" s="89" t="e">
        <f>#REF!</f>
        <v>#REF!</v>
      </c>
      <c r="AW8" s="89" t="e">
        <f>#REF!</f>
        <v>#REF!</v>
      </c>
      <c r="AX8" s="89" t="e">
        <f>#REF!</f>
        <v>#REF!</v>
      </c>
      <c r="AY8" s="89" t="e">
        <f>#REF!</f>
        <v>#REF!</v>
      </c>
      <c r="AZ8" s="89" t="e">
        <f>#REF!</f>
        <v>#REF!</v>
      </c>
      <c r="BA8" s="89" t="e">
        <f>#REF!</f>
        <v>#REF!</v>
      </c>
      <c r="BB8" s="89" t="e">
        <f>#REF!</f>
        <v>#REF!</v>
      </c>
      <c r="BC8" s="89" t="e">
        <f>#REF!</f>
        <v>#REF!</v>
      </c>
      <c r="BD8" s="89" t="e">
        <f>#REF!</f>
        <v>#REF!</v>
      </c>
      <c r="BE8" s="89" t="e">
        <f>#REF!</f>
        <v>#REF!</v>
      </c>
      <c r="BF8" s="89" t="e">
        <f>#REF!</f>
        <v>#REF!</v>
      </c>
    </row>
    <row r="9" spans="1:58" x14ac:dyDescent="0.25">
      <c r="A9" s="60"/>
      <c r="B9" s="132"/>
      <c r="C9" s="138"/>
      <c r="D9" s="81"/>
      <c r="E9" s="81"/>
      <c r="F9" s="81"/>
      <c r="G9" s="77"/>
      <c r="H9" s="72"/>
      <c r="I9" s="89">
        <f>ABCD!J58</f>
        <v>1.25</v>
      </c>
      <c r="J9" s="89">
        <f>ABCD!K58</f>
        <v>4.0999999999999996</v>
      </c>
      <c r="K9" s="89">
        <f>ABCD!L58</f>
        <v>-1.1223677601116364</v>
      </c>
      <c r="L9" s="89">
        <f>ABCD!M58</f>
        <v>-0.2679840509023057</v>
      </c>
      <c r="M9" s="89">
        <f>ABCD!N58</f>
        <v>1.1539171722771187</v>
      </c>
      <c r="N9" s="89" t="e">
        <v>#REF!</v>
      </c>
      <c r="O9" s="89" t="e">
        <v>#REF!</v>
      </c>
      <c r="P9" s="89" t="e">
        <v>#REF!</v>
      </c>
      <c r="Q9" s="89" t="e">
        <v>#REF!</v>
      </c>
      <c r="R9" s="89" t="e">
        <v>#REF!</v>
      </c>
      <c r="S9" s="89" t="e">
        <f>#REF!</f>
        <v>#REF!</v>
      </c>
      <c r="T9" s="89" t="e">
        <f>#REF!</f>
        <v>#REF!</v>
      </c>
      <c r="U9" s="89" t="e">
        <f>#REF!</f>
        <v>#REF!</v>
      </c>
      <c r="V9" s="89" t="e">
        <f>#REF!</f>
        <v>#REF!</v>
      </c>
      <c r="W9" s="89" t="e">
        <f>#REF!</f>
        <v>#REF!</v>
      </c>
      <c r="X9" s="89" t="e">
        <f>#REF!</f>
        <v>#REF!</v>
      </c>
      <c r="Y9" s="89" t="e">
        <f>#REF!</f>
        <v>#REF!</v>
      </c>
      <c r="Z9" s="89" t="e">
        <f>#REF!</f>
        <v>#REF!</v>
      </c>
      <c r="AA9" s="89" t="e">
        <f>#REF!</f>
        <v>#REF!</v>
      </c>
      <c r="AB9" s="89" t="e">
        <f>#REF!</f>
        <v>#REF!</v>
      </c>
      <c r="AC9" s="89" t="e">
        <f>#REF!</f>
        <v>#REF!</v>
      </c>
      <c r="AD9" s="89" t="e">
        <f>#REF!</f>
        <v>#REF!</v>
      </c>
      <c r="AE9" s="89" t="e">
        <f>#REF!</f>
        <v>#REF!</v>
      </c>
      <c r="AF9" s="89" t="e">
        <f>#REF!</f>
        <v>#REF!</v>
      </c>
      <c r="AG9" s="89" t="e">
        <f>#REF!</f>
        <v>#REF!</v>
      </c>
      <c r="AH9" s="89" t="e">
        <f>#REF!</f>
        <v>#REF!</v>
      </c>
      <c r="AI9" s="89" t="e">
        <f>#REF!</f>
        <v>#REF!</v>
      </c>
      <c r="AJ9" s="89" t="e">
        <f>#REF!</f>
        <v>#REF!</v>
      </c>
      <c r="AK9" s="89" t="e">
        <f>#REF!</f>
        <v>#REF!</v>
      </c>
      <c r="AL9" s="89" t="e">
        <f>#REF!</f>
        <v>#REF!</v>
      </c>
      <c r="AM9" s="89" t="e">
        <f>#REF!</f>
        <v>#REF!</v>
      </c>
      <c r="AN9" s="89" t="e">
        <f>#REF!</f>
        <v>#REF!</v>
      </c>
      <c r="AO9" s="89" t="e">
        <f>#REF!</f>
        <v>#REF!</v>
      </c>
      <c r="AP9" s="89" t="e">
        <f>#REF!</f>
        <v>#REF!</v>
      </c>
      <c r="AQ9" s="89" t="e">
        <f>#REF!</f>
        <v>#REF!</v>
      </c>
      <c r="AR9" s="89" t="e">
        <f>#REF!</f>
        <v>#REF!</v>
      </c>
      <c r="AS9" s="89" t="e">
        <f>#REF!</f>
        <v>#REF!</v>
      </c>
      <c r="AT9" s="89" t="e">
        <f>#REF!</f>
        <v>#REF!</v>
      </c>
      <c r="AU9" s="89" t="e">
        <f>#REF!</f>
        <v>#REF!</v>
      </c>
      <c r="AV9" s="89" t="e">
        <f>#REF!</f>
        <v>#REF!</v>
      </c>
      <c r="AW9" s="89" t="e">
        <f>#REF!</f>
        <v>#REF!</v>
      </c>
      <c r="AX9" s="89" t="e">
        <f>#REF!</f>
        <v>#REF!</v>
      </c>
      <c r="AY9" s="89" t="e">
        <f>#REF!</f>
        <v>#REF!</v>
      </c>
      <c r="AZ9" s="89" t="e">
        <f>#REF!</f>
        <v>#REF!</v>
      </c>
      <c r="BA9" s="89" t="e">
        <f>#REF!</f>
        <v>#REF!</v>
      </c>
      <c r="BB9" s="89" t="e">
        <f>#REF!</f>
        <v>#REF!</v>
      </c>
      <c r="BC9" s="89" t="e">
        <f>#REF!</f>
        <v>#REF!</v>
      </c>
      <c r="BD9" s="89" t="e">
        <f>#REF!</f>
        <v>#REF!</v>
      </c>
      <c r="BE9" s="89" t="e">
        <f>#REF!</f>
        <v>#REF!</v>
      </c>
      <c r="BF9" s="89" t="e">
        <f>#REF!</f>
        <v>#REF!</v>
      </c>
    </row>
    <row r="10" spans="1:58" x14ac:dyDescent="0.25">
      <c r="A10" s="60"/>
      <c r="B10" s="132"/>
      <c r="C10" s="138"/>
      <c r="D10" s="81"/>
      <c r="E10" s="81"/>
      <c r="F10" s="81"/>
      <c r="G10" s="77"/>
      <c r="H10" s="72"/>
      <c r="I10" s="89">
        <f>ABCD!J59</f>
        <v>1.5</v>
      </c>
      <c r="J10" s="89">
        <f>ABCD!K59</f>
        <v>4.92</v>
      </c>
      <c r="K10" s="89">
        <f>ABCD!L59</f>
        <v>-1.0165388625215166</v>
      </c>
      <c r="L10" s="89">
        <f>ABCD!M59</f>
        <v>-0.24884358606120394</v>
      </c>
      <c r="M10" s="89">
        <f>ABCD!N59</f>
        <v>1.0465535769086733</v>
      </c>
      <c r="N10" s="89" t="e">
        <v>#REF!</v>
      </c>
      <c r="O10" s="89" t="e">
        <v>#REF!</v>
      </c>
      <c r="P10" s="89" t="e">
        <v>#REF!</v>
      </c>
      <c r="Q10" s="89" t="e">
        <v>#REF!</v>
      </c>
      <c r="R10" s="89" t="e">
        <v>#REF!</v>
      </c>
      <c r="S10" s="89" t="e">
        <f>#REF!</f>
        <v>#REF!</v>
      </c>
      <c r="T10" s="89" t="e">
        <f>#REF!</f>
        <v>#REF!</v>
      </c>
      <c r="U10" s="89" t="e">
        <f>#REF!</f>
        <v>#REF!</v>
      </c>
      <c r="V10" s="89" t="e">
        <f>#REF!</f>
        <v>#REF!</v>
      </c>
      <c r="W10" s="89" t="e">
        <f>#REF!</f>
        <v>#REF!</v>
      </c>
      <c r="X10" s="89" t="e">
        <f>#REF!</f>
        <v>#REF!</v>
      </c>
      <c r="Y10" s="89" t="e">
        <f>#REF!</f>
        <v>#REF!</v>
      </c>
      <c r="Z10" s="89" t="e">
        <f>#REF!</f>
        <v>#REF!</v>
      </c>
      <c r="AA10" s="89" t="e">
        <f>#REF!</f>
        <v>#REF!</v>
      </c>
      <c r="AB10" s="89" t="e">
        <f>#REF!</f>
        <v>#REF!</v>
      </c>
      <c r="AC10" s="89" t="e">
        <f>#REF!</f>
        <v>#REF!</v>
      </c>
      <c r="AD10" s="89" t="e">
        <f>#REF!</f>
        <v>#REF!</v>
      </c>
      <c r="AE10" s="89" t="e">
        <f>#REF!</f>
        <v>#REF!</v>
      </c>
      <c r="AF10" s="89" t="e">
        <f>#REF!</f>
        <v>#REF!</v>
      </c>
      <c r="AG10" s="89" t="e">
        <f>#REF!</f>
        <v>#REF!</v>
      </c>
      <c r="AH10" s="89" t="e">
        <f>#REF!</f>
        <v>#REF!</v>
      </c>
      <c r="AI10" s="89" t="e">
        <f>#REF!</f>
        <v>#REF!</v>
      </c>
      <c r="AJ10" s="89" t="e">
        <f>#REF!</f>
        <v>#REF!</v>
      </c>
      <c r="AK10" s="89" t="e">
        <f>#REF!</f>
        <v>#REF!</v>
      </c>
      <c r="AL10" s="89" t="e">
        <f>#REF!</f>
        <v>#REF!</v>
      </c>
      <c r="AM10" s="89" t="e">
        <f>#REF!</f>
        <v>#REF!</v>
      </c>
      <c r="AN10" s="89" t="e">
        <f>#REF!</f>
        <v>#REF!</v>
      </c>
      <c r="AO10" s="89" t="e">
        <f>#REF!</f>
        <v>#REF!</v>
      </c>
      <c r="AP10" s="89" t="e">
        <f>#REF!</f>
        <v>#REF!</v>
      </c>
      <c r="AQ10" s="89" t="e">
        <f>#REF!</f>
        <v>#REF!</v>
      </c>
      <c r="AR10" s="89" t="e">
        <f>#REF!</f>
        <v>#REF!</v>
      </c>
      <c r="AS10" s="89" t="e">
        <f>#REF!</f>
        <v>#REF!</v>
      </c>
      <c r="AT10" s="89" t="e">
        <f>#REF!</f>
        <v>#REF!</v>
      </c>
      <c r="AU10" s="89" t="e">
        <f>#REF!</f>
        <v>#REF!</v>
      </c>
      <c r="AV10" s="89" t="e">
        <f>#REF!</f>
        <v>#REF!</v>
      </c>
      <c r="AW10" s="89" t="e">
        <f>#REF!</f>
        <v>#REF!</v>
      </c>
      <c r="AX10" s="89" t="e">
        <f>#REF!</f>
        <v>#REF!</v>
      </c>
      <c r="AY10" s="89" t="e">
        <f>#REF!</f>
        <v>#REF!</v>
      </c>
      <c r="AZ10" s="89" t="e">
        <f>#REF!</f>
        <v>#REF!</v>
      </c>
      <c r="BA10" s="89" t="e">
        <f>#REF!</f>
        <v>#REF!</v>
      </c>
      <c r="BB10" s="89" t="e">
        <f>#REF!</f>
        <v>#REF!</v>
      </c>
      <c r="BC10" s="89" t="e">
        <f>#REF!</f>
        <v>#REF!</v>
      </c>
      <c r="BD10" s="89" t="e">
        <f>#REF!</f>
        <v>#REF!</v>
      </c>
      <c r="BE10" s="89" t="e">
        <f>#REF!</f>
        <v>#REF!</v>
      </c>
      <c r="BF10" s="89" t="e">
        <f>#REF!</f>
        <v>#REF!</v>
      </c>
    </row>
    <row r="11" spans="1:58" x14ac:dyDescent="0.25">
      <c r="B11" s="133"/>
      <c r="C11" s="70"/>
      <c r="D11" s="81"/>
      <c r="E11" s="81"/>
      <c r="F11" s="81"/>
      <c r="G11" s="133"/>
      <c r="H11" s="68"/>
      <c r="I11" s="89">
        <f>ABCD!J60</f>
        <v>1.75</v>
      </c>
      <c r="J11" s="89">
        <f>ABCD!K60</f>
        <v>5.7399999999999993</v>
      </c>
      <c r="K11" s="89">
        <f>ABCD!L60</f>
        <v>-0.91057050916693838</v>
      </c>
      <c r="L11" s="89">
        <f>ABCD!M60</f>
        <v>-0.22966289656782468</v>
      </c>
      <c r="M11" s="89">
        <f>ABCD!N60</f>
        <v>0.93908662977622082</v>
      </c>
      <c r="N11" s="89" t="e">
        <v>#REF!</v>
      </c>
      <c r="O11" s="89" t="e">
        <v>#REF!</v>
      </c>
      <c r="P11" s="89" t="e">
        <v>#REF!</v>
      </c>
      <c r="Q11" s="89" t="e">
        <v>#REF!</v>
      </c>
      <c r="R11" s="89" t="e">
        <v>#REF!</v>
      </c>
      <c r="S11" s="89" t="e">
        <f>#REF!</f>
        <v>#REF!</v>
      </c>
      <c r="T11" s="89" t="e">
        <f>#REF!</f>
        <v>#REF!</v>
      </c>
      <c r="U11" s="89" t="e">
        <f>#REF!</f>
        <v>#REF!</v>
      </c>
      <c r="V11" s="89" t="e">
        <f>#REF!</f>
        <v>#REF!</v>
      </c>
      <c r="W11" s="89" t="e">
        <f>#REF!</f>
        <v>#REF!</v>
      </c>
      <c r="X11" s="89" t="e">
        <f>#REF!</f>
        <v>#REF!</v>
      </c>
      <c r="Y11" s="89" t="e">
        <f>#REF!</f>
        <v>#REF!</v>
      </c>
      <c r="Z11" s="89" t="e">
        <f>#REF!</f>
        <v>#REF!</v>
      </c>
      <c r="AA11" s="89" t="e">
        <f>#REF!</f>
        <v>#REF!</v>
      </c>
      <c r="AB11" s="89" t="e">
        <f>#REF!</f>
        <v>#REF!</v>
      </c>
      <c r="AC11" s="89" t="e">
        <f>#REF!</f>
        <v>#REF!</v>
      </c>
      <c r="AD11" s="89" t="e">
        <f>#REF!</f>
        <v>#REF!</v>
      </c>
      <c r="AE11" s="89" t="e">
        <f>#REF!</f>
        <v>#REF!</v>
      </c>
      <c r="AF11" s="89" t="e">
        <f>#REF!</f>
        <v>#REF!</v>
      </c>
      <c r="AG11" s="89" t="e">
        <f>#REF!</f>
        <v>#REF!</v>
      </c>
      <c r="AH11" s="89" t="e">
        <f>#REF!</f>
        <v>#REF!</v>
      </c>
      <c r="AI11" s="89" t="e">
        <f>#REF!</f>
        <v>#REF!</v>
      </c>
      <c r="AJ11" s="89" t="e">
        <f>#REF!</f>
        <v>#REF!</v>
      </c>
      <c r="AK11" s="89" t="e">
        <f>#REF!</f>
        <v>#REF!</v>
      </c>
      <c r="AL11" s="89" t="e">
        <f>#REF!</f>
        <v>#REF!</v>
      </c>
      <c r="AM11" s="89" t="e">
        <f>#REF!</f>
        <v>#REF!</v>
      </c>
      <c r="AN11" s="89" t="e">
        <f>#REF!</f>
        <v>#REF!</v>
      </c>
      <c r="AO11" s="89" t="e">
        <f>#REF!</f>
        <v>#REF!</v>
      </c>
      <c r="AP11" s="89" t="e">
        <f>#REF!</f>
        <v>#REF!</v>
      </c>
      <c r="AQ11" s="89" t="e">
        <f>#REF!</f>
        <v>#REF!</v>
      </c>
      <c r="AR11" s="89" t="e">
        <f>#REF!</f>
        <v>#REF!</v>
      </c>
      <c r="AS11" s="89" t="e">
        <f>#REF!</f>
        <v>#REF!</v>
      </c>
      <c r="AT11" s="89" t="e">
        <f>#REF!</f>
        <v>#REF!</v>
      </c>
      <c r="AU11" s="89" t="e">
        <f>#REF!</f>
        <v>#REF!</v>
      </c>
      <c r="AV11" s="89" t="e">
        <f>#REF!</f>
        <v>#REF!</v>
      </c>
      <c r="AW11" s="89" t="e">
        <f>#REF!</f>
        <v>#REF!</v>
      </c>
      <c r="AX11" s="89" t="e">
        <f>#REF!</f>
        <v>#REF!</v>
      </c>
      <c r="AY11" s="89" t="e">
        <f>#REF!</f>
        <v>#REF!</v>
      </c>
      <c r="AZ11" s="89" t="e">
        <f>#REF!</f>
        <v>#REF!</v>
      </c>
      <c r="BA11" s="89" t="e">
        <f>#REF!</f>
        <v>#REF!</v>
      </c>
      <c r="BB11" s="89" t="e">
        <f>#REF!</f>
        <v>#REF!</v>
      </c>
      <c r="BC11" s="89" t="e">
        <f>#REF!</f>
        <v>#REF!</v>
      </c>
      <c r="BD11" s="89" t="e">
        <f>#REF!</f>
        <v>#REF!</v>
      </c>
      <c r="BE11" s="89" t="e">
        <f>#REF!</f>
        <v>#REF!</v>
      </c>
      <c r="BF11" s="89" t="e">
        <f>#REF!</f>
        <v>#REF!</v>
      </c>
    </row>
    <row r="12" spans="1:58" x14ac:dyDescent="0.25">
      <c r="B12" s="133"/>
      <c r="C12" s="70"/>
      <c r="D12" s="81"/>
      <c r="E12" s="81"/>
      <c r="F12" s="81"/>
      <c r="G12" s="133"/>
      <c r="H12" s="68"/>
      <c r="I12" s="89">
        <f>ABCD!J61</f>
        <v>2</v>
      </c>
      <c r="J12" s="89">
        <f>ABCD!K61</f>
        <v>6.56</v>
      </c>
      <c r="K12" s="89">
        <f>ABCD!L61</f>
        <v>-0.80448728735029973</v>
      </c>
      <c r="L12" s="89">
        <f>ABCD!M61</f>
        <v>-0.21044644629906584</v>
      </c>
      <c r="M12" s="89">
        <f>ABCD!N61</f>
        <v>0.83155727539848345</v>
      </c>
      <c r="N12" s="89" t="e">
        <v>#REF!</v>
      </c>
      <c r="O12" s="89" t="e">
        <v>#REF!</v>
      </c>
      <c r="P12" s="89" t="e">
        <v>#REF!</v>
      </c>
      <c r="Q12" s="89" t="e">
        <v>#REF!</v>
      </c>
      <c r="R12" s="89" t="e">
        <v>#REF!</v>
      </c>
      <c r="S12" s="89" t="e">
        <f>#REF!</f>
        <v>#REF!</v>
      </c>
      <c r="T12" s="89" t="e">
        <f>#REF!</f>
        <v>#REF!</v>
      </c>
      <c r="U12" s="89" t="e">
        <f>#REF!</f>
        <v>#REF!</v>
      </c>
      <c r="V12" s="89" t="e">
        <f>#REF!</f>
        <v>#REF!</v>
      </c>
      <c r="W12" s="89" t="e">
        <f>#REF!</f>
        <v>#REF!</v>
      </c>
      <c r="X12" s="89" t="e">
        <f>#REF!</f>
        <v>#REF!</v>
      </c>
      <c r="Y12" s="89" t="e">
        <f>#REF!</f>
        <v>#REF!</v>
      </c>
      <c r="Z12" s="89" t="e">
        <f>#REF!</f>
        <v>#REF!</v>
      </c>
      <c r="AA12" s="89" t="e">
        <f>#REF!</f>
        <v>#REF!</v>
      </c>
      <c r="AB12" s="89" t="e">
        <f>#REF!</f>
        <v>#REF!</v>
      </c>
      <c r="AC12" s="89" t="e">
        <f>#REF!</f>
        <v>#REF!</v>
      </c>
      <c r="AD12" s="89" t="e">
        <f>#REF!</f>
        <v>#REF!</v>
      </c>
      <c r="AE12" s="89" t="e">
        <f>#REF!</f>
        <v>#REF!</v>
      </c>
      <c r="AF12" s="89" t="e">
        <f>#REF!</f>
        <v>#REF!</v>
      </c>
      <c r="AG12" s="89" t="e">
        <f>#REF!</f>
        <v>#REF!</v>
      </c>
      <c r="AH12" s="89" t="e">
        <f>#REF!</f>
        <v>#REF!</v>
      </c>
      <c r="AI12" s="89" t="e">
        <f>#REF!</f>
        <v>#REF!</v>
      </c>
      <c r="AJ12" s="89" t="e">
        <f>#REF!</f>
        <v>#REF!</v>
      </c>
      <c r="AK12" s="89" t="e">
        <f>#REF!</f>
        <v>#REF!</v>
      </c>
      <c r="AL12" s="89" t="e">
        <f>#REF!</f>
        <v>#REF!</v>
      </c>
      <c r="AM12" s="89" t="e">
        <f>#REF!</f>
        <v>#REF!</v>
      </c>
      <c r="AN12" s="89" t="e">
        <f>#REF!</f>
        <v>#REF!</v>
      </c>
      <c r="AO12" s="89" t="e">
        <f>#REF!</f>
        <v>#REF!</v>
      </c>
      <c r="AP12" s="89" t="e">
        <f>#REF!</f>
        <v>#REF!</v>
      </c>
      <c r="AQ12" s="89" t="e">
        <f>#REF!</f>
        <v>#REF!</v>
      </c>
      <c r="AR12" s="89" t="e">
        <f>#REF!</f>
        <v>#REF!</v>
      </c>
      <c r="AS12" s="89" t="e">
        <f>#REF!</f>
        <v>#REF!</v>
      </c>
      <c r="AT12" s="89" t="e">
        <f>#REF!</f>
        <v>#REF!</v>
      </c>
      <c r="AU12" s="89" t="e">
        <f>#REF!</f>
        <v>#REF!</v>
      </c>
      <c r="AV12" s="89" t="e">
        <f>#REF!</f>
        <v>#REF!</v>
      </c>
      <c r="AW12" s="89" t="e">
        <f>#REF!</f>
        <v>#REF!</v>
      </c>
      <c r="AX12" s="89" t="e">
        <f>#REF!</f>
        <v>#REF!</v>
      </c>
      <c r="AY12" s="89" t="e">
        <f>#REF!</f>
        <v>#REF!</v>
      </c>
      <c r="AZ12" s="89" t="e">
        <f>#REF!</f>
        <v>#REF!</v>
      </c>
      <c r="BA12" s="89" t="e">
        <f>#REF!</f>
        <v>#REF!</v>
      </c>
      <c r="BB12" s="89" t="e">
        <f>#REF!</f>
        <v>#REF!</v>
      </c>
      <c r="BC12" s="89" t="e">
        <f>#REF!</f>
        <v>#REF!</v>
      </c>
      <c r="BD12" s="89" t="e">
        <f>#REF!</f>
        <v>#REF!</v>
      </c>
      <c r="BE12" s="89" t="e">
        <f>#REF!</f>
        <v>#REF!</v>
      </c>
      <c r="BF12" s="89" t="e">
        <f>#REF!</f>
        <v>#REF!</v>
      </c>
    </row>
    <row r="13" spans="1:58" x14ac:dyDescent="0.25">
      <c r="B13" s="133"/>
      <c r="C13" s="70"/>
      <c r="D13" s="81"/>
      <c r="E13" s="81"/>
      <c r="F13" s="81"/>
      <c r="G13" s="133"/>
      <c r="H13" s="68"/>
      <c r="I13" s="89">
        <f>ABCD!J62</f>
        <v>2.25</v>
      </c>
      <c r="J13" s="89">
        <f>ABCD!K62</f>
        <v>7.38</v>
      </c>
      <c r="K13" s="89">
        <f>ABCD!L62</f>
        <v>-0.6983137887717531</v>
      </c>
      <c r="L13" s="89">
        <f>ABCD!M62</f>
        <v>-0.19119870337120037</v>
      </c>
      <c r="M13" s="89">
        <f>ABCD!N62</f>
        <v>0.72401594717215234</v>
      </c>
      <c r="N13" s="89" t="e">
        <v>#REF!</v>
      </c>
      <c r="O13" s="89" t="e">
        <v>#REF!</v>
      </c>
      <c r="P13" s="89" t="e">
        <v>#REF!</v>
      </c>
      <c r="Q13" s="89" t="e">
        <v>#REF!</v>
      </c>
      <c r="R13" s="89" t="e">
        <v>#REF!</v>
      </c>
      <c r="S13" s="89" t="e">
        <f>#REF!</f>
        <v>#REF!</v>
      </c>
      <c r="T13" s="89" t="e">
        <f>#REF!</f>
        <v>#REF!</v>
      </c>
      <c r="U13" s="89" t="e">
        <f>#REF!</f>
        <v>#REF!</v>
      </c>
      <c r="V13" s="89" t="e">
        <f>#REF!</f>
        <v>#REF!</v>
      </c>
      <c r="W13" s="89" t="e">
        <f>#REF!</f>
        <v>#REF!</v>
      </c>
      <c r="X13" s="89" t="e">
        <f>#REF!</f>
        <v>#REF!</v>
      </c>
      <c r="Y13" s="89" t="e">
        <f>#REF!</f>
        <v>#REF!</v>
      </c>
      <c r="Z13" s="89" t="e">
        <f>#REF!</f>
        <v>#REF!</v>
      </c>
      <c r="AA13" s="89" t="e">
        <f>#REF!</f>
        <v>#REF!</v>
      </c>
      <c r="AB13" s="89" t="e">
        <f>#REF!</f>
        <v>#REF!</v>
      </c>
      <c r="AC13" s="89" t="e">
        <f>#REF!</f>
        <v>#REF!</v>
      </c>
      <c r="AD13" s="89" t="e">
        <f>#REF!</f>
        <v>#REF!</v>
      </c>
      <c r="AE13" s="89" t="e">
        <f>#REF!</f>
        <v>#REF!</v>
      </c>
      <c r="AF13" s="89" t="e">
        <f>#REF!</f>
        <v>#REF!</v>
      </c>
      <c r="AG13" s="89" t="e">
        <f>#REF!</f>
        <v>#REF!</v>
      </c>
      <c r="AH13" s="89" t="e">
        <f>#REF!</f>
        <v>#REF!</v>
      </c>
      <c r="AI13" s="89" t="e">
        <f>#REF!</f>
        <v>#REF!</v>
      </c>
      <c r="AJ13" s="89" t="e">
        <f>#REF!</f>
        <v>#REF!</v>
      </c>
      <c r="AK13" s="89" t="e">
        <f>#REF!</f>
        <v>#REF!</v>
      </c>
      <c r="AL13" s="89" t="e">
        <f>#REF!</f>
        <v>#REF!</v>
      </c>
      <c r="AM13" s="89" t="e">
        <f>#REF!</f>
        <v>#REF!</v>
      </c>
      <c r="AN13" s="89" t="e">
        <f>#REF!</f>
        <v>#REF!</v>
      </c>
      <c r="AO13" s="89" t="e">
        <f>#REF!</f>
        <v>#REF!</v>
      </c>
      <c r="AP13" s="89" t="e">
        <f>#REF!</f>
        <v>#REF!</v>
      </c>
      <c r="AQ13" s="89" t="e">
        <f>#REF!</f>
        <v>#REF!</v>
      </c>
      <c r="AR13" s="89" t="e">
        <f>#REF!</f>
        <v>#REF!</v>
      </c>
      <c r="AS13" s="89" t="e">
        <f>#REF!</f>
        <v>#REF!</v>
      </c>
      <c r="AT13" s="89" t="e">
        <f>#REF!</f>
        <v>#REF!</v>
      </c>
      <c r="AU13" s="89" t="e">
        <f>#REF!</f>
        <v>#REF!</v>
      </c>
      <c r="AV13" s="89" t="e">
        <f>#REF!</f>
        <v>#REF!</v>
      </c>
      <c r="AW13" s="89" t="e">
        <f>#REF!</f>
        <v>#REF!</v>
      </c>
      <c r="AX13" s="89" t="e">
        <f>#REF!</f>
        <v>#REF!</v>
      </c>
      <c r="AY13" s="89" t="e">
        <f>#REF!</f>
        <v>#REF!</v>
      </c>
      <c r="AZ13" s="89" t="e">
        <f>#REF!</f>
        <v>#REF!</v>
      </c>
      <c r="BA13" s="89" t="e">
        <f>#REF!</f>
        <v>#REF!</v>
      </c>
      <c r="BB13" s="89" t="e">
        <f>#REF!</f>
        <v>#REF!</v>
      </c>
      <c r="BC13" s="89" t="e">
        <f>#REF!</f>
        <v>#REF!</v>
      </c>
      <c r="BD13" s="89" t="e">
        <f>#REF!</f>
        <v>#REF!</v>
      </c>
      <c r="BE13" s="89" t="e">
        <f>#REF!</f>
        <v>#REF!</v>
      </c>
      <c r="BF13" s="89" t="e">
        <f>#REF!</f>
        <v>#REF!</v>
      </c>
    </row>
    <row r="14" spans="1:58" x14ac:dyDescent="0.25">
      <c r="B14" s="133"/>
      <c r="C14" s="70"/>
      <c r="D14" s="81"/>
      <c r="E14" s="81"/>
      <c r="F14" s="81"/>
      <c r="G14" s="134"/>
      <c r="H14" s="68"/>
      <c r="I14" s="89">
        <f>ABCD!J63</f>
        <v>2.5</v>
      </c>
      <c r="J14" s="89">
        <f>ABCD!K63</f>
        <v>8.1999999999999993</v>
      </c>
      <c r="K14" s="89">
        <f>ABCD!L63</f>
        <v>-0.5920746038484308</v>
      </c>
      <c r="L14" s="89">
        <f>ABCD!M63</f>
        <v>-0.17192413910462578</v>
      </c>
      <c r="M14" s="89">
        <f>ABCD!N63</f>
        <v>0.61653081523079045</v>
      </c>
      <c r="N14" s="89" t="e">
        <v>#REF!</v>
      </c>
      <c r="O14" s="89" t="e">
        <v>#REF!</v>
      </c>
      <c r="P14" s="89" t="e">
        <v>#REF!</v>
      </c>
      <c r="Q14" s="89" t="e">
        <v>#REF!</v>
      </c>
      <c r="R14" s="89" t="e">
        <v>#REF!</v>
      </c>
      <c r="S14" s="89" t="e">
        <f>#REF!</f>
        <v>#REF!</v>
      </c>
      <c r="T14" s="89" t="e">
        <f>#REF!</f>
        <v>#REF!</v>
      </c>
      <c r="U14" s="89" t="e">
        <f>#REF!</f>
        <v>#REF!</v>
      </c>
      <c r="V14" s="89" t="e">
        <f>#REF!</f>
        <v>#REF!</v>
      </c>
      <c r="W14" s="89" t="e">
        <f>#REF!</f>
        <v>#REF!</v>
      </c>
      <c r="X14" s="89" t="e">
        <f>#REF!</f>
        <v>#REF!</v>
      </c>
      <c r="Y14" s="89" t="e">
        <f>#REF!</f>
        <v>#REF!</v>
      </c>
      <c r="Z14" s="89" t="e">
        <f>#REF!</f>
        <v>#REF!</v>
      </c>
      <c r="AA14" s="89" t="e">
        <f>#REF!</f>
        <v>#REF!</v>
      </c>
      <c r="AB14" s="89" t="e">
        <f>#REF!</f>
        <v>#REF!</v>
      </c>
      <c r="AC14" s="89" t="e">
        <f>#REF!</f>
        <v>#REF!</v>
      </c>
      <c r="AD14" s="89" t="e">
        <f>#REF!</f>
        <v>#REF!</v>
      </c>
      <c r="AE14" s="89" t="e">
        <f>#REF!</f>
        <v>#REF!</v>
      </c>
      <c r="AF14" s="89" t="e">
        <f>#REF!</f>
        <v>#REF!</v>
      </c>
      <c r="AG14" s="89" t="e">
        <f>#REF!</f>
        <v>#REF!</v>
      </c>
      <c r="AH14" s="89" t="e">
        <f>#REF!</f>
        <v>#REF!</v>
      </c>
      <c r="AI14" s="89" t="e">
        <f>#REF!</f>
        <v>#REF!</v>
      </c>
      <c r="AJ14" s="89" t="e">
        <f>#REF!</f>
        <v>#REF!</v>
      </c>
      <c r="AK14" s="89" t="e">
        <f>#REF!</f>
        <v>#REF!</v>
      </c>
      <c r="AL14" s="89" t="e">
        <f>#REF!</f>
        <v>#REF!</v>
      </c>
      <c r="AM14" s="89" t="e">
        <f>#REF!</f>
        <v>#REF!</v>
      </c>
      <c r="AN14" s="89" t="e">
        <f>#REF!</f>
        <v>#REF!</v>
      </c>
      <c r="AO14" s="89" t="e">
        <f>#REF!</f>
        <v>#REF!</v>
      </c>
      <c r="AP14" s="89" t="e">
        <f>#REF!</f>
        <v>#REF!</v>
      </c>
      <c r="AQ14" s="89" t="e">
        <f>#REF!</f>
        <v>#REF!</v>
      </c>
      <c r="AR14" s="89" t="e">
        <f>#REF!</f>
        <v>#REF!</v>
      </c>
      <c r="AS14" s="89" t="e">
        <f>#REF!</f>
        <v>#REF!</v>
      </c>
      <c r="AT14" s="89" t="e">
        <f>#REF!</f>
        <v>#REF!</v>
      </c>
      <c r="AU14" s="89" t="e">
        <f>#REF!</f>
        <v>#REF!</v>
      </c>
      <c r="AV14" s="89" t="e">
        <f>#REF!</f>
        <v>#REF!</v>
      </c>
      <c r="AW14" s="89" t="e">
        <f>#REF!</f>
        <v>#REF!</v>
      </c>
      <c r="AX14" s="89" t="e">
        <f>#REF!</f>
        <v>#REF!</v>
      </c>
      <c r="AY14" s="89" t="e">
        <f>#REF!</f>
        <v>#REF!</v>
      </c>
      <c r="AZ14" s="89" t="e">
        <f>#REF!</f>
        <v>#REF!</v>
      </c>
      <c r="BA14" s="89" t="e">
        <f>#REF!</f>
        <v>#REF!</v>
      </c>
      <c r="BB14" s="89" t="e">
        <f>#REF!</f>
        <v>#REF!</v>
      </c>
      <c r="BC14" s="89" t="e">
        <f>#REF!</f>
        <v>#REF!</v>
      </c>
      <c r="BD14" s="89" t="e">
        <f>#REF!</f>
        <v>#REF!</v>
      </c>
      <c r="BE14" s="89" t="e">
        <f>#REF!</f>
        <v>#REF!</v>
      </c>
      <c r="BF14" s="89" t="e">
        <f>#REF!</f>
        <v>#REF!</v>
      </c>
    </row>
    <row r="15" spans="1:58" x14ac:dyDescent="0.25">
      <c r="B15" s="133"/>
      <c r="C15" s="70"/>
      <c r="D15" s="81"/>
      <c r="E15" s="81"/>
      <c r="F15" s="81"/>
      <c r="G15" s="134"/>
      <c r="H15" s="68"/>
      <c r="I15" s="89">
        <f>ABCD!J64</f>
        <v>2.75</v>
      </c>
      <c r="J15" s="89">
        <f>ABCD!K64</f>
        <v>9.02</v>
      </c>
      <c r="K15" s="89">
        <f>ABCD!L64</f>
        <v>-0.48579431603916945</v>
      </c>
      <c r="L15" s="89">
        <f>ABCD!M64</f>
        <v>-0.15262722698883691</v>
      </c>
      <c r="M15" s="89">
        <f>ABCD!N64</f>
        <v>0.50920642956885998</v>
      </c>
      <c r="N15" s="89" t="e">
        <v>#REF!</v>
      </c>
      <c r="O15" s="89" t="e">
        <v>#REF!</v>
      </c>
      <c r="P15" s="89" t="e">
        <v>#REF!</v>
      </c>
      <c r="Q15" s="89" t="e">
        <v>#REF!</v>
      </c>
      <c r="R15" s="89" t="e">
        <v>#REF!</v>
      </c>
      <c r="S15" s="89" t="e">
        <f>#REF!</f>
        <v>#REF!</v>
      </c>
      <c r="T15" s="89" t="e">
        <f>#REF!</f>
        <v>#REF!</v>
      </c>
      <c r="U15" s="89" t="e">
        <f>#REF!</f>
        <v>#REF!</v>
      </c>
      <c r="V15" s="89" t="e">
        <f>#REF!</f>
        <v>#REF!</v>
      </c>
      <c r="W15" s="89" t="e">
        <f>#REF!</f>
        <v>#REF!</v>
      </c>
      <c r="X15" s="89" t="e">
        <f>#REF!</f>
        <v>#REF!</v>
      </c>
      <c r="Y15" s="89" t="e">
        <f>#REF!</f>
        <v>#REF!</v>
      </c>
      <c r="Z15" s="89" t="e">
        <f>#REF!</f>
        <v>#REF!</v>
      </c>
      <c r="AA15" s="89" t="e">
        <f>#REF!</f>
        <v>#REF!</v>
      </c>
      <c r="AB15" s="89" t="e">
        <f>#REF!</f>
        <v>#REF!</v>
      </c>
      <c r="AC15" s="89" t="e">
        <f>#REF!</f>
        <v>#REF!</v>
      </c>
      <c r="AD15" s="89" t="e">
        <f>#REF!</f>
        <v>#REF!</v>
      </c>
      <c r="AE15" s="89" t="e">
        <f>#REF!</f>
        <v>#REF!</v>
      </c>
      <c r="AF15" s="89" t="e">
        <f>#REF!</f>
        <v>#REF!</v>
      </c>
      <c r="AG15" s="89" t="e">
        <f>#REF!</f>
        <v>#REF!</v>
      </c>
      <c r="AH15" s="89" t="e">
        <f>#REF!</f>
        <v>#REF!</v>
      </c>
      <c r="AI15" s="89" t="e">
        <f>#REF!</f>
        <v>#REF!</v>
      </c>
      <c r="AJ15" s="89" t="e">
        <f>#REF!</f>
        <v>#REF!</v>
      </c>
      <c r="AK15" s="89" t="e">
        <f>#REF!</f>
        <v>#REF!</v>
      </c>
      <c r="AL15" s="89" t="e">
        <f>#REF!</f>
        <v>#REF!</v>
      </c>
      <c r="AM15" s="89" t="e">
        <f>#REF!</f>
        <v>#REF!</v>
      </c>
      <c r="AN15" s="89" t="e">
        <f>#REF!</f>
        <v>#REF!</v>
      </c>
      <c r="AO15" s="89" t="e">
        <f>#REF!</f>
        <v>#REF!</v>
      </c>
      <c r="AP15" s="89" t="e">
        <f>#REF!</f>
        <v>#REF!</v>
      </c>
      <c r="AQ15" s="89" t="e">
        <f>#REF!</f>
        <v>#REF!</v>
      </c>
      <c r="AR15" s="89" t="e">
        <f>#REF!</f>
        <v>#REF!</v>
      </c>
      <c r="AS15" s="89" t="e">
        <f>#REF!</f>
        <v>#REF!</v>
      </c>
      <c r="AT15" s="89" t="e">
        <f>#REF!</f>
        <v>#REF!</v>
      </c>
      <c r="AU15" s="89" t="e">
        <f>#REF!</f>
        <v>#REF!</v>
      </c>
      <c r="AV15" s="89" t="e">
        <f>#REF!</f>
        <v>#REF!</v>
      </c>
      <c r="AW15" s="89" t="e">
        <f>#REF!</f>
        <v>#REF!</v>
      </c>
      <c r="AX15" s="89" t="e">
        <f>#REF!</f>
        <v>#REF!</v>
      </c>
      <c r="AY15" s="89" t="e">
        <f>#REF!</f>
        <v>#REF!</v>
      </c>
      <c r="AZ15" s="89" t="e">
        <f>#REF!</f>
        <v>#REF!</v>
      </c>
      <c r="BA15" s="89" t="e">
        <f>#REF!</f>
        <v>#REF!</v>
      </c>
      <c r="BB15" s="89" t="e">
        <f>#REF!</f>
        <v>#REF!</v>
      </c>
      <c r="BC15" s="89" t="e">
        <f>#REF!</f>
        <v>#REF!</v>
      </c>
      <c r="BD15" s="89" t="e">
        <f>#REF!</f>
        <v>#REF!</v>
      </c>
      <c r="BE15" s="89" t="e">
        <f>#REF!</f>
        <v>#REF!</v>
      </c>
      <c r="BF15" s="89" t="e">
        <f>#REF!</f>
        <v>#REF!</v>
      </c>
    </row>
    <row r="16" spans="1:58" x14ac:dyDescent="0.25">
      <c r="B16" s="133"/>
      <c r="C16" s="70"/>
      <c r="D16" s="81"/>
      <c r="E16" s="81"/>
      <c r="F16" s="81"/>
      <c r="G16" s="133"/>
      <c r="H16" s="68"/>
      <c r="I16" s="89">
        <f>ABCD!J65</f>
        <v>3</v>
      </c>
      <c r="J16" s="89">
        <f>ABCD!K65</f>
        <v>9.84</v>
      </c>
      <c r="K16" s="89">
        <f>ABCD!L65</f>
        <v>-0.37949749617589673</v>
      </c>
      <c r="L16" s="89">
        <f>ABCD!M65</f>
        <v>-0.13331244164780243</v>
      </c>
      <c r="M16" s="89">
        <f>ABCD!N65</f>
        <v>0.40223196877159512</v>
      </c>
      <c r="N16" s="89" t="e">
        <v>#REF!</v>
      </c>
      <c r="O16" s="89" t="e">
        <v>#REF!</v>
      </c>
      <c r="P16" s="89" t="e">
        <v>#REF!</v>
      </c>
      <c r="Q16" s="89" t="e">
        <v>#REF!</v>
      </c>
      <c r="R16" s="89" t="e">
        <v>#REF!</v>
      </c>
      <c r="S16" s="89" t="e">
        <f>#REF!</f>
        <v>#REF!</v>
      </c>
      <c r="T16" s="89" t="e">
        <f>#REF!</f>
        <v>#REF!</v>
      </c>
      <c r="U16" s="89" t="e">
        <f>#REF!</f>
        <v>#REF!</v>
      </c>
      <c r="V16" s="89" t="e">
        <f>#REF!</f>
        <v>#REF!</v>
      </c>
      <c r="W16" s="89" t="e">
        <f>#REF!</f>
        <v>#REF!</v>
      </c>
      <c r="X16" s="89" t="e">
        <f>#REF!</f>
        <v>#REF!</v>
      </c>
      <c r="Y16" s="89" t="e">
        <f>#REF!</f>
        <v>#REF!</v>
      </c>
      <c r="Z16" s="89" t="e">
        <f>#REF!</f>
        <v>#REF!</v>
      </c>
      <c r="AA16" s="89" t="e">
        <f>#REF!</f>
        <v>#REF!</v>
      </c>
      <c r="AB16" s="89" t="e">
        <f>#REF!</f>
        <v>#REF!</v>
      </c>
      <c r="AC16" s="89" t="e">
        <f>#REF!</f>
        <v>#REF!</v>
      </c>
      <c r="AD16" s="89" t="e">
        <f>#REF!</f>
        <v>#REF!</v>
      </c>
      <c r="AE16" s="89" t="e">
        <f>#REF!</f>
        <v>#REF!</v>
      </c>
      <c r="AF16" s="89" t="e">
        <f>#REF!</f>
        <v>#REF!</v>
      </c>
      <c r="AG16" s="89" t="e">
        <f>#REF!</f>
        <v>#REF!</v>
      </c>
      <c r="AH16" s="89" t="e">
        <f>#REF!</f>
        <v>#REF!</v>
      </c>
      <c r="AI16" s="89" t="e">
        <f>#REF!</f>
        <v>#REF!</v>
      </c>
      <c r="AJ16" s="89" t="e">
        <f>#REF!</f>
        <v>#REF!</v>
      </c>
      <c r="AK16" s="89" t="e">
        <f>#REF!</f>
        <v>#REF!</v>
      </c>
      <c r="AL16" s="89" t="e">
        <f>#REF!</f>
        <v>#REF!</v>
      </c>
      <c r="AM16" s="89" t="e">
        <f>#REF!</f>
        <v>#REF!</v>
      </c>
      <c r="AN16" s="89" t="e">
        <f>#REF!</f>
        <v>#REF!</v>
      </c>
      <c r="AO16" s="89" t="e">
        <f>#REF!</f>
        <v>#REF!</v>
      </c>
      <c r="AP16" s="89" t="e">
        <f>#REF!</f>
        <v>#REF!</v>
      </c>
      <c r="AQ16" s="89" t="e">
        <f>#REF!</f>
        <v>#REF!</v>
      </c>
      <c r="AR16" s="89" t="e">
        <f>#REF!</f>
        <v>#REF!</v>
      </c>
      <c r="AS16" s="89" t="e">
        <f>#REF!</f>
        <v>#REF!</v>
      </c>
      <c r="AT16" s="89" t="e">
        <f>#REF!</f>
        <v>#REF!</v>
      </c>
      <c r="AU16" s="89" t="e">
        <f>#REF!</f>
        <v>#REF!</v>
      </c>
      <c r="AV16" s="89" t="e">
        <f>#REF!</f>
        <v>#REF!</v>
      </c>
      <c r="AW16" s="89" t="e">
        <f>#REF!</f>
        <v>#REF!</v>
      </c>
      <c r="AX16" s="89" t="e">
        <f>#REF!</f>
        <v>#REF!</v>
      </c>
      <c r="AY16" s="89" t="e">
        <f>#REF!</f>
        <v>#REF!</v>
      </c>
      <c r="AZ16" s="89" t="e">
        <f>#REF!</f>
        <v>#REF!</v>
      </c>
      <c r="BA16" s="89" t="e">
        <f>#REF!</f>
        <v>#REF!</v>
      </c>
      <c r="BB16" s="89" t="e">
        <f>#REF!</f>
        <v>#REF!</v>
      </c>
      <c r="BC16" s="89" t="e">
        <f>#REF!</f>
        <v>#REF!</v>
      </c>
      <c r="BD16" s="89" t="e">
        <f>#REF!</f>
        <v>#REF!</v>
      </c>
      <c r="BE16" s="89" t="e">
        <f>#REF!</f>
        <v>#REF!</v>
      </c>
      <c r="BF16" s="89" t="e">
        <f>#REF!</f>
        <v>#REF!</v>
      </c>
    </row>
    <row r="17" spans="2:58" x14ac:dyDescent="0.25">
      <c r="B17" s="77"/>
      <c r="C17" s="70"/>
      <c r="D17" s="81"/>
      <c r="E17" s="81"/>
      <c r="F17" s="81"/>
      <c r="G17" s="133"/>
      <c r="H17" s="68"/>
      <c r="I17" s="89">
        <f>ABCD!J66</f>
        <v>3.25</v>
      </c>
      <c r="J17" s="89">
        <f>ABCD!K66</f>
        <v>10.66</v>
      </c>
      <c r="K17" s="89">
        <f>ABCD!L66</f>
        <v>-0.27320869680297805</v>
      </c>
      <c r="L17" s="89">
        <f>ABCD!M66</f>
        <v>-0.11398425780600707</v>
      </c>
      <c r="M17" s="89">
        <f>ABCD!N66</f>
        <v>0.29603277358489866</v>
      </c>
      <c r="N17" s="89" t="e">
        <v>#REF!</v>
      </c>
      <c r="O17" s="89" t="e">
        <v>#REF!</v>
      </c>
      <c r="P17" s="89" t="e">
        <v>#REF!</v>
      </c>
      <c r="Q17" s="89" t="e">
        <v>#REF!</v>
      </c>
      <c r="R17" s="89" t="e">
        <v>#REF!</v>
      </c>
      <c r="S17" s="89" t="e">
        <f>#REF!</f>
        <v>#REF!</v>
      </c>
      <c r="T17" s="89" t="e">
        <f>#REF!</f>
        <v>#REF!</v>
      </c>
      <c r="U17" s="89" t="e">
        <f>#REF!</f>
        <v>#REF!</v>
      </c>
      <c r="V17" s="89" t="e">
        <f>#REF!</f>
        <v>#REF!</v>
      </c>
      <c r="W17" s="89" t="e">
        <f>#REF!</f>
        <v>#REF!</v>
      </c>
      <c r="X17" s="89" t="e">
        <f>#REF!</f>
        <v>#REF!</v>
      </c>
      <c r="Y17" s="89" t="e">
        <f>#REF!</f>
        <v>#REF!</v>
      </c>
      <c r="Z17" s="89" t="e">
        <f>#REF!</f>
        <v>#REF!</v>
      </c>
      <c r="AA17" s="89" t="e">
        <f>#REF!</f>
        <v>#REF!</v>
      </c>
      <c r="AB17" s="89" t="e">
        <f>#REF!</f>
        <v>#REF!</v>
      </c>
      <c r="AC17" s="89" t="e">
        <f>#REF!</f>
        <v>#REF!</v>
      </c>
      <c r="AD17" s="89" t="e">
        <f>#REF!</f>
        <v>#REF!</v>
      </c>
      <c r="AE17" s="89" t="e">
        <f>#REF!</f>
        <v>#REF!</v>
      </c>
      <c r="AF17" s="89" t="e">
        <f>#REF!</f>
        <v>#REF!</v>
      </c>
      <c r="AG17" s="89" t="e">
        <f>#REF!</f>
        <v>#REF!</v>
      </c>
      <c r="AH17" s="89" t="e">
        <f>#REF!</f>
        <v>#REF!</v>
      </c>
      <c r="AI17" s="89" t="e">
        <f>#REF!</f>
        <v>#REF!</v>
      </c>
      <c r="AJ17" s="89" t="e">
        <f>#REF!</f>
        <v>#REF!</v>
      </c>
      <c r="AK17" s="89" t="e">
        <f>#REF!</f>
        <v>#REF!</v>
      </c>
      <c r="AL17" s="89" t="e">
        <f>#REF!</f>
        <v>#REF!</v>
      </c>
      <c r="AM17" s="89" t="e">
        <f>#REF!</f>
        <v>#REF!</v>
      </c>
      <c r="AN17" s="89" t="e">
        <f>#REF!</f>
        <v>#REF!</v>
      </c>
      <c r="AO17" s="89" t="e">
        <f>#REF!</f>
        <v>#REF!</v>
      </c>
      <c r="AP17" s="89" t="e">
        <f>#REF!</f>
        <v>#REF!</v>
      </c>
      <c r="AQ17" s="89" t="e">
        <f>#REF!</f>
        <v>#REF!</v>
      </c>
      <c r="AR17" s="89" t="e">
        <f>#REF!</f>
        <v>#REF!</v>
      </c>
      <c r="AS17" s="89" t="e">
        <f>#REF!</f>
        <v>#REF!</v>
      </c>
      <c r="AT17" s="89" t="e">
        <f>#REF!</f>
        <v>#REF!</v>
      </c>
      <c r="AU17" s="89" t="e">
        <f>#REF!</f>
        <v>#REF!</v>
      </c>
      <c r="AV17" s="89" t="e">
        <f>#REF!</f>
        <v>#REF!</v>
      </c>
      <c r="AW17" s="89" t="e">
        <f>#REF!</f>
        <v>#REF!</v>
      </c>
      <c r="AX17" s="89" t="e">
        <f>#REF!</f>
        <v>#REF!</v>
      </c>
      <c r="AY17" s="89" t="e">
        <f>#REF!</f>
        <v>#REF!</v>
      </c>
      <c r="AZ17" s="89" t="e">
        <f>#REF!</f>
        <v>#REF!</v>
      </c>
      <c r="BA17" s="89" t="e">
        <f>#REF!</f>
        <v>#REF!</v>
      </c>
      <c r="BB17" s="89" t="e">
        <f>#REF!</f>
        <v>#REF!</v>
      </c>
      <c r="BC17" s="89" t="e">
        <f>#REF!</f>
        <v>#REF!</v>
      </c>
      <c r="BD17" s="89" t="e">
        <f>#REF!</f>
        <v>#REF!</v>
      </c>
      <c r="BE17" s="89" t="e">
        <f>#REF!</f>
        <v>#REF!</v>
      </c>
      <c r="BF17" s="89" t="e">
        <f>#REF!</f>
        <v>#REF!</v>
      </c>
    </row>
    <row r="18" spans="2:58" ht="13" thickBot="1" x14ac:dyDescent="0.3">
      <c r="B18" s="135"/>
      <c r="C18" s="139"/>
      <c r="D18" s="82"/>
      <c r="E18" s="82"/>
      <c r="F18" s="82"/>
      <c r="G18" s="136"/>
      <c r="H18" s="68"/>
      <c r="I18" s="89">
        <f>ABCD!J67</f>
        <v>3.5</v>
      </c>
      <c r="J18" s="89">
        <f>ABCD!K67</f>
        <v>11.479999999999999</v>
      </c>
      <c r="K18" s="89">
        <f>ABCD!L67</f>
        <v>-0.16695244652600794</v>
      </c>
      <c r="L18" s="89">
        <f>ABCD!M67</f>
        <v>-9.4647149255429053E-2</v>
      </c>
      <c r="M18" s="89">
        <f>ABCD!N67</f>
        <v>0.1919145702212289</v>
      </c>
      <c r="N18" s="89" t="e">
        <v>#REF!</v>
      </c>
      <c r="O18" s="89" t="e">
        <v>#REF!</v>
      </c>
      <c r="P18" s="89" t="e">
        <v>#REF!</v>
      </c>
      <c r="Q18" s="89" t="e">
        <v>#REF!</v>
      </c>
      <c r="R18" s="89" t="e">
        <v>#REF!</v>
      </c>
      <c r="S18" s="89" t="e">
        <f>#REF!</f>
        <v>#REF!</v>
      </c>
      <c r="T18" s="89" t="e">
        <f>#REF!</f>
        <v>#REF!</v>
      </c>
      <c r="U18" s="89" t="e">
        <f>#REF!</f>
        <v>#REF!</v>
      </c>
      <c r="V18" s="89" t="e">
        <f>#REF!</f>
        <v>#REF!</v>
      </c>
      <c r="W18" s="89" t="e">
        <f>#REF!</f>
        <v>#REF!</v>
      </c>
      <c r="X18" s="89" t="e">
        <f>#REF!</f>
        <v>#REF!</v>
      </c>
      <c r="Y18" s="89" t="e">
        <f>#REF!</f>
        <v>#REF!</v>
      </c>
      <c r="Z18" s="89" t="e">
        <f>#REF!</f>
        <v>#REF!</v>
      </c>
      <c r="AA18" s="89" t="e">
        <f>#REF!</f>
        <v>#REF!</v>
      </c>
      <c r="AB18" s="89" t="e">
        <f>#REF!</f>
        <v>#REF!</v>
      </c>
      <c r="AC18" s="89" t="e">
        <f>#REF!</f>
        <v>#REF!</v>
      </c>
      <c r="AD18" s="89" t="e">
        <f>#REF!</f>
        <v>#REF!</v>
      </c>
      <c r="AE18" s="89" t="e">
        <f>#REF!</f>
        <v>#REF!</v>
      </c>
      <c r="AF18" s="89" t="e">
        <f>#REF!</f>
        <v>#REF!</v>
      </c>
      <c r="AG18" s="89" t="e">
        <f>#REF!</f>
        <v>#REF!</v>
      </c>
      <c r="AH18" s="89" t="e">
        <f>#REF!</f>
        <v>#REF!</v>
      </c>
      <c r="AI18" s="89" t="e">
        <f>#REF!</f>
        <v>#REF!</v>
      </c>
      <c r="AJ18" s="89" t="e">
        <f>#REF!</f>
        <v>#REF!</v>
      </c>
      <c r="AK18" s="89" t="e">
        <f>#REF!</f>
        <v>#REF!</v>
      </c>
      <c r="AL18" s="89" t="e">
        <f>#REF!</f>
        <v>#REF!</v>
      </c>
      <c r="AM18" s="89" t="e">
        <f>#REF!</f>
        <v>#REF!</v>
      </c>
      <c r="AN18" s="89" t="e">
        <f>#REF!</f>
        <v>#REF!</v>
      </c>
      <c r="AO18" s="89" t="e">
        <f>#REF!</f>
        <v>#REF!</v>
      </c>
      <c r="AP18" s="89" t="e">
        <f>#REF!</f>
        <v>#REF!</v>
      </c>
      <c r="AQ18" s="89" t="e">
        <f>#REF!</f>
        <v>#REF!</v>
      </c>
      <c r="AR18" s="89" t="e">
        <f>#REF!</f>
        <v>#REF!</v>
      </c>
      <c r="AS18" s="89" t="e">
        <f>#REF!</f>
        <v>#REF!</v>
      </c>
      <c r="AT18" s="89" t="e">
        <f>#REF!</f>
        <v>#REF!</v>
      </c>
      <c r="AU18" s="89" t="e">
        <f>#REF!</f>
        <v>#REF!</v>
      </c>
      <c r="AV18" s="89" t="e">
        <f>#REF!</f>
        <v>#REF!</v>
      </c>
      <c r="AW18" s="89" t="e">
        <f>#REF!</f>
        <v>#REF!</v>
      </c>
      <c r="AX18" s="89" t="e">
        <f>#REF!</f>
        <v>#REF!</v>
      </c>
      <c r="AY18" s="89" t="e">
        <f>#REF!</f>
        <v>#REF!</v>
      </c>
      <c r="AZ18" s="89" t="e">
        <f>#REF!</f>
        <v>#REF!</v>
      </c>
      <c r="BA18" s="89" t="e">
        <f>#REF!</f>
        <v>#REF!</v>
      </c>
      <c r="BB18" s="89" t="e">
        <f>#REF!</f>
        <v>#REF!</v>
      </c>
      <c r="BC18" s="89" t="e">
        <f>#REF!</f>
        <v>#REF!</v>
      </c>
      <c r="BD18" s="89" t="e">
        <f>#REF!</f>
        <v>#REF!</v>
      </c>
      <c r="BE18" s="89" t="e">
        <f>#REF!</f>
        <v>#REF!</v>
      </c>
      <c r="BF18" s="89" t="e">
        <f>#REF!</f>
        <v>#REF!</v>
      </c>
    </row>
    <row r="19" spans="2:58" x14ac:dyDescent="0.25">
      <c r="B19" s="68"/>
      <c r="C19" s="70"/>
      <c r="D19" s="68"/>
      <c r="E19" s="68"/>
      <c r="F19" s="68"/>
      <c r="G19" s="68"/>
      <c r="H19" s="68"/>
      <c r="I19" s="89">
        <f>ABCD!J68</f>
        <v>3.75</v>
      </c>
      <c r="J19" s="89">
        <f>ABCD!K68</f>
        <v>12.299999999999999</v>
      </c>
      <c r="K19" s="89">
        <f>ABCD!L68</f>
        <v>-6.0753244371085646E-2</v>
      </c>
      <c r="L19" s="89">
        <f>ABCD!M68</f>
        <v>-7.5305587823628617E-2</v>
      </c>
      <c r="M19" s="89">
        <f>ABCD!N68</f>
        <v>9.675685122550802E-2</v>
      </c>
      <c r="N19" s="89" t="e">
        <v>#REF!</v>
      </c>
      <c r="O19" s="89" t="e">
        <v>#REF!</v>
      </c>
      <c r="P19" s="89" t="e">
        <v>#REF!</v>
      </c>
      <c r="Q19" s="89" t="e">
        <v>#REF!</v>
      </c>
      <c r="R19" s="89" t="e">
        <v>#REF!</v>
      </c>
      <c r="S19" s="89" t="e">
        <f>#REF!</f>
        <v>#REF!</v>
      </c>
      <c r="T19" s="89" t="e">
        <f>#REF!</f>
        <v>#REF!</v>
      </c>
      <c r="U19" s="89" t="e">
        <f>#REF!</f>
        <v>#REF!</v>
      </c>
      <c r="V19" s="89" t="e">
        <f>#REF!</f>
        <v>#REF!</v>
      </c>
      <c r="W19" s="89" t="e">
        <f>#REF!</f>
        <v>#REF!</v>
      </c>
      <c r="X19" s="89" t="e">
        <f>#REF!</f>
        <v>#REF!</v>
      </c>
      <c r="Y19" s="89" t="e">
        <f>#REF!</f>
        <v>#REF!</v>
      </c>
      <c r="Z19" s="89" t="e">
        <f>#REF!</f>
        <v>#REF!</v>
      </c>
      <c r="AA19" s="89" t="e">
        <f>#REF!</f>
        <v>#REF!</v>
      </c>
      <c r="AB19" s="89" t="e">
        <f>#REF!</f>
        <v>#REF!</v>
      </c>
      <c r="AC19" s="89" t="e">
        <f>#REF!</f>
        <v>#REF!</v>
      </c>
      <c r="AD19" s="89" t="e">
        <f>#REF!</f>
        <v>#REF!</v>
      </c>
      <c r="AE19" s="89" t="e">
        <f>#REF!</f>
        <v>#REF!</v>
      </c>
      <c r="AF19" s="89" t="e">
        <f>#REF!</f>
        <v>#REF!</v>
      </c>
      <c r="AG19" s="89" t="e">
        <f>#REF!</f>
        <v>#REF!</v>
      </c>
      <c r="AH19" s="89" t="e">
        <f>#REF!</f>
        <v>#REF!</v>
      </c>
      <c r="AI19" s="89" t="e">
        <f>#REF!</f>
        <v>#REF!</v>
      </c>
      <c r="AJ19" s="89" t="e">
        <f>#REF!</f>
        <v>#REF!</v>
      </c>
      <c r="AK19" s="89" t="e">
        <f>#REF!</f>
        <v>#REF!</v>
      </c>
      <c r="AL19" s="89" t="e">
        <f>#REF!</f>
        <v>#REF!</v>
      </c>
      <c r="AM19" s="89" t="e">
        <f>#REF!</f>
        <v>#REF!</v>
      </c>
      <c r="AN19" s="89" t="e">
        <f>#REF!</f>
        <v>#REF!</v>
      </c>
      <c r="AO19" s="89" t="e">
        <f>#REF!</f>
        <v>#REF!</v>
      </c>
      <c r="AP19" s="89" t="e">
        <f>#REF!</f>
        <v>#REF!</v>
      </c>
      <c r="AQ19" s="89" t="e">
        <f>#REF!</f>
        <v>#REF!</v>
      </c>
      <c r="AR19" s="89" t="e">
        <f>#REF!</f>
        <v>#REF!</v>
      </c>
      <c r="AS19" s="89" t="e">
        <f>#REF!</f>
        <v>#REF!</v>
      </c>
      <c r="AT19" s="89" t="e">
        <f>#REF!</f>
        <v>#REF!</v>
      </c>
      <c r="AU19" s="89" t="e">
        <f>#REF!</f>
        <v>#REF!</v>
      </c>
      <c r="AV19" s="89" t="e">
        <f>#REF!</f>
        <v>#REF!</v>
      </c>
      <c r="AW19" s="89" t="e">
        <f>#REF!</f>
        <v>#REF!</v>
      </c>
      <c r="AX19" s="89" t="e">
        <f>#REF!</f>
        <v>#REF!</v>
      </c>
      <c r="AY19" s="89" t="e">
        <f>#REF!</f>
        <v>#REF!</v>
      </c>
      <c r="AZ19" s="89" t="e">
        <f>#REF!</f>
        <v>#REF!</v>
      </c>
      <c r="BA19" s="89" t="e">
        <f>#REF!</f>
        <v>#REF!</v>
      </c>
      <c r="BB19" s="89" t="e">
        <f>#REF!</f>
        <v>#REF!</v>
      </c>
      <c r="BC19" s="89" t="e">
        <f>#REF!</f>
        <v>#REF!</v>
      </c>
      <c r="BD19" s="89" t="e">
        <f>#REF!</f>
        <v>#REF!</v>
      </c>
      <c r="BE19" s="89" t="e">
        <f>#REF!</f>
        <v>#REF!</v>
      </c>
      <c r="BF19" s="89" t="e">
        <f>#REF!</f>
        <v>#REF!</v>
      </c>
    </row>
    <row r="20" spans="2:58" ht="13" x14ac:dyDescent="0.3">
      <c r="B20" s="84" t="s">
        <v>91</v>
      </c>
      <c r="C20" s="70">
        <f>AVERAGE(C7:C18)</f>
        <v>339.17651189459946</v>
      </c>
      <c r="D20" s="70"/>
      <c r="E20" s="69">
        <f>AVERAGE(E7:E18)</f>
        <v>0.14551908359253851</v>
      </c>
      <c r="I20" s="89">
        <f>ABCD!J69</f>
        <v>4</v>
      </c>
      <c r="J20" s="89">
        <f>ABCD!K69</f>
        <v>13.12</v>
      </c>
      <c r="K20" s="89">
        <f>ABCD!L69</f>
        <v>4.5364445843963375E-2</v>
      </c>
      <c r="L20" s="89">
        <f>ABCD!M69</f>
        <v>-5.5964042343237708E-2</v>
      </c>
      <c r="M20" s="89">
        <f>ABCD!N69</f>
        <v>7.2041009030451464E-2</v>
      </c>
      <c r="N20" s="89" t="e">
        <v>#REF!</v>
      </c>
      <c r="O20" s="89" t="e">
        <v>#REF!</v>
      </c>
      <c r="P20" s="89" t="e">
        <v>#REF!</v>
      </c>
      <c r="Q20" s="89" t="e">
        <v>#REF!</v>
      </c>
      <c r="R20" s="89" t="e">
        <v>#REF!</v>
      </c>
      <c r="S20" s="89" t="e">
        <f>#REF!</f>
        <v>#REF!</v>
      </c>
      <c r="T20" s="89" t="e">
        <f>#REF!</f>
        <v>#REF!</v>
      </c>
      <c r="U20" s="89" t="e">
        <f>#REF!</f>
        <v>#REF!</v>
      </c>
      <c r="V20" s="89" t="e">
        <f>#REF!</f>
        <v>#REF!</v>
      </c>
      <c r="W20" s="89" t="e">
        <f>#REF!</f>
        <v>#REF!</v>
      </c>
      <c r="X20" s="89" t="e">
        <f>#REF!</f>
        <v>#REF!</v>
      </c>
      <c r="Y20" s="89" t="e">
        <f>#REF!</f>
        <v>#REF!</v>
      </c>
      <c r="Z20" s="89" t="e">
        <f>#REF!</f>
        <v>#REF!</v>
      </c>
      <c r="AA20" s="89" t="e">
        <f>#REF!</f>
        <v>#REF!</v>
      </c>
      <c r="AB20" s="89" t="e">
        <f>#REF!</f>
        <v>#REF!</v>
      </c>
      <c r="AC20" s="89" t="e">
        <f>#REF!</f>
        <v>#REF!</v>
      </c>
      <c r="AD20" s="89" t="e">
        <f>#REF!</f>
        <v>#REF!</v>
      </c>
      <c r="AE20" s="89" t="e">
        <f>#REF!</f>
        <v>#REF!</v>
      </c>
      <c r="AF20" s="89" t="e">
        <f>#REF!</f>
        <v>#REF!</v>
      </c>
      <c r="AG20" s="89" t="e">
        <f>#REF!</f>
        <v>#REF!</v>
      </c>
      <c r="AH20" s="89" t="e">
        <f>#REF!</f>
        <v>#REF!</v>
      </c>
      <c r="AI20" s="89" t="e">
        <f>#REF!</f>
        <v>#REF!</v>
      </c>
      <c r="AJ20" s="89" t="e">
        <f>#REF!</f>
        <v>#REF!</v>
      </c>
      <c r="AK20" s="89" t="e">
        <f>#REF!</f>
        <v>#REF!</v>
      </c>
      <c r="AL20" s="89" t="e">
        <f>#REF!</f>
        <v>#REF!</v>
      </c>
      <c r="AM20" s="89" t="e">
        <f>#REF!</f>
        <v>#REF!</v>
      </c>
      <c r="AN20" s="89" t="e">
        <f>#REF!</f>
        <v>#REF!</v>
      </c>
      <c r="AO20" s="89" t="e">
        <f>#REF!</f>
        <v>#REF!</v>
      </c>
      <c r="AP20" s="89" t="e">
        <f>#REF!</f>
        <v>#REF!</v>
      </c>
      <c r="AQ20" s="89" t="e">
        <f>#REF!</f>
        <v>#REF!</v>
      </c>
      <c r="AR20" s="89" t="e">
        <f>#REF!</f>
        <v>#REF!</v>
      </c>
      <c r="AS20" s="89" t="e">
        <f>#REF!</f>
        <v>#REF!</v>
      </c>
      <c r="AT20" s="89" t="e">
        <f>#REF!</f>
        <v>#REF!</v>
      </c>
      <c r="AU20" s="89" t="e">
        <f>#REF!</f>
        <v>#REF!</v>
      </c>
      <c r="AV20" s="89" t="e">
        <f>#REF!</f>
        <v>#REF!</v>
      </c>
      <c r="AW20" s="89" t="e">
        <f>#REF!</f>
        <v>#REF!</v>
      </c>
      <c r="AX20" s="89" t="e">
        <f>#REF!</f>
        <v>#REF!</v>
      </c>
      <c r="AY20" s="89" t="e">
        <f>#REF!</f>
        <v>#REF!</v>
      </c>
      <c r="AZ20" s="89" t="e">
        <f>#REF!</f>
        <v>#REF!</v>
      </c>
      <c r="BA20" s="89" t="e">
        <f>#REF!</f>
        <v>#REF!</v>
      </c>
      <c r="BB20" s="89" t="e">
        <f>#REF!</f>
        <v>#REF!</v>
      </c>
      <c r="BC20" s="89" t="e">
        <f>#REF!</f>
        <v>#REF!</v>
      </c>
      <c r="BD20" s="89" t="e">
        <f>#REF!</f>
        <v>#REF!</v>
      </c>
      <c r="BE20" s="89" t="e">
        <f>#REF!</f>
        <v>#REF!</v>
      </c>
      <c r="BF20" s="89" t="e">
        <f>#REF!</f>
        <v>#REF!</v>
      </c>
    </row>
    <row r="21" spans="2:58" x14ac:dyDescent="0.25">
      <c r="B21" s="68"/>
      <c r="C21" s="68"/>
      <c r="D21" s="68"/>
      <c r="I21" s="89">
        <f>ABCD!J70</f>
        <v>4.25</v>
      </c>
      <c r="J21" s="89">
        <f>ABCD!K70</f>
        <v>13.94</v>
      </c>
      <c r="K21" s="89">
        <f>ABCD!L70</f>
        <v>0.15137620112511418</v>
      </c>
      <c r="L21" s="89">
        <f>ABCD!M70</f>
        <v>-3.6626977623073653E-2</v>
      </c>
      <c r="M21" s="89">
        <f>ABCD!N70</f>
        <v>0.15574430890684948</v>
      </c>
      <c r="N21" s="89" t="e">
        <v>#REF!</v>
      </c>
      <c r="O21" s="89" t="e">
        <v>#REF!</v>
      </c>
      <c r="P21" s="89" t="e">
        <v>#REF!</v>
      </c>
      <c r="Q21" s="89" t="e">
        <v>#REF!</v>
      </c>
      <c r="R21" s="89" t="e">
        <v>#REF!</v>
      </c>
      <c r="S21" s="89" t="e">
        <f>#REF!</f>
        <v>#REF!</v>
      </c>
      <c r="T21" s="89" t="e">
        <f>#REF!</f>
        <v>#REF!</v>
      </c>
      <c r="U21" s="89" t="e">
        <f>#REF!</f>
        <v>#REF!</v>
      </c>
      <c r="V21" s="89" t="e">
        <f>#REF!</f>
        <v>#REF!</v>
      </c>
      <c r="W21" s="89" t="e">
        <f>#REF!</f>
        <v>#REF!</v>
      </c>
      <c r="X21" s="89" t="e">
        <f>#REF!</f>
        <v>#REF!</v>
      </c>
      <c r="Y21" s="89" t="e">
        <f>#REF!</f>
        <v>#REF!</v>
      </c>
      <c r="Z21" s="89" t="e">
        <f>#REF!</f>
        <v>#REF!</v>
      </c>
      <c r="AA21" s="89" t="e">
        <f>#REF!</f>
        <v>#REF!</v>
      </c>
      <c r="AB21" s="89" t="e">
        <f>#REF!</f>
        <v>#REF!</v>
      </c>
      <c r="AC21" s="89" t="e">
        <f>#REF!</f>
        <v>#REF!</v>
      </c>
      <c r="AD21" s="89" t="e">
        <f>#REF!</f>
        <v>#REF!</v>
      </c>
      <c r="AE21" s="89" t="e">
        <f>#REF!</f>
        <v>#REF!</v>
      </c>
      <c r="AF21" s="89" t="e">
        <f>#REF!</f>
        <v>#REF!</v>
      </c>
      <c r="AG21" s="89" t="e">
        <f>#REF!</f>
        <v>#REF!</v>
      </c>
      <c r="AH21" s="89" t="e">
        <f>#REF!</f>
        <v>#REF!</v>
      </c>
      <c r="AI21" s="89" t="e">
        <f>#REF!</f>
        <v>#REF!</v>
      </c>
      <c r="AJ21" s="89" t="e">
        <f>#REF!</f>
        <v>#REF!</v>
      </c>
      <c r="AK21" s="89" t="e">
        <f>#REF!</f>
        <v>#REF!</v>
      </c>
      <c r="AL21" s="89" t="e">
        <f>#REF!</f>
        <v>#REF!</v>
      </c>
      <c r="AM21" s="89" t="e">
        <f>#REF!</f>
        <v>#REF!</v>
      </c>
      <c r="AN21" s="89" t="e">
        <f>#REF!</f>
        <v>#REF!</v>
      </c>
      <c r="AO21" s="89" t="e">
        <f>#REF!</f>
        <v>#REF!</v>
      </c>
      <c r="AP21" s="89" t="e">
        <f>#REF!</f>
        <v>#REF!</v>
      </c>
      <c r="AQ21" s="89" t="e">
        <f>#REF!</f>
        <v>#REF!</v>
      </c>
      <c r="AR21" s="89" t="e">
        <f>#REF!</f>
        <v>#REF!</v>
      </c>
      <c r="AS21" s="89" t="e">
        <f>#REF!</f>
        <v>#REF!</v>
      </c>
      <c r="AT21" s="89" t="e">
        <f>#REF!</f>
        <v>#REF!</v>
      </c>
      <c r="AU21" s="89" t="e">
        <f>#REF!</f>
        <v>#REF!</v>
      </c>
      <c r="AV21" s="89" t="e">
        <f>#REF!</f>
        <v>#REF!</v>
      </c>
      <c r="AW21" s="89" t="e">
        <f>#REF!</f>
        <v>#REF!</v>
      </c>
      <c r="AX21" s="89" t="e">
        <f>#REF!</f>
        <v>#REF!</v>
      </c>
      <c r="AY21" s="89" t="e">
        <f>#REF!</f>
        <v>#REF!</v>
      </c>
      <c r="AZ21" s="89" t="e">
        <f>#REF!</f>
        <v>#REF!</v>
      </c>
      <c r="BA21" s="89" t="e">
        <f>#REF!</f>
        <v>#REF!</v>
      </c>
      <c r="BB21" s="89" t="e">
        <f>#REF!</f>
        <v>#REF!</v>
      </c>
      <c r="BC21" s="89" t="e">
        <f>#REF!</f>
        <v>#REF!</v>
      </c>
      <c r="BD21" s="89" t="e">
        <f>#REF!</f>
        <v>#REF!</v>
      </c>
      <c r="BE21" s="89" t="e">
        <f>#REF!</f>
        <v>#REF!</v>
      </c>
      <c r="BF21" s="89" t="e">
        <f>#REF!</f>
        <v>#REF!</v>
      </c>
    </row>
    <row r="22" spans="2:58" x14ac:dyDescent="0.25">
      <c r="C22" s="68"/>
      <c r="D22" s="68"/>
      <c r="I22" s="89">
        <f>ABCD!J71</f>
        <v>4.5</v>
      </c>
      <c r="J22" s="89">
        <f>ABCD!K71</f>
        <v>14.76</v>
      </c>
      <c r="K22" s="89">
        <f>ABCD!L71</f>
        <v>0.25725764490330238</v>
      </c>
      <c r="L22" s="89">
        <f>ABCD!M71</f>
        <v>-1.7298853421083393E-2</v>
      </c>
      <c r="M22" s="89">
        <f>ABCD!N71</f>
        <v>0.25783860492734162</v>
      </c>
      <c r="N22" s="89" t="e">
        <v>#REF!</v>
      </c>
      <c r="O22" s="89" t="e">
        <v>#REF!</v>
      </c>
      <c r="P22" s="89" t="e">
        <v>#REF!</v>
      </c>
      <c r="Q22" s="89" t="e">
        <v>#REF!</v>
      </c>
      <c r="R22" s="89" t="e">
        <v>#REF!</v>
      </c>
      <c r="S22" s="89" t="e">
        <f>#REF!</f>
        <v>#REF!</v>
      </c>
      <c r="T22" s="89" t="e">
        <f>#REF!</f>
        <v>#REF!</v>
      </c>
      <c r="U22" s="89" t="e">
        <f>#REF!</f>
        <v>#REF!</v>
      </c>
      <c r="V22" s="89" t="e">
        <f>#REF!</f>
        <v>#REF!</v>
      </c>
      <c r="W22" s="89" t="e">
        <f>#REF!</f>
        <v>#REF!</v>
      </c>
      <c r="X22" s="89" t="e">
        <f>#REF!</f>
        <v>#REF!</v>
      </c>
      <c r="Y22" s="89" t="e">
        <f>#REF!</f>
        <v>#REF!</v>
      </c>
      <c r="Z22" s="89" t="e">
        <f>#REF!</f>
        <v>#REF!</v>
      </c>
      <c r="AA22" s="89" t="e">
        <f>#REF!</f>
        <v>#REF!</v>
      </c>
      <c r="AB22" s="89" t="e">
        <f>#REF!</f>
        <v>#REF!</v>
      </c>
      <c r="AC22" s="89" t="e">
        <f>#REF!</f>
        <v>#REF!</v>
      </c>
      <c r="AD22" s="89" t="e">
        <f>#REF!</f>
        <v>#REF!</v>
      </c>
      <c r="AE22" s="89" t="e">
        <f>#REF!</f>
        <v>#REF!</v>
      </c>
      <c r="AF22" s="89" t="e">
        <f>#REF!</f>
        <v>#REF!</v>
      </c>
      <c r="AG22" s="89" t="e">
        <f>#REF!</f>
        <v>#REF!</v>
      </c>
      <c r="AH22" s="89" t="e">
        <f>#REF!</f>
        <v>#REF!</v>
      </c>
      <c r="AI22" s="89" t="e">
        <f>#REF!</f>
        <v>#REF!</v>
      </c>
      <c r="AJ22" s="89" t="e">
        <f>#REF!</f>
        <v>#REF!</v>
      </c>
      <c r="AK22" s="89" t="e">
        <f>#REF!</f>
        <v>#REF!</v>
      </c>
      <c r="AL22" s="89" t="e">
        <f>#REF!</f>
        <v>#REF!</v>
      </c>
      <c r="AM22" s="89" t="e">
        <f>#REF!</f>
        <v>#REF!</v>
      </c>
      <c r="AN22" s="89" t="e">
        <f>#REF!</f>
        <v>#REF!</v>
      </c>
      <c r="AO22" s="89" t="e">
        <f>#REF!</f>
        <v>#REF!</v>
      </c>
      <c r="AP22" s="89" t="e">
        <f>#REF!</f>
        <v>#REF!</v>
      </c>
      <c r="AQ22" s="89" t="e">
        <f>#REF!</f>
        <v>#REF!</v>
      </c>
      <c r="AR22" s="89" t="e">
        <f>#REF!</f>
        <v>#REF!</v>
      </c>
      <c r="AS22" s="89" t="e">
        <f>#REF!</f>
        <v>#REF!</v>
      </c>
      <c r="AT22" s="89" t="e">
        <f>#REF!</f>
        <v>#REF!</v>
      </c>
      <c r="AU22" s="89" t="e">
        <f>#REF!</f>
        <v>#REF!</v>
      </c>
      <c r="AV22" s="89" t="e">
        <f>#REF!</f>
        <v>#REF!</v>
      </c>
      <c r="AW22" s="89" t="e">
        <f>#REF!</f>
        <v>#REF!</v>
      </c>
      <c r="AX22" s="89" t="e">
        <f>#REF!</f>
        <v>#REF!</v>
      </c>
      <c r="AY22" s="89" t="e">
        <f>#REF!</f>
        <v>#REF!</v>
      </c>
      <c r="AZ22" s="89" t="e">
        <f>#REF!</f>
        <v>#REF!</v>
      </c>
      <c r="BA22" s="89" t="e">
        <f>#REF!</f>
        <v>#REF!</v>
      </c>
      <c r="BB22" s="89" t="e">
        <f>#REF!</f>
        <v>#REF!</v>
      </c>
      <c r="BC22" s="89" t="e">
        <f>#REF!</f>
        <v>#REF!</v>
      </c>
      <c r="BD22" s="89" t="e">
        <f>#REF!</f>
        <v>#REF!</v>
      </c>
      <c r="BE22" s="89" t="e">
        <f>#REF!</f>
        <v>#REF!</v>
      </c>
      <c r="BF22" s="89" t="e">
        <f>#REF!</f>
        <v>#REF!</v>
      </c>
    </row>
    <row r="23" spans="2:58" x14ac:dyDescent="0.25">
      <c r="C23" s="68"/>
      <c r="D23" s="68"/>
      <c r="I23" s="89">
        <f>ABCD!J72</f>
        <v>4.75</v>
      </c>
      <c r="J23" s="89">
        <f>ABCD!K72</f>
        <v>15.579999999999998</v>
      </c>
      <c r="K23" s="89">
        <f>ABCD!L72</f>
        <v>0.36298445261975393</v>
      </c>
      <c r="L23" s="89">
        <f>ABCD!M72</f>
        <v>2.015876580597098E-3</v>
      </c>
      <c r="M23" s="89">
        <f>ABCD!N72</f>
        <v>0.36299005027968823</v>
      </c>
      <c r="N23" s="89" t="e">
        <v>#REF!</v>
      </c>
      <c r="O23" s="89" t="e">
        <v>#REF!</v>
      </c>
      <c r="P23" s="89" t="e">
        <v>#REF!</v>
      </c>
      <c r="Q23" s="89" t="e">
        <v>#REF!</v>
      </c>
      <c r="R23" s="89" t="e">
        <v>#REF!</v>
      </c>
      <c r="S23" s="89" t="e">
        <f>#REF!</f>
        <v>#REF!</v>
      </c>
      <c r="T23" s="89" t="e">
        <f>#REF!</f>
        <v>#REF!</v>
      </c>
      <c r="U23" s="89" t="e">
        <f>#REF!</f>
        <v>#REF!</v>
      </c>
      <c r="V23" s="89" t="e">
        <f>#REF!</f>
        <v>#REF!</v>
      </c>
      <c r="W23" s="89" t="e">
        <f>#REF!</f>
        <v>#REF!</v>
      </c>
      <c r="X23" s="89" t="e">
        <f>#REF!</f>
        <v>#REF!</v>
      </c>
      <c r="Y23" s="89" t="e">
        <f>#REF!</f>
        <v>#REF!</v>
      </c>
      <c r="Z23" s="89" t="e">
        <f>#REF!</f>
        <v>#REF!</v>
      </c>
      <c r="AA23" s="89" t="e">
        <f>#REF!</f>
        <v>#REF!</v>
      </c>
      <c r="AB23" s="89" t="e">
        <f>#REF!</f>
        <v>#REF!</v>
      </c>
      <c r="AC23" s="89" t="e">
        <f>#REF!</f>
        <v>#REF!</v>
      </c>
      <c r="AD23" s="89" t="e">
        <f>#REF!</f>
        <v>#REF!</v>
      </c>
      <c r="AE23" s="89" t="e">
        <f>#REF!</f>
        <v>#REF!</v>
      </c>
      <c r="AF23" s="89" t="e">
        <f>#REF!</f>
        <v>#REF!</v>
      </c>
      <c r="AG23" s="89" t="e">
        <f>#REF!</f>
        <v>#REF!</v>
      </c>
      <c r="AH23" s="89" t="e">
        <f>#REF!</f>
        <v>#REF!</v>
      </c>
      <c r="AI23" s="89" t="e">
        <f>#REF!</f>
        <v>#REF!</v>
      </c>
      <c r="AJ23" s="89" t="e">
        <f>#REF!</f>
        <v>#REF!</v>
      </c>
      <c r="AK23" s="89" t="e">
        <f>#REF!</f>
        <v>#REF!</v>
      </c>
      <c r="AL23" s="89" t="e">
        <f>#REF!</f>
        <v>#REF!</v>
      </c>
      <c r="AM23" s="89" t="e">
        <f>#REF!</f>
        <v>#REF!</v>
      </c>
      <c r="AN23" s="89" t="e">
        <f>#REF!</f>
        <v>#REF!</v>
      </c>
      <c r="AO23" s="89" t="e">
        <f>#REF!</f>
        <v>#REF!</v>
      </c>
      <c r="AP23" s="89" t="e">
        <f>#REF!</f>
        <v>#REF!</v>
      </c>
      <c r="AQ23" s="89" t="e">
        <f>#REF!</f>
        <v>#REF!</v>
      </c>
      <c r="AR23" s="89" t="e">
        <f>#REF!</f>
        <v>#REF!</v>
      </c>
      <c r="AS23" s="89" t="e">
        <f>#REF!</f>
        <v>#REF!</v>
      </c>
      <c r="AT23" s="89" t="e">
        <f>#REF!</f>
        <v>#REF!</v>
      </c>
      <c r="AU23" s="89" t="e">
        <f>#REF!</f>
        <v>#REF!</v>
      </c>
      <c r="AV23" s="89" t="e">
        <f>#REF!</f>
        <v>#REF!</v>
      </c>
      <c r="AW23" s="89" t="e">
        <f>#REF!</f>
        <v>#REF!</v>
      </c>
      <c r="AX23" s="89" t="e">
        <f>#REF!</f>
        <v>#REF!</v>
      </c>
      <c r="AY23" s="89" t="e">
        <f>#REF!</f>
        <v>#REF!</v>
      </c>
      <c r="AZ23" s="89" t="e">
        <f>#REF!</f>
        <v>#REF!</v>
      </c>
      <c r="BA23" s="89" t="e">
        <f>#REF!</f>
        <v>#REF!</v>
      </c>
      <c r="BB23" s="89" t="e">
        <f>#REF!</f>
        <v>#REF!</v>
      </c>
      <c r="BC23" s="89" t="e">
        <f>#REF!</f>
        <v>#REF!</v>
      </c>
      <c r="BD23" s="89" t="e">
        <f>#REF!</f>
        <v>#REF!</v>
      </c>
      <c r="BE23" s="89" t="e">
        <f>#REF!</f>
        <v>#REF!</v>
      </c>
      <c r="BF23" s="89" t="e">
        <f>#REF!</f>
        <v>#REF!</v>
      </c>
    </row>
    <row r="24" spans="2:58" x14ac:dyDescent="0.25">
      <c r="C24" s="68"/>
      <c r="D24" s="68"/>
      <c r="I24" s="89">
        <f>ABCD!J73</f>
        <v>5</v>
      </c>
      <c r="J24" s="89">
        <f>ABCD!K73</f>
        <v>16.399999999999999</v>
      </c>
      <c r="K24" s="89">
        <f>ABCD!L73</f>
        <v>0.46853235729429871</v>
      </c>
      <c r="L24" s="89">
        <f>ABCD!M73</f>
        <v>2.1312765798277677E-2</v>
      </c>
      <c r="M24" s="89">
        <f>ABCD!N73</f>
        <v>0.46901684811712752</v>
      </c>
      <c r="N24" s="89" t="e">
        <v>#REF!</v>
      </c>
      <c r="O24" s="89" t="e">
        <v>#REF!</v>
      </c>
      <c r="P24" s="89" t="e">
        <v>#REF!</v>
      </c>
      <c r="Q24" s="89" t="e">
        <v>#REF!</v>
      </c>
      <c r="R24" s="89" t="e">
        <v>#REF!</v>
      </c>
      <c r="S24" s="89" t="e">
        <f>#REF!</f>
        <v>#REF!</v>
      </c>
      <c r="T24" s="89" t="e">
        <f>#REF!</f>
        <v>#REF!</v>
      </c>
      <c r="U24" s="89" t="e">
        <f>#REF!</f>
        <v>#REF!</v>
      </c>
      <c r="V24" s="89" t="e">
        <f>#REF!</f>
        <v>#REF!</v>
      </c>
      <c r="W24" s="89" t="e">
        <f>#REF!</f>
        <v>#REF!</v>
      </c>
      <c r="X24" s="89" t="e">
        <f>#REF!</f>
        <v>#REF!</v>
      </c>
      <c r="Y24" s="89" t="e">
        <f>#REF!</f>
        <v>#REF!</v>
      </c>
      <c r="Z24" s="89" t="e">
        <f>#REF!</f>
        <v>#REF!</v>
      </c>
      <c r="AA24" s="89" t="e">
        <f>#REF!</f>
        <v>#REF!</v>
      </c>
      <c r="AB24" s="89" t="e">
        <f>#REF!</f>
        <v>#REF!</v>
      </c>
      <c r="AC24" s="89" t="e">
        <f>#REF!</f>
        <v>#REF!</v>
      </c>
      <c r="AD24" s="89" t="e">
        <f>#REF!</f>
        <v>#REF!</v>
      </c>
      <c r="AE24" s="89" t="e">
        <f>#REF!</f>
        <v>#REF!</v>
      </c>
      <c r="AF24" s="89" t="e">
        <f>#REF!</f>
        <v>#REF!</v>
      </c>
      <c r="AG24" s="89" t="e">
        <f>#REF!</f>
        <v>#REF!</v>
      </c>
      <c r="AH24" s="89" t="e">
        <f>#REF!</f>
        <v>#REF!</v>
      </c>
      <c r="AI24" s="89" t="e">
        <f>#REF!</f>
        <v>#REF!</v>
      </c>
      <c r="AJ24" s="89" t="e">
        <f>#REF!</f>
        <v>#REF!</v>
      </c>
      <c r="AK24" s="89" t="e">
        <f>#REF!</f>
        <v>#REF!</v>
      </c>
      <c r="AL24" s="89" t="e">
        <f>#REF!</f>
        <v>#REF!</v>
      </c>
      <c r="AM24" s="89" t="e">
        <f>#REF!</f>
        <v>#REF!</v>
      </c>
      <c r="AN24" s="89" t="e">
        <f>#REF!</f>
        <v>#REF!</v>
      </c>
      <c r="AO24" s="89" t="e">
        <f>#REF!</f>
        <v>#REF!</v>
      </c>
      <c r="AP24" s="89" t="e">
        <f>#REF!</f>
        <v>#REF!</v>
      </c>
      <c r="AQ24" s="89" t="e">
        <f>#REF!</f>
        <v>#REF!</v>
      </c>
      <c r="AR24" s="89" t="e">
        <f>#REF!</f>
        <v>#REF!</v>
      </c>
      <c r="AS24" s="89" t="e">
        <f>#REF!</f>
        <v>#REF!</v>
      </c>
      <c r="AT24" s="89" t="e">
        <f>#REF!</f>
        <v>#REF!</v>
      </c>
      <c r="AU24" s="89" t="e">
        <f>#REF!</f>
        <v>#REF!</v>
      </c>
      <c r="AV24" s="89" t="e">
        <f>#REF!</f>
        <v>#REF!</v>
      </c>
      <c r="AW24" s="89" t="e">
        <f>#REF!</f>
        <v>#REF!</v>
      </c>
      <c r="AX24" s="89" t="e">
        <f>#REF!</f>
        <v>#REF!</v>
      </c>
      <c r="AY24" s="89" t="e">
        <f>#REF!</f>
        <v>#REF!</v>
      </c>
      <c r="AZ24" s="89" t="e">
        <f>#REF!</f>
        <v>#REF!</v>
      </c>
      <c r="BA24" s="89" t="e">
        <f>#REF!</f>
        <v>#REF!</v>
      </c>
      <c r="BB24" s="89" t="e">
        <f>#REF!</f>
        <v>#REF!</v>
      </c>
      <c r="BC24" s="89" t="e">
        <f>#REF!</f>
        <v>#REF!</v>
      </c>
      <c r="BD24" s="89" t="e">
        <f>#REF!</f>
        <v>#REF!</v>
      </c>
      <c r="BE24" s="89" t="e">
        <f>#REF!</f>
        <v>#REF!</v>
      </c>
      <c r="BF24" s="89" t="e">
        <f>#REF!</f>
        <v>#REF!</v>
      </c>
    </row>
    <row r="25" spans="2:58" x14ac:dyDescent="0.25">
      <c r="D25" s="68"/>
      <c r="I25" s="89">
        <f>ABCD!J74</f>
        <v>5.25</v>
      </c>
      <c r="J25" s="89">
        <f>ABCD!K74</f>
        <v>17.22</v>
      </c>
      <c r="K25" s="89">
        <f>ABCD!L74</f>
        <v>0.57387715507539483</v>
      </c>
      <c r="L25" s="89">
        <f>ABCD!M74</f>
        <v>4.0587375766778067E-2</v>
      </c>
      <c r="M25" s="89">
        <f>ABCD!N74</f>
        <v>0.57531063277942507</v>
      </c>
      <c r="N25" s="89" t="e">
        <v>#REF!</v>
      </c>
      <c r="O25" s="89" t="e">
        <v>#REF!</v>
      </c>
      <c r="P25" s="89" t="e">
        <v>#REF!</v>
      </c>
      <c r="Q25" s="89" t="e">
        <v>#REF!</v>
      </c>
      <c r="R25" s="89" t="e">
        <v>#REF!</v>
      </c>
      <c r="S25" s="89" t="e">
        <f>#REF!</f>
        <v>#REF!</v>
      </c>
      <c r="T25" s="89" t="e">
        <f>#REF!</f>
        <v>#REF!</v>
      </c>
      <c r="U25" s="89" t="e">
        <f>#REF!</f>
        <v>#REF!</v>
      </c>
      <c r="V25" s="89" t="e">
        <f>#REF!</f>
        <v>#REF!</v>
      </c>
      <c r="W25" s="89" t="e">
        <f>#REF!</f>
        <v>#REF!</v>
      </c>
      <c r="X25" s="89" t="e">
        <f>#REF!</f>
        <v>#REF!</v>
      </c>
      <c r="Y25" s="89" t="e">
        <f>#REF!</f>
        <v>#REF!</v>
      </c>
      <c r="Z25" s="89" t="e">
        <f>#REF!</f>
        <v>#REF!</v>
      </c>
      <c r="AA25" s="89" t="e">
        <f>#REF!</f>
        <v>#REF!</v>
      </c>
      <c r="AB25" s="89" t="e">
        <f>#REF!</f>
        <v>#REF!</v>
      </c>
      <c r="AC25" s="89" t="e">
        <f>#REF!</f>
        <v>#REF!</v>
      </c>
      <c r="AD25" s="89" t="e">
        <f>#REF!</f>
        <v>#REF!</v>
      </c>
      <c r="AE25" s="89" t="e">
        <f>#REF!</f>
        <v>#REF!</v>
      </c>
      <c r="AF25" s="89" t="e">
        <f>#REF!</f>
        <v>#REF!</v>
      </c>
      <c r="AG25" s="89" t="e">
        <f>#REF!</f>
        <v>#REF!</v>
      </c>
      <c r="AH25" s="89" t="e">
        <f>#REF!</f>
        <v>#REF!</v>
      </c>
      <c r="AI25" s="89" t="e">
        <f>#REF!</f>
        <v>#REF!</v>
      </c>
      <c r="AJ25" s="89" t="e">
        <f>#REF!</f>
        <v>#REF!</v>
      </c>
      <c r="AK25" s="89" t="e">
        <f>#REF!</f>
        <v>#REF!</v>
      </c>
      <c r="AL25" s="89" t="e">
        <f>#REF!</f>
        <v>#REF!</v>
      </c>
      <c r="AM25" s="89" t="e">
        <f>#REF!</f>
        <v>#REF!</v>
      </c>
      <c r="AN25" s="89" t="e">
        <f>#REF!</f>
        <v>#REF!</v>
      </c>
      <c r="AO25" s="89" t="e">
        <f>#REF!</f>
        <v>#REF!</v>
      </c>
      <c r="AP25" s="89" t="e">
        <f>#REF!</f>
        <v>#REF!</v>
      </c>
      <c r="AQ25" s="89" t="e">
        <f>#REF!</f>
        <v>#REF!</v>
      </c>
      <c r="AR25" s="89" t="e">
        <f>#REF!</f>
        <v>#REF!</v>
      </c>
      <c r="AS25" s="89" t="e">
        <f>#REF!</f>
        <v>#REF!</v>
      </c>
      <c r="AT25" s="89" t="e">
        <f>#REF!</f>
        <v>#REF!</v>
      </c>
      <c r="AU25" s="89" t="e">
        <f>#REF!</f>
        <v>#REF!</v>
      </c>
      <c r="AV25" s="89" t="e">
        <f>#REF!</f>
        <v>#REF!</v>
      </c>
      <c r="AW25" s="89" t="e">
        <f>#REF!</f>
        <v>#REF!</v>
      </c>
      <c r="AX25" s="89" t="e">
        <f>#REF!</f>
        <v>#REF!</v>
      </c>
      <c r="AY25" s="89" t="e">
        <f>#REF!</f>
        <v>#REF!</v>
      </c>
      <c r="AZ25" s="89" t="e">
        <f>#REF!</f>
        <v>#REF!</v>
      </c>
      <c r="BA25" s="89" t="e">
        <f>#REF!</f>
        <v>#REF!</v>
      </c>
      <c r="BB25" s="89" t="e">
        <f>#REF!</f>
        <v>#REF!</v>
      </c>
      <c r="BC25" s="89" t="e">
        <f>#REF!</f>
        <v>#REF!</v>
      </c>
      <c r="BD25" s="89" t="e">
        <f>#REF!</f>
        <v>#REF!</v>
      </c>
      <c r="BE25" s="89" t="e">
        <f>#REF!</f>
        <v>#REF!</v>
      </c>
      <c r="BF25" s="89" t="e">
        <f>#REF!</f>
        <v>#REF!</v>
      </c>
    </row>
    <row r="26" spans="2:58" x14ac:dyDescent="0.25">
      <c r="D26" s="68"/>
      <c r="I26" s="89">
        <f>ABCD!J75</f>
        <v>5.5</v>
      </c>
      <c r="J26" s="89">
        <f>ABCD!K75</f>
        <v>18.04</v>
      </c>
      <c r="K26" s="89">
        <f>ABCD!L75</f>
        <v>0.67899471077058393</v>
      </c>
      <c r="L26" s="89">
        <f>ABCD!M75</f>
        <v>5.9835277156703004E-2</v>
      </c>
      <c r="M26" s="89">
        <f>ABCD!N75</f>
        <v>0.68162605411387289</v>
      </c>
      <c r="N26" s="89" t="e">
        <v>#REF!</v>
      </c>
      <c r="O26" s="89" t="e">
        <v>#REF!</v>
      </c>
      <c r="P26" s="89" t="e">
        <v>#REF!</v>
      </c>
      <c r="Q26" s="89" t="e">
        <v>#REF!</v>
      </c>
      <c r="R26" s="89" t="e">
        <v>#REF!</v>
      </c>
      <c r="S26" s="89" t="e">
        <f>#REF!</f>
        <v>#REF!</v>
      </c>
      <c r="T26" s="89" t="e">
        <f>#REF!</f>
        <v>#REF!</v>
      </c>
      <c r="U26" s="89" t="e">
        <f>#REF!</f>
        <v>#REF!</v>
      </c>
      <c r="V26" s="89" t="e">
        <f>#REF!</f>
        <v>#REF!</v>
      </c>
      <c r="W26" s="89" t="e">
        <f>#REF!</f>
        <v>#REF!</v>
      </c>
      <c r="X26" s="89" t="e">
        <f>#REF!</f>
        <v>#REF!</v>
      </c>
      <c r="Y26" s="89" t="e">
        <f>#REF!</f>
        <v>#REF!</v>
      </c>
      <c r="Z26" s="89" t="e">
        <f>#REF!</f>
        <v>#REF!</v>
      </c>
      <c r="AA26" s="89" t="e">
        <f>#REF!</f>
        <v>#REF!</v>
      </c>
      <c r="AB26" s="89" t="e">
        <f>#REF!</f>
        <v>#REF!</v>
      </c>
      <c r="AC26" s="89" t="e">
        <f>#REF!</f>
        <v>#REF!</v>
      </c>
      <c r="AD26" s="89" t="e">
        <f>#REF!</f>
        <v>#REF!</v>
      </c>
      <c r="AE26" s="89" t="e">
        <f>#REF!</f>
        <v>#REF!</v>
      </c>
      <c r="AF26" s="89" t="e">
        <f>#REF!</f>
        <v>#REF!</v>
      </c>
      <c r="AG26" s="89" t="e">
        <f>#REF!</f>
        <v>#REF!</v>
      </c>
      <c r="AH26" s="89" t="e">
        <f>#REF!</f>
        <v>#REF!</v>
      </c>
      <c r="AI26" s="89" t="e">
        <f>#REF!</f>
        <v>#REF!</v>
      </c>
      <c r="AJ26" s="89" t="e">
        <f>#REF!</f>
        <v>#REF!</v>
      </c>
      <c r="AK26" s="89" t="e">
        <f>#REF!</f>
        <v>#REF!</v>
      </c>
      <c r="AL26" s="89" t="e">
        <f>#REF!</f>
        <v>#REF!</v>
      </c>
      <c r="AM26" s="89" t="e">
        <f>#REF!</f>
        <v>#REF!</v>
      </c>
      <c r="AN26" s="89" t="e">
        <f>#REF!</f>
        <v>#REF!</v>
      </c>
      <c r="AO26" s="89" t="e">
        <f>#REF!</f>
        <v>#REF!</v>
      </c>
      <c r="AP26" s="89" t="e">
        <f>#REF!</f>
        <v>#REF!</v>
      </c>
      <c r="AQ26" s="89" t="e">
        <f>#REF!</f>
        <v>#REF!</v>
      </c>
      <c r="AR26" s="89" t="e">
        <f>#REF!</f>
        <v>#REF!</v>
      </c>
      <c r="AS26" s="89" t="e">
        <f>#REF!</f>
        <v>#REF!</v>
      </c>
      <c r="AT26" s="89" t="e">
        <f>#REF!</f>
        <v>#REF!</v>
      </c>
      <c r="AU26" s="89" t="e">
        <f>#REF!</f>
        <v>#REF!</v>
      </c>
      <c r="AV26" s="89" t="e">
        <f>#REF!</f>
        <v>#REF!</v>
      </c>
      <c r="AW26" s="89" t="e">
        <f>#REF!</f>
        <v>#REF!</v>
      </c>
      <c r="AX26" s="89" t="e">
        <f>#REF!</f>
        <v>#REF!</v>
      </c>
      <c r="AY26" s="89" t="e">
        <f>#REF!</f>
        <v>#REF!</v>
      </c>
      <c r="AZ26" s="89" t="e">
        <f>#REF!</f>
        <v>#REF!</v>
      </c>
      <c r="BA26" s="89" t="e">
        <f>#REF!</f>
        <v>#REF!</v>
      </c>
      <c r="BB26" s="89" t="e">
        <f>#REF!</f>
        <v>#REF!</v>
      </c>
      <c r="BC26" s="89" t="e">
        <f>#REF!</f>
        <v>#REF!</v>
      </c>
      <c r="BD26" s="89" t="e">
        <f>#REF!</f>
        <v>#REF!</v>
      </c>
      <c r="BE26" s="89" t="e">
        <f>#REF!</f>
        <v>#REF!</v>
      </c>
      <c r="BF26" s="89" t="e">
        <f>#REF!</f>
        <v>#REF!</v>
      </c>
    </row>
    <row r="27" spans="2:58" x14ac:dyDescent="0.25">
      <c r="D27" s="68"/>
      <c r="I27" s="89">
        <f>ABCD!J76</f>
        <v>5.75</v>
      </c>
      <c r="J27" s="89">
        <f>ABCD!K76</f>
        <v>18.86</v>
      </c>
      <c r="K27" s="89">
        <f>ABCD!L76</f>
        <v>0.78386096335611288</v>
      </c>
      <c r="L27" s="89">
        <f>ABCD!M76</f>
        <v>7.9052050788699368E-2</v>
      </c>
      <c r="M27" s="89">
        <f>ABCD!N76</f>
        <v>0.78783706222002048</v>
      </c>
      <c r="N27" s="89" t="e">
        <v>#REF!</v>
      </c>
      <c r="O27" s="89" t="e">
        <v>#REF!</v>
      </c>
      <c r="P27" s="89" t="e">
        <v>#REF!</v>
      </c>
      <c r="Q27" s="89" t="e">
        <v>#REF!</v>
      </c>
      <c r="R27" s="89" t="e">
        <v>#REF!</v>
      </c>
      <c r="S27" s="89" t="e">
        <f>#REF!</f>
        <v>#REF!</v>
      </c>
      <c r="T27" s="89" t="e">
        <f>#REF!</f>
        <v>#REF!</v>
      </c>
      <c r="U27" s="89" t="e">
        <f>#REF!</f>
        <v>#REF!</v>
      </c>
      <c r="V27" s="89" t="e">
        <f>#REF!</f>
        <v>#REF!</v>
      </c>
      <c r="W27" s="89" t="e">
        <f>#REF!</f>
        <v>#REF!</v>
      </c>
      <c r="X27" s="89" t="e">
        <f>#REF!</f>
        <v>#REF!</v>
      </c>
      <c r="Y27" s="89" t="e">
        <f>#REF!</f>
        <v>#REF!</v>
      </c>
      <c r="Z27" s="89" t="e">
        <f>#REF!</f>
        <v>#REF!</v>
      </c>
      <c r="AA27" s="89" t="e">
        <f>#REF!</f>
        <v>#REF!</v>
      </c>
      <c r="AB27" s="89" t="e">
        <f>#REF!</f>
        <v>#REF!</v>
      </c>
      <c r="AC27" s="89" t="e">
        <f>#REF!</f>
        <v>#REF!</v>
      </c>
      <c r="AD27" s="89" t="e">
        <f>#REF!</f>
        <v>#REF!</v>
      </c>
      <c r="AE27" s="89" t="e">
        <f>#REF!</f>
        <v>#REF!</v>
      </c>
      <c r="AF27" s="89" t="e">
        <f>#REF!</f>
        <v>#REF!</v>
      </c>
      <c r="AG27" s="89" t="e">
        <f>#REF!</f>
        <v>#REF!</v>
      </c>
      <c r="AH27" s="89" t="e">
        <f>#REF!</f>
        <v>#REF!</v>
      </c>
      <c r="AI27" s="89" t="e">
        <f>#REF!</f>
        <v>#REF!</v>
      </c>
      <c r="AJ27" s="89" t="e">
        <f>#REF!</f>
        <v>#REF!</v>
      </c>
      <c r="AK27" s="89" t="e">
        <f>#REF!</f>
        <v>#REF!</v>
      </c>
      <c r="AL27" s="89" t="e">
        <f>#REF!</f>
        <v>#REF!</v>
      </c>
      <c r="AM27" s="89" t="e">
        <f>#REF!</f>
        <v>#REF!</v>
      </c>
      <c r="AN27" s="89" t="e">
        <f>#REF!</f>
        <v>#REF!</v>
      </c>
      <c r="AO27" s="89" t="e">
        <f>#REF!</f>
        <v>#REF!</v>
      </c>
      <c r="AP27" s="89" t="e">
        <f>#REF!</f>
        <v>#REF!</v>
      </c>
      <c r="AQ27" s="89" t="e">
        <f>#REF!</f>
        <v>#REF!</v>
      </c>
      <c r="AR27" s="89" t="e">
        <f>#REF!</f>
        <v>#REF!</v>
      </c>
      <c r="AS27" s="89" t="e">
        <f>#REF!</f>
        <v>#REF!</v>
      </c>
      <c r="AT27" s="89" t="e">
        <f>#REF!</f>
        <v>#REF!</v>
      </c>
      <c r="AU27" s="89" t="e">
        <f>#REF!</f>
        <v>#REF!</v>
      </c>
      <c r="AV27" s="89" t="e">
        <f>#REF!</f>
        <v>#REF!</v>
      </c>
      <c r="AW27" s="89" t="e">
        <f>#REF!</f>
        <v>#REF!</v>
      </c>
      <c r="AX27" s="89" t="e">
        <f>#REF!</f>
        <v>#REF!</v>
      </c>
      <c r="AY27" s="89" t="e">
        <f>#REF!</f>
        <v>#REF!</v>
      </c>
      <c r="AZ27" s="89" t="e">
        <f>#REF!</f>
        <v>#REF!</v>
      </c>
      <c r="BA27" s="89" t="e">
        <f>#REF!</f>
        <v>#REF!</v>
      </c>
      <c r="BB27" s="89" t="e">
        <f>#REF!</f>
        <v>#REF!</v>
      </c>
      <c r="BC27" s="89" t="e">
        <f>#REF!</f>
        <v>#REF!</v>
      </c>
      <c r="BD27" s="89" t="e">
        <f>#REF!</f>
        <v>#REF!</v>
      </c>
      <c r="BE27" s="89" t="e">
        <f>#REF!</f>
        <v>#REF!</v>
      </c>
      <c r="BF27" s="89" t="e">
        <f>#REF!</f>
        <v>#REF!</v>
      </c>
    </row>
    <row r="28" spans="2:58" x14ac:dyDescent="0.25">
      <c r="D28" s="68"/>
      <c r="I28" s="89">
        <f>ABCD!J77</f>
        <v>6</v>
      </c>
      <c r="J28" s="89">
        <f>ABCD!K77</f>
        <v>19.68</v>
      </c>
      <c r="K28" s="89">
        <f>ABCD!L77</f>
        <v>0.88845193146449397</v>
      </c>
      <c r="L28" s="89">
        <f>ABCD!M77</f>
        <v>9.8233288644452799E-2</v>
      </c>
      <c r="M28" s="89">
        <f>ABCD!N77</f>
        <v>0.89386610491778595</v>
      </c>
      <c r="N28" s="89" t="e">
        <v>#REF!</v>
      </c>
      <c r="O28" s="89" t="e">
        <v>#REF!</v>
      </c>
      <c r="P28" s="89" t="e">
        <v>#REF!</v>
      </c>
      <c r="Q28" s="89" t="e">
        <v>#REF!</v>
      </c>
      <c r="R28" s="89" t="e">
        <v>#REF!</v>
      </c>
      <c r="S28" s="89" t="e">
        <f>#REF!</f>
        <v>#REF!</v>
      </c>
      <c r="T28" s="89" t="e">
        <f>#REF!</f>
        <v>#REF!</v>
      </c>
      <c r="U28" s="89" t="e">
        <f>#REF!</f>
        <v>#REF!</v>
      </c>
      <c r="V28" s="89" t="e">
        <f>#REF!</f>
        <v>#REF!</v>
      </c>
      <c r="W28" s="89" t="e">
        <f>#REF!</f>
        <v>#REF!</v>
      </c>
      <c r="X28" s="89" t="e">
        <f>#REF!</f>
        <v>#REF!</v>
      </c>
      <c r="Y28" s="89" t="e">
        <f>#REF!</f>
        <v>#REF!</v>
      </c>
      <c r="Z28" s="89" t="e">
        <f>#REF!</f>
        <v>#REF!</v>
      </c>
      <c r="AA28" s="89" t="e">
        <f>#REF!</f>
        <v>#REF!</v>
      </c>
      <c r="AB28" s="89" t="e">
        <f>#REF!</f>
        <v>#REF!</v>
      </c>
      <c r="AC28" s="89" t="e">
        <f>#REF!</f>
        <v>#REF!</v>
      </c>
      <c r="AD28" s="89" t="e">
        <f>#REF!</f>
        <v>#REF!</v>
      </c>
      <c r="AE28" s="89" t="e">
        <f>#REF!</f>
        <v>#REF!</v>
      </c>
      <c r="AF28" s="89" t="e">
        <f>#REF!</f>
        <v>#REF!</v>
      </c>
      <c r="AG28" s="89" t="e">
        <f>#REF!</f>
        <v>#REF!</v>
      </c>
      <c r="AH28" s="89" t="e">
        <f>#REF!</f>
        <v>#REF!</v>
      </c>
      <c r="AI28" s="89" t="e">
        <f>#REF!</f>
        <v>#REF!</v>
      </c>
      <c r="AJ28" s="89" t="e">
        <f>#REF!</f>
        <v>#REF!</v>
      </c>
      <c r="AK28" s="89" t="e">
        <f>#REF!</f>
        <v>#REF!</v>
      </c>
      <c r="AL28" s="89" t="e">
        <f>#REF!</f>
        <v>#REF!</v>
      </c>
      <c r="AM28" s="89" t="e">
        <f>#REF!</f>
        <v>#REF!</v>
      </c>
      <c r="AN28" s="89" t="e">
        <f>#REF!</f>
        <v>#REF!</v>
      </c>
      <c r="AO28" s="89" t="e">
        <f>#REF!</f>
        <v>#REF!</v>
      </c>
      <c r="AP28" s="89" t="e">
        <f>#REF!</f>
        <v>#REF!</v>
      </c>
      <c r="AQ28" s="89" t="e">
        <f>#REF!</f>
        <v>#REF!</v>
      </c>
      <c r="AR28" s="89" t="e">
        <f>#REF!</f>
        <v>#REF!</v>
      </c>
      <c r="AS28" s="89" t="e">
        <f>#REF!</f>
        <v>#REF!</v>
      </c>
      <c r="AT28" s="89" t="e">
        <f>#REF!</f>
        <v>#REF!</v>
      </c>
      <c r="AU28" s="89" t="e">
        <f>#REF!</f>
        <v>#REF!</v>
      </c>
      <c r="AV28" s="89" t="e">
        <f>#REF!</f>
        <v>#REF!</v>
      </c>
      <c r="AW28" s="89" t="e">
        <f>#REF!</f>
        <v>#REF!</v>
      </c>
      <c r="AX28" s="89" t="e">
        <f>#REF!</f>
        <v>#REF!</v>
      </c>
      <c r="AY28" s="89" t="e">
        <f>#REF!</f>
        <v>#REF!</v>
      </c>
      <c r="AZ28" s="89" t="e">
        <f>#REF!</f>
        <v>#REF!</v>
      </c>
      <c r="BA28" s="89" t="e">
        <f>#REF!</f>
        <v>#REF!</v>
      </c>
      <c r="BB28" s="89" t="e">
        <f>#REF!</f>
        <v>#REF!</v>
      </c>
      <c r="BC28" s="89" t="e">
        <f>#REF!</f>
        <v>#REF!</v>
      </c>
      <c r="BD28" s="89" t="e">
        <f>#REF!</f>
        <v>#REF!</v>
      </c>
      <c r="BE28" s="89" t="e">
        <f>#REF!</f>
        <v>#REF!</v>
      </c>
      <c r="BF28" s="89" t="e">
        <f>#REF!</f>
        <v>#REF!</v>
      </c>
    </row>
    <row r="29" spans="2:58" x14ac:dyDescent="0.25">
      <c r="D29" s="68"/>
      <c r="I29" s="89">
        <f>ABCD!J78</f>
        <v>6.25</v>
      </c>
      <c r="J29" s="89">
        <f>ABCD!K78</f>
        <v>20.5</v>
      </c>
      <c r="K29" s="89">
        <f>ABCD!L78</f>
        <v>0.99274371884871593</v>
      </c>
      <c r="L29" s="89">
        <f>ABCD!M78</f>
        <v>0.11737459487419599</v>
      </c>
      <c r="M29" s="89">
        <f>ABCD!N78</f>
        <v>0.99965838506734883</v>
      </c>
      <c r="N29" s="89" t="e">
        <v>#REF!</v>
      </c>
      <c r="O29" s="89" t="e">
        <v>#REF!</v>
      </c>
      <c r="P29" s="89" t="e">
        <v>#REF!</v>
      </c>
      <c r="Q29" s="89" t="e">
        <v>#REF!</v>
      </c>
      <c r="R29" s="89" t="e">
        <v>#REF!</v>
      </c>
      <c r="S29" s="89" t="e">
        <f>#REF!</f>
        <v>#REF!</v>
      </c>
      <c r="T29" s="89" t="e">
        <f>#REF!</f>
        <v>#REF!</v>
      </c>
      <c r="U29" s="89" t="e">
        <f>#REF!</f>
        <v>#REF!</v>
      </c>
      <c r="V29" s="89" t="e">
        <f>#REF!</f>
        <v>#REF!</v>
      </c>
      <c r="W29" s="89" t="e">
        <f>#REF!</f>
        <v>#REF!</v>
      </c>
      <c r="X29" s="89" t="e">
        <f>#REF!</f>
        <v>#REF!</v>
      </c>
      <c r="Y29" s="89" t="e">
        <f>#REF!</f>
        <v>#REF!</v>
      </c>
      <c r="Z29" s="89" t="e">
        <f>#REF!</f>
        <v>#REF!</v>
      </c>
      <c r="AA29" s="89" t="e">
        <f>#REF!</f>
        <v>#REF!</v>
      </c>
      <c r="AB29" s="89" t="e">
        <f>#REF!</f>
        <v>#REF!</v>
      </c>
      <c r="AC29" s="89" t="e">
        <f>#REF!</f>
        <v>#REF!</v>
      </c>
      <c r="AD29" s="89" t="e">
        <f>#REF!</f>
        <v>#REF!</v>
      </c>
      <c r="AE29" s="89" t="e">
        <f>#REF!</f>
        <v>#REF!</v>
      </c>
      <c r="AF29" s="89" t="e">
        <f>#REF!</f>
        <v>#REF!</v>
      </c>
      <c r="AG29" s="89" t="e">
        <f>#REF!</f>
        <v>#REF!</v>
      </c>
      <c r="AH29" s="89" t="e">
        <f>#REF!</f>
        <v>#REF!</v>
      </c>
      <c r="AI29" s="89" t="e">
        <f>#REF!</f>
        <v>#REF!</v>
      </c>
      <c r="AJ29" s="89" t="e">
        <f>#REF!</f>
        <v>#REF!</v>
      </c>
      <c r="AK29" s="89" t="e">
        <f>#REF!</f>
        <v>#REF!</v>
      </c>
      <c r="AL29" s="89" t="e">
        <f>#REF!</f>
        <v>#REF!</v>
      </c>
      <c r="AM29" s="89" t="e">
        <f>#REF!</f>
        <v>#REF!</v>
      </c>
      <c r="AN29" s="89" t="e">
        <f>#REF!</f>
        <v>#REF!</v>
      </c>
      <c r="AO29" s="89" t="e">
        <f>#REF!</f>
        <v>#REF!</v>
      </c>
      <c r="AP29" s="89" t="e">
        <f>#REF!</f>
        <v>#REF!</v>
      </c>
      <c r="AQ29" s="89" t="e">
        <f>#REF!</f>
        <v>#REF!</v>
      </c>
      <c r="AR29" s="89" t="e">
        <f>#REF!</f>
        <v>#REF!</v>
      </c>
      <c r="AS29" s="89" t="e">
        <f>#REF!</f>
        <v>#REF!</v>
      </c>
      <c r="AT29" s="89" t="e">
        <f>#REF!</f>
        <v>#REF!</v>
      </c>
      <c r="AU29" s="89" t="e">
        <f>#REF!</f>
        <v>#REF!</v>
      </c>
      <c r="AV29" s="89" t="e">
        <f>#REF!</f>
        <v>#REF!</v>
      </c>
      <c r="AW29" s="89" t="e">
        <f>#REF!</f>
        <v>#REF!</v>
      </c>
      <c r="AX29" s="89" t="e">
        <f>#REF!</f>
        <v>#REF!</v>
      </c>
      <c r="AY29" s="89" t="e">
        <f>#REF!</f>
        <v>#REF!</v>
      </c>
      <c r="AZ29" s="89" t="e">
        <f>#REF!</f>
        <v>#REF!</v>
      </c>
      <c r="BA29" s="89" t="e">
        <f>#REF!</f>
        <v>#REF!</v>
      </c>
      <c r="BB29" s="89" t="e">
        <f>#REF!</f>
        <v>#REF!</v>
      </c>
      <c r="BC29" s="89" t="e">
        <f>#REF!</f>
        <v>#REF!</v>
      </c>
      <c r="BD29" s="89" t="e">
        <f>#REF!</f>
        <v>#REF!</v>
      </c>
      <c r="BE29" s="89" t="e">
        <f>#REF!</f>
        <v>#REF!</v>
      </c>
      <c r="BF29" s="89" t="e">
        <f>#REF!</f>
        <v>#REF!</v>
      </c>
    </row>
    <row r="30" spans="2:58" x14ac:dyDescent="0.25">
      <c r="D30" s="68"/>
      <c r="I30" s="89">
        <f>ABCD!J79</f>
        <v>6.5</v>
      </c>
      <c r="J30" s="89">
        <f>ABCD!K79</f>
        <v>21.32</v>
      </c>
      <c r="K30" s="89">
        <f>ABCD!L79</f>
        <v>1.0967125198219192</v>
      </c>
      <c r="L30" s="89">
        <f>ABCD!M79</f>
        <v>0.13647158680050353</v>
      </c>
      <c r="M30" s="89">
        <f>ABCD!N79</f>
        <v>1.1051709574260404</v>
      </c>
      <c r="N30" s="89" t="e">
        <v>#REF!</v>
      </c>
      <c r="O30" s="89" t="e">
        <v>#REF!</v>
      </c>
      <c r="P30" s="89" t="e">
        <v>#REF!</v>
      </c>
      <c r="Q30" s="89" t="e">
        <v>#REF!</v>
      </c>
      <c r="R30" s="89" t="e">
        <v>#REF!</v>
      </c>
      <c r="S30" s="89" t="e">
        <f>#REF!</f>
        <v>#REF!</v>
      </c>
      <c r="T30" s="89" t="e">
        <f>#REF!</f>
        <v>#REF!</v>
      </c>
      <c r="U30" s="89" t="e">
        <f>#REF!</f>
        <v>#REF!</v>
      </c>
      <c r="V30" s="89" t="e">
        <f>#REF!</f>
        <v>#REF!</v>
      </c>
      <c r="W30" s="89" t="e">
        <f>#REF!</f>
        <v>#REF!</v>
      </c>
      <c r="X30" s="89" t="e">
        <f>#REF!</f>
        <v>#REF!</v>
      </c>
      <c r="Y30" s="89" t="e">
        <f>#REF!</f>
        <v>#REF!</v>
      </c>
      <c r="Z30" s="89" t="e">
        <f>#REF!</f>
        <v>#REF!</v>
      </c>
      <c r="AA30" s="89" t="e">
        <f>#REF!</f>
        <v>#REF!</v>
      </c>
      <c r="AB30" s="89" t="e">
        <f>#REF!</f>
        <v>#REF!</v>
      </c>
      <c r="AC30" s="89" t="e">
        <f>#REF!</f>
        <v>#REF!</v>
      </c>
      <c r="AD30" s="89" t="e">
        <f>#REF!</f>
        <v>#REF!</v>
      </c>
      <c r="AE30" s="89" t="e">
        <f>#REF!</f>
        <v>#REF!</v>
      </c>
      <c r="AF30" s="89" t="e">
        <f>#REF!</f>
        <v>#REF!</v>
      </c>
      <c r="AG30" s="89" t="e">
        <f>#REF!</f>
        <v>#REF!</v>
      </c>
      <c r="AH30" s="89" t="e">
        <f>#REF!</f>
        <v>#REF!</v>
      </c>
      <c r="AI30" s="89" t="e">
        <f>#REF!</f>
        <v>#REF!</v>
      </c>
      <c r="AJ30" s="89" t="e">
        <f>#REF!</f>
        <v>#REF!</v>
      </c>
      <c r="AK30" s="89" t="e">
        <f>#REF!</f>
        <v>#REF!</v>
      </c>
      <c r="AL30" s="89" t="e">
        <f>#REF!</f>
        <v>#REF!</v>
      </c>
      <c r="AM30" s="89" t="e">
        <f>#REF!</f>
        <v>#REF!</v>
      </c>
      <c r="AN30" s="89" t="e">
        <f>#REF!</f>
        <v>#REF!</v>
      </c>
      <c r="AO30" s="89" t="e">
        <f>#REF!</f>
        <v>#REF!</v>
      </c>
      <c r="AP30" s="89" t="e">
        <f>#REF!</f>
        <v>#REF!</v>
      </c>
      <c r="AQ30" s="89" t="e">
        <f>#REF!</f>
        <v>#REF!</v>
      </c>
      <c r="AR30" s="89" t="e">
        <f>#REF!</f>
        <v>#REF!</v>
      </c>
      <c r="AS30" s="89" t="e">
        <f>#REF!</f>
        <v>#REF!</v>
      </c>
      <c r="AT30" s="89" t="e">
        <f>#REF!</f>
        <v>#REF!</v>
      </c>
      <c r="AU30" s="89" t="e">
        <f>#REF!</f>
        <v>#REF!</v>
      </c>
      <c r="AV30" s="89" t="e">
        <f>#REF!</f>
        <v>#REF!</v>
      </c>
      <c r="AW30" s="89" t="e">
        <f>#REF!</f>
        <v>#REF!</v>
      </c>
      <c r="AX30" s="89" t="e">
        <f>#REF!</f>
        <v>#REF!</v>
      </c>
      <c r="AY30" s="89" t="e">
        <f>#REF!</f>
        <v>#REF!</v>
      </c>
      <c r="AZ30" s="89" t="e">
        <f>#REF!</f>
        <v>#REF!</v>
      </c>
      <c r="BA30" s="89" t="e">
        <f>#REF!</f>
        <v>#REF!</v>
      </c>
      <c r="BB30" s="89" t="e">
        <f>#REF!</f>
        <v>#REF!</v>
      </c>
      <c r="BC30" s="89" t="e">
        <f>#REF!</f>
        <v>#REF!</v>
      </c>
      <c r="BD30" s="89" t="e">
        <f>#REF!</f>
        <v>#REF!</v>
      </c>
      <c r="BE30" s="89" t="e">
        <f>#REF!</f>
        <v>#REF!</v>
      </c>
      <c r="BF30" s="89" t="e">
        <f>#REF!</f>
        <v>#REF!</v>
      </c>
    </row>
    <row r="31" spans="2:58" x14ac:dyDescent="0.25">
      <c r="I31" s="89">
        <f>ABCD!J80</f>
        <v>6.75</v>
      </c>
      <c r="J31" s="89">
        <f>ABCD!K80</f>
        <v>22.139999999999997</v>
      </c>
      <c r="K31" s="89">
        <f>ABCD!L80</f>
        <v>1.2003346246712663</v>
      </c>
      <c r="L31" s="89">
        <f>ABCD!M80</f>
        <v>0.15551989591815074</v>
      </c>
      <c r="M31" s="89">
        <f>ABCD!N80</f>
        <v>1.2103675678119858</v>
      </c>
      <c r="N31" s="89" t="e">
        <v>#REF!</v>
      </c>
      <c r="O31" s="89" t="e">
        <v>#REF!</v>
      </c>
      <c r="P31" s="89" t="e">
        <v>#REF!</v>
      </c>
      <c r="Q31" s="89" t="e">
        <v>#REF!</v>
      </c>
      <c r="R31" s="89" t="e">
        <v>#REF!</v>
      </c>
      <c r="S31" s="89" t="e">
        <f>#REF!</f>
        <v>#REF!</v>
      </c>
      <c r="T31" s="89" t="e">
        <f>#REF!</f>
        <v>#REF!</v>
      </c>
      <c r="U31" s="89" t="e">
        <f>#REF!</f>
        <v>#REF!</v>
      </c>
      <c r="V31" s="89" t="e">
        <f>#REF!</f>
        <v>#REF!</v>
      </c>
      <c r="W31" s="89" t="e">
        <f>#REF!</f>
        <v>#REF!</v>
      </c>
      <c r="X31" s="89" t="e">
        <f>#REF!</f>
        <v>#REF!</v>
      </c>
      <c r="Y31" s="89" t="e">
        <f>#REF!</f>
        <v>#REF!</v>
      </c>
      <c r="Z31" s="89" t="e">
        <f>#REF!</f>
        <v>#REF!</v>
      </c>
      <c r="AA31" s="89" t="e">
        <f>#REF!</f>
        <v>#REF!</v>
      </c>
      <c r="AB31" s="89" t="e">
        <f>#REF!</f>
        <v>#REF!</v>
      </c>
      <c r="AC31" s="89" t="e">
        <f>#REF!</f>
        <v>#REF!</v>
      </c>
      <c r="AD31" s="89" t="e">
        <f>#REF!</f>
        <v>#REF!</v>
      </c>
      <c r="AE31" s="89" t="e">
        <f>#REF!</f>
        <v>#REF!</v>
      </c>
      <c r="AF31" s="89" t="e">
        <f>#REF!</f>
        <v>#REF!</v>
      </c>
      <c r="AG31" s="89" t="e">
        <f>#REF!</f>
        <v>#REF!</v>
      </c>
      <c r="AH31" s="89" t="e">
        <f>#REF!</f>
        <v>#REF!</v>
      </c>
      <c r="AI31" s="89" t="e">
        <f>#REF!</f>
        <v>#REF!</v>
      </c>
      <c r="AJ31" s="89" t="e">
        <f>#REF!</f>
        <v>#REF!</v>
      </c>
      <c r="AK31" s="89" t="e">
        <f>#REF!</f>
        <v>#REF!</v>
      </c>
      <c r="AL31" s="89" t="e">
        <f>#REF!</f>
        <v>#REF!</v>
      </c>
      <c r="AM31" s="89" t="e">
        <f>#REF!</f>
        <v>#REF!</v>
      </c>
      <c r="AN31" s="89" t="e">
        <f>#REF!</f>
        <v>#REF!</v>
      </c>
      <c r="AO31" s="89" t="e">
        <f>#REF!</f>
        <v>#REF!</v>
      </c>
      <c r="AP31" s="89" t="e">
        <f>#REF!</f>
        <v>#REF!</v>
      </c>
      <c r="AQ31" s="89" t="e">
        <f>#REF!</f>
        <v>#REF!</v>
      </c>
      <c r="AR31" s="89" t="e">
        <f>#REF!</f>
        <v>#REF!</v>
      </c>
      <c r="AS31" s="89" t="e">
        <f>#REF!</f>
        <v>#REF!</v>
      </c>
      <c r="AT31" s="89" t="e">
        <f>#REF!</f>
        <v>#REF!</v>
      </c>
      <c r="AU31" s="89" t="e">
        <f>#REF!</f>
        <v>#REF!</v>
      </c>
      <c r="AV31" s="89" t="e">
        <f>#REF!</f>
        <v>#REF!</v>
      </c>
      <c r="AW31" s="89" t="e">
        <f>#REF!</f>
        <v>#REF!</v>
      </c>
      <c r="AX31" s="89" t="e">
        <f>#REF!</f>
        <v>#REF!</v>
      </c>
      <c r="AY31" s="89" t="e">
        <f>#REF!</f>
        <v>#REF!</v>
      </c>
      <c r="AZ31" s="89" t="e">
        <f>#REF!</f>
        <v>#REF!</v>
      </c>
      <c r="BA31" s="89" t="e">
        <f>#REF!</f>
        <v>#REF!</v>
      </c>
      <c r="BB31" s="89" t="e">
        <f>#REF!</f>
        <v>#REF!</v>
      </c>
      <c r="BC31" s="89" t="e">
        <f>#REF!</f>
        <v>#REF!</v>
      </c>
      <c r="BD31" s="89" t="e">
        <f>#REF!</f>
        <v>#REF!</v>
      </c>
      <c r="BE31" s="89" t="e">
        <f>#REF!</f>
        <v>#REF!</v>
      </c>
      <c r="BF31" s="89" t="e">
        <f>#REF!</f>
        <v>#REF!</v>
      </c>
    </row>
    <row r="32" spans="2:58" x14ac:dyDescent="0.25">
      <c r="I32" s="89">
        <f>ABCD!J81</f>
        <v>7</v>
      </c>
      <c r="J32" s="89">
        <f>ABCD!K81</f>
        <v>22.959999999999997</v>
      </c>
      <c r="K32" s="89">
        <f>ABCD!L81</f>
        <v>1.3035864250447471</v>
      </c>
      <c r="L32" s="89">
        <f>ABCD!M81</f>
        <v>0.17451516888978924</v>
      </c>
      <c r="M32" s="89">
        <f>ABCD!N81</f>
        <v>1.3152159943270063</v>
      </c>
      <c r="N32" s="89" t="e">
        <v>#REF!</v>
      </c>
      <c r="O32" s="89" t="e">
        <v>#REF!</v>
      </c>
      <c r="P32" s="89" t="e">
        <v>#REF!</v>
      </c>
      <c r="Q32" s="89" t="e">
        <v>#REF!</v>
      </c>
      <c r="R32" s="89" t="e">
        <v>#REF!</v>
      </c>
      <c r="S32" s="89" t="e">
        <f>#REF!</f>
        <v>#REF!</v>
      </c>
      <c r="T32" s="89" t="e">
        <f>#REF!</f>
        <v>#REF!</v>
      </c>
      <c r="U32" s="89" t="e">
        <f>#REF!</f>
        <v>#REF!</v>
      </c>
      <c r="V32" s="89" t="e">
        <f>#REF!</f>
        <v>#REF!</v>
      </c>
      <c r="W32" s="89" t="e">
        <f>#REF!</f>
        <v>#REF!</v>
      </c>
      <c r="X32" s="89" t="e">
        <f>#REF!</f>
        <v>#REF!</v>
      </c>
      <c r="Y32" s="89" t="e">
        <f>#REF!</f>
        <v>#REF!</v>
      </c>
      <c r="Z32" s="89" t="e">
        <f>#REF!</f>
        <v>#REF!</v>
      </c>
      <c r="AA32" s="89" t="e">
        <f>#REF!</f>
        <v>#REF!</v>
      </c>
      <c r="AB32" s="89" t="e">
        <f>#REF!</f>
        <v>#REF!</v>
      </c>
      <c r="AC32" s="89" t="e">
        <f>#REF!</f>
        <v>#REF!</v>
      </c>
      <c r="AD32" s="89" t="e">
        <f>#REF!</f>
        <v>#REF!</v>
      </c>
      <c r="AE32" s="89" t="e">
        <f>#REF!</f>
        <v>#REF!</v>
      </c>
      <c r="AF32" s="89" t="e">
        <f>#REF!</f>
        <v>#REF!</v>
      </c>
      <c r="AG32" s="89" t="e">
        <f>#REF!</f>
        <v>#REF!</v>
      </c>
      <c r="AH32" s="89" t="e">
        <f>#REF!</f>
        <v>#REF!</v>
      </c>
      <c r="AI32" s="89" t="e">
        <f>#REF!</f>
        <v>#REF!</v>
      </c>
      <c r="AJ32" s="89" t="e">
        <f>#REF!</f>
        <v>#REF!</v>
      </c>
      <c r="AK32" s="89" t="e">
        <f>#REF!</f>
        <v>#REF!</v>
      </c>
      <c r="AL32" s="89" t="e">
        <f>#REF!</f>
        <v>#REF!</v>
      </c>
      <c r="AM32" s="89" t="e">
        <f>#REF!</f>
        <v>#REF!</v>
      </c>
      <c r="AN32" s="89" t="e">
        <f>#REF!</f>
        <v>#REF!</v>
      </c>
      <c r="AO32" s="89" t="e">
        <f>#REF!</f>
        <v>#REF!</v>
      </c>
      <c r="AP32" s="89" t="e">
        <f>#REF!</f>
        <v>#REF!</v>
      </c>
      <c r="AQ32" s="89" t="e">
        <f>#REF!</f>
        <v>#REF!</v>
      </c>
      <c r="AR32" s="89" t="e">
        <f>#REF!</f>
        <v>#REF!</v>
      </c>
      <c r="AS32" s="89" t="e">
        <f>#REF!</f>
        <v>#REF!</v>
      </c>
      <c r="AT32" s="89" t="e">
        <f>#REF!</f>
        <v>#REF!</v>
      </c>
      <c r="AU32" s="89" t="e">
        <f>#REF!</f>
        <v>#REF!</v>
      </c>
      <c r="AV32" s="89" t="e">
        <f>#REF!</f>
        <v>#REF!</v>
      </c>
      <c r="AW32" s="89" t="e">
        <f>#REF!</f>
        <v>#REF!</v>
      </c>
      <c r="AX32" s="89" t="e">
        <f>#REF!</f>
        <v>#REF!</v>
      </c>
      <c r="AY32" s="89" t="e">
        <f>#REF!</f>
        <v>#REF!</v>
      </c>
      <c r="AZ32" s="89" t="e">
        <f>#REF!</f>
        <v>#REF!</v>
      </c>
      <c r="BA32" s="89" t="e">
        <f>#REF!</f>
        <v>#REF!</v>
      </c>
      <c r="BB32" s="89" t="e">
        <f>#REF!</f>
        <v>#REF!</v>
      </c>
      <c r="BC32" s="89" t="e">
        <f>#REF!</f>
        <v>#REF!</v>
      </c>
      <c r="BD32" s="89" t="e">
        <f>#REF!</f>
        <v>#REF!</v>
      </c>
      <c r="BE32" s="89" t="e">
        <f>#REF!</f>
        <v>#REF!</v>
      </c>
      <c r="BF32" s="89" t="e">
        <f>#REF!</f>
        <v>#REF!</v>
      </c>
    </row>
    <row r="33" spans="9:58" x14ac:dyDescent="0.25">
      <c r="I33" s="89">
        <f>ABCD!J82</f>
        <v>7.25</v>
      </c>
      <c r="J33" s="89">
        <f>ABCD!K82</f>
        <v>23.779999999999998</v>
      </c>
      <c r="K33" s="89">
        <f>ABCD!L82</f>
        <v>1.4064444193098069</v>
      </c>
      <c r="L33" s="89">
        <f>ABCD!M82</f>
        <v>0.19345306853723399</v>
      </c>
      <c r="M33" s="89">
        <f>ABCD!N82</f>
        <v>1.4196865831352254</v>
      </c>
      <c r="N33" s="89" t="e">
        <v>#REF!</v>
      </c>
      <c r="O33" s="89" t="e">
        <v>#REF!</v>
      </c>
      <c r="P33" s="89" t="e">
        <v>#REF!</v>
      </c>
      <c r="Q33" s="89" t="e">
        <v>#REF!</v>
      </c>
      <c r="R33" s="89" t="e">
        <v>#REF!</v>
      </c>
      <c r="S33" s="89" t="e">
        <f>#REF!</f>
        <v>#REF!</v>
      </c>
      <c r="T33" s="89" t="e">
        <f>#REF!</f>
        <v>#REF!</v>
      </c>
      <c r="U33" s="89" t="e">
        <f>#REF!</f>
        <v>#REF!</v>
      </c>
      <c r="V33" s="89" t="e">
        <f>#REF!</f>
        <v>#REF!</v>
      </c>
      <c r="W33" s="89" t="e">
        <f>#REF!</f>
        <v>#REF!</v>
      </c>
      <c r="X33" s="89" t="e">
        <f>#REF!</f>
        <v>#REF!</v>
      </c>
      <c r="Y33" s="89" t="e">
        <f>#REF!</f>
        <v>#REF!</v>
      </c>
      <c r="Z33" s="89" t="e">
        <f>#REF!</f>
        <v>#REF!</v>
      </c>
      <c r="AA33" s="89" t="e">
        <f>#REF!</f>
        <v>#REF!</v>
      </c>
      <c r="AB33" s="89" t="e">
        <f>#REF!</f>
        <v>#REF!</v>
      </c>
      <c r="AC33" s="89" t="e">
        <f>#REF!</f>
        <v>#REF!</v>
      </c>
      <c r="AD33" s="89" t="e">
        <f>#REF!</f>
        <v>#REF!</v>
      </c>
      <c r="AE33" s="89" t="e">
        <f>#REF!</f>
        <v>#REF!</v>
      </c>
      <c r="AF33" s="89" t="e">
        <f>#REF!</f>
        <v>#REF!</v>
      </c>
      <c r="AG33" s="89" t="e">
        <f>#REF!</f>
        <v>#REF!</v>
      </c>
      <c r="AH33" s="89" t="e">
        <f>#REF!</f>
        <v>#REF!</v>
      </c>
      <c r="AI33" s="89" t="e">
        <f>#REF!</f>
        <v>#REF!</v>
      </c>
      <c r="AJ33" s="89" t="e">
        <f>#REF!</f>
        <v>#REF!</v>
      </c>
      <c r="AK33" s="89" t="e">
        <f>#REF!</f>
        <v>#REF!</v>
      </c>
      <c r="AL33" s="89" t="e">
        <f>#REF!</f>
        <v>#REF!</v>
      </c>
      <c r="AM33" s="89" t="e">
        <f>#REF!</f>
        <v>#REF!</v>
      </c>
      <c r="AN33" s="89" t="e">
        <f>#REF!</f>
        <v>#REF!</v>
      </c>
      <c r="AO33" s="89" t="e">
        <f>#REF!</f>
        <v>#REF!</v>
      </c>
      <c r="AP33" s="89" t="e">
        <f>#REF!</f>
        <v>#REF!</v>
      </c>
      <c r="AQ33" s="89" t="e">
        <f>#REF!</f>
        <v>#REF!</v>
      </c>
      <c r="AR33" s="89" t="e">
        <f>#REF!</f>
        <v>#REF!</v>
      </c>
      <c r="AS33" s="89" t="e">
        <f>#REF!</f>
        <v>#REF!</v>
      </c>
      <c r="AT33" s="89" t="e">
        <f>#REF!</f>
        <v>#REF!</v>
      </c>
      <c r="AU33" s="89" t="e">
        <f>#REF!</f>
        <v>#REF!</v>
      </c>
      <c r="AV33" s="89" t="e">
        <f>#REF!</f>
        <v>#REF!</v>
      </c>
      <c r="AW33" s="89" t="e">
        <f>#REF!</f>
        <v>#REF!</v>
      </c>
      <c r="AX33" s="89" t="e">
        <f>#REF!</f>
        <v>#REF!</v>
      </c>
      <c r="AY33" s="89" t="e">
        <f>#REF!</f>
        <v>#REF!</v>
      </c>
      <c r="AZ33" s="89" t="e">
        <f>#REF!</f>
        <v>#REF!</v>
      </c>
      <c r="BA33" s="89" t="e">
        <f>#REF!</f>
        <v>#REF!</v>
      </c>
      <c r="BB33" s="89" t="e">
        <f>#REF!</f>
        <v>#REF!</v>
      </c>
      <c r="BC33" s="89" t="e">
        <f>#REF!</f>
        <v>#REF!</v>
      </c>
      <c r="BD33" s="89" t="e">
        <f>#REF!</f>
        <v>#REF!</v>
      </c>
      <c r="BE33" s="89" t="e">
        <f>#REF!</f>
        <v>#REF!</v>
      </c>
      <c r="BF33" s="89" t="e">
        <f>#REF!</f>
        <v>#REF!</v>
      </c>
    </row>
    <row r="34" spans="9:58" x14ac:dyDescent="0.25">
      <c r="I34" s="89">
        <f>ABCD!J83</f>
        <v>7.5</v>
      </c>
      <c r="J34" s="89">
        <f>ABCD!K83</f>
        <v>24.599999999999998</v>
      </c>
      <c r="K34" s="89">
        <f>ABCD!L83</f>
        <v>1.5088852178824685</v>
      </c>
      <c r="L34" s="89">
        <f>ABCD!M83</f>
        <v>0.21232927482812114</v>
      </c>
      <c r="M34" s="89">
        <f>ABCD!N83</f>
        <v>1.5237513976017414</v>
      </c>
      <c r="N34" s="89" t="e">
        <v>#REF!</v>
      </c>
      <c r="O34" s="89" t="e">
        <v>#REF!</v>
      </c>
      <c r="P34" s="89" t="e">
        <v>#REF!</v>
      </c>
      <c r="Q34" s="89" t="e">
        <v>#REF!</v>
      </c>
      <c r="R34" s="89" t="e">
        <v>#REF!</v>
      </c>
      <c r="S34" s="89" t="e">
        <f>#REF!</f>
        <v>#REF!</v>
      </c>
      <c r="T34" s="89" t="e">
        <f>#REF!</f>
        <v>#REF!</v>
      </c>
      <c r="U34" s="89" t="e">
        <f>#REF!</f>
        <v>#REF!</v>
      </c>
      <c r="V34" s="89" t="e">
        <f>#REF!</f>
        <v>#REF!</v>
      </c>
      <c r="W34" s="89" t="e">
        <f>#REF!</f>
        <v>#REF!</v>
      </c>
      <c r="X34" s="89" t="e">
        <f>#REF!</f>
        <v>#REF!</v>
      </c>
      <c r="Y34" s="89" t="e">
        <f>#REF!</f>
        <v>#REF!</v>
      </c>
      <c r="Z34" s="89" t="e">
        <f>#REF!</f>
        <v>#REF!</v>
      </c>
      <c r="AA34" s="89" t="e">
        <f>#REF!</f>
        <v>#REF!</v>
      </c>
      <c r="AB34" s="89" t="e">
        <f>#REF!</f>
        <v>#REF!</v>
      </c>
      <c r="AC34" s="89" t="e">
        <f>#REF!</f>
        <v>#REF!</v>
      </c>
      <c r="AD34" s="89" t="e">
        <f>#REF!</f>
        <v>#REF!</v>
      </c>
      <c r="AE34" s="89" t="e">
        <f>#REF!</f>
        <v>#REF!</v>
      </c>
      <c r="AF34" s="89" t="e">
        <f>#REF!</f>
        <v>#REF!</v>
      </c>
      <c r="AG34" s="89" t="e">
        <f>#REF!</f>
        <v>#REF!</v>
      </c>
      <c r="AH34" s="89" t="e">
        <f>#REF!</f>
        <v>#REF!</v>
      </c>
      <c r="AI34" s="89" t="e">
        <f>#REF!</f>
        <v>#REF!</v>
      </c>
      <c r="AJ34" s="89" t="e">
        <f>#REF!</f>
        <v>#REF!</v>
      </c>
      <c r="AK34" s="89" t="e">
        <f>#REF!</f>
        <v>#REF!</v>
      </c>
      <c r="AL34" s="89" t="e">
        <f>#REF!</f>
        <v>#REF!</v>
      </c>
      <c r="AM34" s="89" t="e">
        <f>#REF!</f>
        <v>#REF!</v>
      </c>
      <c r="AN34" s="89" t="e">
        <f>#REF!</f>
        <v>#REF!</v>
      </c>
      <c r="AO34" s="89" t="e">
        <f>#REF!</f>
        <v>#REF!</v>
      </c>
      <c r="AP34" s="89" t="e">
        <f>#REF!</f>
        <v>#REF!</v>
      </c>
      <c r="AQ34" s="89" t="e">
        <f>#REF!</f>
        <v>#REF!</v>
      </c>
      <c r="AR34" s="89" t="e">
        <f>#REF!</f>
        <v>#REF!</v>
      </c>
      <c r="AS34" s="89" t="e">
        <f>#REF!</f>
        <v>#REF!</v>
      </c>
      <c r="AT34" s="89" t="e">
        <f>#REF!</f>
        <v>#REF!</v>
      </c>
      <c r="AU34" s="89" t="e">
        <f>#REF!</f>
        <v>#REF!</v>
      </c>
      <c r="AV34" s="89" t="e">
        <f>#REF!</f>
        <v>#REF!</v>
      </c>
      <c r="AW34" s="89" t="e">
        <f>#REF!</f>
        <v>#REF!</v>
      </c>
      <c r="AX34" s="89" t="e">
        <f>#REF!</f>
        <v>#REF!</v>
      </c>
      <c r="AY34" s="89" t="e">
        <f>#REF!</f>
        <v>#REF!</v>
      </c>
      <c r="AZ34" s="89" t="e">
        <f>#REF!</f>
        <v>#REF!</v>
      </c>
      <c r="BA34" s="89" t="e">
        <f>#REF!</f>
        <v>#REF!</v>
      </c>
      <c r="BB34" s="89" t="e">
        <f>#REF!</f>
        <v>#REF!</v>
      </c>
      <c r="BC34" s="89" t="e">
        <f>#REF!</f>
        <v>#REF!</v>
      </c>
      <c r="BD34" s="89" t="e">
        <f>#REF!</f>
        <v>#REF!</v>
      </c>
      <c r="BE34" s="89" t="e">
        <f>#REF!</f>
        <v>#REF!</v>
      </c>
      <c r="BF34" s="89" t="e">
        <f>#REF!</f>
        <v>#REF!</v>
      </c>
    </row>
    <row r="35" spans="9:58" x14ac:dyDescent="0.25">
      <c r="I35" s="89">
        <f>ABCD!J84</f>
        <v>7.75</v>
      </c>
      <c r="J35" s="89">
        <f>ABCD!K84</f>
        <v>25.419999999999998</v>
      </c>
      <c r="K35" s="89">
        <f>ABCD!L84</f>
        <v>1.61088554852581</v>
      </c>
      <c r="L35" s="89">
        <f>ABCD!M84</f>
        <v>0.23113948585772937</v>
      </c>
      <c r="M35" s="89">
        <f>ABCD!N84</f>
        <v>1.6273837016425705</v>
      </c>
      <c r="N35" s="89" t="e">
        <v>#REF!</v>
      </c>
      <c r="O35" s="89" t="e">
        <v>#REF!</v>
      </c>
      <c r="P35" s="89" t="e">
        <v>#REF!</v>
      </c>
      <c r="Q35" s="89" t="e">
        <v>#REF!</v>
      </c>
      <c r="R35" s="89" t="e">
        <v>#REF!</v>
      </c>
      <c r="S35" s="89" t="e">
        <f>#REF!</f>
        <v>#REF!</v>
      </c>
      <c r="T35" s="89" t="e">
        <f>#REF!</f>
        <v>#REF!</v>
      </c>
      <c r="U35" s="89" t="e">
        <f>#REF!</f>
        <v>#REF!</v>
      </c>
      <c r="V35" s="89" t="e">
        <f>#REF!</f>
        <v>#REF!</v>
      </c>
      <c r="W35" s="89" t="e">
        <f>#REF!</f>
        <v>#REF!</v>
      </c>
      <c r="X35" s="89" t="e">
        <f>#REF!</f>
        <v>#REF!</v>
      </c>
      <c r="Y35" s="89" t="e">
        <f>#REF!</f>
        <v>#REF!</v>
      </c>
      <c r="Z35" s="89" t="e">
        <f>#REF!</f>
        <v>#REF!</v>
      </c>
      <c r="AA35" s="89" t="e">
        <f>#REF!</f>
        <v>#REF!</v>
      </c>
      <c r="AB35" s="89" t="e">
        <f>#REF!</f>
        <v>#REF!</v>
      </c>
      <c r="AC35" s="89" t="e">
        <f>#REF!</f>
        <v>#REF!</v>
      </c>
      <c r="AD35" s="89" t="e">
        <f>#REF!</f>
        <v>#REF!</v>
      </c>
      <c r="AE35" s="89" t="e">
        <f>#REF!</f>
        <v>#REF!</v>
      </c>
      <c r="AF35" s="89" t="e">
        <f>#REF!</f>
        <v>#REF!</v>
      </c>
      <c r="AG35" s="89" t="e">
        <f>#REF!</f>
        <v>#REF!</v>
      </c>
      <c r="AH35" s="89" t="e">
        <f>#REF!</f>
        <v>#REF!</v>
      </c>
      <c r="AI35" s="89" t="e">
        <f>#REF!</f>
        <v>#REF!</v>
      </c>
      <c r="AJ35" s="89" t="e">
        <f>#REF!</f>
        <v>#REF!</v>
      </c>
      <c r="AK35" s="89" t="e">
        <f>#REF!</f>
        <v>#REF!</v>
      </c>
      <c r="AL35" s="89" t="e">
        <f>#REF!</f>
        <v>#REF!</v>
      </c>
      <c r="AM35" s="89" t="e">
        <f>#REF!</f>
        <v>#REF!</v>
      </c>
      <c r="AN35" s="89" t="e">
        <f>#REF!</f>
        <v>#REF!</v>
      </c>
      <c r="AO35" s="89" t="e">
        <f>#REF!</f>
        <v>#REF!</v>
      </c>
      <c r="AP35" s="89" t="e">
        <f>#REF!</f>
        <v>#REF!</v>
      </c>
      <c r="AQ35" s="89" t="e">
        <f>#REF!</f>
        <v>#REF!</v>
      </c>
      <c r="AR35" s="89" t="e">
        <f>#REF!</f>
        <v>#REF!</v>
      </c>
      <c r="AS35" s="89" t="e">
        <f>#REF!</f>
        <v>#REF!</v>
      </c>
      <c r="AT35" s="89" t="e">
        <f>#REF!</f>
        <v>#REF!</v>
      </c>
      <c r="AU35" s="89" t="e">
        <f>#REF!</f>
        <v>#REF!</v>
      </c>
      <c r="AV35" s="89" t="e">
        <f>#REF!</f>
        <v>#REF!</v>
      </c>
      <c r="AW35" s="89" t="e">
        <f>#REF!</f>
        <v>#REF!</v>
      </c>
      <c r="AX35" s="89" t="e">
        <f>#REF!</f>
        <v>#REF!</v>
      </c>
      <c r="AY35" s="89" t="e">
        <f>#REF!</f>
        <v>#REF!</v>
      </c>
      <c r="AZ35" s="89" t="e">
        <f>#REF!</f>
        <v>#REF!</v>
      </c>
      <c r="BA35" s="89" t="e">
        <f>#REF!</f>
        <v>#REF!</v>
      </c>
      <c r="BB35" s="89" t="e">
        <f>#REF!</f>
        <v>#REF!</v>
      </c>
      <c r="BC35" s="89" t="e">
        <f>#REF!</f>
        <v>#REF!</v>
      </c>
      <c r="BD35" s="89" t="e">
        <f>#REF!</f>
        <v>#REF!</v>
      </c>
      <c r="BE35" s="89" t="e">
        <f>#REF!</f>
        <v>#REF!</v>
      </c>
      <c r="BF35" s="89" t="e">
        <f>#REF!</f>
        <v>#REF!</v>
      </c>
    </row>
    <row r="36" spans="9:58" x14ac:dyDescent="0.25">
      <c r="I36" s="89">
        <f>ABCD!J85</f>
        <v>8</v>
      </c>
      <c r="J36" s="89">
        <f>ABCD!K85</f>
        <v>26.24</v>
      </c>
      <c r="K36" s="89">
        <f>ABCD!L85</f>
        <v>1.7124222616165938</v>
      </c>
      <c r="L36" s="89">
        <f>ABCD!M85</f>
        <v>0.24987941882572784</v>
      </c>
      <c r="M36" s="89">
        <f>ABCD!N85</f>
        <v>1.7305576344152118</v>
      </c>
      <c r="N36" s="89" t="e">
        <v>#REF!</v>
      </c>
      <c r="O36" s="89" t="e">
        <v>#REF!</v>
      </c>
      <c r="P36" s="89" t="e">
        <v>#REF!</v>
      </c>
      <c r="Q36" s="89" t="e">
        <v>#REF!</v>
      </c>
      <c r="R36" s="89" t="e">
        <v>#REF!</v>
      </c>
      <c r="S36" s="89" t="e">
        <f>#REF!</f>
        <v>#REF!</v>
      </c>
      <c r="T36" s="89" t="e">
        <f>#REF!</f>
        <v>#REF!</v>
      </c>
      <c r="U36" s="89" t="e">
        <f>#REF!</f>
        <v>#REF!</v>
      </c>
      <c r="V36" s="89" t="e">
        <f>#REF!</f>
        <v>#REF!</v>
      </c>
      <c r="W36" s="89" t="e">
        <f>#REF!</f>
        <v>#REF!</v>
      </c>
      <c r="X36" s="89" t="e">
        <f>#REF!</f>
        <v>#REF!</v>
      </c>
      <c r="Y36" s="89" t="e">
        <f>#REF!</f>
        <v>#REF!</v>
      </c>
      <c r="Z36" s="89" t="e">
        <f>#REF!</f>
        <v>#REF!</v>
      </c>
      <c r="AA36" s="89" t="e">
        <f>#REF!</f>
        <v>#REF!</v>
      </c>
      <c r="AB36" s="89" t="e">
        <f>#REF!</f>
        <v>#REF!</v>
      </c>
      <c r="AC36" s="89" t="e">
        <f>#REF!</f>
        <v>#REF!</v>
      </c>
      <c r="AD36" s="89" t="e">
        <f>#REF!</f>
        <v>#REF!</v>
      </c>
      <c r="AE36" s="89" t="e">
        <f>#REF!</f>
        <v>#REF!</v>
      </c>
      <c r="AF36" s="89" t="e">
        <f>#REF!</f>
        <v>#REF!</v>
      </c>
      <c r="AG36" s="89" t="e">
        <f>#REF!</f>
        <v>#REF!</v>
      </c>
      <c r="AH36" s="89" t="e">
        <f>#REF!</f>
        <v>#REF!</v>
      </c>
      <c r="AI36" s="89" t="e">
        <f>#REF!</f>
        <v>#REF!</v>
      </c>
      <c r="AJ36" s="89" t="e">
        <f>#REF!</f>
        <v>#REF!</v>
      </c>
      <c r="AK36" s="89" t="e">
        <f>#REF!</f>
        <v>#REF!</v>
      </c>
      <c r="AL36" s="89" t="e">
        <f>#REF!</f>
        <v>#REF!</v>
      </c>
      <c r="AM36" s="89" t="e">
        <f>#REF!</f>
        <v>#REF!</v>
      </c>
      <c r="AN36" s="89" t="e">
        <f>#REF!</f>
        <v>#REF!</v>
      </c>
      <c r="AO36" s="89" t="e">
        <f>#REF!</f>
        <v>#REF!</v>
      </c>
      <c r="AP36" s="89" t="e">
        <f>#REF!</f>
        <v>#REF!</v>
      </c>
      <c r="AQ36" s="89" t="e">
        <f>#REF!</f>
        <v>#REF!</v>
      </c>
      <c r="AR36" s="89" t="e">
        <f>#REF!</f>
        <v>#REF!</v>
      </c>
      <c r="AS36" s="89" t="e">
        <f>#REF!</f>
        <v>#REF!</v>
      </c>
      <c r="AT36" s="89" t="e">
        <f>#REF!</f>
        <v>#REF!</v>
      </c>
      <c r="AU36" s="89" t="e">
        <f>#REF!</f>
        <v>#REF!</v>
      </c>
      <c r="AV36" s="89" t="e">
        <f>#REF!</f>
        <v>#REF!</v>
      </c>
      <c r="AW36" s="89" t="e">
        <f>#REF!</f>
        <v>#REF!</v>
      </c>
      <c r="AX36" s="89" t="e">
        <f>#REF!</f>
        <v>#REF!</v>
      </c>
      <c r="AY36" s="89" t="e">
        <f>#REF!</f>
        <v>#REF!</v>
      </c>
      <c r="AZ36" s="89" t="e">
        <f>#REF!</f>
        <v>#REF!</v>
      </c>
      <c r="BA36" s="89" t="e">
        <f>#REF!</f>
        <v>#REF!</v>
      </c>
      <c r="BB36" s="89" t="e">
        <f>#REF!</f>
        <v>#REF!</v>
      </c>
      <c r="BC36" s="89" t="e">
        <f>#REF!</f>
        <v>#REF!</v>
      </c>
      <c r="BD36" s="89" t="e">
        <f>#REF!</f>
        <v>#REF!</v>
      </c>
      <c r="BE36" s="89" t="e">
        <f>#REF!</f>
        <v>#REF!</v>
      </c>
      <c r="BF36" s="89" t="e">
        <f>#REF!</f>
        <v>#REF!</v>
      </c>
    </row>
    <row r="37" spans="9:58" x14ac:dyDescent="0.25">
      <c r="I37" s="89">
        <f>ABCD!J86</f>
        <v>8.25</v>
      </c>
      <c r="J37" s="89">
        <f>ABCD!K86</f>
        <v>27.06</v>
      </c>
      <c r="K37" s="89">
        <f>ABCD!L86</f>
        <v>1.813472335378842</v>
      </c>
      <c r="L37" s="89">
        <f>ABCD!M86</f>
        <v>0.26854481100763561</v>
      </c>
      <c r="M37" s="89">
        <f>ABCD!N86</f>
        <v>1.8332479992361965</v>
      </c>
      <c r="N37" s="89" t="e">
        <v>#REF!</v>
      </c>
      <c r="O37" s="89" t="e">
        <v>#REF!</v>
      </c>
      <c r="P37" s="89" t="e">
        <v>#REF!</v>
      </c>
      <c r="Q37" s="89" t="e">
        <v>#REF!</v>
      </c>
      <c r="R37" s="89" t="e">
        <v>#REF!</v>
      </c>
      <c r="S37" s="89" t="e">
        <f>#REF!</f>
        <v>#REF!</v>
      </c>
      <c r="T37" s="89" t="e">
        <f>#REF!</f>
        <v>#REF!</v>
      </c>
      <c r="U37" s="89" t="e">
        <f>#REF!</f>
        <v>#REF!</v>
      </c>
      <c r="V37" s="89" t="e">
        <f>#REF!</f>
        <v>#REF!</v>
      </c>
      <c r="W37" s="89" t="e">
        <f>#REF!</f>
        <v>#REF!</v>
      </c>
      <c r="X37" s="89" t="e">
        <f>#REF!</f>
        <v>#REF!</v>
      </c>
      <c r="Y37" s="89" t="e">
        <f>#REF!</f>
        <v>#REF!</v>
      </c>
      <c r="Z37" s="89" t="e">
        <f>#REF!</f>
        <v>#REF!</v>
      </c>
      <c r="AA37" s="89" t="e">
        <f>#REF!</f>
        <v>#REF!</v>
      </c>
      <c r="AB37" s="89" t="e">
        <f>#REF!</f>
        <v>#REF!</v>
      </c>
      <c r="AC37" s="89" t="e">
        <f>#REF!</f>
        <v>#REF!</v>
      </c>
      <c r="AD37" s="89" t="e">
        <f>#REF!</f>
        <v>#REF!</v>
      </c>
      <c r="AE37" s="89" t="e">
        <f>#REF!</f>
        <v>#REF!</v>
      </c>
      <c r="AF37" s="89" t="e">
        <f>#REF!</f>
        <v>#REF!</v>
      </c>
      <c r="AG37" s="89" t="e">
        <f>#REF!</f>
        <v>#REF!</v>
      </c>
      <c r="AH37" s="89" t="e">
        <f>#REF!</f>
        <v>#REF!</v>
      </c>
      <c r="AI37" s="89" t="e">
        <f>#REF!</f>
        <v>#REF!</v>
      </c>
      <c r="AJ37" s="89" t="e">
        <f>#REF!</f>
        <v>#REF!</v>
      </c>
      <c r="AK37" s="89" t="e">
        <f>#REF!</f>
        <v>#REF!</v>
      </c>
      <c r="AL37" s="89" t="e">
        <f>#REF!</f>
        <v>#REF!</v>
      </c>
      <c r="AM37" s="89" t="e">
        <f>#REF!</f>
        <v>#REF!</v>
      </c>
      <c r="AN37" s="89" t="e">
        <f>#REF!</f>
        <v>#REF!</v>
      </c>
      <c r="AO37" s="89" t="e">
        <f>#REF!</f>
        <v>#REF!</v>
      </c>
      <c r="AP37" s="89" t="e">
        <f>#REF!</f>
        <v>#REF!</v>
      </c>
      <c r="AQ37" s="89" t="e">
        <f>#REF!</f>
        <v>#REF!</v>
      </c>
      <c r="AR37" s="89" t="e">
        <f>#REF!</f>
        <v>#REF!</v>
      </c>
      <c r="AS37" s="89" t="e">
        <f>#REF!</f>
        <v>#REF!</v>
      </c>
      <c r="AT37" s="89" t="e">
        <f>#REF!</f>
        <v>#REF!</v>
      </c>
      <c r="AU37" s="89" t="e">
        <f>#REF!</f>
        <v>#REF!</v>
      </c>
      <c r="AV37" s="89" t="e">
        <f>#REF!</f>
        <v>#REF!</v>
      </c>
      <c r="AW37" s="89" t="e">
        <f>#REF!</f>
        <v>#REF!</v>
      </c>
      <c r="AX37" s="89" t="e">
        <f>#REF!</f>
        <v>#REF!</v>
      </c>
      <c r="AY37" s="89" t="e">
        <f>#REF!</f>
        <v>#REF!</v>
      </c>
      <c r="AZ37" s="89" t="e">
        <f>#REF!</f>
        <v>#REF!</v>
      </c>
      <c r="BA37" s="89" t="e">
        <f>#REF!</f>
        <v>#REF!</v>
      </c>
      <c r="BB37" s="89" t="e">
        <f>#REF!</f>
        <v>#REF!</v>
      </c>
      <c r="BC37" s="89" t="e">
        <f>#REF!</f>
        <v>#REF!</v>
      </c>
      <c r="BD37" s="89" t="e">
        <f>#REF!</f>
        <v>#REF!</v>
      </c>
      <c r="BE37" s="89" t="e">
        <f>#REF!</f>
        <v>#REF!</v>
      </c>
      <c r="BF37" s="89" t="e">
        <f>#REF!</f>
        <v>#REF!</v>
      </c>
    </row>
    <row r="38" spans="9:58" x14ac:dyDescent="0.25">
      <c r="I38" s="89">
        <f>ABCD!J87</f>
        <v>8.5</v>
      </c>
      <c r="J38" s="89">
        <f>ABCD!K87</f>
        <v>27.88</v>
      </c>
      <c r="K38" s="89">
        <f>ABCD!L87</f>
        <v>1.9140128810832056</v>
      </c>
      <c r="L38" s="89">
        <f>ABCD!M87</f>
        <v>0.28713142072077025</v>
      </c>
      <c r="M38" s="89">
        <f>ABCD!N87</f>
        <v>1.9354301231812945</v>
      </c>
      <c r="N38" s="89" t="e">
        <v>#REF!</v>
      </c>
      <c r="O38" s="89" t="e">
        <v>#REF!</v>
      </c>
      <c r="P38" s="89" t="e">
        <v>#REF!</v>
      </c>
      <c r="Q38" s="89" t="e">
        <v>#REF!</v>
      </c>
      <c r="R38" s="89" t="e">
        <v>#REF!</v>
      </c>
      <c r="S38" s="89" t="e">
        <f>#REF!</f>
        <v>#REF!</v>
      </c>
      <c r="T38" s="89" t="e">
        <f>#REF!</f>
        <v>#REF!</v>
      </c>
      <c r="U38" s="89" t="e">
        <f>#REF!</f>
        <v>#REF!</v>
      </c>
      <c r="V38" s="89" t="e">
        <f>#REF!</f>
        <v>#REF!</v>
      </c>
      <c r="W38" s="89" t="e">
        <f>#REF!</f>
        <v>#REF!</v>
      </c>
      <c r="X38" s="89" t="e">
        <f>#REF!</f>
        <v>#REF!</v>
      </c>
      <c r="Y38" s="89" t="e">
        <f>#REF!</f>
        <v>#REF!</v>
      </c>
      <c r="Z38" s="89" t="e">
        <f>#REF!</f>
        <v>#REF!</v>
      </c>
      <c r="AA38" s="89" t="e">
        <f>#REF!</f>
        <v>#REF!</v>
      </c>
      <c r="AB38" s="89" t="e">
        <f>#REF!</f>
        <v>#REF!</v>
      </c>
      <c r="AC38" s="89" t="e">
        <f>#REF!</f>
        <v>#REF!</v>
      </c>
      <c r="AD38" s="89" t="e">
        <f>#REF!</f>
        <v>#REF!</v>
      </c>
      <c r="AE38" s="89" t="e">
        <f>#REF!</f>
        <v>#REF!</v>
      </c>
      <c r="AF38" s="89" t="e">
        <f>#REF!</f>
        <v>#REF!</v>
      </c>
      <c r="AG38" s="89" t="e">
        <f>#REF!</f>
        <v>#REF!</v>
      </c>
      <c r="AH38" s="89" t="e">
        <f>#REF!</f>
        <v>#REF!</v>
      </c>
      <c r="AI38" s="89" t="e">
        <f>#REF!</f>
        <v>#REF!</v>
      </c>
      <c r="AJ38" s="89" t="e">
        <f>#REF!</f>
        <v>#REF!</v>
      </c>
      <c r="AK38" s="89" t="e">
        <f>#REF!</f>
        <v>#REF!</v>
      </c>
      <c r="AL38" s="89" t="e">
        <f>#REF!</f>
        <v>#REF!</v>
      </c>
      <c r="AM38" s="89" t="e">
        <f>#REF!</f>
        <v>#REF!</v>
      </c>
      <c r="AN38" s="89" t="e">
        <f>#REF!</f>
        <v>#REF!</v>
      </c>
      <c r="AO38" s="89" t="e">
        <f>#REF!</f>
        <v>#REF!</v>
      </c>
      <c r="AP38" s="89" t="e">
        <f>#REF!</f>
        <v>#REF!</v>
      </c>
      <c r="AQ38" s="89" t="e">
        <f>#REF!</f>
        <v>#REF!</v>
      </c>
      <c r="AR38" s="89" t="e">
        <f>#REF!</f>
        <v>#REF!</v>
      </c>
      <c r="AS38" s="89" t="e">
        <f>#REF!</f>
        <v>#REF!</v>
      </c>
      <c r="AT38" s="89" t="e">
        <f>#REF!</f>
        <v>#REF!</v>
      </c>
      <c r="AU38" s="89" t="e">
        <f>#REF!</f>
        <v>#REF!</v>
      </c>
      <c r="AV38" s="89" t="e">
        <f>#REF!</f>
        <v>#REF!</v>
      </c>
      <c r="AW38" s="89" t="e">
        <f>#REF!</f>
        <v>#REF!</v>
      </c>
      <c r="AX38" s="89" t="e">
        <f>#REF!</f>
        <v>#REF!</v>
      </c>
      <c r="AY38" s="89" t="e">
        <f>#REF!</f>
        <v>#REF!</v>
      </c>
      <c r="AZ38" s="89" t="e">
        <f>#REF!</f>
        <v>#REF!</v>
      </c>
      <c r="BA38" s="89" t="e">
        <f>#REF!</f>
        <v>#REF!</v>
      </c>
      <c r="BB38" s="89" t="e">
        <f>#REF!</f>
        <v>#REF!</v>
      </c>
      <c r="BC38" s="89" t="e">
        <f>#REF!</f>
        <v>#REF!</v>
      </c>
      <c r="BD38" s="89" t="e">
        <f>#REF!</f>
        <v>#REF!</v>
      </c>
      <c r="BE38" s="89" t="e">
        <f>#REF!</f>
        <v>#REF!</v>
      </c>
      <c r="BF38" s="89" t="e">
        <f>#REF!</f>
        <v>#REF!</v>
      </c>
    </row>
    <row r="39" spans="9:58" x14ac:dyDescent="0.25">
      <c r="I39" s="89">
        <f>ABCD!J88</f>
        <v>8.75</v>
      </c>
      <c r="J39" s="89">
        <f>ABCD!K88</f>
        <v>28.7</v>
      </c>
      <c r="K39" s="89">
        <f>ABCD!L88</f>
        <v>2.0140211482109178</v>
      </c>
      <c r="L39" s="89">
        <f>ABCD!M88</f>
        <v>0.30563502828447797</v>
      </c>
      <c r="M39" s="89">
        <f>ABCD!N88</f>
        <v>2.0370797618049417</v>
      </c>
      <c r="N39" s="89" t="e">
        <v>#REF!</v>
      </c>
      <c r="O39" s="89" t="e">
        <v>#REF!</v>
      </c>
      <c r="P39" s="89" t="e">
        <v>#REF!</v>
      </c>
      <c r="Q39" s="89" t="e">
        <v>#REF!</v>
      </c>
      <c r="R39" s="89" t="e">
        <v>#REF!</v>
      </c>
      <c r="S39" s="89" t="e">
        <f>#REF!</f>
        <v>#REF!</v>
      </c>
      <c r="T39" s="89" t="e">
        <f>#REF!</f>
        <v>#REF!</v>
      </c>
      <c r="U39" s="89" t="e">
        <f>#REF!</f>
        <v>#REF!</v>
      </c>
      <c r="V39" s="89" t="e">
        <f>#REF!</f>
        <v>#REF!</v>
      </c>
      <c r="W39" s="89" t="e">
        <f>#REF!</f>
        <v>#REF!</v>
      </c>
      <c r="X39" s="89" t="e">
        <f>#REF!</f>
        <v>#REF!</v>
      </c>
      <c r="Y39" s="89" t="e">
        <f>#REF!</f>
        <v>#REF!</v>
      </c>
      <c r="Z39" s="89" t="e">
        <f>#REF!</f>
        <v>#REF!</v>
      </c>
      <c r="AA39" s="89" t="e">
        <f>#REF!</f>
        <v>#REF!</v>
      </c>
      <c r="AB39" s="89" t="e">
        <f>#REF!</f>
        <v>#REF!</v>
      </c>
      <c r="AC39" s="89" t="e">
        <f>#REF!</f>
        <v>#REF!</v>
      </c>
      <c r="AD39" s="89" t="e">
        <f>#REF!</f>
        <v>#REF!</v>
      </c>
      <c r="AE39" s="89" t="e">
        <f>#REF!</f>
        <v>#REF!</v>
      </c>
      <c r="AF39" s="89" t="e">
        <f>#REF!</f>
        <v>#REF!</v>
      </c>
      <c r="AG39" s="89" t="e">
        <f>#REF!</f>
        <v>#REF!</v>
      </c>
      <c r="AH39" s="89" t="e">
        <f>#REF!</f>
        <v>#REF!</v>
      </c>
      <c r="AI39" s="89" t="e">
        <f>#REF!</f>
        <v>#REF!</v>
      </c>
      <c r="AJ39" s="89" t="e">
        <f>#REF!</f>
        <v>#REF!</v>
      </c>
      <c r="AK39" s="89" t="e">
        <f>#REF!</f>
        <v>#REF!</v>
      </c>
      <c r="AL39" s="89" t="e">
        <f>#REF!</f>
        <v>#REF!</v>
      </c>
      <c r="AM39" s="89" t="e">
        <f>#REF!</f>
        <v>#REF!</v>
      </c>
      <c r="AN39" s="89" t="e">
        <f>#REF!</f>
        <v>#REF!</v>
      </c>
      <c r="AO39" s="89" t="e">
        <f>#REF!</f>
        <v>#REF!</v>
      </c>
      <c r="AP39" s="89" t="e">
        <f>#REF!</f>
        <v>#REF!</v>
      </c>
      <c r="AQ39" s="89" t="e">
        <f>#REF!</f>
        <v>#REF!</v>
      </c>
      <c r="AR39" s="89" t="e">
        <f>#REF!</f>
        <v>#REF!</v>
      </c>
      <c r="AS39" s="89" t="e">
        <f>#REF!</f>
        <v>#REF!</v>
      </c>
      <c r="AT39" s="89" t="e">
        <f>#REF!</f>
        <v>#REF!</v>
      </c>
      <c r="AU39" s="89" t="e">
        <f>#REF!</f>
        <v>#REF!</v>
      </c>
      <c r="AV39" s="89" t="e">
        <f>#REF!</f>
        <v>#REF!</v>
      </c>
      <c r="AW39" s="89" t="e">
        <f>#REF!</f>
        <v>#REF!</v>
      </c>
      <c r="AX39" s="89" t="e">
        <f>#REF!</f>
        <v>#REF!</v>
      </c>
      <c r="AY39" s="89" t="e">
        <f>#REF!</f>
        <v>#REF!</v>
      </c>
      <c r="AZ39" s="89" t="e">
        <f>#REF!</f>
        <v>#REF!</v>
      </c>
      <c r="BA39" s="89" t="e">
        <f>#REF!</f>
        <v>#REF!</v>
      </c>
      <c r="BB39" s="89" t="e">
        <f>#REF!</f>
        <v>#REF!</v>
      </c>
      <c r="BC39" s="89" t="e">
        <f>#REF!</f>
        <v>#REF!</v>
      </c>
      <c r="BD39" s="89" t="e">
        <f>#REF!</f>
        <v>#REF!</v>
      </c>
      <c r="BE39" s="89" t="e">
        <f>#REF!</f>
        <v>#REF!</v>
      </c>
      <c r="BF39" s="89" t="e">
        <f>#REF!</f>
        <v>#REF!</v>
      </c>
    </row>
    <row r="40" spans="9:58" x14ac:dyDescent="0.25">
      <c r="I40" s="89">
        <f>ABCD!J89</f>
        <v>9</v>
      </c>
      <c r="J40" s="89">
        <f>ABCD!K89</f>
        <v>29.52</v>
      </c>
      <c r="K40" s="89">
        <f>ABCD!L89</f>
        <v>2.113474529581242</v>
      </c>
      <c r="L40" s="89">
        <f>ABCD!M89</f>
        <v>0.32405143697441652</v>
      </c>
      <c r="M40" s="89">
        <f>ABCD!N89</f>
        <v>2.1381730334549252</v>
      </c>
      <c r="N40" s="89" t="e">
        <v>#REF!</v>
      </c>
      <c r="O40" s="89" t="e">
        <v>#REF!</v>
      </c>
      <c r="P40" s="89" t="e">
        <v>#REF!</v>
      </c>
      <c r="Q40" s="89" t="e">
        <v>#REF!</v>
      </c>
      <c r="R40" s="89" t="e">
        <v>#REF!</v>
      </c>
      <c r="S40" s="89" t="e">
        <f>#REF!</f>
        <v>#REF!</v>
      </c>
      <c r="T40" s="89" t="e">
        <f>#REF!</f>
        <v>#REF!</v>
      </c>
      <c r="U40" s="89" t="e">
        <f>#REF!</f>
        <v>#REF!</v>
      </c>
      <c r="V40" s="89" t="e">
        <f>#REF!</f>
        <v>#REF!</v>
      </c>
      <c r="W40" s="89" t="e">
        <f>#REF!</f>
        <v>#REF!</v>
      </c>
      <c r="X40" s="89" t="e">
        <f>#REF!</f>
        <v>#REF!</v>
      </c>
      <c r="Y40" s="89" t="e">
        <f>#REF!</f>
        <v>#REF!</v>
      </c>
      <c r="Z40" s="89" t="e">
        <f>#REF!</f>
        <v>#REF!</v>
      </c>
      <c r="AA40" s="89" t="e">
        <f>#REF!</f>
        <v>#REF!</v>
      </c>
      <c r="AB40" s="89" t="e">
        <f>#REF!</f>
        <v>#REF!</v>
      </c>
      <c r="AC40" s="89" t="e">
        <f>#REF!</f>
        <v>#REF!</v>
      </c>
      <c r="AD40" s="89" t="e">
        <f>#REF!</f>
        <v>#REF!</v>
      </c>
      <c r="AE40" s="89" t="e">
        <f>#REF!</f>
        <v>#REF!</v>
      </c>
      <c r="AF40" s="89" t="e">
        <f>#REF!</f>
        <v>#REF!</v>
      </c>
      <c r="AG40" s="89" t="e">
        <f>#REF!</f>
        <v>#REF!</v>
      </c>
      <c r="AH40" s="89" t="e">
        <f>#REF!</f>
        <v>#REF!</v>
      </c>
      <c r="AI40" s="89" t="e">
        <f>#REF!</f>
        <v>#REF!</v>
      </c>
      <c r="AJ40" s="89" t="e">
        <f>#REF!</f>
        <v>#REF!</v>
      </c>
      <c r="AK40" s="89" t="e">
        <f>#REF!</f>
        <v>#REF!</v>
      </c>
      <c r="AL40" s="89" t="e">
        <f>#REF!</f>
        <v>#REF!</v>
      </c>
      <c r="AM40" s="89" t="e">
        <f>#REF!</f>
        <v>#REF!</v>
      </c>
      <c r="AN40" s="89" t="e">
        <f>#REF!</f>
        <v>#REF!</v>
      </c>
      <c r="AO40" s="89" t="e">
        <f>#REF!</f>
        <v>#REF!</v>
      </c>
      <c r="AP40" s="89" t="e">
        <f>#REF!</f>
        <v>#REF!</v>
      </c>
      <c r="AQ40" s="89" t="e">
        <f>#REF!</f>
        <v>#REF!</v>
      </c>
      <c r="AR40" s="89" t="e">
        <f>#REF!</f>
        <v>#REF!</v>
      </c>
      <c r="AS40" s="89" t="e">
        <f>#REF!</f>
        <v>#REF!</v>
      </c>
      <c r="AT40" s="89" t="e">
        <f>#REF!</f>
        <v>#REF!</v>
      </c>
      <c r="AU40" s="89" t="e">
        <f>#REF!</f>
        <v>#REF!</v>
      </c>
      <c r="AV40" s="89" t="e">
        <f>#REF!</f>
        <v>#REF!</v>
      </c>
      <c r="AW40" s="89" t="e">
        <f>#REF!</f>
        <v>#REF!</v>
      </c>
      <c r="AX40" s="89" t="e">
        <f>#REF!</f>
        <v>#REF!</v>
      </c>
      <c r="AY40" s="89" t="e">
        <f>#REF!</f>
        <v>#REF!</v>
      </c>
      <c r="AZ40" s="89" t="e">
        <f>#REF!</f>
        <v>#REF!</v>
      </c>
      <c r="BA40" s="89" t="e">
        <f>#REF!</f>
        <v>#REF!</v>
      </c>
      <c r="BB40" s="89" t="e">
        <f>#REF!</f>
        <v>#REF!</v>
      </c>
      <c r="BC40" s="89" t="e">
        <f>#REF!</f>
        <v>#REF!</v>
      </c>
      <c r="BD40" s="89" t="e">
        <f>#REF!</f>
        <v>#REF!</v>
      </c>
      <c r="BE40" s="89" t="e">
        <f>#REF!</f>
        <v>#REF!</v>
      </c>
      <c r="BF40" s="89" t="e">
        <f>#REF!</f>
        <v>#REF!</v>
      </c>
    </row>
    <row r="41" spans="9:58" x14ac:dyDescent="0.25">
      <c r="I41" s="89">
        <f>ABCD!J90</f>
        <v>9.25</v>
      </c>
      <c r="J41" s="89">
        <f>ABCD!K90</f>
        <v>30.34</v>
      </c>
      <c r="K41" s="89">
        <f>ABCD!L90</f>
        <v>2.2123505664411698</v>
      </c>
      <c r="L41" s="89">
        <f>ABCD!M90</f>
        <v>0.34237647397067406</v>
      </c>
      <c r="M41" s="89">
        <f>ABCD!N90</f>
        <v>2.2386863734702001</v>
      </c>
      <c r="N41" s="89" t="e">
        <v>#REF!</v>
      </c>
      <c r="O41" s="89" t="e">
        <v>#REF!</v>
      </c>
      <c r="P41" s="89" t="e">
        <v>#REF!</v>
      </c>
      <c r="Q41" s="89" t="e">
        <v>#REF!</v>
      </c>
      <c r="R41" s="89" t="e">
        <v>#REF!</v>
      </c>
      <c r="S41" s="89" t="e">
        <f>#REF!</f>
        <v>#REF!</v>
      </c>
      <c r="T41" s="89" t="e">
        <f>#REF!</f>
        <v>#REF!</v>
      </c>
      <c r="U41" s="89" t="e">
        <f>#REF!</f>
        <v>#REF!</v>
      </c>
      <c r="V41" s="89" t="e">
        <f>#REF!</f>
        <v>#REF!</v>
      </c>
      <c r="W41" s="89" t="e">
        <f>#REF!</f>
        <v>#REF!</v>
      </c>
      <c r="X41" s="89" t="e">
        <f>#REF!</f>
        <v>#REF!</v>
      </c>
      <c r="Y41" s="89" t="e">
        <f>#REF!</f>
        <v>#REF!</v>
      </c>
      <c r="Z41" s="89" t="e">
        <f>#REF!</f>
        <v>#REF!</v>
      </c>
      <c r="AA41" s="89" t="e">
        <f>#REF!</f>
        <v>#REF!</v>
      </c>
      <c r="AB41" s="89" t="e">
        <f>#REF!</f>
        <v>#REF!</v>
      </c>
      <c r="AC41" s="89" t="e">
        <f>#REF!</f>
        <v>#REF!</v>
      </c>
      <c r="AD41" s="89" t="e">
        <f>#REF!</f>
        <v>#REF!</v>
      </c>
      <c r="AE41" s="89" t="e">
        <f>#REF!</f>
        <v>#REF!</v>
      </c>
      <c r="AF41" s="89" t="e">
        <f>#REF!</f>
        <v>#REF!</v>
      </c>
      <c r="AG41" s="89" t="e">
        <f>#REF!</f>
        <v>#REF!</v>
      </c>
      <c r="AH41" s="89" t="e">
        <f>#REF!</f>
        <v>#REF!</v>
      </c>
      <c r="AI41" s="89" t="e">
        <f>#REF!</f>
        <v>#REF!</v>
      </c>
      <c r="AJ41" s="89" t="e">
        <f>#REF!</f>
        <v>#REF!</v>
      </c>
      <c r="AK41" s="89" t="e">
        <f>#REF!</f>
        <v>#REF!</v>
      </c>
      <c r="AL41" s="89" t="e">
        <f>#REF!</f>
        <v>#REF!</v>
      </c>
      <c r="AM41" s="89" t="e">
        <f>#REF!</f>
        <v>#REF!</v>
      </c>
      <c r="AN41" s="89" t="e">
        <f>#REF!</f>
        <v>#REF!</v>
      </c>
      <c r="AO41" s="89" t="e">
        <f>#REF!</f>
        <v>#REF!</v>
      </c>
      <c r="AP41" s="89" t="e">
        <f>#REF!</f>
        <v>#REF!</v>
      </c>
      <c r="AQ41" s="89" t="e">
        <f>#REF!</f>
        <v>#REF!</v>
      </c>
      <c r="AR41" s="89" t="e">
        <f>#REF!</f>
        <v>#REF!</v>
      </c>
      <c r="AS41" s="89" t="e">
        <f>#REF!</f>
        <v>#REF!</v>
      </c>
      <c r="AT41" s="89" t="e">
        <f>#REF!</f>
        <v>#REF!</v>
      </c>
      <c r="AU41" s="89" t="e">
        <f>#REF!</f>
        <v>#REF!</v>
      </c>
      <c r="AV41" s="89" t="e">
        <f>#REF!</f>
        <v>#REF!</v>
      </c>
      <c r="AW41" s="89" t="e">
        <f>#REF!</f>
        <v>#REF!</v>
      </c>
      <c r="AX41" s="89" t="e">
        <f>#REF!</f>
        <v>#REF!</v>
      </c>
      <c r="AY41" s="89" t="e">
        <f>#REF!</f>
        <v>#REF!</v>
      </c>
      <c r="AZ41" s="89" t="e">
        <f>#REF!</f>
        <v>#REF!</v>
      </c>
      <c r="BA41" s="89" t="e">
        <f>#REF!</f>
        <v>#REF!</v>
      </c>
      <c r="BB41" s="89" t="e">
        <f>#REF!</f>
        <v>#REF!</v>
      </c>
      <c r="BC41" s="89" t="e">
        <f>#REF!</f>
        <v>#REF!</v>
      </c>
      <c r="BD41" s="89" t="e">
        <f>#REF!</f>
        <v>#REF!</v>
      </c>
      <c r="BE41" s="89" t="e">
        <f>#REF!</f>
        <v>#REF!</v>
      </c>
      <c r="BF41" s="89" t="e">
        <f>#REF!</f>
        <v>#REF!</v>
      </c>
    </row>
    <row r="42" spans="9:58" x14ac:dyDescent="0.25">
      <c r="I42" s="89">
        <f>ABCD!J91</f>
        <v>9.5</v>
      </c>
      <c r="J42" s="89">
        <f>ABCD!K91</f>
        <v>31.159999999999997</v>
      </c>
      <c r="K42" s="89">
        <f>ABCD!L91</f>
        <v>2.3106269535162975</v>
      </c>
      <c r="L42" s="89">
        <f>ABCD!M91</f>
        <v>0.36060599129953053</v>
      </c>
      <c r="M42" s="89">
        <f>ABCD!N91</f>
        <v>2.3385965020236226</v>
      </c>
      <c r="N42" s="89" t="e">
        <v>#REF!</v>
      </c>
      <c r="O42" s="89" t="e">
        <v>#REF!</v>
      </c>
      <c r="P42" s="89" t="e">
        <v>#REF!</v>
      </c>
      <c r="Q42" s="89" t="e">
        <v>#REF!</v>
      </c>
      <c r="R42" s="89" t="e">
        <v>#REF!</v>
      </c>
      <c r="S42" s="89" t="e">
        <f>#REF!</f>
        <v>#REF!</v>
      </c>
      <c r="T42" s="89" t="e">
        <f>#REF!</f>
        <v>#REF!</v>
      </c>
      <c r="U42" s="89" t="e">
        <f>#REF!</f>
        <v>#REF!</v>
      </c>
      <c r="V42" s="89" t="e">
        <f>#REF!</f>
        <v>#REF!</v>
      </c>
      <c r="W42" s="89" t="e">
        <f>#REF!</f>
        <v>#REF!</v>
      </c>
      <c r="X42" s="89" t="e">
        <f>#REF!</f>
        <v>#REF!</v>
      </c>
      <c r="Y42" s="89" t="e">
        <f>#REF!</f>
        <v>#REF!</v>
      </c>
      <c r="Z42" s="89" t="e">
        <f>#REF!</f>
        <v>#REF!</v>
      </c>
      <c r="AA42" s="89" t="e">
        <f>#REF!</f>
        <v>#REF!</v>
      </c>
      <c r="AB42" s="89" t="e">
        <f>#REF!</f>
        <v>#REF!</v>
      </c>
      <c r="AC42" s="89" t="e">
        <f>#REF!</f>
        <v>#REF!</v>
      </c>
      <c r="AD42" s="89" t="e">
        <f>#REF!</f>
        <v>#REF!</v>
      </c>
      <c r="AE42" s="89" t="e">
        <f>#REF!</f>
        <v>#REF!</v>
      </c>
      <c r="AF42" s="89" t="e">
        <f>#REF!</f>
        <v>#REF!</v>
      </c>
      <c r="AG42" s="89" t="e">
        <f>#REF!</f>
        <v>#REF!</v>
      </c>
      <c r="AH42" s="89" t="e">
        <f>#REF!</f>
        <v>#REF!</v>
      </c>
      <c r="AI42" s="89" t="e">
        <f>#REF!</f>
        <v>#REF!</v>
      </c>
      <c r="AJ42" s="89" t="e">
        <f>#REF!</f>
        <v>#REF!</v>
      </c>
      <c r="AK42" s="89" t="e">
        <f>#REF!</f>
        <v>#REF!</v>
      </c>
      <c r="AL42" s="89" t="e">
        <f>#REF!</f>
        <v>#REF!</v>
      </c>
      <c r="AM42" s="89" t="e">
        <f>#REF!</f>
        <v>#REF!</v>
      </c>
      <c r="AN42" s="89" t="e">
        <f>#REF!</f>
        <v>#REF!</v>
      </c>
      <c r="AO42" s="89" t="e">
        <f>#REF!</f>
        <v>#REF!</v>
      </c>
      <c r="AP42" s="89" t="e">
        <f>#REF!</f>
        <v>#REF!</v>
      </c>
      <c r="AQ42" s="89" t="e">
        <f>#REF!</f>
        <v>#REF!</v>
      </c>
      <c r="AR42" s="89" t="e">
        <f>#REF!</f>
        <v>#REF!</v>
      </c>
      <c r="AS42" s="89" t="e">
        <f>#REF!</f>
        <v>#REF!</v>
      </c>
      <c r="AT42" s="89" t="e">
        <f>#REF!</f>
        <v>#REF!</v>
      </c>
      <c r="AU42" s="89" t="e">
        <f>#REF!</f>
        <v>#REF!</v>
      </c>
      <c r="AV42" s="89" t="e">
        <f>#REF!</f>
        <v>#REF!</v>
      </c>
      <c r="AW42" s="89" t="e">
        <f>#REF!</f>
        <v>#REF!</v>
      </c>
      <c r="AX42" s="89" t="e">
        <f>#REF!</f>
        <v>#REF!</v>
      </c>
      <c r="AY42" s="89" t="e">
        <f>#REF!</f>
        <v>#REF!</v>
      </c>
      <c r="AZ42" s="89" t="e">
        <f>#REF!</f>
        <v>#REF!</v>
      </c>
      <c r="BA42" s="89" t="e">
        <f>#REF!</f>
        <v>#REF!</v>
      </c>
      <c r="BB42" s="89" t="e">
        <f>#REF!</f>
        <v>#REF!</v>
      </c>
      <c r="BC42" s="89" t="e">
        <f>#REF!</f>
        <v>#REF!</v>
      </c>
      <c r="BD42" s="89" t="e">
        <f>#REF!</f>
        <v>#REF!</v>
      </c>
      <c r="BE42" s="89" t="e">
        <f>#REF!</f>
        <v>#REF!</v>
      </c>
      <c r="BF42" s="89" t="e">
        <f>#REF!</f>
        <v>#REF!</v>
      </c>
    </row>
    <row r="43" spans="9:58" x14ac:dyDescent="0.25">
      <c r="I43" s="89">
        <f>ABCD!J92</f>
        <v>9.75</v>
      </c>
      <c r="J43" s="89">
        <f>ABCD!K92</f>
        <v>31.979999999999997</v>
      </c>
      <c r="K43" s="89">
        <f>ABCD!L92</f>
        <v>2.4082815440217495</v>
      </c>
      <c r="L43" s="89">
        <f>ABCD!M92</f>
        <v>0.3787358667686247</v>
      </c>
      <c r="M43" s="89">
        <f>ABCD!N92</f>
        <v>2.4378804015071709</v>
      </c>
      <c r="N43" s="89" t="e">
        <v>#REF!</v>
      </c>
      <c r="O43" s="89" t="e">
        <v>#REF!</v>
      </c>
      <c r="P43" s="89" t="e">
        <v>#REF!</v>
      </c>
      <c r="Q43" s="89" t="e">
        <v>#REF!</v>
      </c>
      <c r="R43" s="89" t="e">
        <v>#REF!</v>
      </c>
      <c r="S43" s="89" t="e">
        <f>#REF!</f>
        <v>#REF!</v>
      </c>
      <c r="T43" s="89" t="e">
        <f>#REF!</f>
        <v>#REF!</v>
      </c>
      <c r="U43" s="89" t="e">
        <f>#REF!</f>
        <v>#REF!</v>
      </c>
      <c r="V43" s="89" t="e">
        <f>#REF!</f>
        <v>#REF!</v>
      </c>
      <c r="W43" s="89" t="e">
        <f>#REF!</f>
        <v>#REF!</v>
      </c>
      <c r="X43" s="89" t="e">
        <f>#REF!</f>
        <v>#REF!</v>
      </c>
      <c r="Y43" s="89" t="e">
        <f>#REF!</f>
        <v>#REF!</v>
      </c>
      <c r="Z43" s="89" t="e">
        <f>#REF!</f>
        <v>#REF!</v>
      </c>
      <c r="AA43" s="89" t="e">
        <f>#REF!</f>
        <v>#REF!</v>
      </c>
      <c r="AB43" s="89" t="e">
        <f>#REF!</f>
        <v>#REF!</v>
      </c>
      <c r="AC43" s="89" t="e">
        <f>#REF!</f>
        <v>#REF!</v>
      </c>
      <c r="AD43" s="89" t="e">
        <f>#REF!</f>
        <v>#REF!</v>
      </c>
      <c r="AE43" s="89" t="e">
        <f>#REF!</f>
        <v>#REF!</v>
      </c>
      <c r="AF43" s="89" t="e">
        <f>#REF!</f>
        <v>#REF!</v>
      </c>
      <c r="AG43" s="89" t="e">
        <f>#REF!</f>
        <v>#REF!</v>
      </c>
      <c r="AH43" s="89" t="e">
        <f>#REF!</f>
        <v>#REF!</v>
      </c>
      <c r="AI43" s="89" t="e">
        <f>#REF!</f>
        <v>#REF!</v>
      </c>
      <c r="AJ43" s="89" t="e">
        <f>#REF!</f>
        <v>#REF!</v>
      </c>
      <c r="AK43" s="89" t="e">
        <f>#REF!</f>
        <v>#REF!</v>
      </c>
      <c r="AL43" s="89" t="e">
        <f>#REF!</f>
        <v>#REF!</v>
      </c>
      <c r="AM43" s="89" t="e">
        <f>#REF!</f>
        <v>#REF!</v>
      </c>
      <c r="AN43" s="89" t="e">
        <f>#REF!</f>
        <v>#REF!</v>
      </c>
      <c r="AO43" s="89" t="e">
        <f>#REF!</f>
        <v>#REF!</v>
      </c>
      <c r="AP43" s="89" t="e">
        <f>#REF!</f>
        <v>#REF!</v>
      </c>
      <c r="AQ43" s="89" t="e">
        <f>#REF!</f>
        <v>#REF!</v>
      </c>
      <c r="AR43" s="89" t="e">
        <f>#REF!</f>
        <v>#REF!</v>
      </c>
      <c r="AS43" s="89" t="e">
        <f>#REF!</f>
        <v>#REF!</v>
      </c>
      <c r="AT43" s="89" t="e">
        <f>#REF!</f>
        <v>#REF!</v>
      </c>
      <c r="AU43" s="89" t="e">
        <f>#REF!</f>
        <v>#REF!</v>
      </c>
      <c r="AV43" s="89" t="e">
        <f>#REF!</f>
        <v>#REF!</v>
      </c>
      <c r="AW43" s="89" t="e">
        <f>#REF!</f>
        <v>#REF!</v>
      </c>
      <c r="AX43" s="89" t="e">
        <f>#REF!</f>
        <v>#REF!</v>
      </c>
      <c r="AY43" s="89" t="e">
        <f>#REF!</f>
        <v>#REF!</v>
      </c>
      <c r="AZ43" s="89" t="e">
        <f>#REF!</f>
        <v>#REF!</v>
      </c>
      <c r="BA43" s="89" t="e">
        <f>#REF!</f>
        <v>#REF!</v>
      </c>
      <c r="BB43" s="89" t="e">
        <f>#REF!</f>
        <v>#REF!</v>
      </c>
      <c r="BC43" s="89" t="e">
        <f>#REF!</f>
        <v>#REF!</v>
      </c>
      <c r="BD43" s="89" t="e">
        <f>#REF!</f>
        <v>#REF!</v>
      </c>
      <c r="BE43" s="89" t="e">
        <f>#REF!</f>
        <v>#REF!</v>
      </c>
      <c r="BF43" s="89" t="e">
        <f>#REF!</f>
        <v>#REF!</v>
      </c>
    </row>
    <row r="44" spans="9:58" x14ac:dyDescent="0.25">
      <c r="I44" s="89">
        <f>ABCD!J93</f>
        <v>10</v>
      </c>
      <c r="J44" s="89">
        <f>ABCD!K93</f>
        <v>32.799999999999997</v>
      </c>
      <c r="K44" s="89">
        <f>ABCD!L93</f>
        <v>2.5052923546319756</v>
      </c>
      <c r="L44" s="89">
        <f>ABCD!M93</f>
        <v>0.39676200489533375</v>
      </c>
      <c r="M44" s="89">
        <f>ABCD!N93</f>
        <v>2.5365153007040964</v>
      </c>
      <c r="N44" s="89" t="e">
        <v>#REF!</v>
      </c>
      <c r="O44" s="89" t="e">
        <v>#REF!</v>
      </c>
      <c r="P44" s="89" t="e">
        <v>#REF!</v>
      </c>
      <c r="Q44" s="89" t="e">
        <v>#REF!</v>
      </c>
      <c r="R44" s="89" t="e">
        <v>#REF!</v>
      </c>
      <c r="S44" s="89" t="e">
        <f>#REF!</f>
        <v>#REF!</v>
      </c>
      <c r="T44" s="89" t="e">
        <f>#REF!</f>
        <v>#REF!</v>
      </c>
      <c r="U44" s="89" t="e">
        <f>#REF!</f>
        <v>#REF!</v>
      </c>
      <c r="V44" s="89" t="e">
        <f>#REF!</f>
        <v>#REF!</v>
      </c>
      <c r="W44" s="89" t="e">
        <f>#REF!</f>
        <v>#REF!</v>
      </c>
      <c r="X44" s="89" t="e">
        <f>#REF!</f>
        <v>#REF!</v>
      </c>
      <c r="Y44" s="89" t="e">
        <f>#REF!</f>
        <v>#REF!</v>
      </c>
      <c r="Z44" s="89" t="e">
        <f>#REF!</f>
        <v>#REF!</v>
      </c>
      <c r="AA44" s="89" t="e">
        <f>#REF!</f>
        <v>#REF!</v>
      </c>
      <c r="AB44" s="89" t="e">
        <f>#REF!</f>
        <v>#REF!</v>
      </c>
      <c r="AC44" s="89" t="e">
        <f>#REF!</f>
        <v>#REF!</v>
      </c>
      <c r="AD44" s="89" t="e">
        <f>#REF!</f>
        <v>#REF!</v>
      </c>
      <c r="AE44" s="89" t="e">
        <f>#REF!</f>
        <v>#REF!</v>
      </c>
      <c r="AF44" s="89" t="e">
        <f>#REF!</f>
        <v>#REF!</v>
      </c>
      <c r="AG44" s="89" t="e">
        <f>#REF!</f>
        <v>#REF!</v>
      </c>
      <c r="AH44" s="89" t="e">
        <f>#REF!</f>
        <v>#REF!</v>
      </c>
      <c r="AI44" s="89" t="e">
        <f>#REF!</f>
        <v>#REF!</v>
      </c>
      <c r="AJ44" s="89" t="e">
        <f>#REF!</f>
        <v>#REF!</v>
      </c>
      <c r="AK44" s="89" t="e">
        <f>#REF!</f>
        <v>#REF!</v>
      </c>
      <c r="AL44" s="89" t="e">
        <f>#REF!</f>
        <v>#REF!</v>
      </c>
      <c r="AM44" s="89" t="e">
        <f>#REF!</f>
        <v>#REF!</v>
      </c>
      <c r="AN44" s="89" t="e">
        <f>#REF!</f>
        <v>#REF!</v>
      </c>
      <c r="AO44" s="89" t="e">
        <f>#REF!</f>
        <v>#REF!</v>
      </c>
      <c r="AP44" s="89" t="e">
        <f>#REF!</f>
        <v>#REF!</v>
      </c>
      <c r="AQ44" s="89" t="e">
        <f>#REF!</f>
        <v>#REF!</v>
      </c>
      <c r="AR44" s="89" t="e">
        <f>#REF!</f>
        <v>#REF!</v>
      </c>
      <c r="AS44" s="89" t="e">
        <f>#REF!</f>
        <v>#REF!</v>
      </c>
      <c r="AT44" s="89" t="e">
        <f>#REF!</f>
        <v>#REF!</v>
      </c>
      <c r="AU44" s="89" t="e">
        <f>#REF!</f>
        <v>#REF!</v>
      </c>
      <c r="AV44" s="89" t="e">
        <f>#REF!</f>
        <v>#REF!</v>
      </c>
      <c r="AW44" s="89" t="e">
        <f>#REF!</f>
        <v>#REF!</v>
      </c>
      <c r="AX44" s="89" t="e">
        <f>#REF!</f>
        <v>#REF!</v>
      </c>
      <c r="AY44" s="89" t="e">
        <f>#REF!</f>
        <v>#REF!</v>
      </c>
      <c r="AZ44" s="89" t="e">
        <f>#REF!</f>
        <v>#REF!</v>
      </c>
      <c r="BA44" s="89" t="e">
        <f>#REF!</f>
        <v>#REF!</v>
      </c>
      <c r="BB44" s="89" t="e">
        <f>#REF!</f>
        <v>#REF!</v>
      </c>
      <c r="BC44" s="89" t="e">
        <f>#REF!</f>
        <v>#REF!</v>
      </c>
      <c r="BD44" s="89" t="e">
        <f>#REF!</f>
        <v>#REF!</v>
      </c>
      <c r="BE44" s="89" t="e">
        <f>#REF!</f>
        <v>#REF!</v>
      </c>
      <c r="BF44" s="89" t="e">
        <f>#REF!</f>
        <v>#REF!</v>
      </c>
    </row>
    <row r="45" spans="9:58" x14ac:dyDescent="0.25">
      <c r="I45" s="89">
        <f>ABCD!J94</f>
        <v>10.25</v>
      </c>
      <c r="J45" s="89">
        <f>ABCD!K94</f>
        <v>33.619999999999997</v>
      </c>
      <c r="K45" s="89">
        <f>ABCD!L94</f>
        <v>2.6016375704083594</v>
      </c>
      <c r="L45" s="89">
        <f>ABCD!M94</f>
        <v>0.41468033782814873</v>
      </c>
      <c r="M45" s="89">
        <f>ABCD!N94</f>
        <v>2.6344786638615201</v>
      </c>
      <c r="N45" s="89" t="e">
        <v>#REF!</v>
      </c>
      <c r="O45" s="89" t="e">
        <v>#REF!</v>
      </c>
      <c r="P45" s="89" t="e">
        <v>#REF!</v>
      </c>
      <c r="Q45" s="89" t="e">
        <v>#REF!</v>
      </c>
      <c r="R45" s="89" t="e">
        <v>#REF!</v>
      </c>
      <c r="S45" s="89" t="e">
        <f>#REF!</f>
        <v>#REF!</v>
      </c>
      <c r="T45" s="89" t="e">
        <f>#REF!</f>
        <v>#REF!</v>
      </c>
      <c r="U45" s="89" t="e">
        <f>#REF!</f>
        <v>#REF!</v>
      </c>
      <c r="V45" s="89" t="e">
        <f>#REF!</f>
        <v>#REF!</v>
      </c>
      <c r="W45" s="89" t="e">
        <f>#REF!</f>
        <v>#REF!</v>
      </c>
      <c r="X45" s="89" t="e">
        <f>#REF!</f>
        <v>#REF!</v>
      </c>
      <c r="Y45" s="89" t="e">
        <f>#REF!</f>
        <v>#REF!</v>
      </c>
      <c r="Z45" s="89" t="e">
        <f>#REF!</f>
        <v>#REF!</v>
      </c>
      <c r="AA45" s="89" t="e">
        <f>#REF!</f>
        <v>#REF!</v>
      </c>
      <c r="AB45" s="89" t="e">
        <f>#REF!</f>
        <v>#REF!</v>
      </c>
      <c r="AC45" s="89" t="e">
        <f>#REF!</f>
        <v>#REF!</v>
      </c>
      <c r="AD45" s="89" t="e">
        <f>#REF!</f>
        <v>#REF!</v>
      </c>
      <c r="AE45" s="89" t="e">
        <f>#REF!</f>
        <v>#REF!</v>
      </c>
      <c r="AF45" s="89" t="e">
        <f>#REF!</f>
        <v>#REF!</v>
      </c>
      <c r="AG45" s="89" t="e">
        <f>#REF!</f>
        <v>#REF!</v>
      </c>
      <c r="AH45" s="89" t="e">
        <f>#REF!</f>
        <v>#REF!</v>
      </c>
      <c r="AI45" s="89" t="e">
        <f>#REF!</f>
        <v>#REF!</v>
      </c>
      <c r="AJ45" s="89" t="e">
        <f>#REF!</f>
        <v>#REF!</v>
      </c>
      <c r="AK45" s="89" t="e">
        <f>#REF!</f>
        <v>#REF!</v>
      </c>
      <c r="AL45" s="89" t="e">
        <f>#REF!</f>
        <v>#REF!</v>
      </c>
      <c r="AM45" s="89" t="e">
        <f>#REF!</f>
        <v>#REF!</v>
      </c>
      <c r="AN45" s="89" t="e">
        <f>#REF!</f>
        <v>#REF!</v>
      </c>
      <c r="AO45" s="89" t="e">
        <f>#REF!</f>
        <v>#REF!</v>
      </c>
      <c r="AP45" s="89" t="e">
        <f>#REF!</f>
        <v>#REF!</v>
      </c>
      <c r="AQ45" s="89" t="e">
        <f>#REF!</f>
        <v>#REF!</v>
      </c>
      <c r="AR45" s="89" t="e">
        <f>#REF!</f>
        <v>#REF!</v>
      </c>
      <c r="AS45" s="89" t="e">
        <f>#REF!</f>
        <v>#REF!</v>
      </c>
      <c r="AT45" s="89" t="e">
        <f>#REF!</f>
        <v>#REF!</v>
      </c>
      <c r="AU45" s="89" t="e">
        <f>#REF!</f>
        <v>#REF!</v>
      </c>
      <c r="AV45" s="89" t="e">
        <f>#REF!</f>
        <v>#REF!</v>
      </c>
      <c r="AW45" s="89" t="e">
        <f>#REF!</f>
        <v>#REF!</v>
      </c>
      <c r="AX45" s="89" t="e">
        <f>#REF!</f>
        <v>#REF!</v>
      </c>
      <c r="AY45" s="89" t="e">
        <f>#REF!</f>
        <v>#REF!</v>
      </c>
      <c r="AZ45" s="89" t="e">
        <f>#REF!</f>
        <v>#REF!</v>
      </c>
      <c r="BA45" s="89" t="e">
        <f>#REF!</f>
        <v>#REF!</v>
      </c>
      <c r="BB45" s="89" t="e">
        <f>#REF!</f>
        <v>#REF!</v>
      </c>
      <c r="BC45" s="89" t="e">
        <f>#REF!</f>
        <v>#REF!</v>
      </c>
      <c r="BD45" s="89" t="e">
        <f>#REF!</f>
        <v>#REF!</v>
      </c>
      <c r="BE45" s="89" t="e">
        <f>#REF!</f>
        <v>#REF!</v>
      </c>
      <c r="BF45" s="89" t="e">
        <f>#REF!</f>
        <v>#REF!</v>
      </c>
    </row>
    <row r="46" spans="9:58" x14ac:dyDescent="0.25">
      <c r="I46" s="89">
        <f>ABCD!J95</f>
        <v>10.5</v>
      </c>
      <c r="J46" s="89">
        <f>ABCD!K95</f>
        <v>34.44</v>
      </c>
      <c r="K46" s="89">
        <f>ABCD!L95</f>
        <v>2.6972955496835258</v>
      </c>
      <c r="L46" s="89">
        <f>ABCD!M95</f>
        <v>0.43248682626084944</v>
      </c>
      <c r="M46" s="89">
        <f>ABCD!N95</f>
        <v>2.731748183349215</v>
      </c>
      <c r="N46" s="89" t="e">
        <v>#REF!</v>
      </c>
      <c r="O46" s="89" t="e">
        <v>#REF!</v>
      </c>
      <c r="P46" s="89" t="e">
        <v>#REF!</v>
      </c>
      <c r="Q46" s="89" t="e">
        <v>#REF!</v>
      </c>
      <c r="R46" s="89" t="e">
        <v>#REF!</v>
      </c>
      <c r="S46" s="89" t="e">
        <f>#REF!</f>
        <v>#REF!</v>
      </c>
      <c r="T46" s="89" t="e">
        <f>#REF!</f>
        <v>#REF!</v>
      </c>
      <c r="U46" s="89" t="e">
        <f>#REF!</f>
        <v>#REF!</v>
      </c>
      <c r="V46" s="89" t="e">
        <f>#REF!</f>
        <v>#REF!</v>
      </c>
      <c r="W46" s="89" t="e">
        <f>#REF!</f>
        <v>#REF!</v>
      </c>
      <c r="X46" s="89" t="e">
        <f>#REF!</f>
        <v>#REF!</v>
      </c>
      <c r="Y46" s="89" t="e">
        <f>#REF!</f>
        <v>#REF!</v>
      </c>
      <c r="Z46" s="89" t="e">
        <f>#REF!</f>
        <v>#REF!</v>
      </c>
      <c r="AA46" s="89" t="e">
        <f>#REF!</f>
        <v>#REF!</v>
      </c>
      <c r="AB46" s="89" t="e">
        <f>#REF!</f>
        <v>#REF!</v>
      </c>
      <c r="AC46" s="89" t="e">
        <f>#REF!</f>
        <v>#REF!</v>
      </c>
      <c r="AD46" s="89" t="e">
        <f>#REF!</f>
        <v>#REF!</v>
      </c>
      <c r="AE46" s="89" t="e">
        <f>#REF!</f>
        <v>#REF!</v>
      </c>
      <c r="AF46" s="89" t="e">
        <f>#REF!</f>
        <v>#REF!</v>
      </c>
      <c r="AG46" s="89" t="e">
        <f>#REF!</f>
        <v>#REF!</v>
      </c>
      <c r="AH46" s="89" t="e">
        <f>#REF!</f>
        <v>#REF!</v>
      </c>
      <c r="AI46" s="89" t="e">
        <f>#REF!</f>
        <v>#REF!</v>
      </c>
      <c r="AJ46" s="89" t="e">
        <f>#REF!</f>
        <v>#REF!</v>
      </c>
      <c r="AK46" s="89" t="e">
        <f>#REF!</f>
        <v>#REF!</v>
      </c>
      <c r="AL46" s="89" t="e">
        <f>#REF!</f>
        <v>#REF!</v>
      </c>
      <c r="AM46" s="89" t="e">
        <f>#REF!</f>
        <v>#REF!</v>
      </c>
      <c r="AN46" s="89" t="e">
        <f>#REF!</f>
        <v>#REF!</v>
      </c>
      <c r="AO46" s="89" t="e">
        <f>#REF!</f>
        <v>#REF!</v>
      </c>
      <c r="AP46" s="89" t="e">
        <f>#REF!</f>
        <v>#REF!</v>
      </c>
      <c r="AQ46" s="89" t="e">
        <f>#REF!</f>
        <v>#REF!</v>
      </c>
      <c r="AR46" s="89" t="e">
        <f>#REF!</f>
        <v>#REF!</v>
      </c>
      <c r="AS46" s="89" t="e">
        <f>#REF!</f>
        <v>#REF!</v>
      </c>
      <c r="AT46" s="89" t="e">
        <f>#REF!</f>
        <v>#REF!</v>
      </c>
      <c r="AU46" s="89" t="e">
        <f>#REF!</f>
        <v>#REF!</v>
      </c>
      <c r="AV46" s="89" t="e">
        <f>#REF!</f>
        <v>#REF!</v>
      </c>
      <c r="AW46" s="89" t="e">
        <f>#REF!</f>
        <v>#REF!</v>
      </c>
      <c r="AX46" s="89" t="e">
        <f>#REF!</f>
        <v>#REF!</v>
      </c>
      <c r="AY46" s="89" t="e">
        <f>#REF!</f>
        <v>#REF!</v>
      </c>
      <c r="AZ46" s="89" t="e">
        <f>#REF!</f>
        <v>#REF!</v>
      </c>
      <c r="BA46" s="89" t="e">
        <f>#REF!</f>
        <v>#REF!</v>
      </c>
      <c r="BB46" s="89" t="e">
        <f>#REF!</f>
        <v>#REF!</v>
      </c>
      <c r="BC46" s="89" t="e">
        <f>#REF!</f>
        <v>#REF!</v>
      </c>
      <c r="BD46" s="89" t="e">
        <f>#REF!</f>
        <v>#REF!</v>
      </c>
      <c r="BE46" s="89" t="e">
        <f>#REF!</f>
        <v>#REF!</v>
      </c>
      <c r="BF46" s="89" t="e">
        <f>#REF!</f>
        <v>#REF!</v>
      </c>
    </row>
    <row r="47" spans="9:58" x14ac:dyDescent="0.25">
      <c r="I47" s="89">
        <f>ABCD!J96</f>
        <v>10.75</v>
      </c>
      <c r="J47" s="89">
        <f>ABCD!K96</f>
        <v>35.26</v>
      </c>
      <c r="K47" s="89">
        <f>ABCD!L96</f>
        <v>2.7922448289012523</v>
      </c>
      <c r="L47" s="89">
        <f>ABCD!M96</f>
        <v>0.45017746033926098</v>
      </c>
      <c r="M47" s="89">
        <f>ABCD!N96</f>
        <v>2.8283017749743911</v>
      </c>
      <c r="N47" s="89" t="e">
        <v>#REF!</v>
      </c>
      <c r="O47" s="89" t="e">
        <v>#REF!</v>
      </c>
      <c r="P47" s="89" t="e">
        <v>#REF!</v>
      </c>
      <c r="Q47" s="89" t="e">
        <v>#REF!</v>
      </c>
      <c r="R47" s="89" t="e">
        <v>#REF!</v>
      </c>
      <c r="S47" s="89" t="e">
        <f>#REF!</f>
        <v>#REF!</v>
      </c>
      <c r="T47" s="89" t="e">
        <f>#REF!</f>
        <v>#REF!</v>
      </c>
      <c r="U47" s="89" t="e">
        <f>#REF!</f>
        <v>#REF!</v>
      </c>
      <c r="V47" s="89" t="e">
        <f>#REF!</f>
        <v>#REF!</v>
      </c>
      <c r="W47" s="89" t="e">
        <f>#REF!</f>
        <v>#REF!</v>
      </c>
      <c r="X47" s="89" t="e">
        <f>#REF!</f>
        <v>#REF!</v>
      </c>
      <c r="Y47" s="89" t="e">
        <f>#REF!</f>
        <v>#REF!</v>
      </c>
      <c r="Z47" s="89" t="e">
        <f>#REF!</f>
        <v>#REF!</v>
      </c>
      <c r="AA47" s="89" t="e">
        <f>#REF!</f>
        <v>#REF!</v>
      </c>
      <c r="AB47" s="89" t="e">
        <f>#REF!</f>
        <v>#REF!</v>
      </c>
      <c r="AC47" s="89" t="e">
        <f>#REF!</f>
        <v>#REF!</v>
      </c>
      <c r="AD47" s="89" t="e">
        <f>#REF!</f>
        <v>#REF!</v>
      </c>
      <c r="AE47" s="89" t="e">
        <f>#REF!</f>
        <v>#REF!</v>
      </c>
      <c r="AF47" s="89" t="e">
        <f>#REF!</f>
        <v>#REF!</v>
      </c>
      <c r="AG47" s="89" t="e">
        <f>#REF!</f>
        <v>#REF!</v>
      </c>
      <c r="AH47" s="89" t="e">
        <f>#REF!</f>
        <v>#REF!</v>
      </c>
      <c r="AI47" s="89" t="e">
        <f>#REF!</f>
        <v>#REF!</v>
      </c>
      <c r="AJ47" s="89" t="e">
        <f>#REF!</f>
        <v>#REF!</v>
      </c>
      <c r="AK47" s="89" t="e">
        <f>#REF!</f>
        <v>#REF!</v>
      </c>
      <c r="AL47" s="89" t="e">
        <f>#REF!</f>
        <v>#REF!</v>
      </c>
      <c r="AM47" s="89" t="e">
        <f>#REF!</f>
        <v>#REF!</v>
      </c>
      <c r="AN47" s="89" t="e">
        <f>#REF!</f>
        <v>#REF!</v>
      </c>
      <c r="AO47" s="89" t="e">
        <f>#REF!</f>
        <v>#REF!</v>
      </c>
      <c r="AP47" s="89" t="e">
        <f>#REF!</f>
        <v>#REF!</v>
      </c>
      <c r="AQ47" s="89" t="e">
        <f>#REF!</f>
        <v>#REF!</v>
      </c>
      <c r="AR47" s="89" t="e">
        <f>#REF!</f>
        <v>#REF!</v>
      </c>
      <c r="AS47" s="89" t="e">
        <f>#REF!</f>
        <v>#REF!</v>
      </c>
      <c r="AT47" s="89" t="e">
        <f>#REF!</f>
        <v>#REF!</v>
      </c>
      <c r="AU47" s="89" t="e">
        <f>#REF!</f>
        <v>#REF!</v>
      </c>
      <c r="AV47" s="89" t="e">
        <f>#REF!</f>
        <v>#REF!</v>
      </c>
      <c r="AW47" s="89" t="e">
        <f>#REF!</f>
        <v>#REF!</v>
      </c>
      <c r="AX47" s="89" t="e">
        <f>#REF!</f>
        <v>#REF!</v>
      </c>
      <c r="AY47" s="89" t="e">
        <f>#REF!</f>
        <v>#REF!</v>
      </c>
      <c r="AZ47" s="89" t="e">
        <f>#REF!</f>
        <v>#REF!</v>
      </c>
      <c r="BA47" s="89" t="e">
        <f>#REF!</f>
        <v>#REF!</v>
      </c>
      <c r="BB47" s="89" t="e">
        <f>#REF!</f>
        <v>#REF!</v>
      </c>
      <c r="BC47" s="89" t="e">
        <f>#REF!</f>
        <v>#REF!</v>
      </c>
      <c r="BD47" s="89" t="e">
        <f>#REF!</f>
        <v>#REF!</v>
      </c>
      <c r="BE47" s="89" t="e">
        <f>#REF!</f>
        <v>#REF!</v>
      </c>
      <c r="BF47" s="89" t="e">
        <f>#REF!</f>
        <v>#REF!</v>
      </c>
    </row>
    <row r="48" spans="9:58" x14ac:dyDescent="0.25">
      <c r="I48" s="89">
        <f>ABCD!J97</f>
        <v>11</v>
      </c>
      <c r="J48" s="89">
        <f>ABCD!K97</f>
        <v>36.08</v>
      </c>
      <c r="K48" s="89">
        <f>ABCD!L97</f>
        <v>2.8864641274109091</v>
      </c>
      <c r="L48" s="89">
        <f>ABCD!M97</f>
        <v>0.46774826056039265</v>
      </c>
      <c r="M48" s="89">
        <f>ABCD!N97</f>
        <v>2.9241175752844297</v>
      </c>
      <c r="N48" s="89" t="e">
        <v>#REF!</v>
      </c>
      <c r="O48" s="89" t="e">
        <v>#REF!</v>
      </c>
      <c r="P48" s="89" t="e">
        <v>#REF!</v>
      </c>
      <c r="Q48" s="89" t="e">
        <v>#REF!</v>
      </c>
      <c r="R48" s="89" t="e">
        <v>#REF!</v>
      </c>
      <c r="S48" s="89" t="e">
        <f>#REF!</f>
        <v>#REF!</v>
      </c>
      <c r="T48" s="89" t="e">
        <f>#REF!</f>
        <v>#REF!</v>
      </c>
      <c r="U48" s="89" t="e">
        <f>#REF!</f>
        <v>#REF!</v>
      </c>
      <c r="V48" s="89" t="e">
        <f>#REF!</f>
        <v>#REF!</v>
      </c>
      <c r="W48" s="89" t="e">
        <f>#REF!</f>
        <v>#REF!</v>
      </c>
      <c r="X48" s="89" t="e">
        <f>#REF!</f>
        <v>#REF!</v>
      </c>
      <c r="Y48" s="89" t="e">
        <f>#REF!</f>
        <v>#REF!</v>
      </c>
      <c r="Z48" s="89" t="e">
        <f>#REF!</f>
        <v>#REF!</v>
      </c>
      <c r="AA48" s="89" t="e">
        <f>#REF!</f>
        <v>#REF!</v>
      </c>
      <c r="AB48" s="89" t="e">
        <f>#REF!</f>
        <v>#REF!</v>
      </c>
      <c r="AC48" s="89" t="e">
        <f>#REF!</f>
        <v>#REF!</v>
      </c>
      <c r="AD48" s="89" t="e">
        <f>#REF!</f>
        <v>#REF!</v>
      </c>
      <c r="AE48" s="89" t="e">
        <f>#REF!</f>
        <v>#REF!</v>
      </c>
      <c r="AF48" s="89" t="e">
        <f>#REF!</f>
        <v>#REF!</v>
      </c>
      <c r="AG48" s="89" t="e">
        <f>#REF!</f>
        <v>#REF!</v>
      </c>
      <c r="AH48" s="89" t="e">
        <f>#REF!</f>
        <v>#REF!</v>
      </c>
      <c r="AI48" s="89" t="e">
        <f>#REF!</f>
        <v>#REF!</v>
      </c>
      <c r="AJ48" s="89" t="e">
        <f>#REF!</f>
        <v>#REF!</v>
      </c>
      <c r="AK48" s="89" t="e">
        <f>#REF!</f>
        <v>#REF!</v>
      </c>
      <c r="AL48" s="89" t="e">
        <f>#REF!</f>
        <v>#REF!</v>
      </c>
      <c r="AM48" s="89" t="e">
        <f>#REF!</f>
        <v>#REF!</v>
      </c>
      <c r="AN48" s="89" t="e">
        <f>#REF!</f>
        <v>#REF!</v>
      </c>
      <c r="AO48" s="89" t="e">
        <f>#REF!</f>
        <v>#REF!</v>
      </c>
      <c r="AP48" s="89" t="e">
        <f>#REF!</f>
        <v>#REF!</v>
      </c>
      <c r="AQ48" s="89" t="e">
        <f>#REF!</f>
        <v>#REF!</v>
      </c>
      <c r="AR48" s="89" t="e">
        <f>#REF!</f>
        <v>#REF!</v>
      </c>
      <c r="AS48" s="89" t="e">
        <f>#REF!</f>
        <v>#REF!</v>
      </c>
      <c r="AT48" s="89" t="e">
        <f>#REF!</f>
        <v>#REF!</v>
      </c>
      <c r="AU48" s="89" t="e">
        <f>#REF!</f>
        <v>#REF!</v>
      </c>
      <c r="AV48" s="89" t="e">
        <f>#REF!</f>
        <v>#REF!</v>
      </c>
      <c r="AW48" s="89" t="e">
        <f>#REF!</f>
        <v>#REF!</v>
      </c>
      <c r="AX48" s="89" t="e">
        <f>#REF!</f>
        <v>#REF!</v>
      </c>
      <c r="AY48" s="89" t="e">
        <f>#REF!</f>
        <v>#REF!</v>
      </c>
      <c r="AZ48" s="89" t="e">
        <f>#REF!</f>
        <v>#REF!</v>
      </c>
      <c r="BA48" s="89" t="e">
        <f>#REF!</f>
        <v>#REF!</v>
      </c>
      <c r="BB48" s="89" t="e">
        <f>#REF!</f>
        <v>#REF!</v>
      </c>
      <c r="BC48" s="89" t="e">
        <f>#REF!</f>
        <v>#REF!</v>
      </c>
      <c r="BD48" s="89" t="e">
        <f>#REF!</f>
        <v>#REF!</v>
      </c>
      <c r="BE48" s="89" t="e">
        <f>#REF!</f>
        <v>#REF!</v>
      </c>
      <c r="BF48" s="89" t="e">
        <f>#REF!</f>
        <v>#REF!</v>
      </c>
    </row>
    <row r="49" spans="9:58" x14ac:dyDescent="0.25">
      <c r="I49" s="89">
        <f>ABCD!J98</f>
        <v>11.25</v>
      </c>
      <c r="J49" s="89">
        <f>ABCD!K98</f>
        <v>36.9</v>
      </c>
      <c r="K49" s="89">
        <f>ABCD!L98</f>
        <v>2.9799323522153651</v>
      </c>
      <c r="L49" s="89">
        <f>ABCD!M98</f>
        <v>0.48519527866377965</v>
      </c>
      <c r="M49" s="89">
        <f>ABCD!N98</f>
        <v>3.0191739403713429</v>
      </c>
      <c r="N49" s="89" t="e">
        <v>#REF!</v>
      </c>
      <c r="O49" s="89" t="e">
        <v>#REF!</v>
      </c>
      <c r="P49" s="89" t="e">
        <v>#REF!</v>
      </c>
      <c r="Q49" s="89" t="e">
        <v>#REF!</v>
      </c>
      <c r="R49" s="89" t="e">
        <v>#REF!</v>
      </c>
      <c r="S49" s="89" t="e">
        <f>#REF!</f>
        <v>#REF!</v>
      </c>
      <c r="T49" s="89" t="e">
        <f>#REF!</f>
        <v>#REF!</v>
      </c>
      <c r="U49" s="89" t="e">
        <f>#REF!</f>
        <v>#REF!</v>
      </c>
      <c r="V49" s="89" t="e">
        <f>#REF!</f>
        <v>#REF!</v>
      </c>
      <c r="W49" s="89" t="e">
        <f>#REF!</f>
        <v>#REF!</v>
      </c>
      <c r="X49" s="89" t="e">
        <f>#REF!</f>
        <v>#REF!</v>
      </c>
      <c r="Y49" s="89" t="e">
        <f>#REF!</f>
        <v>#REF!</v>
      </c>
      <c r="Z49" s="89" t="e">
        <f>#REF!</f>
        <v>#REF!</v>
      </c>
      <c r="AA49" s="89" t="e">
        <f>#REF!</f>
        <v>#REF!</v>
      </c>
      <c r="AB49" s="89" t="e">
        <f>#REF!</f>
        <v>#REF!</v>
      </c>
      <c r="AC49" s="89" t="e">
        <f>#REF!</f>
        <v>#REF!</v>
      </c>
      <c r="AD49" s="89" t="e">
        <f>#REF!</f>
        <v>#REF!</v>
      </c>
      <c r="AE49" s="89" t="e">
        <f>#REF!</f>
        <v>#REF!</v>
      </c>
      <c r="AF49" s="89" t="e">
        <f>#REF!</f>
        <v>#REF!</v>
      </c>
      <c r="AG49" s="89" t="e">
        <f>#REF!</f>
        <v>#REF!</v>
      </c>
      <c r="AH49" s="89" t="e">
        <f>#REF!</f>
        <v>#REF!</v>
      </c>
      <c r="AI49" s="89" t="e">
        <f>#REF!</f>
        <v>#REF!</v>
      </c>
      <c r="AJ49" s="89" t="e">
        <f>#REF!</f>
        <v>#REF!</v>
      </c>
      <c r="AK49" s="89" t="e">
        <f>#REF!</f>
        <v>#REF!</v>
      </c>
      <c r="AL49" s="89" t="e">
        <f>#REF!</f>
        <v>#REF!</v>
      </c>
      <c r="AM49" s="89" t="e">
        <f>#REF!</f>
        <v>#REF!</v>
      </c>
      <c r="AN49" s="89" t="e">
        <f>#REF!</f>
        <v>#REF!</v>
      </c>
      <c r="AO49" s="89" t="e">
        <f>#REF!</f>
        <v>#REF!</v>
      </c>
      <c r="AP49" s="89" t="e">
        <f>#REF!</f>
        <v>#REF!</v>
      </c>
      <c r="AQ49" s="89" t="e">
        <f>#REF!</f>
        <v>#REF!</v>
      </c>
      <c r="AR49" s="89" t="e">
        <f>#REF!</f>
        <v>#REF!</v>
      </c>
      <c r="AS49" s="89" t="e">
        <f>#REF!</f>
        <v>#REF!</v>
      </c>
      <c r="AT49" s="89" t="e">
        <f>#REF!</f>
        <v>#REF!</v>
      </c>
      <c r="AU49" s="89" t="e">
        <f>#REF!</f>
        <v>#REF!</v>
      </c>
      <c r="AV49" s="89" t="e">
        <f>#REF!</f>
        <v>#REF!</v>
      </c>
      <c r="AW49" s="89" t="e">
        <f>#REF!</f>
        <v>#REF!</v>
      </c>
      <c r="AX49" s="89" t="e">
        <f>#REF!</f>
        <v>#REF!</v>
      </c>
      <c r="AY49" s="89" t="e">
        <f>#REF!</f>
        <v>#REF!</v>
      </c>
      <c r="AZ49" s="89" t="e">
        <f>#REF!</f>
        <v>#REF!</v>
      </c>
      <c r="BA49" s="89" t="e">
        <f>#REF!</f>
        <v>#REF!</v>
      </c>
      <c r="BB49" s="89" t="e">
        <f>#REF!</f>
        <v>#REF!</v>
      </c>
      <c r="BC49" s="89" t="e">
        <f>#REF!</f>
        <v>#REF!</v>
      </c>
      <c r="BD49" s="89" t="e">
        <f>#REF!</f>
        <v>#REF!</v>
      </c>
      <c r="BE49" s="89" t="e">
        <f>#REF!</f>
        <v>#REF!</v>
      </c>
      <c r="BF49" s="89" t="e">
        <f>#REF!</f>
        <v>#REF!</v>
      </c>
    </row>
    <row r="50" spans="9:58" x14ac:dyDescent="0.25">
      <c r="I50" s="89">
        <f>ABCD!J99</f>
        <v>11.5</v>
      </c>
      <c r="J50" s="89">
        <f>ABCD!K99</f>
        <v>37.72</v>
      </c>
      <c r="K50" s="89">
        <f>ABCD!L99</f>
        <v>3.0726286026713101</v>
      </c>
      <c r="L50" s="89">
        <f>ABCD!M99</f>
        <v>0.50251459851478408</v>
      </c>
      <c r="M50" s="89">
        <f>ABCD!N99</f>
        <v>3.1134494458195916</v>
      </c>
      <c r="N50" s="89" t="e">
        <v>#REF!</v>
      </c>
      <c r="O50" s="89" t="e">
        <v>#REF!</v>
      </c>
      <c r="P50" s="89" t="e">
        <v>#REF!</v>
      </c>
      <c r="Q50" s="89" t="e">
        <v>#REF!</v>
      </c>
      <c r="R50" s="89" t="e">
        <v>#REF!</v>
      </c>
      <c r="S50" s="89" t="e">
        <f>#REF!</f>
        <v>#REF!</v>
      </c>
      <c r="T50" s="89" t="e">
        <f>#REF!</f>
        <v>#REF!</v>
      </c>
      <c r="U50" s="89" t="e">
        <f>#REF!</f>
        <v>#REF!</v>
      </c>
      <c r="V50" s="89" t="e">
        <f>#REF!</f>
        <v>#REF!</v>
      </c>
      <c r="W50" s="89" t="e">
        <f>#REF!</f>
        <v>#REF!</v>
      </c>
      <c r="X50" s="89" t="e">
        <f>#REF!</f>
        <v>#REF!</v>
      </c>
      <c r="Y50" s="89" t="e">
        <f>#REF!</f>
        <v>#REF!</v>
      </c>
      <c r="Z50" s="89" t="e">
        <f>#REF!</f>
        <v>#REF!</v>
      </c>
      <c r="AA50" s="89" t="e">
        <f>#REF!</f>
        <v>#REF!</v>
      </c>
      <c r="AB50" s="89" t="e">
        <f>#REF!</f>
        <v>#REF!</v>
      </c>
      <c r="AC50" s="89" t="e">
        <f>#REF!</f>
        <v>#REF!</v>
      </c>
      <c r="AD50" s="89" t="e">
        <f>#REF!</f>
        <v>#REF!</v>
      </c>
      <c r="AE50" s="89" t="e">
        <f>#REF!</f>
        <v>#REF!</v>
      </c>
      <c r="AF50" s="89" t="e">
        <f>#REF!</f>
        <v>#REF!</v>
      </c>
      <c r="AG50" s="89" t="e">
        <f>#REF!</f>
        <v>#REF!</v>
      </c>
      <c r="AH50" s="89" t="e">
        <f>#REF!</f>
        <v>#REF!</v>
      </c>
      <c r="AI50" s="89" t="e">
        <f>#REF!</f>
        <v>#REF!</v>
      </c>
      <c r="AJ50" s="89" t="e">
        <f>#REF!</f>
        <v>#REF!</v>
      </c>
      <c r="AK50" s="89" t="e">
        <f>#REF!</f>
        <v>#REF!</v>
      </c>
      <c r="AL50" s="89" t="e">
        <f>#REF!</f>
        <v>#REF!</v>
      </c>
      <c r="AM50" s="89" t="e">
        <f>#REF!</f>
        <v>#REF!</v>
      </c>
      <c r="AN50" s="89" t="e">
        <f>#REF!</f>
        <v>#REF!</v>
      </c>
      <c r="AO50" s="89" t="e">
        <f>#REF!</f>
        <v>#REF!</v>
      </c>
      <c r="AP50" s="89" t="e">
        <f>#REF!</f>
        <v>#REF!</v>
      </c>
      <c r="AQ50" s="89" t="e">
        <f>#REF!</f>
        <v>#REF!</v>
      </c>
      <c r="AR50" s="89" t="e">
        <f>#REF!</f>
        <v>#REF!</v>
      </c>
      <c r="AS50" s="89" t="e">
        <f>#REF!</f>
        <v>#REF!</v>
      </c>
      <c r="AT50" s="89" t="e">
        <f>#REF!</f>
        <v>#REF!</v>
      </c>
      <c r="AU50" s="89" t="e">
        <f>#REF!</f>
        <v>#REF!</v>
      </c>
      <c r="AV50" s="89" t="e">
        <f>#REF!</f>
        <v>#REF!</v>
      </c>
      <c r="AW50" s="89" t="e">
        <f>#REF!</f>
        <v>#REF!</v>
      </c>
      <c r="AX50" s="89" t="e">
        <f>#REF!</f>
        <v>#REF!</v>
      </c>
      <c r="AY50" s="89" t="e">
        <f>#REF!</f>
        <v>#REF!</v>
      </c>
      <c r="AZ50" s="89" t="e">
        <f>#REF!</f>
        <v>#REF!</v>
      </c>
      <c r="BA50" s="89" t="e">
        <f>#REF!</f>
        <v>#REF!</v>
      </c>
      <c r="BB50" s="89" t="e">
        <f>#REF!</f>
        <v>#REF!</v>
      </c>
      <c r="BC50" s="89" t="e">
        <f>#REF!</f>
        <v>#REF!</v>
      </c>
      <c r="BD50" s="89" t="e">
        <f>#REF!</f>
        <v>#REF!</v>
      </c>
      <c r="BE50" s="89" t="e">
        <f>#REF!</f>
        <v>#REF!</v>
      </c>
      <c r="BF50" s="89" t="e">
        <f>#REF!</f>
        <v>#REF!</v>
      </c>
    </row>
    <row r="51" spans="9:58" x14ac:dyDescent="0.25">
      <c r="I51" s="89">
        <f>ABCD!J100</f>
        <v>11.75</v>
      </c>
      <c r="J51" s="89">
        <f>ABCD!K100</f>
        <v>38.54</v>
      </c>
      <c r="K51" s="89">
        <f>ABCD!L100</f>
        <v>3.1645321751409483</v>
      </c>
      <c r="L51" s="89">
        <f>ABCD!M100</f>
        <v>0.51970233697970647</v>
      </c>
      <c r="M51" s="89">
        <f>ABCD!N100</f>
        <v>3.2069228875301117</v>
      </c>
      <c r="N51" s="89" t="e">
        <v>#REF!</v>
      </c>
      <c r="O51" s="89" t="e">
        <v>#REF!</v>
      </c>
      <c r="P51" s="89" t="e">
        <v>#REF!</v>
      </c>
      <c r="Q51" s="89" t="e">
        <v>#REF!</v>
      </c>
      <c r="R51" s="89" t="e">
        <v>#REF!</v>
      </c>
      <c r="S51" s="89" t="e">
        <f>#REF!</f>
        <v>#REF!</v>
      </c>
      <c r="T51" s="89" t="e">
        <f>#REF!</f>
        <v>#REF!</v>
      </c>
      <c r="U51" s="89" t="e">
        <f>#REF!</f>
        <v>#REF!</v>
      </c>
      <c r="V51" s="89" t="e">
        <f>#REF!</f>
        <v>#REF!</v>
      </c>
      <c r="W51" s="89" t="e">
        <f>#REF!</f>
        <v>#REF!</v>
      </c>
      <c r="X51" s="89" t="e">
        <f>#REF!</f>
        <v>#REF!</v>
      </c>
      <c r="Y51" s="89" t="e">
        <f>#REF!</f>
        <v>#REF!</v>
      </c>
      <c r="Z51" s="89" t="e">
        <f>#REF!</f>
        <v>#REF!</v>
      </c>
      <c r="AA51" s="89" t="e">
        <f>#REF!</f>
        <v>#REF!</v>
      </c>
      <c r="AB51" s="89" t="e">
        <f>#REF!</f>
        <v>#REF!</v>
      </c>
      <c r="AC51" s="89" t="e">
        <f>#REF!</f>
        <v>#REF!</v>
      </c>
      <c r="AD51" s="89" t="e">
        <f>#REF!</f>
        <v>#REF!</v>
      </c>
      <c r="AE51" s="89" t="e">
        <f>#REF!</f>
        <v>#REF!</v>
      </c>
      <c r="AF51" s="89" t="e">
        <f>#REF!</f>
        <v>#REF!</v>
      </c>
      <c r="AG51" s="89" t="e">
        <f>#REF!</f>
        <v>#REF!</v>
      </c>
      <c r="AH51" s="89" t="e">
        <f>#REF!</f>
        <v>#REF!</v>
      </c>
      <c r="AI51" s="89" t="e">
        <f>#REF!</f>
        <v>#REF!</v>
      </c>
      <c r="AJ51" s="89" t="e">
        <f>#REF!</f>
        <v>#REF!</v>
      </c>
      <c r="AK51" s="89" t="e">
        <f>#REF!</f>
        <v>#REF!</v>
      </c>
      <c r="AL51" s="89" t="e">
        <f>#REF!</f>
        <v>#REF!</v>
      </c>
      <c r="AM51" s="89" t="e">
        <f>#REF!</f>
        <v>#REF!</v>
      </c>
      <c r="AN51" s="89" t="e">
        <f>#REF!</f>
        <v>#REF!</v>
      </c>
      <c r="AO51" s="89" t="e">
        <f>#REF!</f>
        <v>#REF!</v>
      </c>
      <c r="AP51" s="89" t="e">
        <f>#REF!</f>
        <v>#REF!</v>
      </c>
      <c r="AQ51" s="89" t="e">
        <f>#REF!</f>
        <v>#REF!</v>
      </c>
      <c r="AR51" s="89" t="e">
        <f>#REF!</f>
        <v>#REF!</v>
      </c>
      <c r="AS51" s="89" t="e">
        <f>#REF!</f>
        <v>#REF!</v>
      </c>
      <c r="AT51" s="89" t="e">
        <f>#REF!</f>
        <v>#REF!</v>
      </c>
      <c r="AU51" s="89" t="e">
        <f>#REF!</f>
        <v>#REF!</v>
      </c>
      <c r="AV51" s="89" t="e">
        <f>#REF!</f>
        <v>#REF!</v>
      </c>
      <c r="AW51" s="89" t="e">
        <f>#REF!</f>
        <v>#REF!</v>
      </c>
      <c r="AX51" s="89" t="e">
        <f>#REF!</f>
        <v>#REF!</v>
      </c>
      <c r="AY51" s="89" t="e">
        <f>#REF!</f>
        <v>#REF!</v>
      </c>
      <c r="AZ51" s="89" t="e">
        <f>#REF!</f>
        <v>#REF!</v>
      </c>
      <c r="BA51" s="89" t="e">
        <f>#REF!</f>
        <v>#REF!</v>
      </c>
      <c r="BB51" s="89" t="e">
        <f>#REF!</f>
        <v>#REF!</v>
      </c>
      <c r="BC51" s="89" t="e">
        <f>#REF!</f>
        <v>#REF!</v>
      </c>
      <c r="BD51" s="89" t="e">
        <f>#REF!</f>
        <v>#REF!</v>
      </c>
      <c r="BE51" s="89" t="e">
        <f>#REF!</f>
        <v>#REF!</v>
      </c>
      <c r="BF51" s="89" t="e">
        <f>#REF!</f>
        <v>#REF!</v>
      </c>
    </row>
    <row r="52" spans="9:58" x14ac:dyDescent="0.25">
      <c r="I52" s="89">
        <f>ABCD!J101</f>
        <v>12</v>
      </c>
      <c r="J52" s="89">
        <f>ABCD!K101</f>
        <v>39.36</v>
      </c>
      <c r="K52" s="89">
        <f>ABCD!L101</f>
        <v>3.2556225675939969</v>
      </c>
      <c r="L52" s="89">
        <f>ABCD!M101</f>
        <v>0.53675464479248713</v>
      </c>
      <c r="M52" s="89">
        <f>ABCD!N101</f>
        <v>3.2995732832191558</v>
      </c>
      <c r="N52" s="89" t="e">
        <v>#REF!</v>
      </c>
      <c r="O52" s="89" t="e">
        <v>#REF!</v>
      </c>
      <c r="P52" s="89" t="e">
        <v>#REF!</v>
      </c>
      <c r="Q52" s="89" t="e">
        <v>#REF!</v>
      </c>
      <c r="R52" s="89" t="e">
        <v>#REF!</v>
      </c>
      <c r="S52" s="89" t="e">
        <f>#REF!</f>
        <v>#REF!</v>
      </c>
      <c r="T52" s="89" t="e">
        <f>#REF!</f>
        <v>#REF!</v>
      </c>
      <c r="U52" s="89" t="e">
        <f>#REF!</f>
        <v>#REF!</v>
      </c>
      <c r="V52" s="89" t="e">
        <f>#REF!</f>
        <v>#REF!</v>
      </c>
      <c r="W52" s="89" t="e">
        <f>#REF!</f>
        <v>#REF!</v>
      </c>
      <c r="X52" s="89" t="e">
        <f>#REF!</f>
        <v>#REF!</v>
      </c>
      <c r="Y52" s="89" t="e">
        <f>#REF!</f>
        <v>#REF!</v>
      </c>
      <c r="Z52" s="89" t="e">
        <f>#REF!</f>
        <v>#REF!</v>
      </c>
      <c r="AA52" s="89" t="e">
        <f>#REF!</f>
        <v>#REF!</v>
      </c>
      <c r="AB52" s="89" t="e">
        <f>#REF!</f>
        <v>#REF!</v>
      </c>
      <c r="AC52" s="89" t="e">
        <f>#REF!</f>
        <v>#REF!</v>
      </c>
      <c r="AD52" s="89" t="e">
        <f>#REF!</f>
        <v>#REF!</v>
      </c>
      <c r="AE52" s="89" t="e">
        <f>#REF!</f>
        <v>#REF!</v>
      </c>
      <c r="AF52" s="89" t="e">
        <f>#REF!</f>
        <v>#REF!</v>
      </c>
      <c r="AG52" s="89" t="e">
        <f>#REF!</f>
        <v>#REF!</v>
      </c>
      <c r="AH52" s="89" t="e">
        <f>#REF!</f>
        <v>#REF!</v>
      </c>
      <c r="AI52" s="89" t="e">
        <f>#REF!</f>
        <v>#REF!</v>
      </c>
      <c r="AJ52" s="89" t="e">
        <f>#REF!</f>
        <v>#REF!</v>
      </c>
      <c r="AK52" s="89" t="e">
        <f>#REF!</f>
        <v>#REF!</v>
      </c>
      <c r="AL52" s="89" t="e">
        <f>#REF!</f>
        <v>#REF!</v>
      </c>
      <c r="AM52" s="89" t="e">
        <f>#REF!</f>
        <v>#REF!</v>
      </c>
      <c r="AN52" s="89" t="e">
        <f>#REF!</f>
        <v>#REF!</v>
      </c>
      <c r="AO52" s="89" t="e">
        <f>#REF!</f>
        <v>#REF!</v>
      </c>
      <c r="AP52" s="89" t="e">
        <f>#REF!</f>
        <v>#REF!</v>
      </c>
      <c r="AQ52" s="89" t="e">
        <f>#REF!</f>
        <v>#REF!</v>
      </c>
      <c r="AR52" s="89" t="e">
        <f>#REF!</f>
        <v>#REF!</v>
      </c>
      <c r="AS52" s="89" t="e">
        <f>#REF!</f>
        <v>#REF!</v>
      </c>
      <c r="AT52" s="89" t="e">
        <f>#REF!</f>
        <v>#REF!</v>
      </c>
      <c r="AU52" s="89" t="e">
        <f>#REF!</f>
        <v>#REF!</v>
      </c>
      <c r="AV52" s="89" t="e">
        <f>#REF!</f>
        <v>#REF!</v>
      </c>
      <c r="AW52" s="89" t="e">
        <f>#REF!</f>
        <v>#REF!</v>
      </c>
      <c r="AX52" s="89" t="e">
        <f>#REF!</f>
        <v>#REF!</v>
      </c>
      <c r="AY52" s="89" t="e">
        <f>#REF!</f>
        <v>#REF!</v>
      </c>
      <c r="AZ52" s="89" t="e">
        <f>#REF!</f>
        <v>#REF!</v>
      </c>
      <c r="BA52" s="89" t="e">
        <f>#REF!</f>
        <v>#REF!</v>
      </c>
      <c r="BB52" s="89" t="e">
        <f>#REF!</f>
        <v>#REF!</v>
      </c>
      <c r="BC52" s="89" t="e">
        <f>#REF!</f>
        <v>#REF!</v>
      </c>
      <c r="BD52" s="89" t="e">
        <f>#REF!</f>
        <v>#REF!</v>
      </c>
      <c r="BE52" s="89" t="e">
        <f>#REF!</f>
        <v>#REF!</v>
      </c>
      <c r="BF52" s="89" t="e">
        <f>#REF!</f>
        <v>#REF!</v>
      </c>
    </row>
    <row r="53" spans="9:58" x14ac:dyDescent="0.25">
      <c r="I53" s="89">
        <f>ABCD!J102</f>
        <v>12.25</v>
      </c>
      <c r="J53" s="89">
        <f>ABCD!K102</f>
        <v>40.18</v>
      </c>
      <c r="K53" s="89">
        <f>ABCD!L102</f>
        <v>3.3458794841590711</v>
      </c>
      <c r="L53" s="89">
        <f>ABCD!M102</f>
        <v>0.5536677074127998</v>
      </c>
      <c r="M53" s="89">
        <f>ABCD!N102</f>
        <v>3.3913798744387686</v>
      </c>
      <c r="N53" s="89" t="e">
        <v>#REF!</v>
      </c>
      <c r="O53" s="89" t="e">
        <v>#REF!</v>
      </c>
      <c r="P53" s="89" t="e">
        <v>#REF!</v>
      </c>
      <c r="Q53" s="89" t="e">
        <v>#REF!</v>
      </c>
      <c r="R53" s="89" t="e">
        <v>#REF!</v>
      </c>
      <c r="S53" s="89" t="e">
        <f>#REF!</f>
        <v>#REF!</v>
      </c>
      <c r="T53" s="89" t="e">
        <f>#REF!</f>
        <v>#REF!</v>
      </c>
      <c r="U53" s="89" t="e">
        <f>#REF!</f>
        <v>#REF!</v>
      </c>
      <c r="V53" s="89" t="e">
        <f>#REF!</f>
        <v>#REF!</v>
      </c>
      <c r="W53" s="89" t="e">
        <f>#REF!</f>
        <v>#REF!</v>
      </c>
      <c r="X53" s="89" t="e">
        <f>#REF!</f>
        <v>#REF!</v>
      </c>
      <c r="Y53" s="89" t="e">
        <f>#REF!</f>
        <v>#REF!</v>
      </c>
      <c r="Z53" s="89" t="e">
        <f>#REF!</f>
        <v>#REF!</v>
      </c>
      <c r="AA53" s="89" t="e">
        <f>#REF!</f>
        <v>#REF!</v>
      </c>
      <c r="AB53" s="89" t="e">
        <f>#REF!</f>
        <v>#REF!</v>
      </c>
      <c r="AC53" s="89" t="e">
        <f>#REF!</f>
        <v>#REF!</v>
      </c>
      <c r="AD53" s="89" t="e">
        <f>#REF!</f>
        <v>#REF!</v>
      </c>
      <c r="AE53" s="89" t="e">
        <f>#REF!</f>
        <v>#REF!</v>
      </c>
      <c r="AF53" s="89" t="e">
        <f>#REF!</f>
        <v>#REF!</v>
      </c>
      <c r="AG53" s="89" t="e">
        <f>#REF!</f>
        <v>#REF!</v>
      </c>
      <c r="AH53" s="89" t="e">
        <f>#REF!</f>
        <v>#REF!</v>
      </c>
      <c r="AI53" s="89" t="e">
        <f>#REF!</f>
        <v>#REF!</v>
      </c>
      <c r="AJ53" s="89" t="e">
        <f>#REF!</f>
        <v>#REF!</v>
      </c>
      <c r="AK53" s="89" t="e">
        <f>#REF!</f>
        <v>#REF!</v>
      </c>
      <c r="AL53" s="89" t="e">
        <f>#REF!</f>
        <v>#REF!</v>
      </c>
      <c r="AM53" s="89" t="e">
        <f>#REF!</f>
        <v>#REF!</v>
      </c>
      <c r="AN53" s="89" t="e">
        <f>#REF!</f>
        <v>#REF!</v>
      </c>
      <c r="AO53" s="89" t="e">
        <f>#REF!</f>
        <v>#REF!</v>
      </c>
      <c r="AP53" s="89" t="e">
        <f>#REF!</f>
        <v>#REF!</v>
      </c>
      <c r="AQ53" s="89" t="e">
        <f>#REF!</f>
        <v>#REF!</v>
      </c>
      <c r="AR53" s="89" t="e">
        <f>#REF!</f>
        <v>#REF!</v>
      </c>
      <c r="AS53" s="89" t="e">
        <f>#REF!</f>
        <v>#REF!</v>
      </c>
      <c r="AT53" s="89" t="e">
        <f>#REF!</f>
        <v>#REF!</v>
      </c>
      <c r="AU53" s="89" t="e">
        <f>#REF!</f>
        <v>#REF!</v>
      </c>
      <c r="AV53" s="89" t="e">
        <f>#REF!</f>
        <v>#REF!</v>
      </c>
      <c r="AW53" s="89" t="e">
        <f>#REF!</f>
        <v>#REF!</v>
      </c>
      <c r="AX53" s="89" t="e">
        <f>#REF!</f>
        <v>#REF!</v>
      </c>
      <c r="AY53" s="89" t="e">
        <f>#REF!</f>
        <v>#REF!</v>
      </c>
      <c r="AZ53" s="89" t="e">
        <f>#REF!</f>
        <v>#REF!</v>
      </c>
      <c r="BA53" s="89" t="e">
        <f>#REF!</f>
        <v>#REF!</v>
      </c>
      <c r="BB53" s="89" t="e">
        <f>#REF!</f>
        <v>#REF!</v>
      </c>
      <c r="BC53" s="89" t="e">
        <f>#REF!</f>
        <v>#REF!</v>
      </c>
      <c r="BD53" s="89" t="e">
        <f>#REF!</f>
        <v>#REF!</v>
      </c>
      <c r="BE53" s="89" t="e">
        <f>#REF!</f>
        <v>#REF!</v>
      </c>
      <c r="BF53" s="89" t="e">
        <f>#REF!</f>
        <v>#REF!</v>
      </c>
    </row>
    <row r="54" spans="9:58" x14ac:dyDescent="0.25">
      <c r="I54" s="89">
        <f>ABCD!J103</f>
        <v>12.5</v>
      </c>
      <c r="J54" s="89">
        <f>ABCD!K103</f>
        <v>41</v>
      </c>
      <c r="K54" s="89">
        <f>ABCD!L103</f>
        <v>3.4352828396233006</v>
      </c>
      <c r="L54" s="89">
        <f>ABCD!M103</f>
        <v>0.57043774587537532</v>
      </c>
      <c r="M54" s="89">
        <f>ABCD!N103</f>
        <v>3.4823221290009498</v>
      </c>
      <c r="N54" s="89" t="e">
        <v>#REF!</v>
      </c>
      <c r="O54" s="89" t="e">
        <v>#REF!</v>
      </c>
      <c r="P54" s="89" t="e">
        <v>#REF!</v>
      </c>
      <c r="Q54" s="89" t="e">
        <v>#REF!</v>
      </c>
      <c r="R54" s="89" t="e">
        <v>#REF!</v>
      </c>
      <c r="S54" s="89" t="e">
        <f>#REF!</f>
        <v>#REF!</v>
      </c>
      <c r="T54" s="89" t="e">
        <f>#REF!</f>
        <v>#REF!</v>
      </c>
      <c r="U54" s="89" t="e">
        <f>#REF!</f>
        <v>#REF!</v>
      </c>
      <c r="V54" s="89" t="e">
        <f>#REF!</f>
        <v>#REF!</v>
      </c>
      <c r="W54" s="89" t="e">
        <f>#REF!</f>
        <v>#REF!</v>
      </c>
      <c r="X54" s="89" t="e">
        <f>#REF!</f>
        <v>#REF!</v>
      </c>
      <c r="Y54" s="89" t="e">
        <f>#REF!</f>
        <v>#REF!</v>
      </c>
      <c r="Z54" s="89" t="e">
        <f>#REF!</f>
        <v>#REF!</v>
      </c>
      <c r="AA54" s="89" t="e">
        <f>#REF!</f>
        <v>#REF!</v>
      </c>
      <c r="AB54" s="89" t="e">
        <f>#REF!</f>
        <v>#REF!</v>
      </c>
      <c r="AC54" s="89" t="e">
        <f>#REF!</f>
        <v>#REF!</v>
      </c>
      <c r="AD54" s="89" t="e">
        <f>#REF!</f>
        <v>#REF!</v>
      </c>
      <c r="AE54" s="89" t="e">
        <f>#REF!</f>
        <v>#REF!</v>
      </c>
      <c r="AF54" s="89" t="e">
        <f>#REF!</f>
        <v>#REF!</v>
      </c>
      <c r="AG54" s="89" t="e">
        <f>#REF!</f>
        <v>#REF!</v>
      </c>
      <c r="AH54" s="89" t="e">
        <f>#REF!</f>
        <v>#REF!</v>
      </c>
      <c r="AI54" s="89" t="e">
        <f>#REF!</f>
        <v>#REF!</v>
      </c>
      <c r="AJ54" s="89" t="e">
        <f>#REF!</f>
        <v>#REF!</v>
      </c>
      <c r="AK54" s="89" t="e">
        <f>#REF!</f>
        <v>#REF!</v>
      </c>
      <c r="AL54" s="89" t="e">
        <f>#REF!</f>
        <v>#REF!</v>
      </c>
      <c r="AM54" s="89" t="e">
        <f>#REF!</f>
        <v>#REF!</v>
      </c>
      <c r="AN54" s="89" t="e">
        <f>#REF!</f>
        <v>#REF!</v>
      </c>
      <c r="AO54" s="89" t="e">
        <f>#REF!</f>
        <v>#REF!</v>
      </c>
      <c r="AP54" s="89" t="e">
        <f>#REF!</f>
        <v>#REF!</v>
      </c>
      <c r="AQ54" s="89" t="e">
        <f>#REF!</f>
        <v>#REF!</v>
      </c>
      <c r="AR54" s="89" t="e">
        <f>#REF!</f>
        <v>#REF!</v>
      </c>
      <c r="AS54" s="89" t="e">
        <f>#REF!</f>
        <v>#REF!</v>
      </c>
      <c r="AT54" s="89" t="e">
        <f>#REF!</f>
        <v>#REF!</v>
      </c>
      <c r="AU54" s="89" t="e">
        <f>#REF!</f>
        <v>#REF!</v>
      </c>
      <c r="AV54" s="89" t="e">
        <f>#REF!</f>
        <v>#REF!</v>
      </c>
      <c r="AW54" s="89" t="e">
        <f>#REF!</f>
        <v>#REF!</v>
      </c>
      <c r="AX54" s="89" t="e">
        <f>#REF!</f>
        <v>#REF!</v>
      </c>
      <c r="AY54" s="89" t="e">
        <f>#REF!</f>
        <v>#REF!</v>
      </c>
      <c r="AZ54" s="89" t="e">
        <f>#REF!</f>
        <v>#REF!</v>
      </c>
      <c r="BA54" s="89" t="e">
        <f>#REF!</f>
        <v>#REF!</v>
      </c>
      <c r="BB54" s="89" t="e">
        <f>#REF!</f>
        <v>#REF!</v>
      </c>
      <c r="BC54" s="89" t="e">
        <f>#REF!</f>
        <v>#REF!</v>
      </c>
      <c r="BD54" s="89" t="e">
        <f>#REF!</f>
        <v>#REF!</v>
      </c>
      <c r="BE54" s="89" t="e">
        <f>#REF!</f>
        <v>#REF!</v>
      </c>
      <c r="BF54" s="89" t="e">
        <f>#REF!</f>
        <v>#REF!</v>
      </c>
    </row>
    <row r="55" spans="9:58" x14ac:dyDescent="0.25">
      <c r="I55" s="89">
        <f>ABCD!J104</f>
        <v>12.75</v>
      </c>
      <c r="J55" s="89">
        <f>ABCD!K104</f>
        <v>41.82</v>
      </c>
      <c r="K55" s="89">
        <f>ABCD!L104</f>
        <v>3.5238127638793548</v>
      </c>
      <c r="L55" s="89">
        <f>ABCD!M104</f>
        <v>0.58706101763032903</v>
      </c>
      <c r="M55" s="89">
        <f>ABCD!N104</f>
        <v>3.5723797437142957</v>
      </c>
      <c r="N55" s="89" t="e">
        <v>#REF!</v>
      </c>
      <c r="O55" s="89" t="e">
        <v>#REF!</v>
      </c>
      <c r="P55" s="89" t="e">
        <v>#REF!</v>
      </c>
      <c r="Q55" s="89" t="e">
        <v>#REF!</v>
      </c>
      <c r="R55" s="89" t="e">
        <v>#REF!</v>
      </c>
      <c r="S55" s="89" t="e">
        <f>#REF!</f>
        <v>#REF!</v>
      </c>
      <c r="T55" s="89" t="e">
        <f>#REF!</f>
        <v>#REF!</v>
      </c>
      <c r="U55" s="89" t="e">
        <f>#REF!</f>
        <v>#REF!</v>
      </c>
      <c r="V55" s="89" t="e">
        <f>#REF!</f>
        <v>#REF!</v>
      </c>
      <c r="W55" s="89" t="e">
        <f>#REF!</f>
        <v>#REF!</v>
      </c>
      <c r="X55" s="89" t="e">
        <f>#REF!</f>
        <v>#REF!</v>
      </c>
      <c r="Y55" s="89" t="e">
        <f>#REF!</f>
        <v>#REF!</v>
      </c>
      <c r="Z55" s="89" t="e">
        <f>#REF!</f>
        <v>#REF!</v>
      </c>
      <c r="AA55" s="89" t="e">
        <f>#REF!</f>
        <v>#REF!</v>
      </c>
      <c r="AB55" s="89" t="e">
        <f>#REF!</f>
        <v>#REF!</v>
      </c>
      <c r="AC55" s="89" t="e">
        <f>#REF!</f>
        <v>#REF!</v>
      </c>
      <c r="AD55" s="89" t="e">
        <f>#REF!</f>
        <v>#REF!</v>
      </c>
      <c r="AE55" s="89" t="e">
        <f>#REF!</f>
        <v>#REF!</v>
      </c>
      <c r="AF55" s="89" t="e">
        <f>#REF!</f>
        <v>#REF!</v>
      </c>
      <c r="AG55" s="89" t="e">
        <f>#REF!</f>
        <v>#REF!</v>
      </c>
      <c r="AH55" s="89" t="e">
        <f>#REF!</f>
        <v>#REF!</v>
      </c>
      <c r="AI55" s="89" t="e">
        <f>#REF!</f>
        <v>#REF!</v>
      </c>
      <c r="AJ55" s="89" t="e">
        <f>#REF!</f>
        <v>#REF!</v>
      </c>
      <c r="AK55" s="89" t="e">
        <f>#REF!</f>
        <v>#REF!</v>
      </c>
      <c r="AL55" s="89" t="e">
        <f>#REF!</f>
        <v>#REF!</v>
      </c>
      <c r="AM55" s="89" t="e">
        <f>#REF!</f>
        <v>#REF!</v>
      </c>
      <c r="AN55" s="89" t="e">
        <f>#REF!</f>
        <v>#REF!</v>
      </c>
      <c r="AO55" s="89" t="e">
        <f>#REF!</f>
        <v>#REF!</v>
      </c>
      <c r="AP55" s="89" t="e">
        <f>#REF!</f>
        <v>#REF!</v>
      </c>
      <c r="AQ55" s="89" t="e">
        <f>#REF!</f>
        <v>#REF!</v>
      </c>
      <c r="AR55" s="89" t="e">
        <f>#REF!</f>
        <v>#REF!</v>
      </c>
      <c r="AS55" s="89" t="e">
        <f>#REF!</f>
        <v>#REF!</v>
      </c>
      <c r="AT55" s="89" t="e">
        <f>#REF!</f>
        <v>#REF!</v>
      </c>
      <c r="AU55" s="89" t="e">
        <f>#REF!</f>
        <v>#REF!</v>
      </c>
      <c r="AV55" s="89" t="e">
        <f>#REF!</f>
        <v>#REF!</v>
      </c>
      <c r="AW55" s="89" t="e">
        <f>#REF!</f>
        <v>#REF!</v>
      </c>
      <c r="AX55" s="89" t="e">
        <f>#REF!</f>
        <v>#REF!</v>
      </c>
      <c r="AY55" s="89" t="e">
        <f>#REF!</f>
        <v>#REF!</v>
      </c>
      <c r="AZ55" s="89" t="e">
        <f>#REF!</f>
        <v>#REF!</v>
      </c>
      <c r="BA55" s="89" t="e">
        <f>#REF!</f>
        <v>#REF!</v>
      </c>
      <c r="BB55" s="89" t="e">
        <f>#REF!</f>
        <v>#REF!</v>
      </c>
      <c r="BC55" s="89" t="e">
        <f>#REF!</f>
        <v>#REF!</v>
      </c>
      <c r="BD55" s="89" t="e">
        <f>#REF!</f>
        <v>#REF!</v>
      </c>
      <c r="BE55" s="89" t="e">
        <f>#REF!</f>
        <v>#REF!</v>
      </c>
      <c r="BF55" s="89" t="e">
        <f>#REF!</f>
        <v>#REF!</v>
      </c>
    </row>
    <row r="56" spans="9:58" x14ac:dyDescent="0.25">
      <c r="I56" s="89">
        <f>ABCD!J105</f>
        <v>13</v>
      </c>
      <c r="J56" s="89">
        <f>ABCD!K105</f>
        <v>42.64</v>
      </c>
      <c r="K56" s="89">
        <f>ABCD!L105</f>
        <v>3.6114496063187396</v>
      </c>
      <c r="L56" s="89">
        <f>ABCD!M105</f>
        <v>0.60353381737434697</v>
      </c>
      <c r="M56" s="89">
        <f>ABCD!N105</f>
        <v>3.6615326473615162</v>
      </c>
      <c r="N56" s="89" t="e">
        <v>#REF!</v>
      </c>
      <c r="O56" s="89" t="e">
        <v>#REF!</v>
      </c>
      <c r="P56" s="89" t="e">
        <v>#REF!</v>
      </c>
      <c r="Q56" s="89" t="e">
        <v>#REF!</v>
      </c>
      <c r="R56" s="89" t="e">
        <v>#REF!</v>
      </c>
      <c r="S56" s="89" t="e">
        <f>#REF!</f>
        <v>#REF!</v>
      </c>
      <c r="T56" s="89" t="e">
        <f>#REF!</f>
        <v>#REF!</v>
      </c>
      <c r="U56" s="89" t="e">
        <f>#REF!</f>
        <v>#REF!</v>
      </c>
      <c r="V56" s="89" t="e">
        <f>#REF!</f>
        <v>#REF!</v>
      </c>
      <c r="W56" s="89" t="e">
        <f>#REF!</f>
        <v>#REF!</v>
      </c>
      <c r="X56" s="89" t="e">
        <f>#REF!</f>
        <v>#REF!</v>
      </c>
      <c r="Y56" s="89" t="e">
        <f>#REF!</f>
        <v>#REF!</v>
      </c>
      <c r="Z56" s="89" t="e">
        <f>#REF!</f>
        <v>#REF!</v>
      </c>
      <c r="AA56" s="89" t="e">
        <f>#REF!</f>
        <v>#REF!</v>
      </c>
      <c r="AB56" s="89" t="e">
        <f>#REF!</f>
        <v>#REF!</v>
      </c>
      <c r="AC56" s="89" t="e">
        <f>#REF!</f>
        <v>#REF!</v>
      </c>
      <c r="AD56" s="89" t="e">
        <f>#REF!</f>
        <v>#REF!</v>
      </c>
      <c r="AE56" s="89" t="e">
        <f>#REF!</f>
        <v>#REF!</v>
      </c>
      <c r="AF56" s="89" t="e">
        <f>#REF!</f>
        <v>#REF!</v>
      </c>
      <c r="AG56" s="89" t="e">
        <f>#REF!</f>
        <v>#REF!</v>
      </c>
      <c r="AH56" s="89" t="e">
        <f>#REF!</f>
        <v>#REF!</v>
      </c>
      <c r="AI56" s="89" t="e">
        <f>#REF!</f>
        <v>#REF!</v>
      </c>
      <c r="AJ56" s="89" t="e">
        <f>#REF!</f>
        <v>#REF!</v>
      </c>
      <c r="AK56" s="89" t="e">
        <f>#REF!</f>
        <v>#REF!</v>
      </c>
      <c r="AL56" s="89" t="e">
        <f>#REF!</f>
        <v>#REF!</v>
      </c>
      <c r="AM56" s="89" t="e">
        <f>#REF!</f>
        <v>#REF!</v>
      </c>
      <c r="AN56" s="89" t="e">
        <f>#REF!</f>
        <v>#REF!</v>
      </c>
      <c r="AO56" s="89" t="e">
        <f>#REF!</f>
        <v>#REF!</v>
      </c>
      <c r="AP56" s="89" t="e">
        <f>#REF!</f>
        <v>#REF!</v>
      </c>
      <c r="AQ56" s="89" t="e">
        <f>#REF!</f>
        <v>#REF!</v>
      </c>
      <c r="AR56" s="89" t="e">
        <f>#REF!</f>
        <v>#REF!</v>
      </c>
      <c r="AS56" s="89" t="e">
        <f>#REF!</f>
        <v>#REF!</v>
      </c>
      <c r="AT56" s="89" t="e">
        <f>#REF!</f>
        <v>#REF!</v>
      </c>
      <c r="AU56" s="89" t="e">
        <f>#REF!</f>
        <v>#REF!</v>
      </c>
      <c r="AV56" s="89" t="e">
        <f>#REF!</f>
        <v>#REF!</v>
      </c>
      <c r="AW56" s="89" t="e">
        <f>#REF!</f>
        <v>#REF!</v>
      </c>
      <c r="AX56" s="89" t="e">
        <f>#REF!</f>
        <v>#REF!</v>
      </c>
      <c r="AY56" s="89" t="e">
        <f>#REF!</f>
        <v>#REF!</v>
      </c>
      <c r="AZ56" s="89" t="e">
        <f>#REF!</f>
        <v>#REF!</v>
      </c>
      <c r="BA56" s="89" t="e">
        <f>#REF!</f>
        <v>#REF!</v>
      </c>
      <c r="BB56" s="89" t="e">
        <f>#REF!</f>
        <v>#REF!</v>
      </c>
      <c r="BC56" s="89" t="e">
        <f>#REF!</f>
        <v>#REF!</v>
      </c>
      <c r="BD56" s="89" t="e">
        <f>#REF!</f>
        <v>#REF!</v>
      </c>
      <c r="BE56" s="89" t="e">
        <f>#REF!</f>
        <v>#REF!</v>
      </c>
      <c r="BF56" s="89" t="e">
        <f>#REF!</f>
        <v>#REF!</v>
      </c>
    </row>
    <row r="57" spans="9:58" x14ac:dyDescent="0.25">
      <c r="I57" s="89">
        <f>ABCD!J106</f>
        <v>13.25</v>
      </c>
      <c r="J57" s="89">
        <f>ABCD!K106</f>
        <v>43.46</v>
      </c>
      <c r="K57" s="89">
        <f>ABCD!L106</f>
        <v>3.6981739401705367</v>
      </c>
      <c r="L57" s="89">
        <f>ABCD!M106</f>
        <v>0.61985247787250142</v>
      </c>
      <c r="M57" s="89">
        <f>ABCD!N106</f>
        <v>3.7497610038615998</v>
      </c>
      <c r="N57" s="89" t="e">
        <v>#REF!</v>
      </c>
      <c r="O57" s="89" t="e">
        <v>#REF!</v>
      </c>
      <c r="P57" s="89" t="e">
        <v>#REF!</v>
      </c>
      <c r="Q57" s="89" t="e">
        <v>#REF!</v>
      </c>
      <c r="R57" s="89" t="e">
        <v>#REF!</v>
      </c>
      <c r="S57" s="89" t="e">
        <f>#REF!</f>
        <v>#REF!</v>
      </c>
      <c r="T57" s="89" t="e">
        <f>#REF!</f>
        <v>#REF!</v>
      </c>
      <c r="U57" s="89" t="e">
        <f>#REF!</f>
        <v>#REF!</v>
      </c>
      <c r="V57" s="89" t="e">
        <f>#REF!</f>
        <v>#REF!</v>
      </c>
      <c r="W57" s="89" t="e">
        <f>#REF!</f>
        <v>#REF!</v>
      </c>
      <c r="X57" s="89" t="e">
        <f>#REF!</f>
        <v>#REF!</v>
      </c>
      <c r="Y57" s="89" t="e">
        <f>#REF!</f>
        <v>#REF!</v>
      </c>
      <c r="Z57" s="89" t="e">
        <f>#REF!</f>
        <v>#REF!</v>
      </c>
      <c r="AA57" s="89" t="e">
        <f>#REF!</f>
        <v>#REF!</v>
      </c>
      <c r="AB57" s="89" t="e">
        <f>#REF!</f>
        <v>#REF!</v>
      </c>
      <c r="AC57" s="89" t="e">
        <f>#REF!</f>
        <v>#REF!</v>
      </c>
      <c r="AD57" s="89" t="e">
        <f>#REF!</f>
        <v>#REF!</v>
      </c>
      <c r="AE57" s="89" t="e">
        <f>#REF!</f>
        <v>#REF!</v>
      </c>
      <c r="AF57" s="89" t="e">
        <f>#REF!</f>
        <v>#REF!</v>
      </c>
      <c r="AG57" s="89" t="e">
        <f>#REF!</f>
        <v>#REF!</v>
      </c>
      <c r="AH57" s="89" t="e">
        <f>#REF!</f>
        <v>#REF!</v>
      </c>
      <c r="AI57" s="89" t="e">
        <f>#REF!</f>
        <v>#REF!</v>
      </c>
      <c r="AJ57" s="89" t="e">
        <f>#REF!</f>
        <v>#REF!</v>
      </c>
      <c r="AK57" s="89" t="e">
        <f>#REF!</f>
        <v>#REF!</v>
      </c>
      <c r="AL57" s="89" t="e">
        <f>#REF!</f>
        <v>#REF!</v>
      </c>
      <c r="AM57" s="89" t="e">
        <f>#REF!</f>
        <v>#REF!</v>
      </c>
      <c r="AN57" s="89" t="e">
        <f>#REF!</f>
        <v>#REF!</v>
      </c>
      <c r="AO57" s="89" t="e">
        <f>#REF!</f>
        <v>#REF!</v>
      </c>
      <c r="AP57" s="89" t="e">
        <f>#REF!</f>
        <v>#REF!</v>
      </c>
      <c r="AQ57" s="89" t="e">
        <f>#REF!</f>
        <v>#REF!</v>
      </c>
      <c r="AR57" s="89" t="e">
        <f>#REF!</f>
        <v>#REF!</v>
      </c>
      <c r="AS57" s="89" t="e">
        <f>#REF!</f>
        <v>#REF!</v>
      </c>
      <c r="AT57" s="89" t="e">
        <f>#REF!</f>
        <v>#REF!</v>
      </c>
      <c r="AU57" s="89" t="e">
        <f>#REF!</f>
        <v>#REF!</v>
      </c>
      <c r="AV57" s="89" t="e">
        <f>#REF!</f>
        <v>#REF!</v>
      </c>
      <c r="AW57" s="89" t="e">
        <f>#REF!</f>
        <v>#REF!</v>
      </c>
      <c r="AX57" s="89" t="e">
        <f>#REF!</f>
        <v>#REF!</v>
      </c>
      <c r="AY57" s="89" t="e">
        <f>#REF!</f>
        <v>#REF!</v>
      </c>
      <c r="AZ57" s="89" t="e">
        <f>#REF!</f>
        <v>#REF!</v>
      </c>
      <c r="BA57" s="89" t="e">
        <f>#REF!</f>
        <v>#REF!</v>
      </c>
      <c r="BB57" s="89" t="e">
        <f>#REF!</f>
        <v>#REF!</v>
      </c>
      <c r="BC57" s="89" t="e">
        <f>#REF!</f>
        <v>#REF!</v>
      </c>
      <c r="BD57" s="89" t="e">
        <f>#REF!</f>
        <v>#REF!</v>
      </c>
      <c r="BE57" s="89" t="e">
        <f>#REF!</f>
        <v>#REF!</v>
      </c>
      <c r="BF57" s="89" t="e">
        <f>#REF!</f>
        <v>#REF!</v>
      </c>
    </row>
    <row r="58" spans="9:58" x14ac:dyDescent="0.25">
      <c r="I58" s="89">
        <f>ABCD!J107</f>
        <v>13.5</v>
      </c>
      <c r="J58" s="89">
        <f>ABCD!K107</f>
        <v>44.279999999999994</v>
      </c>
      <c r="K58" s="89">
        <f>ABCD!L107</f>
        <v>3.7839665667845104</v>
      </c>
      <c r="L58" s="89">
        <f>ABCD!M107</f>
        <v>0.6360133707705633</v>
      </c>
      <c r="M58" s="89">
        <f>ABCD!N107</f>
        <v>3.8370452155717278</v>
      </c>
      <c r="N58" s="89" t="e">
        <v>#REF!</v>
      </c>
      <c r="O58" s="89" t="e">
        <v>#REF!</v>
      </c>
      <c r="P58" s="89" t="e">
        <v>#REF!</v>
      </c>
      <c r="Q58" s="89" t="e">
        <v>#REF!</v>
      </c>
      <c r="R58" s="89" t="e">
        <v>#REF!</v>
      </c>
      <c r="S58" s="89" t="e">
        <f>#REF!</f>
        <v>#REF!</v>
      </c>
      <c r="T58" s="89" t="e">
        <f>#REF!</f>
        <v>#REF!</v>
      </c>
      <c r="U58" s="89" t="e">
        <f>#REF!</f>
        <v>#REF!</v>
      </c>
      <c r="V58" s="89" t="e">
        <f>#REF!</f>
        <v>#REF!</v>
      </c>
      <c r="W58" s="89" t="e">
        <f>#REF!</f>
        <v>#REF!</v>
      </c>
      <c r="X58" s="89" t="e">
        <f>#REF!</f>
        <v>#REF!</v>
      </c>
      <c r="Y58" s="89" t="e">
        <f>#REF!</f>
        <v>#REF!</v>
      </c>
      <c r="Z58" s="89" t="e">
        <f>#REF!</f>
        <v>#REF!</v>
      </c>
      <c r="AA58" s="89" t="e">
        <f>#REF!</f>
        <v>#REF!</v>
      </c>
      <c r="AB58" s="89" t="e">
        <f>#REF!</f>
        <v>#REF!</v>
      </c>
      <c r="AC58" s="89" t="e">
        <f>#REF!</f>
        <v>#REF!</v>
      </c>
      <c r="AD58" s="89" t="e">
        <f>#REF!</f>
        <v>#REF!</v>
      </c>
      <c r="AE58" s="89" t="e">
        <f>#REF!</f>
        <v>#REF!</v>
      </c>
      <c r="AF58" s="89" t="e">
        <f>#REF!</f>
        <v>#REF!</v>
      </c>
      <c r="AG58" s="89" t="e">
        <f>#REF!</f>
        <v>#REF!</v>
      </c>
      <c r="AH58" s="89" t="e">
        <f>#REF!</f>
        <v>#REF!</v>
      </c>
      <c r="AI58" s="89" t="e">
        <f>#REF!</f>
        <v>#REF!</v>
      </c>
      <c r="AJ58" s="89" t="e">
        <f>#REF!</f>
        <v>#REF!</v>
      </c>
      <c r="AK58" s="89" t="e">
        <f>#REF!</f>
        <v>#REF!</v>
      </c>
      <c r="AL58" s="89" t="e">
        <f>#REF!</f>
        <v>#REF!</v>
      </c>
      <c r="AM58" s="89" t="e">
        <f>#REF!</f>
        <v>#REF!</v>
      </c>
      <c r="AN58" s="89" t="e">
        <f>#REF!</f>
        <v>#REF!</v>
      </c>
      <c r="AO58" s="89" t="e">
        <f>#REF!</f>
        <v>#REF!</v>
      </c>
      <c r="AP58" s="89" t="e">
        <f>#REF!</f>
        <v>#REF!</v>
      </c>
      <c r="AQ58" s="89" t="e">
        <f>#REF!</f>
        <v>#REF!</v>
      </c>
      <c r="AR58" s="89" t="e">
        <f>#REF!</f>
        <v>#REF!</v>
      </c>
      <c r="AS58" s="89" t="e">
        <f>#REF!</f>
        <v>#REF!</v>
      </c>
      <c r="AT58" s="89" t="e">
        <f>#REF!</f>
        <v>#REF!</v>
      </c>
      <c r="AU58" s="89" t="e">
        <f>#REF!</f>
        <v>#REF!</v>
      </c>
      <c r="AV58" s="89" t="e">
        <f>#REF!</f>
        <v>#REF!</v>
      </c>
      <c r="AW58" s="89" t="e">
        <f>#REF!</f>
        <v>#REF!</v>
      </c>
      <c r="AX58" s="89" t="e">
        <f>#REF!</f>
        <v>#REF!</v>
      </c>
      <c r="AY58" s="89" t="e">
        <f>#REF!</f>
        <v>#REF!</v>
      </c>
      <c r="AZ58" s="89" t="e">
        <f>#REF!</f>
        <v>#REF!</v>
      </c>
      <c r="BA58" s="89" t="e">
        <f>#REF!</f>
        <v>#REF!</v>
      </c>
      <c r="BB58" s="89" t="e">
        <f>#REF!</f>
        <v>#REF!</v>
      </c>
      <c r="BC58" s="89" t="e">
        <f>#REF!</f>
        <v>#REF!</v>
      </c>
      <c r="BD58" s="89" t="e">
        <f>#REF!</f>
        <v>#REF!</v>
      </c>
      <c r="BE58" s="89" t="e">
        <f>#REF!</f>
        <v>#REF!</v>
      </c>
      <c r="BF58" s="89" t="e">
        <f>#REF!</f>
        <v>#REF!</v>
      </c>
    </row>
    <row r="59" spans="9:58" x14ac:dyDescent="0.25">
      <c r="I59" s="89">
        <f>ABCD!J108</f>
        <v>13.75</v>
      </c>
      <c r="J59" s="89">
        <f>ABCD!K108</f>
        <v>45.099999999999994</v>
      </c>
      <c r="K59" s="89">
        <f>ABCD!L108</f>
        <v>3.8688085198577293</v>
      </c>
      <c r="L59" s="89">
        <f>ABCD!M108</f>
        <v>0.65201290739760065</v>
      </c>
      <c r="M59" s="89">
        <f>ABCD!N108</f>
        <v>3.9233659266931533</v>
      </c>
      <c r="N59" s="89" t="e">
        <v>#REF!</v>
      </c>
      <c r="O59" s="89" t="e">
        <v>#REF!</v>
      </c>
      <c r="P59" s="89" t="e">
        <v>#REF!</v>
      </c>
      <c r="Q59" s="89" t="e">
        <v>#REF!</v>
      </c>
      <c r="R59" s="89" t="e">
        <v>#REF!</v>
      </c>
      <c r="S59" s="89" t="e">
        <f>#REF!</f>
        <v>#REF!</v>
      </c>
      <c r="T59" s="89" t="e">
        <f>#REF!</f>
        <v>#REF!</v>
      </c>
      <c r="U59" s="89" t="e">
        <f>#REF!</f>
        <v>#REF!</v>
      </c>
      <c r="V59" s="89" t="e">
        <f>#REF!</f>
        <v>#REF!</v>
      </c>
      <c r="W59" s="89" t="e">
        <f>#REF!</f>
        <v>#REF!</v>
      </c>
      <c r="X59" s="89" t="e">
        <f>#REF!</f>
        <v>#REF!</v>
      </c>
      <c r="Y59" s="89" t="e">
        <f>#REF!</f>
        <v>#REF!</v>
      </c>
      <c r="Z59" s="89" t="e">
        <f>#REF!</f>
        <v>#REF!</v>
      </c>
      <c r="AA59" s="89" t="e">
        <f>#REF!</f>
        <v>#REF!</v>
      </c>
      <c r="AB59" s="89" t="e">
        <f>#REF!</f>
        <v>#REF!</v>
      </c>
      <c r="AC59" s="89" t="e">
        <f>#REF!</f>
        <v>#REF!</v>
      </c>
      <c r="AD59" s="89" t="e">
        <f>#REF!</f>
        <v>#REF!</v>
      </c>
      <c r="AE59" s="89" t="e">
        <f>#REF!</f>
        <v>#REF!</v>
      </c>
      <c r="AF59" s="89" t="e">
        <f>#REF!</f>
        <v>#REF!</v>
      </c>
      <c r="AG59" s="89" t="e">
        <f>#REF!</f>
        <v>#REF!</v>
      </c>
      <c r="AH59" s="89" t="e">
        <f>#REF!</f>
        <v>#REF!</v>
      </c>
      <c r="AI59" s="89" t="e">
        <f>#REF!</f>
        <v>#REF!</v>
      </c>
      <c r="AJ59" s="89" t="e">
        <f>#REF!</f>
        <v>#REF!</v>
      </c>
      <c r="AK59" s="89" t="e">
        <f>#REF!</f>
        <v>#REF!</v>
      </c>
      <c r="AL59" s="89" t="e">
        <f>#REF!</f>
        <v>#REF!</v>
      </c>
      <c r="AM59" s="89" t="e">
        <f>#REF!</f>
        <v>#REF!</v>
      </c>
      <c r="AN59" s="89" t="e">
        <f>#REF!</f>
        <v>#REF!</v>
      </c>
      <c r="AO59" s="89" t="e">
        <f>#REF!</f>
        <v>#REF!</v>
      </c>
      <c r="AP59" s="89" t="e">
        <f>#REF!</f>
        <v>#REF!</v>
      </c>
      <c r="AQ59" s="89" t="e">
        <f>#REF!</f>
        <v>#REF!</v>
      </c>
      <c r="AR59" s="89" t="e">
        <f>#REF!</f>
        <v>#REF!</v>
      </c>
      <c r="AS59" s="89" t="e">
        <f>#REF!</f>
        <v>#REF!</v>
      </c>
      <c r="AT59" s="89" t="e">
        <f>#REF!</f>
        <v>#REF!</v>
      </c>
      <c r="AU59" s="89" t="e">
        <f>#REF!</f>
        <v>#REF!</v>
      </c>
      <c r="AV59" s="89" t="e">
        <f>#REF!</f>
        <v>#REF!</v>
      </c>
      <c r="AW59" s="89" t="e">
        <f>#REF!</f>
        <v>#REF!</v>
      </c>
      <c r="AX59" s="89" t="e">
        <f>#REF!</f>
        <v>#REF!</v>
      </c>
      <c r="AY59" s="89" t="e">
        <f>#REF!</f>
        <v>#REF!</v>
      </c>
      <c r="AZ59" s="89" t="e">
        <f>#REF!</f>
        <v>#REF!</v>
      </c>
      <c r="BA59" s="89" t="e">
        <f>#REF!</f>
        <v>#REF!</v>
      </c>
      <c r="BB59" s="89" t="e">
        <f>#REF!</f>
        <v>#REF!</v>
      </c>
      <c r="BC59" s="89" t="e">
        <f>#REF!</f>
        <v>#REF!</v>
      </c>
      <c r="BD59" s="89" t="e">
        <f>#REF!</f>
        <v>#REF!</v>
      </c>
      <c r="BE59" s="89" t="e">
        <f>#REF!</f>
        <v>#REF!</v>
      </c>
      <c r="BF59" s="89" t="e">
        <f>#REF!</f>
        <v>#REF!</v>
      </c>
    </row>
    <row r="60" spans="9:58" x14ac:dyDescent="0.25">
      <c r="I60" s="89">
        <f>ABCD!J109</f>
        <v>14</v>
      </c>
      <c r="J60" s="89">
        <f>ABCD!K109</f>
        <v>45.919999999999995</v>
      </c>
      <c r="K60" s="89">
        <f>ABCD!L109</f>
        <v>3.9526810696037771</v>
      </c>
      <c r="L60" s="89">
        <f>ABCD!M109</f>
        <v>0.6678475395586787</v>
      </c>
      <c r="M60" s="89">
        <f>ABCD!N109</f>
        <v>4.0087040267521177</v>
      </c>
      <c r="N60" s="89" t="e">
        <v>#REF!</v>
      </c>
      <c r="O60" s="89" t="e">
        <v>#REF!</v>
      </c>
      <c r="P60" s="89" t="e">
        <v>#REF!</v>
      </c>
      <c r="Q60" s="89" t="e">
        <v>#REF!</v>
      </c>
      <c r="R60" s="89" t="e">
        <v>#REF!</v>
      </c>
      <c r="S60" s="89" t="e">
        <f>#REF!</f>
        <v>#REF!</v>
      </c>
      <c r="T60" s="89" t="e">
        <f>#REF!</f>
        <v>#REF!</v>
      </c>
      <c r="U60" s="89" t="e">
        <f>#REF!</f>
        <v>#REF!</v>
      </c>
      <c r="V60" s="89" t="e">
        <f>#REF!</f>
        <v>#REF!</v>
      </c>
      <c r="W60" s="89" t="e">
        <f>#REF!</f>
        <v>#REF!</v>
      </c>
      <c r="X60" s="89" t="e">
        <f>#REF!</f>
        <v>#REF!</v>
      </c>
      <c r="Y60" s="89" t="e">
        <f>#REF!</f>
        <v>#REF!</v>
      </c>
      <c r="Z60" s="89" t="e">
        <f>#REF!</f>
        <v>#REF!</v>
      </c>
      <c r="AA60" s="89" t="e">
        <f>#REF!</f>
        <v>#REF!</v>
      </c>
      <c r="AB60" s="89" t="e">
        <f>#REF!</f>
        <v>#REF!</v>
      </c>
      <c r="AC60" s="89" t="e">
        <f>#REF!</f>
        <v>#REF!</v>
      </c>
      <c r="AD60" s="89" t="e">
        <f>#REF!</f>
        <v>#REF!</v>
      </c>
      <c r="AE60" s="89" t="e">
        <f>#REF!</f>
        <v>#REF!</v>
      </c>
      <c r="AF60" s="89" t="e">
        <f>#REF!</f>
        <v>#REF!</v>
      </c>
      <c r="AG60" s="89" t="e">
        <f>#REF!</f>
        <v>#REF!</v>
      </c>
      <c r="AH60" s="89" t="e">
        <f>#REF!</f>
        <v>#REF!</v>
      </c>
      <c r="AI60" s="89" t="e">
        <f>#REF!</f>
        <v>#REF!</v>
      </c>
      <c r="AJ60" s="89" t="e">
        <f>#REF!</f>
        <v>#REF!</v>
      </c>
      <c r="AK60" s="89" t="e">
        <f>#REF!</f>
        <v>#REF!</v>
      </c>
      <c r="AL60" s="89" t="e">
        <f>#REF!</f>
        <v>#REF!</v>
      </c>
      <c r="AM60" s="89" t="e">
        <f>#REF!</f>
        <v>#REF!</v>
      </c>
      <c r="AN60" s="89" t="e">
        <f>#REF!</f>
        <v>#REF!</v>
      </c>
      <c r="AO60" s="89" t="e">
        <f>#REF!</f>
        <v>#REF!</v>
      </c>
      <c r="AP60" s="89" t="e">
        <f>#REF!</f>
        <v>#REF!</v>
      </c>
      <c r="AQ60" s="89" t="e">
        <f>#REF!</f>
        <v>#REF!</v>
      </c>
      <c r="AR60" s="89" t="e">
        <f>#REF!</f>
        <v>#REF!</v>
      </c>
      <c r="AS60" s="89" t="e">
        <f>#REF!</f>
        <v>#REF!</v>
      </c>
      <c r="AT60" s="89" t="e">
        <f>#REF!</f>
        <v>#REF!</v>
      </c>
      <c r="AU60" s="89" t="e">
        <f>#REF!</f>
        <v>#REF!</v>
      </c>
      <c r="AV60" s="89" t="e">
        <f>#REF!</f>
        <v>#REF!</v>
      </c>
      <c r="AW60" s="89" t="e">
        <f>#REF!</f>
        <v>#REF!</v>
      </c>
      <c r="AX60" s="89" t="e">
        <f>#REF!</f>
        <v>#REF!</v>
      </c>
      <c r="AY60" s="89" t="e">
        <f>#REF!</f>
        <v>#REF!</v>
      </c>
      <c r="AZ60" s="89" t="e">
        <f>#REF!</f>
        <v>#REF!</v>
      </c>
      <c r="BA60" s="89" t="e">
        <f>#REF!</f>
        <v>#REF!</v>
      </c>
      <c r="BB60" s="89" t="e">
        <f>#REF!</f>
        <v>#REF!</v>
      </c>
      <c r="BC60" s="89" t="e">
        <f>#REF!</f>
        <v>#REF!</v>
      </c>
      <c r="BD60" s="89" t="e">
        <f>#REF!</f>
        <v>#REF!</v>
      </c>
      <c r="BE60" s="89" t="e">
        <f>#REF!</f>
        <v>#REF!</v>
      </c>
      <c r="BF60" s="89" t="e">
        <f>#REF!</f>
        <v>#REF!</v>
      </c>
    </row>
    <row r="61" spans="9:58" x14ac:dyDescent="0.25">
      <c r="I61" s="89">
        <f>ABCD!J110</f>
        <v>14.25</v>
      </c>
      <c r="J61" s="89">
        <f>ABCD!K110</f>
        <v>46.739999999999995</v>
      </c>
      <c r="K61" s="89">
        <f>ABCD!L110</f>
        <v>4.0355657268635587</v>
      </c>
      <c r="L61" s="89">
        <f>ABCD!M110</f>
        <v>0.68351376031753164</v>
      </c>
      <c r="M61" s="89">
        <f>ABCD!N110</f>
        <v>4.0930406541322331</v>
      </c>
      <c r="N61" s="89" t="e">
        <v>#REF!</v>
      </c>
      <c r="O61" s="89" t="e">
        <v>#REF!</v>
      </c>
      <c r="P61" s="89" t="e">
        <v>#REF!</v>
      </c>
      <c r="Q61" s="89" t="e">
        <v>#REF!</v>
      </c>
      <c r="R61" s="89" t="e">
        <v>#REF!</v>
      </c>
      <c r="S61" s="89" t="e">
        <f>#REF!</f>
        <v>#REF!</v>
      </c>
      <c r="T61" s="89" t="e">
        <f>#REF!</f>
        <v>#REF!</v>
      </c>
      <c r="U61" s="89" t="e">
        <f>#REF!</f>
        <v>#REF!</v>
      </c>
      <c r="V61" s="89" t="e">
        <f>#REF!</f>
        <v>#REF!</v>
      </c>
      <c r="W61" s="89" t="e">
        <f>#REF!</f>
        <v>#REF!</v>
      </c>
      <c r="X61" s="89" t="e">
        <f>#REF!</f>
        <v>#REF!</v>
      </c>
      <c r="Y61" s="89" t="e">
        <f>#REF!</f>
        <v>#REF!</v>
      </c>
      <c r="Z61" s="89" t="e">
        <f>#REF!</f>
        <v>#REF!</v>
      </c>
      <c r="AA61" s="89" t="e">
        <f>#REF!</f>
        <v>#REF!</v>
      </c>
      <c r="AB61" s="89" t="e">
        <f>#REF!</f>
        <v>#REF!</v>
      </c>
      <c r="AC61" s="89" t="e">
        <f>#REF!</f>
        <v>#REF!</v>
      </c>
      <c r="AD61" s="89" t="e">
        <f>#REF!</f>
        <v>#REF!</v>
      </c>
      <c r="AE61" s="89" t="e">
        <f>#REF!</f>
        <v>#REF!</v>
      </c>
      <c r="AF61" s="89" t="e">
        <f>#REF!</f>
        <v>#REF!</v>
      </c>
      <c r="AG61" s="89" t="e">
        <f>#REF!</f>
        <v>#REF!</v>
      </c>
      <c r="AH61" s="89" t="e">
        <f>#REF!</f>
        <v>#REF!</v>
      </c>
      <c r="AI61" s="89" t="e">
        <f>#REF!</f>
        <v>#REF!</v>
      </c>
      <c r="AJ61" s="89" t="e">
        <f>#REF!</f>
        <v>#REF!</v>
      </c>
      <c r="AK61" s="89" t="e">
        <f>#REF!</f>
        <v>#REF!</v>
      </c>
      <c r="AL61" s="89" t="e">
        <f>#REF!</f>
        <v>#REF!</v>
      </c>
      <c r="AM61" s="89" t="e">
        <f>#REF!</f>
        <v>#REF!</v>
      </c>
      <c r="AN61" s="89" t="e">
        <f>#REF!</f>
        <v>#REF!</v>
      </c>
      <c r="AO61" s="89" t="e">
        <f>#REF!</f>
        <v>#REF!</v>
      </c>
      <c r="AP61" s="89" t="e">
        <f>#REF!</f>
        <v>#REF!</v>
      </c>
      <c r="AQ61" s="89" t="e">
        <f>#REF!</f>
        <v>#REF!</v>
      </c>
      <c r="AR61" s="89" t="e">
        <f>#REF!</f>
        <v>#REF!</v>
      </c>
      <c r="AS61" s="89" t="e">
        <f>#REF!</f>
        <v>#REF!</v>
      </c>
      <c r="AT61" s="89" t="e">
        <f>#REF!</f>
        <v>#REF!</v>
      </c>
      <c r="AU61" s="89" t="e">
        <f>#REF!</f>
        <v>#REF!</v>
      </c>
      <c r="AV61" s="89" t="e">
        <f>#REF!</f>
        <v>#REF!</v>
      </c>
      <c r="AW61" s="89" t="e">
        <f>#REF!</f>
        <v>#REF!</v>
      </c>
      <c r="AX61" s="89" t="e">
        <f>#REF!</f>
        <v>#REF!</v>
      </c>
      <c r="AY61" s="89" t="e">
        <f>#REF!</f>
        <v>#REF!</v>
      </c>
      <c r="AZ61" s="89" t="e">
        <f>#REF!</f>
        <v>#REF!</v>
      </c>
      <c r="BA61" s="89" t="e">
        <f>#REF!</f>
        <v>#REF!</v>
      </c>
      <c r="BB61" s="89" t="e">
        <f>#REF!</f>
        <v>#REF!</v>
      </c>
      <c r="BC61" s="89" t="e">
        <f>#REF!</f>
        <v>#REF!</v>
      </c>
      <c r="BD61" s="89" t="e">
        <f>#REF!</f>
        <v>#REF!</v>
      </c>
      <c r="BE61" s="89" t="e">
        <f>#REF!</f>
        <v>#REF!</v>
      </c>
      <c r="BF61" s="89" t="e">
        <f>#REF!</f>
        <v>#REF!</v>
      </c>
    </row>
    <row r="62" spans="9:58" x14ac:dyDescent="0.25">
      <c r="I62" s="89">
        <f>ABCD!J111</f>
        <v>14.5</v>
      </c>
      <c r="J62" s="89">
        <f>ABCD!K111</f>
        <v>47.559999999999995</v>
      </c>
      <c r="K62" s="89">
        <f>ABCD!L111</f>
        <v>4.1174442471568957</v>
      </c>
      <c r="L62" s="89">
        <f>ABCD!M111</f>
        <v>0.69900810476898556</v>
      </c>
      <c r="M62" s="89">
        <f>ABCD!N111</f>
        <v>4.1763571996391953</v>
      </c>
      <c r="N62" s="89" t="e">
        <v>#REF!</v>
      </c>
      <c r="O62" s="89" t="e">
        <v>#REF!</v>
      </c>
      <c r="P62" s="89" t="e">
        <v>#REF!</v>
      </c>
      <c r="Q62" s="89" t="e">
        <v>#REF!</v>
      </c>
      <c r="R62" s="89" t="e">
        <v>#REF!</v>
      </c>
      <c r="S62" s="89" t="e">
        <f>#REF!</f>
        <v>#REF!</v>
      </c>
      <c r="T62" s="89" t="e">
        <f>#REF!</f>
        <v>#REF!</v>
      </c>
      <c r="U62" s="89" t="e">
        <f>#REF!</f>
        <v>#REF!</v>
      </c>
      <c r="V62" s="89" t="e">
        <f>#REF!</f>
        <v>#REF!</v>
      </c>
      <c r="W62" s="89" t="e">
        <f>#REF!</f>
        <v>#REF!</v>
      </c>
      <c r="X62" s="89" t="e">
        <f>#REF!</f>
        <v>#REF!</v>
      </c>
      <c r="Y62" s="89" t="e">
        <f>#REF!</f>
        <v>#REF!</v>
      </c>
      <c r="Z62" s="89" t="e">
        <f>#REF!</f>
        <v>#REF!</v>
      </c>
      <c r="AA62" s="89" t="e">
        <f>#REF!</f>
        <v>#REF!</v>
      </c>
      <c r="AB62" s="89" t="e">
        <f>#REF!</f>
        <v>#REF!</v>
      </c>
      <c r="AC62" s="89" t="e">
        <f>#REF!</f>
        <v>#REF!</v>
      </c>
      <c r="AD62" s="89" t="e">
        <f>#REF!</f>
        <v>#REF!</v>
      </c>
      <c r="AE62" s="89" t="e">
        <f>#REF!</f>
        <v>#REF!</v>
      </c>
      <c r="AF62" s="89" t="e">
        <f>#REF!</f>
        <v>#REF!</v>
      </c>
      <c r="AG62" s="89" t="e">
        <f>#REF!</f>
        <v>#REF!</v>
      </c>
      <c r="AH62" s="89" t="e">
        <f>#REF!</f>
        <v>#REF!</v>
      </c>
      <c r="AI62" s="89" t="e">
        <f>#REF!</f>
        <v>#REF!</v>
      </c>
      <c r="AJ62" s="89" t="e">
        <f>#REF!</f>
        <v>#REF!</v>
      </c>
      <c r="AK62" s="89" t="e">
        <f>#REF!</f>
        <v>#REF!</v>
      </c>
      <c r="AL62" s="89" t="e">
        <f>#REF!</f>
        <v>#REF!</v>
      </c>
      <c r="AM62" s="89" t="e">
        <f>#REF!</f>
        <v>#REF!</v>
      </c>
      <c r="AN62" s="89" t="e">
        <f>#REF!</f>
        <v>#REF!</v>
      </c>
      <c r="AO62" s="89" t="e">
        <f>#REF!</f>
        <v>#REF!</v>
      </c>
      <c r="AP62" s="89" t="e">
        <f>#REF!</f>
        <v>#REF!</v>
      </c>
      <c r="AQ62" s="89" t="e">
        <f>#REF!</f>
        <v>#REF!</v>
      </c>
      <c r="AR62" s="89" t="e">
        <f>#REF!</f>
        <v>#REF!</v>
      </c>
      <c r="AS62" s="89" t="e">
        <f>#REF!</f>
        <v>#REF!</v>
      </c>
      <c r="AT62" s="89" t="e">
        <f>#REF!</f>
        <v>#REF!</v>
      </c>
      <c r="AU62" s="89" t="e">
        <f>#REF!</f>
        <v>#REF!</v>
      </c>
      <c r="AV62" s="89" t="e">
        <f>#REF!</f>
        <v>#REF!</v>
      </c>
      <c r="AW62" s="89" t="e">
        <f>#REF!</f>
        <v>#REF!</v>
      </c>
      <c r="AX62" s="89" t="e">
        <f>#REF!</f>
        <v>#REF!</v>
      </c>
      <c r="AY62" s="89" t="e">
        <f>#REF!</f>
        <v>#REF!</v>
      </c>
      <c r="AZ62" s="89" t="e">
        <f>#REF!</f>
        <v>#REF!</v>
      </c>
      <c r="BA62" s="89" t="e">
        <f>#REF!</f>
        <v>#REF!</v>
      </c>
      <c r="BB62" s="89" t="e">
        <f>#REF!</f>
        <v>#REF!</v>
      </c>
      <c r="BC62" s="89" t="e">
        <f>#REF!</f>
        <v>#REF!</v>
      </c>
      <c r="BD62" s="89" t="e">
        <f>#REF!</f>
        <v>#REF!</v>
      </c>
      <c r="BE62" s="89" t="e">
        <f>#REF!</f>
        <v>#REF!</v>
      </c>
      <c r="BF62" s="89" t="e">
        <f>#REF!</f>
        <v>#REF!</v>
      </c>
    </row>
    <row r="63" spans="9:58" x14ac:dyDescent="0.25">
      <c r="I63" s="89">
        <f>ABCD!J112</f>
        <v>14.75</v>
      </c>
      <c r="J63" s="89">
        <f>ABCD!K112</f>
        <v>48.379999999999995</v>
      </c>
      <c r="K63" s="89">
        <f>ABCD!L112</f>
        <v>4.1982986346740034</v>
      </c>
      <c r="L63" s="89">
        <f>ABCD!M112</f>
        <v>0.71432715080098808</v>
      </c>
      <c r="M63" s="89">
        <f>ABCD!N112</f>
        <v>4.2586353100819823</v>
      </c>
      <c r="N63" s="89" t="e">
        <v>#REF!</v>
      </c>
      <c r="O63" s="89" t="e">
        <v>#REF!</v>
      </c>
      <c r="P63" s="89" t="e">
        <v>#REF!</v>
      </c>
      <c r="Q63" s="89" t="e">
        <v>#REF!</v>
      </c>
      <c r="R63" s="89" t="e">
        <v>#REF!</v>
      </c>
      <c r="S63" s="89" t="e">
        <f>#REF!</f>
        <v>#REF!</v>
      </c>
      <c r="T63" s="89" t="e">
        <f>#REF!</f>
        <v>#REF!</v>
      </c>
      <c r="U63" s="89" t="e">
        <f>#REF!</f>
        <v>#REF!</v>
      </c>
      <c r="V63" s="89" t="e">
        <f>#REF!</f>
        <v>#REF!</v>
      </c>
      <c r="W63" s="89" t="e">
        <f>#REF!</f>
        <v>#REF!</v>
      </c>
      <c r="X63" s="89" t="e">
        <f>#REF!</f>
        <v>#REF!</v>
      </c>
      <c r="Y63" s="89" t="e">
        <f>#REF!</f>
        <v>#REF!</v>
      </c>
      <c r="Z63" s="89" t="e">
        <f>#REF!</f>
        <v>#REF!</v>
      </c>
      <c r="AA63" s="89" t="e">
        <f>#REF!</f>
        <v>#REF!</v>
      </c>
      <c r="AB63" s="89" t="e">
        <f>#REF!</f>
        <v>#REF!</v>
      </c>
      <c r="AC63" s="89" t="e">
        <f>#REF!</f>
        <v>#REF!</v>
      </c>
      <c r="AD63" s="89" t="e">
        <f>#REF!</f>
        <v>#REF!</v>
      </c>
      <c r="AE63" s="89" t="e">
        <f>#REF!</f>
        <v>#REF!</v>
      </c>
      <c r="AF63" s="89" t="e">
        <f>#REF!</f>
        <v>#REF!</v>
      </c>
      <c r="AG63" s="89" t="e">
        <f>#REF!</f>
        <v>#REF!</v>
      </c>
      <c r="AH63" s="89" t="e">
        <f>#REF!</f>
        <v>#REF!</v>
      </c>
      <c r="AI63" s="89" t="e">
        <f>#REF!</f>
        <v>#REF!</v>
      </c>
      <c r="AJ63" s="89" t="e">
        <f>#REF!</f>
        <v>#REF!</v>
      </c>
      <c r="AK63" s="89" t="e">
        <f>#REF!</f>
        <v>#REF!</v>
      </c>
      <c r="AL63" s="89" t="e">
        <f>#REF!</f>
        <v>#REF!</v>
      </c>
      <c r="AM63" s="89" t="e">
        <f>#REF!</f>
        <v>#REF!</v>
      </c>
      <c r="AN63" s="89" t="e">
        <f>#REF!</f>
        <v>#REF!</v>
      </c>
      <c r="AO63" s="89" t="e">
        <f>#REF!</f>
        <v>#REF!</v>
      </c>
      <c r="AP63" s="89" t="e">
        <f>#REF!</f>
        <v>#REF!</v>
      </c>
      <c r="AQ63" s="89" t="e">
        <f>#REF!</f>
        <v>#REF!</v>
      </c>
      <c r="AR63" s="89" t="e">
        <f>#REF!</f>
        <v>#REF!</v>
      </c>
      <c r="AS63" s="89" t="e">
        <f>#REF!</f>
        <v>#REF!</v>
      </c>
      <c r="AT63" s="89" t="e">
        <f>#REF!</f>
        <v>#REF!</v>
      </c>
      <c r="AU63" s="89" t="e">
        <f>#REF!</f>
        <v>#REF!</v>
      </c>
      <c r="AV63" s="89" t="e">
        <f>#REF!</f>
        <v>#REF!</v>
      </c>
      <c r="AW63" s="89" t="e">
        <f>#REF!</f>
        <v>#REF!</v>
      </c>
      <c r="AX63" s="89" t="e">
        <f>#REF!</f>
        <v>#REF!</v>
      </c>
      <c r="AY63" s="89" t="e">
        <f>#REF!</f>
        <v>#REF!</v>
      </c>
      <c r="AZ63" s="89" t="e">
        <f>#REF!</f>
        <v>#REF!</v>
      </c>
      <c r="BA63" s="89" t="e">
        <f>#REF!</f>
        <v>#REF!</v>
      </c>
      <c r="BB63" s="89" t="e">
        <f>#REF!</f>
        <v>#REF!</v>
      </c>
      <c r="BC63" s="89" t="e">
        <f>#REF!</f>
        <v>#REF!</v>
      </c>
      <c r="BD63" s="89" t="e">
        <f>#REF!</f>
        <v>#REF!</v>
      </c>
      <c r="BE63" s="89" t="e">
        <f>#REF!</f>
        <v>#REF!</v>
      </c>
      <c r="BF63" s="89" t="e">
        <f>#REF!</f>
        <v>#REF!</v>
      </c>
    </row>
    <row r="64" spans="9:58" x14ac:dyDescent="0.25">
      <c r="I64" s="89">
        <f>ABCD!J113</f>
        <v>15</v>
      </c>
      <c r="J64" s="89">
        <f>ABCD!K113</f>
        <v>49.199999999999996</v>
      </c>
      <c r="K64" s="89">
        <f>ABCD!L113</f>
        <v>4.278111146205946</v>
      </c>
      <c r="L64" s="89">
        <f>ABCD!M113</f>
        <v>0.7294675198460796</v>
      </c>
      <c r="M64" s="89">
        <f>ABCD!N113</f>
        <v>4.3398568918573739</v>
      </c>
      <c r="N64" s="89" t="e">
        <v>#REF!</v>
      </c>
      <c r="O64" s="89" t="e">
        <v>#REF!</v>
      </c>
      <c r="P64" s="89" t="e">
        <v>#REF!</v>
      </c>
      <c r="Q64" s="89" t="e">
        <v>#REF!</v>
      </c>
      <c r="R64" s="89" t="e">
        <v>#REF!</v>
      </c>
      <c r="S64" s="89" t="e">
        <f>#REF!</f>
        <v>#REF!</v>
      </c>
      <c r="T64" s="89" t="e">
        <f>#REF!</f>
        <v>#REF!</v>
      </c>
      <c r="U64" s="89" t="e">
        <f>#REF!</f>
        <v>#REF!</v>
      </c>
      <c r="V64" s="89" t="e">
        <f>#REF!</f>
        <v>#REF!</v>
      </c>
      <c r="W64" s="89" t="e">
        <f>#REF!</f>
        <v>#REF!</v>
      </c>
      <c r="X64" s="89" t="e">
        <f>#REF!</f>
        <v>#REF!</v>
      </c>
      <c r="Y64" s="89" t="e">
        <f>#REF!</f>
        <v>#REF!</v>
      </c>
      <c r="Z64" s="89" t="e">
        <f>#REF!</f>
        <v>#REF!</v>
      </c>
      <c r="AA64" s="89" t="e">
        <f>#REF!</f>
        <v>#REF!</v>
      </c>
      <c r="AB64" s="89" t="e">
        <f>#REF!</f>
        <v>#REF!</v>
      </c>
      <c r="AC64" s="89" t="e">
        <f>#REF!</f>
        <v>#REF!</v>
      </c>
      <c r="AD64" s="89" t="e">
        <f>#REF!</f>
        <v>#REF!</v>
      </c>
      <c r="AE64" s="89" t="e">
        <f>#REF!</f>
        <v>#REF!</v>
      </c>
      <c r="AF64" s="89" t="e">
        <f>#REF!</f>
        <v>#REF!</v>
      </c>
      <c r="AG64" s="89" t="e">
        <f>#REF!</f>
        <v>#REF!</v>
      </c>
      <c r="AH64" s="89" t="e">
        <f>#REF!</f>
        <v>#REF!</v>
      </c>
      <c r="AI64" s="89" t="e">
        <f>#REF!</f>
        <v>#REF!</v>
      </c>
      <c r="AJ64" s="89" t="e">
        <f>#REF!</f>
        <v>#REF!</v>
      </c>
      <c r="AK64" s="89" t="e">
        <f>#REF!</f>
        <v>#REF!</v>
      </c>
      <c r="AL64" s="89" t="e">
        <f>#REF!</f>
        <v>#REF!</v>
      </c>
      <c r="AM64" s="89" t="e">
        <f>#REF!</f>
        <v>#REF!</v>
      </c>
      <c r="AN64" s="89" t="e">
        <f>#REF!</f>
        <v>#REF!</v>
      </c>
      <c r="AO64" s="89" t="e">
        <f>#REF!</f>
        <v>#REF!</v>
      </c>
      <c r="AP64" s="89" t="e">
        <f>#REF!</f>
        <v>#REF!</v>
      </c>
      <c r="AQ64" s="89" t="e">
        <f>#REF!</f>
        <v>#REF!</v>
      </c>
      <c r="AR64" s="89" t="e">
        <f>#REF!</f>
        <v>#REF!</v>
      </c>
      <c r="AS64" s="89" t="e">
        <f>#REF!</f>
        <v>#REF!</v>
      </c>
      <c r="AT64" s="89" t="e">
        <f>#REF!</f>
        <v>#REF!</v>
      </c>
      <c r="AU64" s="89" t="e">
        <f>#REF!</f>
        <v>#REF!</v>
      </c>
      <c r="AV64" s="89" t="e">
        <f>#REF!</f>
        <v>#REF!</v>
      </c>
      <c r="AW64" s="89" t="e">
        <f>#REF!</f>
        <v>#REF!</v>
      </c>
      <c r="AX64" s="89" t="e">
        <f>#REF!</f>
        <v>#REF!</v>
      </c>
      <c r="AY64" s="89" t="e">
        <f>#REF!</f>
        <v>#REF!</v>
      </c>
      <c r="AZ64" s="89" t="e">
        <f>#REF!</f>
        <v>#REF!</v>
      </c>
      <c r="BA64" s="89" t="e">
        <f>#REF!</f>
        <v>#REF!</v>
      </c>
      <c r="BB64" s="89" t="e">
        <f>#REF!</f>
        <v>#REF!</v>
      </c>
      <c r="BC64" s="89" t="e">
        <f>#REF!</f>
        <v>#REF!</v>
      </c>
      <c r="BD64" s="89" t="e">
        <f>#REF!</f>
        <v>#REF!</v>
      </c>
      <c r="BE64" s="89" t="e">
        <f>#REF!</f>
        <v>#REF!</v>
      </c>
      <c r="BF64" s="89" t="e">
        <f>#REF!</f>
        <v>#REF!</v>
      </c>
    </row>
    <row r="65" spans="9:58" x14ac:dyDescent="0.25">
      <c r="I65" s="89">
        <f>ABCD!J114</f>
        <v>15.25</v>
      </c>
      <c r="J65" s="89">
        <f>ABCD!K114</f>
        <v>50.019999999999996</v>
      </c>
      <c r="K65" s="89">
        <f>ABCD!L114</f>
        <v>4.3568642950132714</v>
      </c>
      <c r="L65" s="89">
        <f>ABCD!M114</f>
        <v>0.74442587762212664</v>
      </c>
      <c r="M65" s="89">
        <f>ABCD!N114</f>
        <v>4.4200041145269271</v>
      </c>
      <c r="N65" s="89" t="e">
        <v>#REF!</v>
      </c>
      <c r="O65" s="89" t="e">
        <v>#REF!</v>
      </c>
      <c r="P65" s="89" t="e">
        <v>#REF!</v>
      </c>
      <c r="Q65" s="89" t="e">
        <v>#REF!</v>
      </c>
      <c r="R65" s="89" t="e">
        <v>#REF!</v>
      </c>
      <c r="S65" s="89" t="e">
        <f>#REF!</f>
        <v>#REF!</v>
      </c>
      <c r="T65" s="89" t="e">
        <f>#REF!</f>
        <v>#REF!</v>
      </c>
      <c r="U65" s="89" t="e">
        <f>#REF!</f>
        <v>#REF!</v>
      </c>
      <c r="V65" s="89" t="e">
        <f>#REF!</f>
        <v>#REF!</v>
      </c>
      <c r="W65" s="89" t="e">
        <f>#REF!</f>
        <v>#REF!</v>
      </c>
      <c r="X65" s="89" t="e">
        <f>#REF!</f>
        <v>#REF!</v>
      </c>
      <c r="Y65" s="89" t="e">
        <f>#REF!</f>
        <v>#REF!</v>
      </c>
      <c r="Z65" s="89" t="e">
        <f>#REF!</f>
        <v>#REF!</v>
      </c>
      <c r="AA65" s="89" t="e">
        <f>#REF!</f>
        <v>#REF!</v>
      </c>
      <c r="AB65" s="89" t="e">
        <f>#REF!</f>
        <v>#REF!</v>
      </c>
      <c r="AC65" s="89" t="e">
        <f>#REF!</f>
        <v>#REF!</v>
      </c>
      <c r="AD65" s="89" t="e">
        <f>#REF!</f>
        <v>#REF!</v>
      </c>
      <c r="AE65" s="89" t="e">
        <f>#REF!</f>
        <v>#REF!</v>
      </c>
      <c r="AF65" s="89" t="e">
        <f>#REF!</f>
        <v>#REF!</v>
      </c>
      <c r="AG65" s="89" t="e">
        <f>#REF!</f>
        <v>#REF!</v>
      </c>
      <c r="AH65" s="89" t="e">
        <f>#REF!</f>
        <v>#REF!</v>
      </c>
      <c r="AI65" s="89" t="e">
        <f>#REF!</f>
        <v>#REF!</v>
      </c>
      <c r="AJ65" s="89" t="e">
        <f>#REF!</f>
        <v>#REF!</v>
      </c>
      <c r="AK65" s="89" t="e">
        <f>#REF!</f>
        <v>#REF!</v>
      </c>
      <c r="AL65" s="89" t="e">
        <f>#REF!</f>
        <v>#REF!</v>
      </c>
      <c r="AM65" s="89" t="e">
        <f>#REF!</f>
        <v>#REF!</v>
      </c>
      <c r="AN65" s="89" t="e">
        <f>#REF!</f>
        <v>#REF!</v>
      </c>
      <c r="AO65" s="89" t="e">
        <f>#REF!</f>
        <v>#REF!</v>
      </c>
      <c r="AP65" s="89" t="e">
        <f>#REF!</f>
        <v>#REF!</v>
      </c>
      <c r="AQ65" s="89" t="e">
        <f>#REF!</f>
        <v>#REF!</v>
      </c>
      <c r="AR65" s="89" t="e">
        <f>#REF!</f>
        <v>#REF!</v>
      </c>
      <c r="AS65" s="89" t="e">
        <f>#REF!</f>
        <v>#REF!</v>
      </c>
      <c r="AT65" s="89" t="e">
        <f>#REF!</f>
        <v>#REF!</v>
      </c>
      <c r="AU65" s="89" t="e">
        <f>#REF!</f>
        <v>#REF!</v>
      </c>
      <c r="AV65" s="89" t="e">
        <f>#REF!</f>
        <v>#REF!</v>
      </c>
      <c r="AW65" s="89" t="e">
        <f>#REF!</f>
        <v>#REF!</v>
      </c>
      <c r="AX65" s="89" t="e">
        <f>#REF!</f>
        <v>#REF!</v>
      </c>
      <c r="AY65" s="89" t="e">
        <f>#REF!</f>
        <v>#REF!</v>
      </c>
      <c r="AZ65" s="89" t="e">
        <f>#REF!</f>
        <v>#REF!</v>
      </c>
      <c r="BA65" s="89" t="e">
        <f>#REF!</f>
        <v>#REF!</v>
      </c>
      <c r="BB65" s="89" t="e">
        <f>#REF!</f>
        <v>#REF!</v>
      </c>
      <c r="BC65" s="89" t="e">
        <f>#REF!</f>
        <v>#REF!</v>
      </c>
      <c r="BD65" s="89" t="e">
        <f>#REF!</f>
        <v>#REF!</v>
      </c>
      <c r="BE65" s="89" t="e">
        <f>#REF!</f>
        <v>#REF!</v>
      </c>
      <c r="BF65" s="89" t="e">
        <f>#REF!</f>
        <v>#REF!</v>
      </c>
    </row>
    <row r="66" spans="9:58" x14ac:dyDescent="0.25">
      <c r="I66" s="89">
        <f>ABCD!J115</f>
        <v>15.5</v>
      </c>
      <c r="J66" s="89">
        <f>ABCD!K115</f>
        <v>50.839999999999996</v>
      </c>
      <c r="K66" s="89">
        <f>ABCD!L115</f>
        <v>4.4345408546319316</v>
      </c>
      <c r="L66" s="89">
        <f>ABCD!M115</f>
        <v>0.75919893486218726</v>
      </c>
      <c r="M66" s="89">
        <f>ABCD!N115</f>
        <v>4.4990594143771405</v>
      </c>
      <c r="N66" s="89" t="e">
        <v>#REF!</v>
      </c>
      <c r="O66" s="89" t="e">
        <v>#REF!</v>
      </c>
      <c r="P66" s="89" t="e">
        <v>#REF!</v>
      </c>
      <c r="Q66" s="89" t="e">
        <v>#REF!</v>
      </c>
      <c r="R66" s="89" t="e">
        <v>#REF!</v>
      </c>
      <c r="S66" s="89" t="e">
        <f>#REF!</f>
        <v>#REF!</v>
      </c>
      <c r="T66" s="89" t="e">
        <f>#REF!</f>
        <v>#REF!</v>
      </c>
      <c r="U66" s="89" t="e">
        <f>#REF!</f>
        <v>#REF!</v>
      </c>
      <c r="V66" s="89" t="e">
        <f>#REF!</f>
        <v>#REF!</v>
      </c>
      <c r="W66" s="89" t="e">
        <f>#REF!</f>
        <v>#REF!</v>
      </c>
      <c r="X66" s="89" t="e">
        <f>#REF!</f>
        <v>#REF!</v>
      </c>
      <c r="Y66" s="89" t="e">
        <f>#REF!</f>
        <v>#REF!</v>
      </c>
      <c r="Z66" s="89" t="e">
        <f>#REF!</f>
        <v>#REF!</v>
      </c>
      <c r="AA66" s="89" t="e">
        <f>#REF!</f>
        <v>#REF!</v>
      </c>
      <c r="AB66" s="89" t="e">
        <f>#REF!</f>
        <v>#REF!</v>
      </c>
      <c r="AC66" s="89" t="e">
        <f>#REF!</f>
        <v>#REF!</v>
      </c>
      <c r="AD66" s="89" t="e">
        <f>#REF!</f>
        <v>#REF!</v>
      </c>
      <c r="AE66" s="89" t="e">
        <f>#REF!</f>
        <v>#REF!</v>
      </c>
      <c r="AF66" s="89" t="e">
        <f>#REF!</f>
        <v>#REF!</v>
      </c>
      <c r="AG66" s="89" t="e">
        <f>#REF!</f>
        <v>#REF!</v>
      </c>
      <c r="AH66" s="89" t="e">
        <f>#REF!</f>
        <v>#REF!</v>
      </c>
      <c r="AI66" s="89" t="e">
        <f>#REF!</f>
        <v>#REF!</v>
      </c>
      <c r="AJ66" s="89" t="e">
        <f>#REF!</f>
        <v>#REF!</v>
      </c>
      <c r="AK66" s="89" t="e">
        <f>#REF!</f>
        <v>#REF!</v>
      </c>
      <c r="AL66" s="89" t="e">
        <f>#REF!</f>
        <v>#REF!</v>
      </c>
      <c r="AM66" s="89" t="e">
        <f>#REF!</f>
        <v>#REF!</v>
      </c>
      <c r="AN66" s="89" t="e">
        <f>#REF!</f>
        <v>#REF!</v>
      </c>
      <c r="AO66" s="89" t="e">
        <f>#REF!</f>
        <v>#REF!</v>
      </c>
      <c r="AP66" s="89" t="e">
        <f>#REF!</f>
        <v>#REF!</v>
      </c>
      <c r="AQ66" s="89" t="e">
        <f>#REF!</f>
        <v>#REF!</v>
      </c>
      <c r="AR66" s="89" t="e">
        <f>#REF!</f>
        <v>#REF!</v>
      </c>
      <c r="AS66" s="89" t="e">
        <f>#REF!</f>
        <v>#REF!</v>
      </c>
      <c r="AT66" s="89" t="e">
        <f>#REF!</f>
        <v>#REF!</v>
      </c>
      <c r="AU66" s="89" t="e">
        <f>#REF!</f>
        <v>#REF!</v>
      </c>
      <c r="AV66" s="89" t="e">
        <f>#REF!</f>
        <v>#REF!</v>
      </c>
      <c r="AW66" s="89" t="e">
        <f>#REF!</f>
        <v>#REF!</v>
      </c>
      <c r="AX66" s="89" t="e">
        <f>#REF!</f>
        <v>#REF!</v>
      </c>
      <c r="AY66" s="89" t="e">
        <f>#REF!</f>
        <v>#REF!</v>
      </c>
      <c r="AZ66" s="89" t="e">
        <f>#REF!</f>
        <v>#REF!</v>
      </c>
      <c r="BA66" s="89" t="e">
        <f>#REF!</f>
        <v>#REF!</v>
      </c>
      <c r="BB66" s="89" t="e">
        <f>#REF!</f>
        <v>#REF!</v>
      </c>
      <c r="BC66" s="89" t="e">
        <f>#REF!</f>
        <v>#REF!</v>
      </c>
      <c r="BD66" s="89" t="e">
        <f>#REF!</f>
        <v>#REF!</v>
      </c>
      <c r="BE66" s="89" t="e">
        <f>#REF!</f>
        <v>#REF!</v>
      </c>
      <c r="BF66" s="89" t="e">
        <f>#REF!</f>
        <v>#REF!</v>
      </c>
    </row>
    <row r="67" spans="9:58" x14ac:dyDescent="0.25">
      <c r="I67" s="89">
        <f>ABCD!J116</f>
        <v>15.75</v>
      </c>
      <c r="J67" s="89">
        <f>ABCD!K116</f>
        <v>51.66</v>
      </c>
      <c r="K67" s="89">
        <f>ABCD!L116</f>
        <v>4.5111238626157419</v>
      </c>
      <c r="L67" s="89">
        <f>ABCD!M116</f>
        <v>0.77378344803329036</v>
      </c>
      <c r="M67" s="89">
        <f>ABCD!N116</f>
        <v>4.5770054979551267</v>
      </c>
      <c r="N67" s="89" t="e">
        <v>#REF!</v>
      </c>
      <c r="O67" s="89" t="e">
        <v>#REF!</v>
      </c>
      <c r="P67" s="89" t="e">
        <v>#REF!</v>
      </c>
      <c r="Q67" s="89" t="e">
        <v>#REF!</v>
      </c>
      <c r="R67" s="89" t="e">
        <v>#REF!</v>
      </c>
      <c r="S67" s="89" t="e">
        <f>#REF!</f>
        <v>#REF!</v>
      </c>
      <c r="T67" s="89" t="e">
        <f>#REF!</f>
        <v>#REF!</v>
      </c>
      <c r="U67" s="89" t="e">
        <f>#REF!</f>
        <v>#REF!</v>
      </c>
      <c r="V67" s="89" t="e">
        <f>#REF!</f>
        <v>#REF!</v>
      </c>
      <c r="W67" s="89" t="e">
        <f>#REF!</f>
        <v>#REF!</v>
      </c>
      <c r="X67" s="89" t="e">
        <f>#REF!</f>
        <v>#REF!</v>
      </c>
      <c r="Y67" s="89" t="e">
        <f>#REF!</f>
        <v>#REF!</v>
      </c>
      <c r="Z67" s="89" t="e">
        <f>#REF!</f>
        <v>#REF!</v>
      </c>
      <c r="AA67" s="89" t="e">
        <f>#REF!</f>
        <v>#REF!</v>
      </c>
      <c r="AB67" s="89" t="e">
        <f>#REF!</f>
        <v>#REF!</v>
      </c>
      <c r="AC67" s="89" t="e">
        <f>#REF!</f>
        <v>#REF!</v>
      </c>
      <c r="AD67" s="89" t="e">
        <f>#REF!</f>
        <v>#REF!</v>
      </c>
      <c r="AE67" s="89" t="e">
        <f>#REF!</f>
        <v>#REF!</v>
      </c>
      <c r="AF67" s="89" t="e">
        <f>#REF!</f>
        <v>#REF!</v>
      </c>
      <c r="AG67" s="89" t="e">
        <f>#REF!</f>
        <v>#REF!</v>
      </c>
      <c r="AH67" s="89" t="e">
        <f>#REF!</f>
        <v>#REF!</v>
      </c>
      <c r="AI67" s="89" t="e">
        <f>#REF!</f>
        <v>#REF!</v>
      </c>
      <c r="AJ67" s="89" t="e">
        <f>#REF!</f>
        <v>#REF!</v>
      </c>
      <c r="AK67" s="89" t="e">
        <f>#REF!</f>
        <v>#REF!</v>
      </c>
      <c r="AL67" s="89" t="e">
        <f>#REF!</f>
        <v>#REF!</v>
      </c>
      <c r="AM67" s="89" t="e">
        <f>#REF!</f>
        <v>#REF!</v>
      </c>
      <c r="AN67" s="89" t="e">
        <f>#REF!</f>
        <v>#REF!</v>
      </c>
      <c r="AO67" s="89" t="e">
        <f>#REF!</f>
        <v>#REF!</v>
      </c>
      <c r="AP67" s="89" t="e">
        <f>#REF!</f>
        <v>#REF!</v>
      </c>
      <c r="AQ67" s="89" t="e">
        <f>#REF!</f>
        <v>#REF!</v>
      </c>
      <c r="AR67" s="89" t="e">
        <f>#REF!</f>
        <v>#REF!</v>
      </c>
      <c r="AS67" s="89" t="e">
        <f>#REF!</f>
        <v>#REF!</v>
      </c>
      <c r="AT67" s="89" t="e">
        <f>#REF!</f>
        <v>#REF!</v>
      </c>
      <c r="AU67" s="89" t="e">
        <f>#REF!</f>
        <v>#REF!</v>
      </c>
      <c r="AV67" s="89" t="e">
        <f>#REF!</f>
        <v>#REF!</v>
      </c>
      <c r="AW67" s="89" t="e">
        <f>#REF!</f>
        <v>#REF!</v>
      </c>
      <c r="AX67" s="89" t="e">
        <f>#REF!</f>
        <v>#REF!</v>
      </c>
      <c r="AY67" s="89" t="e">
        <f>#REF!</f>
        <v>#REF!</v>
      </c>
      <c r="AZ67" s="89" t="e">
        <f>#REF!</f>
        <v>#REF!</v>
      </c>
      <c r="BA67" s="89" t="e">
        <f>#REF!</f>
        <v>#REF!</v>
      </c>
      <c r="BB67" s="89" t="e">
        <f>#REF!</f>
        <v>#REF!</v>
      </c>
      <c r="BC67" s="89" t="e">
        <f>#REF!</f>
        <v>#REF!</v>
      </c>
      <c r="BD67" s="89" t="e">
        <f>#REF!</f>
        <v>#REF!</v>
      </c>
      <c r="BE67" s="89" t="e">
        <f>#REF!</f>
        <v>#REF!</v>
      </c>
      <c r="BF67" s="89" t="e">
        <f>#REF!</f>
        <v>#REF!</v>
      </c>
    </row>
    <row r="68" spans="9:58" x14ac:dyDescent="0.25">
      <c r="I68" s="89">
        <f>ABCD!J117</f>
        <v>16</v>
      </c>
      <c r="J68" s="89">
        <f>ABCD!K117</f>
        <v>52.48</v>
      </c>
      <c r="K68" s="89">
        <f>ABCD!L117</f>
        <v>4.5865966242144829</v>
      </c>
      <c r="L68" s="89">
        <f>ABCD!M117</f>
        <v>0.78817622004405319</v>
      </c>
      <c r="M68" s="89">
        <f>ABCD!N117</f>
        <v>4.6538253455731038</v>
      </c>
      <c r="N68" s="89" t="e">
        <v>#REF!</v>
      </c>
      <c r="O68" s="89" t="e">
        <v>#REF!</v>
      </c>
      <c r="P68" s="89" t="e">
        <v>#REF!</v>
      </c>
      <c r="Q68" s="89" t="e">
        <v>#REF!</v>
      </c>
      <c r="R68" s="89" t="e">
        <v>#REF!</v>
      </c>
      <c r="S68" s="89" t="e">
        <f>#REF!</f>
        <v>#REF!</v>
      </c>
      <c r="T68" s="89" t="e">
        <f>#REF!</f>
        <v>#REF!</v>
      </c>
      <c r="U68" s="89" t="e">
        <f>#REF!</f>
        <v>#REF!</v>
      </c>
      <c r="V68" s="89" t="e">
        <f>#REF!</f>
        <v>#REF!</v>
      </c>
      <c r="W68" s="89" t="e">
        <f>#REF!</f>
        <v>#REF!</v>
      </c>
      <c r="X68" s="89" t="e">
        <f>#REF!</f>
        <v>#REF!</v>
      </c>
      <c r="Y68" s="89" t="e">
        <f>#REF!</f>
        <v>#REF!</v>
      </c>
      <c r="Z68" s="89" t="e">
        <f>#REF!</f>
        <v>#REF!</v>
      </c>
      <c r="AA68" s="89" t="e">
        <f>#REF!</f>
        <v>#REF!</v>
      </c>
      <c r="AB68" s="89" t="e">
        <f>#REF!</f>
        <v>#REF!</v>
      </c>
      <c r="AC68" s="89" t="e">
        <f>#REF!</f>
        <v>#REF!</v>
      </c>
      <c r="AD68" s="89" t="e">
        <f>#REF!</f>
        <v>#REF!</v>
      </c>
      <c r="AE68" s="89" t="e">
        <f>#REF!</f>
        <v>#REF!</v>
      </c>
      <c r="AF68" s="89" t="e">
        <f>#REF!</f>
        <v>#REF!</v>
      </c>
      <c r="AG68" s="89" t="e">
        <f>#REF!</f>
        <v>#REF!</v>
      </c>
      <c r="AH68" s="89" t="e">
        <f>#REF!</f>
        <v>#REF!</v>
      </c>
      <c r="AI68" s="89" t="e">
        <f>#REF!</f>
        <v>#REF!</v>
      </c>
      <c r="AJ68" s="89" t="e">
        <f>#REF!</f>
        <v>#REF!</v>
      </c>
      <c r="AK68" s="89" t="e">
        <f>#REF!</f>
        <v>#REF!</v>
      </c>
      <c r="AL68" s="89" t="e">
        <f>#REF!</f>
        <v>#REF!</v>
      </c>
      <c r="AM68" s="89" t="e">
        <f>#REF!</f>
        <v>#REF!</v>
      </c>
      <c r="AN68" s="89" t="e">
        <f>#REF!</f>
        <v>#REF!</v>
      </c>
      <c r="AO68" s="89" t="e">
        <f>#REF!</f>
        <v>#REF!</v>
      </c>
      <c r="AP68" s="89" t="e">
        <f>#REF!</f>
        <v>#REF!</v>
      </c>
      <c r="AQ68" s="89" t="e">
        <f>#REF!</f>
        <v>#REF!</v>
      </c>
      <c r="AR68" s="89" t="e">
        <f>#REF!</f>
        <v>#REF!</v>
      </c>
      <c r="AS68" s="89" t="e">
        <f>#REF!</f>
        <v>#REF!</v>
      </c>
      <c r="AT68" s="89" t="e">
        <f>#REF!</f>
        <v>#REF!</v>
      </c>
      <c r="AU68" s="89" t="e">
        <f>#REF!</f>
        <v>#REF!</v>
      </c>
      <c r="AV68" s="89" t="e">
        <f>#REF!</f>
        <v>#REF!</v>
      </c>
      <c r="AW68" s="89" t="e">
        <f>#REF!</f>
        <v>#REF!</v>
      </c>
      <c r="AX68" s="89" t="e">
        <f>#REF!</f>
        <v>#REF!</v>
      </c>
      <c r="AY68" s="89" t="e">
        <f>#REF!</f>
        <v>#REF!</v>
      </c>
      <c r="AZ68" s="89" t="e">
        <f>#REF!</f>
        <v>#REF!</v>
      </c>
      <c r="BA68" s="89" t="e">
        <f>#REF!</f>
        <v>#REF!</v>
      </c>
      <c r="BB68" s="89" t="e">
        <f>#REF!</f>
        <v>#REF!</v>
      </c>
      <c r="BC68" s="89" t="e">
        <f>#REF!</f>
        <v>#REF!</v>
      </c>
      <c r="BD68" s="89" t="e">
        <f>#REF!</f>
        <v>#REF!</v>
      </c>
      <c r="BE68" s="89" t="e">
        <f>#REF!</f>
        <v>#REF!</v>
      </c>
      <c r="BF68" s="89" t="e">
        <f>#REF!</f>
        <v>#REF!</v>
      </c>
    </row>
    <row r="69" spans="9:58" x14ac:dyDescent="0.25">
      <c r="I69" s="89">
        <f>ABCD!J118</f>
        <v>16.25</v>
      </c>
      <c r="J69" s="89">
        <f>ABCD!K118</f>
        <v>53.3</v>
      </c>
      <c r="K69" s="89">
        <f>ABCD!L118</f>
        <v>4.6609427159869119</v>
      </c>
      <c r="L69" s="89">
        <f>ABCD!M118</f>
        <v>0.80237410094091866</v>
      </c>
      <c r="M69" s="89">
        <f>ABCD!N118</f>
        <v>4.729502214776117</v>
      </c>
      <c r="N69" s="89" t="e">
        <v>#REF!</v>
      </c>
      <c r="O69" s="89" t="e">
        <v>#REF!</v>
      </c>
      <c r="P69" s="89" t="e">
        <v>#REF!</v>
      </c>
      <c r="Q69" s="89" t="e">
        <v>#REF!</v>
      </c>
      <c r="R69" s="89" t="e">
        <v>#REF!</v>
      </c>
      <c r="S69" s="89" t="e">
        <f>#REF!</f>
        <v>#REF!</v>
      </c>
      <c r="T69" s="89" t="e">
        <f>#REF!</f>
        <v>#REF!</v>
      </c>
      <c r="U69" s="89" t="e">
        <f>#REF!</f>
        <v>#REF!</v>
      </c>
      <c r="V69" s="89" t="e">
        <f>#REF!</f>
        <v>#REF!</v>
      </c>
      <c r="W69" s="89" t="e">
        <f>#REF!</f>
        <v>#REF!</v>
      </c>
      <c r="X69" s="89" t="e">
        <f>#REF!</f>
        <v>#REF!</v>
      </c>
      <c r="Y69" s="89" t="e">
        <f>#REF!</f>
        <v>#REF!</v>
      </c>
      <c r="Z69" s="89" t="e">
        <f>#REF!</f>
        <v>#REF!</v>
      </c>
      <c r="AA69" s="89" t="e">
        <f>#REF!</f>
        <v>#REF!</v>
      </c>
      <c r="AB69" s="89" t="e">
        <f>#REF!</f>
        <v>#REF!</v>
      </c>
      <c r="AC69" s="89" t="e">
        <f>#REF!</f>
        <v>#REF!</v>
      </c>
      <c r="AD69" s="89" t="e">
        <f>#REF!</f>
        <v>#REF!</v>
      </c>
      <c r="AE69" s="89" t="e">
        <f>#REF!</f>
        <v>#REF!</v>
      </c>
      <c r="AF69" s="89" t="e">
        <f>#REF!</f>
        <v>#REF!</v>
      </c>
      <c r="AG69" s="89" t="e">
        <f>#REF!</f>
        <v>#REF!</v>
      </c>
      <c r="AH69" s="89" t="e">
        <f>#REF!</f>
        <v>#REF!</v>
      </c>
      <c r="AI69" s="89" t="e">
        <f>#REF!</f>
        <v>#REF!</v>
      </c>
      <c r="AJ69" s="89" t="e">
        <f>#REF!</f>
        <v>#REF!</v>
      </c>
      <c r="AK69" s="89" t="e">
        <f>#REF!</f>
        <v>#REF!</v>
      </c>
      <c r="AL69" s="89" t="e">
        <f>#REF!</f>
        <v>#REF!</v>
      </c>
      <c r="AM69" s="89" t="e">
        <f>#REF!</f>
        <v>#REF!</v>
      </c>
      <c r="AN69" s="89" t="e">
        <f>#REF!</f>
        <v>#REF!</v>
      </c>
      <c r="AO69" s="89" t="e">
        <f>#REF!</f>
        <v>#REF!</v>
      </c>
      <c r="AP69" s="89" t="e">
        <f>#REF!</f>
        <v>#REF!</v>
      </c>
      <c r="AQ69" s="89" t="e">
        <f>#REF!</f>
        <v>#REF!</v>
      </c>
      <c r="AR69" s="89" t="e">
        <f>#REF!</f>
        <v>#REF!</v>
      </c>
      <c r="AS69" s="89" t="e">
        <f>#REF!</f>
        <v>#REF!</v>
      </c>
      <c r="AT69" s="89" t="e">
        <f>#REF!</f>
        <v>#REF!</v>
      </c>
      <c r="AU69" s="89" t="e">
        <f>#REF!</f>
        <v>#REF!</v>
      </c>
      <c r="AV69" s="89" t="e">
        <f>#REF!</f>
        <v>#REF!</v>
      </c>
      <c r="AW69" s="89" t="e">
        <f>#REF!</f>
        <v>#REF!</v>
      </c>
      <c r="AX69" s="89" t="e">
        <f>#REF!</f>
        <v>#REF!</v>
      </c>
      <c r="AY69" s="89" t="e">
        <f>#REF!</f>
        <v>#REF!</v>
      </c>
      <c r="AZ69" s="89" t="e">
        <f>#REF!</f>
        <v>#REF!</v>
      </c>
      <c r="BA69" s="89" t="e">
        <f>#REF!</f>
        <v>#REF!</v>
      </c>
      <c r="BB69" s="89" t="e">
        <f>#REF!</f>
        <v>#REF!</v>
      </c>
      <c r="BC69" s="89" t="e">
        <f>#REF!</f>
        <v>#REF!</v>
      </c>
      <c r="BD69" s="89" t="e">
        <f>#REF!</f>
        <v>#REF!</v>
      </c>
      <c r="BE69" s="89" t="e">
        <f>#REF!</f>
        <v>#REF!</v>
      </c>
      <c r="BF69" s="89" t="e">
        <f>#REF!</f>
        <v>#REF!</v>
      </c>
    </row>
    <row r="70" spans="9:58" x14ac:dyDescent="0.25">
      <c r="I70" s="89">
        <f>ABCD!J119</f>
        <v>16.5</v>
      </c>
      <c r="J70" s="89">
        <f>ABCD!K119</f>
        <v>54.12</v>
      </c>
      <c r="K70" s="89">
        <f>ABCD!L119</f>
        <v>4.7341459893479154</v>
      </c>
      <c r="L70" s="89">
        <f>ABCD!M119</f>
        <v>0.81637398859288357</v>
      </c>
      <c r="M70" s="89">
        <f>ABCD!N119</f>
        <v>4.8040196437681235</v>
      </c>
      <c r="N70" s="89" t="e">
        <v>#REF!</v>
      </c>
      <c r="O70" s="89" t="e">
        <v>#REF!</v>
      </c>
      <c r="P70" s="89" t="e">
        <v>#REF!</v>
      </c>
      <c r="Q70" s="89" t="e">
        <v>#REF!</v>
      </c>
      <c r="R70" s="89" t="e">
        <v>#REF!</v>
      </c>
      <c r="S70" s="89" t="e">
        <f>#REF!</f>
        <v>#REF!</v>
      </c>
      <c r="T70" s="89" t="e">
        <f>#REF!</f>
        <v>#REF!</v>
      </c>
      <c r="U70" s="89" t="e">
        <f>#REF!</f>
        <v>#REF!</v>
      </c>
      <c r="V70" s="89" t="e">
        <f>#REF!</f>
        <v>#REF!</v>
      </c>
      <c r="W70" s="89" t="e">
        <f>#REF!</f>
        <v>#REF!</v>
      </c>
      <c r="X70" s="89" t="e">
        <f>#REF!</f>
        <v>#REF!</v>
      </c>
      <c r="Y70" s="89" t="e">
        <f>#REF!</f>
        <v>#REF!</v>
      </c>
      <c r="Z70" s="89" t="e">
        <f>#REF!</f>
        <v>#REF!</v>
      </c>
      <c r="AA70" s="89" t="e">
        <f>#REF!</f>
        <v>#REF!</v>
      </c>
      <c r="AB70" s="89" t="e">
        <f>#REF!</f>
        <v>#REF!</v>
      </c>
      <c r="AC70" s="89" t="e">
        <f>#REF!</f>
        <v>#REF!</v>
      </c>
      <c r="AD70" s="89" t="e">
        <f>#REF!</f>
        <v>#REF!</v>
      </c>
      <c r="AE70" s="89" t="e">
        <f>#REF!</f>
        <v>#REF!</v>
      </c>
      <c r="AF70" s="89" t="e">
        <f>#REF!</f>
        <v>#REF!</v>
      </c>
      <c r="AG70" s="89" t="e">
        <f>#REF!</f>
        <v>#REF!</v>
      </c>
      <c r="AH70" s="89" t="e">
        <f>#REF!</f>
        <v>#REF!</v>
      </c>
      <c r="AI70" s="89" t="e">
        <f>#REF!</f>
        <v>#REF!</v>
      </c>
      <c r="AJ70" s="89" t="e">
        <f>#REF!</f>
        <v>#REF!</v>
      </c>
      <c r="AK70" s="89" t="e">
        <f>#REF!</f>
        <v>#REF!</v>
      </c>
      <c r="AL70" s="89" t="e">
        <f>#REF!</f>
        <v>#REF!</v>
      </c>
      <c r="AM70" s="89" t="e">
        <f>#REF!</f>
        <v>#REF!</v>
      </c>
      <c r="AN70" s="89" t="e">
        <f>#REF!</f>
        <v>#REF!</v>
      </c>
      <c r="AO70" s="89" t="e">
        <f>#REF!</f>
        <v>#REF!</v>
      </c>
      <c r="AP70" s="89" t="e">
        <f>#REF!</f>
        <v>#REF!</v>
      </c>
      <c r="AQ70" s="89" t="e">
        <f>#REF!</f>
        <v>#REF!</v>
      </c>
      <c r="AR70" s="89" t="e">
        <f>#REF!</f>
        <v>#REF!</v>
      </c>
      <c r="AS70" s="89" t="e">
        <f>#REF!</f>
        <v>#REF!</v>
      </c>
      <c r="AT70" s="89" t="e">
        <f>#REF!</f>
        <v>#REF!</v>
      </c>
      <c r="AU70" s="89" t="e">
        <f>#REF!</f>
        <v>#REF!</v>
      </c>
      <c r="AV70" s="89" t="e">
        <f>#REF!</f>
        <v>#REF!</v>
      </c>
      <c r="AW70" s="89" t="e">
        <f>#REF!</f>
        <v>#REF!</v>
      </c>
      <c r="AX70" s="89" t="e">
        <f>#REF!</f>
        <v>#REF!</v>
      </c>
      <c r="AY70" s="89" t="e">
        <f>#REF!</f>
        <v>#REF!</v>
      </c>
      <c r="AZ70" s="89" t="e">
        <f>#REF!</f>
        <v>#REF!</v>
      </c>
      <c r="BA70" s="89" t="e">
        <f>#REF!</f>
        <v>#REF!</v>
      </c>
      <c r="BB70" s="89" t="e">
        <f>#REF!</f>
        <v>#REF!</v>
      </c>
      <c r="BC70" s="89" t="e">
        <f>#REF!</f>
        <v>#REF!</v>
      </c>
      <c r="BD70" s="89" t="e">
        <f>#REF!</f>
        <v>#REF!</v>
      </c>
      <c r="BE70" s="89" t="e">
        <f>#REF!</f>
        <v>#REF!</v>
      </c>
      <c r="BF70" s="89" t="e">
        <f>#REF!</f>
        <v>#REF!</v>
      </c>
    </row>
    <row r="71" spans="9:58" x14ac:dyDescent="0.25">
      <c r="I71" s="89">
        <f>ABCD!J120</f>
        <v>16.75</v>
      </c>
      <c r="J71" s="89">
        <f>ABCD!K120</f>
        <v>54.94</v>
      </c>
      <c r="K71" s="89">
        <f>ABCD!L120</f>
        <v>4.8061905740490083</v>
      </c>
      <c r="L71" s="89">
        <f>ABCD!M120</f>
        <v>0.83017282936457892</v>
      </c>
      <c r="M71" s="89">
        <f>ABCD!N120</f>
        <v>4.8773614547922044</v>
      </c>
      <c r="N71" s="89" t="e">
        <v>#REF!</v>
      </c>
      <c r="O71" s="89" t="e">
        <v>#REF!</v>
      </c>
      <c r="P71" s="89" t="e">
        <v>#REF!</v>
      </c>
      <c r="Q71" s="89" t="e">
        <v>#REF!</v>
      </c>
      <c r="R71" s="89" t="e">
        <v>#REF!</v>
      </c>
      <c r="S71" s="89" t="e">
        <f>#REF!</f>
        <v>#REF!</v>
      </c>
      <c r="T71" s="89" t="e">
        <f>#REF!</f>
        <v>#REF!</v>
      </c>
      <c r="U71" s="89" t="e">
        <f>#REF!</f>
        <v>#REF!</v>
      </c>
      <c r="V71" s="89" t="e">
        <f>#REF!</f>
        <v>#REF!</v>
      </c>
      <c r="W71" s="89" t="e">
        <f>#REF!</f>
        <v>#REF!</v>
      </c>
      <c r="X71" s="89" t="e">
        <f>#REF!</f>
        <v>#REF!</v>
      </c>
      <c r="Y71" s="89" t="e">
        <f>#REF!</f>
        <v>#REF!</v>
      </c>
      <c r="Z71" s="89" t="e">
        <f>#REF!</f>
        <v>#REF!</v>
      </c>
      <c r="AA71" s="89" t="e">
        <f>#REF!</f>
        <v>#REF!</v>
      </c>
      <c r="AB71" s="89" t="e">
        <f>#REF!</f>
        <v>#REF!</v>
      </c>
      <c r="AC71" s="89" t="e">
        <f>#REF!</f>
        <v>#REF!</v>
      </c>
      <c r="AD71" s="89" t="e">
        <f>#REF!</f>
        <v>#REF!</v>
      </c>
      <c r="AE71" s="89" t="e">
        <f>#REF!</f>
        <v>#REF!</v>
      </c>
      <c r="AF71" s="89" t="e">
        <f>#REF!</f>
        <v>#REF!</v>
      </c>
      <c r="AG71" s="89" t="e">
        <f>#REF!</f>
        <v>#REF!</v>
      </c>
      <c r="AH71" s="89" t="e">
        <f>#REF!</f>
        <v>#REF!</v>
      </c>
      <c r="AI71" s="89" t="e">
        <f>#REF!</f>
        <v>#REF!</v>
      </c>
      <c r="AJ71" s="89" t="e">
        <f>#REF!</f>
        <v>#REF!</v>
      </c>
      <c r="AK71" s="89" t="e">
        <f>#REF!</f>
        <v>#REF!</v>
      </c>
      <c r="AL71" s="89" t="e">
        <f>#REF!</f>
        <v>#REF!</v>
      </c>
      <c r="AM71" s="89" t="e">
        <f>#REF!</f>
        <v>#REF!</v>
      </c>
      <c r="AN71" s="89" t="e">
        <f>#REF!</f>
        <v>#REF!</v>
      </c>
      <c r="AO71" s="89" t="e">
        <f>#REF!</f>
        <v>#REF!</v>
      </c>
      <c r="AP71" s="89" t="e">
        <f>#REF!</f>
        <v>#REF!</v>
      </c>
      <c r="AQ71" s="89" t="e">
        <f>#REF!</f>
        <v>#REF!</v>
      </c>
      <c r="AR71" s="89" t="e">
        <f>#REF!</f>
        <v>#REF!</v>
      </c>
      <c r="AS71" s="89" t="e">
        <f>#REF!</f>
        <v>#REF!</v>
      </c>
      <c r="AT71" s="89" t="e">
        <f>#REF!</f>
        <v>#REF!</v>
      </c>
      <c r="AU71" s="89" t="e">
        <f>#REF!</f>
        <v>#REF!</v>
      </c>
      <c r="AV71" s="89" t="e">
        <f>#REF!</f>
        <v>#REF!</v>
      </c>
      <c r="AW71" s="89" t="e">
        <f>#REF!</f>
        <v>#REF!</v>
      </c>
      <c r="AX71" s="89" t="e">
        <f>#REF!</f>
        <v>#REF!</v>
      </c>
      <c r="AY71" s="89" t="e">
        <f>#REF!</f>
        <v>#REF!</v>
      </c>
      <c r="AZ71" s="89" t="e">
        <f>#REF!</f>
        <v>#REF!</v>
      </c>
      <c r="BA71" s="89" t="e">
        <f>#REF!</f>
        <v>#REF!</v>
      </c>
      <c r="BB71" s="89" t="e">
        <f>#REF!</f>
        <v>#REF!</v>
      </c>
      <c r="BC71" s="89" t="e">
        <f>#REF!</f>
        <v>#REF!</v>
      </c>
      <c r="BD71" s="89" t="e">
        <f>#REF!</f>
        <v>#REF!</v>
      </c>
      <c r="BE71" s="89" t="e">
        <f>#REF!</f>
        <v>#REF!</v>
      </c>
      <c r="BF71" s="89" t="e">
        <f>#REF!</f>
        <v>#REF!</v>
      </c>
    </row>
    <row r="72" spans="9:58" x14ac:dyDescent="0.25">
      <c r="I72" s="89">
        <f>ABCD!J121</f>
        <v>17</v>
      </c>
      <c r="J72" s="89">
        <f>ABCD!K121</f>
        <v>55.76</v>
      </c>
      <c r="K72" s="89">
        <f>ABCD!L121</f>
        <v>4.8770608815914196</v>
      </c>
      <c r="L72" s="89">
        <f>ABCD!M121</f>
        <v>0.84376761877755468</v>
      </c>
      <c r="M72" s="89">
        <f>ABCD!N121</f>
        <v>4.9495117574612166</v>
      </c>
      <c r="N72" s="89" t="e">
        <v>#REF!</v>
      </c>
      <c r="O72" s="89" t="e">
        <v>#REF!</v>
      </c>
      <c r="P72" s="89" t="e">
        <v>#REF!</v>
      </c>
      <c r="Q72" s="89" t="e">
        <v>#REF!</v>
      </c>
      <c r="R72" s="89" t="e">
        <v>#REF!</v>
      </c>
      <c r="S72" s="89" t="e">
        <f>#REF!</f>
        <v>#REF!</v>
      </c>
      <c r="T72" s="89" t="e">
        <f>#REF!</f>
        <v>#REF!</v>
      </c>
      <c r="U72" s="89" t="e">
        <f>#REF!</f>
        <v>#REF!</v>
      </c>
      <c r="V72" s="89" t="e">
        <f>#REF!</f>
        <v>#REF!</v>
      </c>
      <c r="W72" s="89" t="e">
        <f>#REF!</f>
        <v>#REF!</v>
      </c>
      <c r="X72" s="89" t="e">
        <f>#REF!</f>
        <v>#REF!</v>
      </c>
      <c r="Y72" s="89" t="e">
        <f>#REF!</f>
        <v>#REF!</v>
      </c>
      <c r="Z72" s="89" t="e">
        <f>#REF!</f>
        <v>#REF!</v>
      </c>
      <c r="AA72" s="89" t="e">
        <f>#REF!</f>
        <v>#REF!</v>
      </c>
      <c r="AB72" s="89" t="e">
        <f>#REF!</f>
        <v>#REF!</v>
      </c>
      <c r="AC72" s="89" t="e">
        <f>#REF!</f>
        <v>#REF!</v>
      </c>
      <c r="AD72" s="89" t="e">
        <f>#REF!</f>
        <v>#REF!</v>
      </c>
      <c r="AE72" s="89" t="e">
        <f>#REF!</f>
        <v>#REF!</v>
      </c>
      <c r="AF72" s="89" t="e">
        <f>#REF!</f>
        <v>#REF!</v>
      </c>
      <c r="AG72" s="89" t="e">
        <f>#REF!</f>
        <v>#REF!</v>
      </c>
      <c r="AH72" s="89" t="e">
        <f>#REF!</f>
        <v>#REF!</v>
      </c>
      <c r="AI72" s="89" t="e">
        <f>#REF!</f>
        <v>#REF!</v>
      </c>
      <c r="AJ72" s="89" t="e">
        <f>#REF!</f>
        <v>#REF!</v>
      </c>
      <c r="AK72" s="89" t="e">
        <f>#REF!</f>
        <v>#REF!</v>
      </c>
      <c r="AL72" s="89" t="e">
        <f>#REF!</f>
        <v>#REF!</v>
      </c>
      <c r="AM72" s="89" t="e">
        <f>#REF!</f>
        <v>#REF!</v>
      </c>
      <c r="AN72" s="89" t="e">
        <f>#REF!</f>
        <v>#REF!</v>
      </c>
      <c r="AO72" s="89" t="e">
        <f>#REF!</f>
        <v>#REF!</v>
      </c>
      <c r="AP72" s="89" t="e">
        <f>#REF!</f>
        <v>#REF!</v>
      </c>
      <c r="AQ72" s="89" t="e">
        <f>#REF!</f>
        <v>#REF!</v>
      </c>
      <c r="AR72" s="89" t="e">
        <f>#REF!</f>
        <v>#REF!</v>
      </c>
      <c r="AS72" s="89" t="e">
        <f>#REF!</f>
        <v>#REF!</v>
      </c>
      <c r="AT72" s="89" t="e">
        <f>#REF!</f>
        <v>#REF!</v>
      </c>
      <c r="AU72" s="89" t="e">
        <f>#REF!</f>
        <v>#REF!</v>
      </c>
      <c r="AV72" s="89" t="e">
        <f>#REF!</f>
        <v>#REF!</v>
      </c>
      <c r="AW72" s="89" t="e">
        <f>#REF!</f>
        <v>#REF!</v>
      </c>
      <c r="AX72" s="89" t="e">
        <f>#REF!</f>
        <v>#REF!</v>
      </c>
      <c r="AY72" s="89" t="e">
        <f>#REF!</f>
        <v>#REF!</v>
      </c>
      <c r="AZ72" s="89" t="e">
        <f>#REF!</f>
        <v>#REF!</v>
      </c>
      <c r="BA72" s="89" t="e">
        <f>#REF!</f>
        <v>#REF!</v>
      </c>
      <c r="BB72" s="89" t="e">
        <f>#REF!</f>
        <v>#REF!</v>
      </c>
      <c r="BC72" s="89" t="e">
        <f>#REF!</f>
        <v>#REF!</v>
      </c>
      <c r="BD72" s="89" t="e">
        <f>#REF!</f>
        <v>#REF!</v>
      </c>
      <c r="BE72" s="89" t="e">
        <f>#REF!</f>
        <v>#REF!</v>
      </c>
      <c r="BF72" s="89" t="e">
        <f>#REF!</f>
        <v>#REF!</v>
      </c>
    </row>
    <row r="73" spans="9:58" x14ac:dyDescent="0.25">
      <c r="I73" s="89">
        <f>ABCD!J122</f>
        <v>17.25</v>
      </c>
      <c r="J73" s="89">
        <f>ABCD!K122</f>
        <v>56.58</v>
      </c>
      <c r="K73" s="89">
        <f>ABCD!L122</f>
        <v>4.9467416085711413</v>
      </c>
      <c r="L73" s="89">
        <f>ABCD!M122</f>
        <v>0.85715540215960173</v>
      </c>
      <c r="M73" s="89">
        <f>ABCD!N122</f>
        <v>5.0204549520357604</v>
      </c>
      <c r="N73" s="89" t="e">
        <v>#REF!</v>
      </c>
      <c r="O73" s="89" t="e">
        <v>#REF!</v>
      </c>
      <c r="P73" s="89" t="e">
        <v>#REF!</v>
      </c>
      <c r="Q73" s="89" t="e">
        <v>#REF!</v>
      </c>
      <c r="R73" s="89" t="e">
        <v>#REF!</v>
      </c>
      <c r="S73" s="89" t="e">
        <f>#REF!</f>
        <v>#REF!</v>
      </c>
      <c r="T73" s="89" t="e">
        <f>#REF!</f>
        <v>#REF!</v>
      </c>
      <c r="U73" s="89" t="e">
        <f>#REF!</f>
        <v>#REF!</v>
      </c>
      <c r="V73" s="89" t="e">
        <f>#REF!</f>
        <v>#REF!</v>
      </c>
      <c r="W73" s="89" t="e">
        <f>#REF!</f>
        <v>#REF!</v>
      </c>
      <c r="X73" s="89" t="e">
        <f>#REF!</f>
        <v>#REF!</v>
      </c>
      <c r="Y73" s="89" t="e">
        <f>#REF!</f>
        <v>#REF!</v>
      </c>
      <c r="Z73" s="89" t="e">
        <f>#REF!</f>
        <v>#REF!</v>
      </c>
      <c r="AA73" s="89" t="e">
        <f>#REF!</f>
        <v>#REF!</v>
      </c>
      <c r="AB73" s="89" t="e">
        <f>#REF!</f>
        <v>#REF!</v>
      </c>
      <c r="AC73" s="89" t="e">
        <f>#REF!</f>
        <v>#REF!</v>
      </c>
      <c r="AD73" s="89" t="e">
        <f>#REF!</f>
        <v>#REF!</v>
      </c>
      <c r="AE73" s="89" t="e">
        <f>#REF!</f>
        <v>#REF!</v>
      </c>
      <c r="AF73" s="89" t="e">
        <f>#REF!</f>
        <v>#REF!</v>
      </c>
      <c r="AG73" s="89" t="e">
        <f>#REF!</f>
        <v>#REF!</v>
      </c>
      <c r="AH73" s="89" t="e">
        <f>#REF!</f>
        <v>#REF!</v>
      </c>
      <c r="AI73" s="89" t="e">
        <f>#REF!</f>
        <v>#REF!</v>
      </c>
      <c r="AJ73" s="89" t="e">
        <f>#REF!</f>
        <v>#REF!</v>
      </c>
      <c r="AK73" s="89" t="e">
        <f>#REF!</f>
        <v>#REF!</v>
      </c>
      <c r="AL73" s="89" t="e">
        <f>#REF!</f>
        <v>#REF!</v>
      </c>
      <c r="AM73" s="89" t="e">
        <f>#REF!</f>
        <v>#REF!</v>
      </c>
      <c r="AN73" s="89" t="e">
        <f>#REF!</f>
        <v>#REF!</v>
      </c>
      <c r="AO73" s="89" t="e">
        <f>#REF!</f>
        <v>#REF!</v>
      </c>
      <c r="AP73" s="89" t="e">
        <f>#REF!</f>
        <v>#REF!</v>
      </c>
      <c r="AQ73" s="89" t="e">
        <f>#REF!</f>
        <v>#REF!</v>
      </c>
      <c r="AR73" s="89" t="e">
        <f>#REF!</f>
        <v>#REF!</v>
      </c>
      <c r="AS73" s="89" t="e">
        <f>#REF!</f>
        <v>#REF!</v>
      </c>
      <c r="AT73" s="89" t="e">
        <f>#REF!</f>
        <v>#REF!</v>
      </c>
      <c r="AU73" s="89" t="e">
        <f>#REF!</f>
        <v>#REF!</v>
      </c>
      <c r="AV73" s="89" t="e">
        <f>#REF!</f>
        <v>#REF!</v>
      </c>
      <c r="AW73" s="89" t="e">
        <f>#REF!</f>
        <v>#REF!</v>
      </c>
      <c r="AX73" s="89" t="e">
        <f>#REF!</f>
        <v>#REF!</v>
      </c>
      <c r="AY73" s="89" t="e">
        <f>#REF!</f>
        <v>#REF!</v>
      </c>
      <c r="AZ73" s="89" t="e">
        <f>#REF!</f>
        <v>#REF!</v>
      </c>
      <c r="BA73" s="89" t="e">
        <f>#REF!</f>
        <v>#REF!</v>
      </c>
      <c r="BB73" s="89" t="e">
        <f>#REF!</f>
        <v>#REF!</v>
      </c>
      <c r="BC73" s="89" t="e">
        <f>#REF!</f>
        <v>#REF!</v>
      </c>
      <c r="BD73" s="89" t="e">
        <f>#REF!</f>
        <v>#REF!</v>
      </c>
      <c r="BE73" s="89" t="e">
        <f>#REF!</f>
        <v>#REF!</v>
      </c>
      <c r="BF73" s="89" t="e">
        <f>#REF!</f>
        <v>#REF!</v>
      </c>
    </row>
    <row r="74" spans="9:58" x14ac:dyDescent="0.25">
      <c r="I74" s="89">
        <f>ABCD!J123</f>
        <v>17.5</v>
      </c>
      <c r="J74" s="89">
        <f>ABCD!K123</f>
        <v>57.4</v>
      </c>
      <c r="K74" s="89">
        <f>ABCD!L123</f>
        <v>5.0152177399550713</v>
      </c>
      <c r="L74" s="89">
        <f>ABCD!M123</f>
        <v>0.87033327528202453</v>
      </c>
      <c r="M74" s="89">
        <f>ABCD!N123</f>
        <v>5.090175732646486</v>
      </c>
      <c r="N74" s="89" t="e">
        <v>#REF!</v>
      </c>
      <c r="O74" s="89" t="e">
        <v>#REF!</v>
      </c>
      <c r="P74" s="89" t="e">
        <v>#REF!</v>
      </c>
      <c r="Q74" s="89" t="e">
        <v>#REF!</v>
      </c>
      <c r="R74" s="89" t="e">
        <v>#REF!</v>
      </c>
      <c r="S74" s="89" t="e">
        <f>#REF!</f>
        <v>#REF!</v>
      </c>
      <c r="T74" s="89" t="e">
        <f>#REF!</f>
        <v>#REF!</v>
      </c>
      <c r="U74" s="89" t="e">
        <f>#REF!</f>
        <v>#REF!</v>
      </c>
      <c r="V74" s="89" t="e">
        <f>#REF!</f>
        <v>#REF!</v>
      </c>
      <c r="W74" s="89" t="e">
        <f>#REF!</f>
        <v>#REF!</v>
      </c>
      <c r="X74" s="89" t="e">
        <f>#REF!</f>
        <v>#REF!</v>
      </c>
      <c r="Y74" s="89" t="e">
        <f>#REF!</f>
        <v>#REF!</v>
      </c>
      <c r="Z74" s="89" t="e">
        <f>#REF!</f>
        <v>#REF!</v>
      </c>
      <c r="AA74" s="89" t="e">
        <f>#REF!</f>
        <v>#REF!</v>
      </c>
      <c r="AB74" s="89" t="e">
        <f>#REF!</f>
        <v>#REF!</v>
      </c>
      <c r="AC74" s="89" t="e">
        <f>#REF!</f>
        <v>#REF!</v>
      </c>
      <c r="AD74" s="89" t="e">
        <f>#REF!</f>
        <v>#REF!</v>
      </c>
      <c r="AE74" s="89" t="e">
        <f>#REF!</f>
        <v>#REF!</v>
      </c>
      <c r="AF74" s="89" t="e">
        <f>#REF!</f>
        <v>#REF!</v>
      </c>
      <c r="AG74" s="89" t="e">
        <f>#REF!</f>
        <v>#REF!</v>
      </c>
      <c r="AH74" s="89" t="e">
        <f>#REF!</f>
        <v>#REF!</v>
      </c>
      <c r="AI74" s="89" t="e">
        <f>#REF!</f>
        <v>#REF!</v>
      </c>
      <c r="AJ74" s="89" t="e">
        <f>#REF!</f>
        <v>#REF!</v>
      </c>
      <c r="AK74" s="89" t="e">
        <f>#REF!</f>
        <v>#REF!</v>
      </c>
      <c r="AL74" s="89" t="e">
        <f>#REF!</f>
        <v>#REF!</v>
      </c>
      <c r="AM74" s="89" t="e">
        <f>#REF!</f>
        <v>#REF!</v>
      </c>
      <c r="AN74" s="89" t="e">
        <f>#REF!</f>
        <v>#REF!</v>
      </c>
      <c r="AO74" s="89" t="e">
        <f>#REF!</f>
        <v>#REF!</v>
      </c>
      <c r="AP74" s="89" t="e">
        <f>#REF!</f>
        <v>#REF!</v>
      </c>
      <c r="AQ74" s="89" t="e">
        <f>#REF!</f>
        <v>#REF!</v>
      </c>
      <c r="AR74" s="89" t="e">
        <f>#REF!</f>
        <v>#REF!</v>
      </c>
      <c r="AS74" s="89" t="e">
        <f>#REF!</f>
        <v>#REF!</v>
      </c>
      <c r="AT74" s="89" t="e">
        <f>#REF!</f>
        <v>#REF!</v>
      </c>
      <c r="AU74" s="89" t="e">
        <f>#REF!</f>
        <v>#REF!</v>
      </c>
      <c r="AV74" s="89" t="e">
        <f>#REF!</f>
        <v>#REF!</v>
      </c>
      <c r="AW74" s="89" t="e">
        <f>#REF!</f>
        <v>#REF!</v>
      </c>
      <c r="AX74" s="89" t="e">
        <f>#REF!</f>
        <v>#REF!</v>
      </c>
      <c r="AY74" s="89" t="e">
        <f>#REF!</f>
        <v>#REF!</v>
      </c>
      <c r="AZ74" s="89" t="e">
        <f>#REF!</f>
        <v>#REF!</v>
      </c>
      <c r="BA74" s="89" t="e">
        <f>#REF!</f>
        <v>#REF!</v>
      </c>
      <c r="BB74" s="89" t="e">
        <f>#REF!</f>
        <v>#REF!</v>
      </c>
      <c r="BC74" s="89" t="e">
        <f>#REF!</f>
        <v>#REF!</v>
      </c>
      <c r="BD74" s="89" t="e">
        <f>#REF!</f>
        <v>#REF!</v>
      </c>
      <c r="BE74" s="89" t="e">
        <f>#REF!</f>
        <v>#REF!</v>
      </c>
      <c r="BF74" s="89" t="e">
        <f>#REF!</f>
        <v>#REF!</v>
      </c>
    </row>
    <row r="75" spans="9:58" x14ac:dyDescent="0.25">
      <c r="I75" s="89">
        <f>ABCD!J124</f>
        <v>17.75</v>
      </c>
      <c r="J75" s="89">
        <f>ABCD!K124</f>
        <v>58.22</v>
      </c>
      <c r="K75" s="89">
        <f>ABCD!L124</f>
        <v>5.0824745522877102</v>
      </c>
      <c r="L75" s="89">
        <f>ABCD!M124</f>
        <v>0.88329838498465829</v>
      </c>
      <c r="M75" s="89">
        <f>ABCD!N124</f>
        <v>5.1586590904583591</v>
      </c>
      <c r="N75" s="89" t="e">
        <v>#REF!</v>
      </c>
      <c r="O75" s="89" t="e">
        <v>#REF!</v>
      </c>
      <c r="P75" s="89" t="e">
        <v>#REF!</v>
      </c>
      <c r="Q75" s="89" t="e">
        <v>#REF!</v>
      </c>
      <c r="R75" s="89" t="e">
        <v>#REF!</v>
      </c>
      <c r="S75" s="89" t="e">
        <f>#REF!</f>
        <v>#REF!</v>
      </c>
      <c r="T75" s="89" t="e">
        <f>#REF!</f>
        <v>#REF!</v>
      </c>
      <c r="U75" s="89" t="e">
        <f>#REF!</f>
        <v>#REF!</v>
      </c>
      <c r="V75" s="89" t="e">
        <f>#REF!</f>
        <v>#REF!</v>
      </c>
      <c r="W75" s="89" t="e">
        <f>#REF!</f>
        <v>#REF!</v>
      </c>
      <c r="X75" s="89" t="e">
        <f>#REF!</f>
        <v>#REF!</v>
      </c>
      <c r="Y75" s="89" t="e">
        <f>#REF!</f>
        <v>#REF!</v>
      </c>
      <c r="Z75" s="89" t="e">
        <f>#REF!</f>
        <v>#REF!</v>
      </c>
      <c r="AA75" s="89" t="e">
        <f>#REF!</f>
        <v>#REF!</v>
      </c>
      <c r="AB75" s="89" t="e">
        <f>#REF!</f>
        <v>#REF!</v>
      </c>
      <c r="AC75" s="89" t="e">
        <f>#REF!</f>
        <v>#REF!</v>
      </c>
      <c r="AD75" s="89" t="e">
        <f>#REF!</f>
        <v>#REF!</v>
      </c>
      <c r="AE75" s="89" t="e">
        <f>#REF!</f>
        <v>#REF!</v>
      </c>
      <c r="AF75" s="89" t="e">
        <f>#REF!</f>
        <v>#REF!</v>
      </c>
      <c r="AG75" s="89" t="e">
        <f>#REF!</f>
        <v>#REF!</v>
      </c>
      <c r="AH75" s="89" t="e">
        <f>#REF!</f>
        <v>#REF!</v>
      </c>
      <c r="AI75" s="89" t="e">
        <f>#REF!</f>
        <v>#REF!</v>
      </c>
      <c r="AJ75" s="89" t="e">
        <f>#REF!</f>
        <v>#REF!</v>
      </c>
      <c r="AK75" s="89" t="e">
        <f>#REF!</f>
        <v>#REF!</v>
      </c>
      <c r="AL75" s="89" t="e">
        <f>#REF!</f>
        <v>#REF!</v>
      </c>
      <c r="AM75" s="89" t="e">
        <f>#REF!</f>
        <v>#REF!</v>
      </c>
      <c r="AN75" s="89" t="e">
        <f>#REF!</f>
        <v>#REF!</v>
      </c>
      <c r="AO75" s="89" t="e">
        <f>#REF!</f>
        <v>#REF!</v>
      </c>
      <c r="AP75" s="89" t="e">
        <f>#REF!</f>
        <v>#REF!</v>
      </c>
      <c r="AQ75" s="89" t="e">
        <f>#REF!</f>
        <v>#REF!</v>
      </c>
      <c r="AR75" s="89" t="e">
        <f>#REF!</f>
        <v>#REF!</v>
      </c>
      <c r="AS75" s="89" t="e">
        <f>#REF!</f>
        <v>#REF!</v>
      </c>
      <c r="AT75" s="89" t="e">
        <f>#REF!</f>
        <v>#REF!</v>
      </c>
      <c r="AU75" s="89" t="e">
        <f>#REF!</f>
        <v>#REF!</v>
      </c>
      <c r="AV75" s="89" t="e">
        <f>#REF!</f>
        <v>#REF!</v>
      </c>
      <c r="AW75" s="89" t="e">
        <f>#REF!</f>
        <v>#REF!</v>
      </c>
      <c r="AX75" s="89" t="e">
        <f>#REF!</f>
        <v>#REF!</v>
      </c>
      <c r="AY75" s="89" t="e">
        <f>#REF!</f>
        <v>#REF!</v>
      </c>
      <c r="AZ75" s="89" t="e">
        <f>#REF!</f>
        <v>#REF!</v>
      </c>
      <c r="BA75" s="89" t="e">
        <f>#REF!</f>
        <v>#REF!</v>
      </c>
      <c r="BB75" s="89" t="e">
        <f>#REF!</f>
        <v>#REF!</v>
      </c>
      <c r="BC75" s="89" t="e">
        <f>#REF!</f>
        <v>#REF!</v>
      </c>
      <c r="BD75" s="89" t="e">
        <f>#REF!</f>
        <v>#REF!</v>
      </c>
      <c r="BE75" s="89" t="e">
        <f>#REF!</f>
        <v>#REF!</v>
      </c>
      <c r="BF75" s="89" t="e">
        <f>#REF!</f>
        <v>#REF!</v>
      </c>
    </row>
    <row r="76" spans="9:58" x14ac:dyDescent="0.25">
      <c r="I76" s="89">
        <f>ABCD!J125</f>
        <v>18</v>
      </c>
      <c r="J76" s="89">
        <f>ABCD!K125</f>
        <v>59.04</v>
      </c>
      <c r="K76" s="89">
        <f>ABCD!L125</f>
        <v>5.1484976168276209</v>
      </c>
      <c r="L76" s="89">
        <f>ABCD!M125</f>
        <v>0.89604792978857484</v>
      </c>
      <c r="M76" s="89">
        <f>ABCD!N125</f>
        <v>5.2258903167745574</v>
      </c>
      <c r="N76" s="89" t="e">
        <v>#REF!</v>
      </c>
      <c r="O76" s="89" t="e">
        <v>#REF!</v>
      </c>
      <c r="P76" s="89" t="e">
        <v>#REF!</v>
      </c>
      <c r="Q76" s="89" t="e">
        <v>#REF!</v>
      </c>
      <c r="R76" s="89" t="e">
        <v>#REF!</v>
      </c>
      <c r="S76" s="89" t="e">
        <f>#REF!</f>
        <v>#REF!</v>
      </c>
      <c r="T76" s="89" t="e">
        <f>#REF!</f>
        <v>#REF!</v>
      </c>
      <c r="U76" s="89" t="e">
        <f>#REF!</f>
        <v>#REF!</v>
      </c>
      <c r="V76" s="89" t="e">
        <f>#REF!</f>
        <v>#REF!</v>
      </c>
      <c r="W76" s="89" t="e">
        <f>#REF!</f>
        <v>#REF!</v>
      </c>
      <c r="X76" s="89" t="e">
        <f>#REF!</f>
        <v>#REF!</v>
      </c>
      <c r="Y76" s="89" t="e">
        <f>#REF!</f>
        <v>#REF!</v>
      </c>
      <c r="Z76" s="89" t="e">
        <f>#REF!</f>
        <v>#REF!</v>
      </c>
      <c r="AA76" s="89" t="e">
        <f>#REF!</f>
        <v>#REF!</v>
      </c>
      <c r="AB76" s="89" t="e">
        <f>#REF!</f>
        <v>#REF!</v>
      </c>
      <c r="AC76" s="89" t="e">
        <f>#REF!</f>
        <v>#REF!</v>
      </c>
      <c r="AD76" s="89" t="e">
        <f>#REF!</f>
        <v>#REF!</v>
      </c>
      <c r="AE76" s="89" t="e">
        <f>#REF!</f>
        <v>#REF!</v>
      </c>
      <c r="AF76" s="89" t="e">
        <f>#REF!</f>
        <v>#REF!</v>
      </c>
      <c r="AG76" s="89" t="e">
        <f>#REF!</f>
        <v>#REF!</v>
      </c>
      <c r="AH76" s="89" t="e">
        <f>#REF!</f>
        <v>#REF!</v>
      </c>
      <c r="AI76" s="89" t="e">
        <f>#REF!</f>
        <v>#REF!</v>
      </c>
      <c r="AJ76" s="89" t="e">
        <f>#REF!</f>
        <v>#REF!</v>
      </c>
      <c r="AK76" s="89" t="e">
        <f>#REF!</f>
        <v>#REF!</v>
      </c>
      <c r="AL76" s="89" t="e">
        <f>#REF!</f>
        <v>#REF!</v>
      </c>
      <c r="AM76" s="89" t="e">
        <f>#REF!</f>
        <v>#REF!</v>
      </c>
      <c r="AN76" s="89" t="e">
        <f>#REF!</f>
        <v>#REF!</v>
      </c>
      <c r="AO76" s="89" t="e">
        <f>#REF!</f>
        <v>#REF!</v>
      </c>
      <c r="AP76" s="89" t="e">
        <f>#REF!</f>
        <v>#REF!</v>
      </c>
      <c r="AQ76" s="89" t="e">
        <f>#REF!</f>
        <v>#REF!</v>
      </c>
      <c r="AR76" s="89" t="e">
        <f>#REF!</f>
        <v>#REF!</v>
      </c>
      <c r="AS76" s="89" t="e">
        <f>#REF!</f>
        <v>#REF!</v>
      </c>
      <c r="AT76" s="89" t="e">
        <f>#REF!</f>
        <v>#REF!</v>
      </c>
      <c r="AU76" s="89" t="e">
        <f>#REF!</f>
        <v>#REF!</v>
      </c>
      <c r="AV76" s="89" t="e">
        <f>#REF!</f>
        <v>#REF!</v>
      </c>
      <c r="AW76" s="89" t="e">
        <f>#REF!</f>
        <v>#REF!</v>
      </c>
      <c r="AX76" s="89" t="e">
        <f>#REF!</f>
        <v>#REF!</v>
      </c>
      <c r="AY76" s="89" t="e">
        <f>#REF!</f>
        <v>#REF!</v>
      </c>
      <c r="AZ76" s="89" t="e">
        <f>#REF!</f>
        <v>#REF!</v>
      </c>
      <c r="BA76" s="89" t="e">
        <f>#REF!</f>
        <v>#REF!</v>
      </c>
      <c r="BB76" s="89" t="e">
        <f>#REF!</f>
        <v>#REF!</v>
      </c>
      <c r="BC76" s="89" t="e">
        <f>#REF!</f>
        <v>#REF!</v>
      </c>
      <c r="BD76" s="89" t="e">
        <f>#REF!</f>
        <v>#REF!</v>
      </c>
      <c r="BE76" s="89" t="e">
        <f>#REF!</f>
        <v>#REF!</v>
      </c>
      <c r="BF76" s="89" t="e">
        <f>#REF!</f>
        <v>#REF!</v>
      </c>
    </row>
    <row r="77" spans="9:58" x14ac:dyDescent="0.25">
      <c r="I77" s="89">
        <f>ABCD!J126</f>
        <v>18.25</v>
      </c>
      <c r="J77" s="89">
        <f>ABCD!K126</f>
        <v>59.86</v>
      </c>
      <c r="K77" s="89">
        <f>ABCD!L126</f>
        <v>5.213272802613071</v>
      </c>
      <c r="L77" s="89">
        <f>ABCD!M126</f>
        <v>0.90857916049626275</v>
      </c>
      <c r="M77" s="89">
        <f>ABCD!N126</f>
        <v>5.291855006078042</v>
      </c>
      <c r="N77" s="89" t="e">
        <v>#REF!</v>
      </c>
      <c r="O77" s="89" t="e">
        <v>#REF!</v>
      </c>
      <c r="P77" s="89" t="e">
        <v>#REF!</v>
      </c>
      <c r="Q77" s="89" t="e">
        <v>#REF!</v>
      </c>
      <c r="R77" s="89" t="e">
        <v>#REF!</v>
      </c>
      <c r="S77" s="89" t="e">
        <f>#REF!</f>
        <v>#REF!</v>
      </c>
      <c r="T77" s="89" t="e">
        <f>#REF!</f>
        <v>#REF!</v>
      </c>
      <c r="U77" s="89" t="e">
        <f>#REF!</f>
        <v>#REF!</v>
      </c>
      <c r="V77" s="89" t="e">
        <f>#REF!</f>
        <v>#REF!</v>
      </c>
      <c r="W77" s="89" t="e">
        <f>#REF!</f>
        <v>#REF!</v>
      </c>
      <c r="X77" s="89" t="e">
        <f>#REF!</f>
        <v>#REF!</v>
      </c>
      <c r="Y77" s="89" t="e">
        <f>#REF!</f>
        <v>#REF!</v>
      </c>
      <c r="Z77" s="89" t="e">
        <f>#REF!</f>
        <v>#REF!</v>
      </c>
      <c r="AA77" s="89" t="e">
        <f>#REF!</f>
        <v>#REF!</v>
      </c>
      <c r="AB77" s="89" t="e">
        <f>#REF!</f>
        <v>#REF!</v>
      </c>
      <c r="AC77" s="89" t="e">
        <f>#REF!</f>
        <v>#REF!</v>
      </c>
      <c r="AD77" s="89" t="e">
        <f>#REF!</f>
        <v>#REF!</v>
      </c>
      <c r="AE77" s="89" t="e">
        <f>#REF!</f>
        <v>#REF!</v>
      </c>
      <c r="AF77" s="89" t="e">
        <f>#REF!</f>
        <v>#REF!</v>
      </c>
      <c r="AG77" s="89" t="e">
        <f>#REF!</f>
        <v>#REF!</v>
      </c>
      <c r="AH77" s="89" t="e">
        <f>#REF!</f>
        <v>#REF!</v>
      </c>
      <c r="AI77" s="89" t="e">
        <f>#REF!</f>
        <v>#REF!</v>
      </c>
      <c r="AJ77" s="89" t="e">
        <f>#REF!</f>
        <v>#REF!</v>
      </c>
      <c r="AK77" s="89" t="e">
        <f>#REF!</f>
        <v>#REF!</v>
      </c>
      <c r="AL77" s="89" t="e">
        <f>#REF!</f>
        <v>#REF!</v>
      </c>
      <c r="AM77" s="89" t="e">
        <f>#REF!</f>
        <v>#REF!</v>
      </c>
      <c r="AN77" s="89" t="e">
        <f>#REF!</f>
        <v>#REF!</v>
      </c>
      <c r="AO77" s="89" t="e">
        <f>#REF!</f>
        <v>#REF!</v>
      </c>
      <c r="AP77" s="89" t="e">
        <f>#REF!</f>
        <v>#REF!</v>
      </c>
      <c r="AQ77" s="89" t="e">
        <f>#REF!</f>
        <v>#REF!</v>
      </c>
      <c r="AR77" s="89" t="e">
        <f>#REF!</f>
        <v>#REF!</v>
      </c>
      <c r="AS77" s="89" t="e">
        <f>#REF!</f>
        <v>#REF!</v>
      </c>
      <c r="AT77" s="89" t="e">
        <f>#REF!</f>
        <v>#REF!</v>
      </c>
      <c r="AU77" s="89" t="e">
        <f>#REF!</f>
        <v>#REF!</v>
      </c>
      <c r="AV77" s="89" t="e">
        <f>#REF!</f>
        <v>#REF!</v>
      </c>
      <c r="AW77" s="89" t="e">
        <f>#REF!</f>
        <v>#REF!</v>
      </c>
      <c r="AX77" s="89" t="e">
        <f>#REF!</f>
        <v>#REF!</v>
      </c>
      <c r="AY77" s="89" t="e">
        <f>#REF!</f>
        <v>#REF!</v>
      </c>
      <c r="AZ77" s="89" t="e">
        <f>#REF!</f>
        <v>#REF!</v>
      </c>
      <c r="BA77" s="89" t="e">
        <f>#REF!</f>
        <v>#REF!</v>
      </c>
      <c r="BB77" s="89" t="e">
        <f>#REF!</f>
        <v>#REF!</v>
      </c>
      <c r="BC77" s="89" t="e">
        <f>#REF!</f>
        <v>#REF!</v>
      </c>
      <c r="BD77" s="89" t="e">
        <f>#REF!</f>
        <v>#REF!</v>
      </c>
      <c r="BE77" s="89" t="e">
        <f>#REF!</f>
        <v>#REF!</v>
      </c>
      <c r="BF77" s="89" t="e">
        <f>#REF!</f>
        <v>#REF!</v>
      </c>
    </row>
    <row r="78" spans="9:58" x14ac:dyDescent="0.25">
      <c r="I78" s="89">
        <f>ABCD!J127</f>
        <v>18.5</v>
      </c>
      <c r="J78" s="89">
        <f>ABCD!K127</f>
        <v>60.68</v>
      </c>
      <c r="K78" s="89">
        <f>ABCD!L127</f>
        <v>5.2767862794561413</v>
      </c>
      <c r="L78" s="89">
        <f>ABCD!M127</f>
        <v>0.92088938077924332</v>
      </c>
      <c r="M78" s="89">
        <f>ABCD!N127</f>
        <v>5.3565390590089574</v>
      </c>
      <c r="N78" s="89" t="e">
        <v>#REF!</v>
      </c>
      <c r="O78" s="89" t="e">
        <v>#REF!</v>
      </c>
      <c r="P78" s="89" t="e">
        <v>#REF!</v>
      </c>
      <c r="Q78" s="89" t="e">
        <v>#REF!</v>
      </c>
      <c r="R78" s="89" t="e">
        <v>#REF!</v>
      </c>
      <c r="S78" s="89" t="e">
        <f>#REF!</f>
        <v>#REF!</v>
      </c>
      <c r="T78" s="89" t="e">
        <f>#REF!</f>
        <v>#REF!</v>
      </c>
      <c r="U78" s="89" t="e">
        <f>#REF!</f>
        <v>#REF!</v>
      </c>
      <c r="V78" s="89" t="e">
        <f>#REF!</f>
        <v>#REF!</v>
      </c>
      <c r="W78" s="89" t="e">
        <f>#REF!</f>
        <v>#REF!</v>
      </c>
      <c r="X78" s="89" t="e">
        <f>#REF!</f>
        <v>#REF!</v>
      </c>
      <c r="Y78" s="89" t="e">
        <f>#REF!</f>
        <v>#REF!</v>
      </c>
      <c r="Z78" s="89" t="e">
        <f>#REF!</f>
        <v>#REF!</v>
      </c>
      <c r="AA78" s="89" t="e">
        <f>#REF!</f>
        <v>#REF!</v>
      </c>
      <c r="AB78" s="89" t="e">
        <f>#REF!</f>
        <v>#REF!</v>
      </c>
      <c r="AC78" s="89" t="e">
        <f>#REF!</f>
        <v>#REF!</v>
      </c>
      <c r="AD78" s="89" t="e">
        <f>#REF!</f>
        <v>#REF!</v>
      </c>
      <c r="AE78" s="89" t="e">
        <f>#REF!</f>
        <v>#REF!</v>
      </c>
      <c r="AF78" s="89" t="e">
        <f>#REF!</f>
        <v>#REF!</v>
      </c>
      <c r="AG78" s="89" t="e">
        <f>#REF!</f>
        <v>#REF!</v>
      </c>
      <c r="AH78" s="89" t="e">
        <f>#REF!</f>
        <v>#REF!</v>
      </c>
      <c r="AI78" s="89" t="e">
        <f>#REF!</f>
        <v>#REF!</v>
      </c>
      <c r="AJ78" s="89" t="e">
        <f>#REF!</f>
        <v>#REF!</v>
      </c>
      <c r="AK78" s="89" t="e">
        <f>#REF!</f>
        <v>#REF!</v>
      </c>
      <c r="AL78" s="89" t="e">
        <f>#REF!</f>
        <v>#REF!</v>
      </c>
      <c r="AM78" s="89" t="e">
        <f>#REF!</f>
        <v>#REF!</v>
      </c>
      <c r="AN78" s="89" t="e">
        <f>#REF!</f>
        <v>#REF!</v>
      </c>
      <c r="AO78" s="89" t="e">
        <f>#REF!</f>
        <v>#REF!</v>
      </c>
      <c r="AP78" s="89" t="e">
        <f>#REF!</f>
        <v>#REF!</v>
      </c>
      <c r="AQ78" s="89" t="e">
        <f>#REF!</f>
        <v>#REF!</v>
      </c>
      <c r="AR78" s="89" t="e">
        <f>#REF!</f>
        <v>#REF!</v>
      </c>
      <c r="AS78" s="89" t="e">
        <f>#REF!</f>
        <v>#REF!</v>
      </c>
      <c r="AT78" s="89" t="e">
        <f>#REF!</f>
        <v>#REF!</v>
      </c>
      <c r="AU78" s="89" t="e">
        <f>#REF!</f>
        <v>#REF!</v>
      </c>
      <c r="AV78" s="89" t="e">
        <f>#REF!</f>
        <v>#REF!</v>
      </c>
      <c r="AW78" s="89" t="e">
        <f>#REF!</f>
        <v>#REF!</v>
      </c>
      <c r="AX78" s="89" t="e">
        <f>#REF!</f>
        <v>#REF!</v>
      </c>
      <c r="AY78" s="89" t="e">
        <f>#REF!</f>
        <v>#REF!</v>
      </c>
      <c r="AZ78" s="89" t="e">
        <f>#REF!</f>
        <v>#REF!</v>
      </c>
      <c r="BA78" s="89" t="e">
        <f>#REF!</f>
        <v>#REF!</v>
      </c>
      <c r="BB78" s="89" t="e">
        <f>#REF!</f>
        <v>#REF!</v>
      </c>
      <c r="BC78" s="89" t="e">
        <f>#REF!</f>
        <v>#REF!</v>
      </c>
      <c r="BD78" s="89" t="e">
        <f>#REF!</f>
        <v>#REF!</v>
      </c>
      <c r="BE78" s="89" t="e">
        <f>#REF!</f>
        <v>#REF!</v>
      </c>
      <c r="BF78" s="89" t="e">
        <f>#REF!</f>
        <v>#REF!</v>
      </c>
    </row>
    <row r="79" spans="9:58" x14ac:dyDescent="0.25">
      <c r="I79" s="89">
        <f>ABCD!J128</f>
        <v>18.75</v>
      </c>
      <c r="J79" s="89">
        <f>ABCD!K128</f>
        <v>61.499999999999993</v>
      </c>
      <c r="K79" s="89">
        <f>ABCD!L128</f>
        <v>5.3390245208647222</v>
      </c>
      <c r="L79" s="89">
        <f>ABCD!M128</f>
        <v>0.93297594775293025</v>
      </c>
      <c r="M79" s="89">
        <f>ABCD!N128</f>
        <v>5.4199286852762425</v>
      </c>
      <c r="N79" s="89" t="e">
        <v>#REF!</v>
      </c>
      <c r="O79" s="89" t="e">
        <v>#REF!</v>
      </c>
      <c r="P79" s="89" t="e">
        <v>#REF!</v>
      </c>
      <c r="Q79" s="89" t="e">
        <v>#REF!</v>
      </c>
      <c r="R79" s="89" t="e">
        <v>#REF!</v>
      </c>
      <c r="S79" s="89" t="e">
        <f>#REF!</f>
        <v>#REF!</v>
      </c>
      <c r="T79" s="89" t="e">
        <f>#REF!</f>
        <v>#REF!</v>
      </c>
      <c r="U79" s="89" t="e">
        <f>#REF!</f>
        <v>#REF!</v>
      </c>
      <c r="V79" s="89" t="e">
        <f>#REF!</f>
        <v>#REF!</v>
      </c>
      <c r="W79" s="89" t="e">
        <f>#REF!</f>
        <v>#REF!</v>
      </c>
      <c r="X79" s="89" t="e">
        <f>#REF!</f>
        <v>#REF!</v>
      </c>
      <c r="Y79" s="89" t="e">
        <f>#REF!</f>
        <v>#REF!</v>
      </c>
      <c r="Z79" s="89" t="e">
        <f>#REF!</f>
        <v>#REF!</v>
      </c>
      <c r="AA79" s="89" t="e">
        <f>#REF!</f>
        <v>#REF!</v>
      </c>
      <c r="AB79" s="89" t="e">
        <f>#REF!</f>
        <v>#REF!</v>
      </c>
      <c r="AC79" s="89" t="e">
        <f>#REF!</f>
        <v>#REF!</v>
      </c>
      <c r="AD79" s="89" t="e">
        <f>#REF!</f>
        <v>#REF!</v>
      </c>
      <c r="AE79" s="89" t="e">
        <f>#REF!</f>
        <v>#REF!</v>
      </c>
      <c r="AF79" s="89" t="e">
        <f>#REF!</f>
        <v>#REF!</v>
      </c>
      <c r="AG79" s="89" t="e">
        <f>#REF!</f>
        <v>#REF!</v>
      </c>
      <c r="AH79" s="89" t="e">
        <f>#REF!</f>
        <v>#REF!</v>
      </c>
      <c r="AI79" s="89" t="e">
        <f>#REF!</f>
        <v>#REF!</v>
      </c>
      <c r="AJ79" s="89" t="e">
        <f>#REF!</f>
        <v>#REF!</v>
      </c>
      <c r="AK79" s="89" t="e">
        <f>#REF!</f>
        <v>#REF!</v>
      </c>
      <c r="AL79" s="89" t="e">
        <f>#REF!</f>
        <v>#REF!</v>
      </c>
      <c r="AM79" s="89" t="e">
        <f>#REF!</f>
        <v>#REF!</v>
      </c>
      <c r="AN79" s="89" t="e">
        <f>#REF!</f>
        <v>#REF!</v>
      </c>
      <c r="AO79" s="89" t="e">
        <f>#REF!</f>
        <v>#REF!</v>
      </c>
      <c r="AP79" s="89" t="e">
        <f>#REF!</f>
        <v>#REF!</v>
      </c>
      <c r="AQ79" s="89" t="e">
        <f>#REF!</f>
        <v>#REF!</v>
      </c>
      <c r="AR79" s="89" t="e">
        <f>#REF!</f>
        <v>#REF!</v>
      </c>
      <c r="AS79" s="89" t="e">
        <f>#REF!</f>
        <v>#REF!</v>
      </c>
      <c r="AT79" s="89" t="e">
        <f>#REF!</f>
        <v>#REF!</v>
      </c>
      <c r="AU79" s="89" t="e">
        <f>#REF!</f>
        <v>#REF!</v>
      </c>
      <c r="AV79" s="89" t="e">
        <f>#REF!</f>
        <v>#REF!</v>
      </c>
      <c r="AW79" s="89" t="e">
        <f>#REF!</f>
        <v>#REF!</v>
      </c>
      <c r="AX79" s="89" t="e">
        <f>#REF!</f>
        <v>#REF!</v>
      </c>
      <c r="AY79" s="89" t="e">
        <f>#REF!</f>
        <v>#REF!</v>
      </c>
      <c r="AZ79" s="89" t="e">
        <f>#REF!</f>
        <v>#REF!</v>
      </c>
      <c r="BA79" s="89" t="e">
        <f>#REF!</f>
        <v>#REF!</v>
      </c>
      <c r="BB79" s="89" t="e">
        <f>#REF!</f>
        <v>#REF!</v>
      </c>
      <c r="BC79" s="89" t="e">
        <f>#REF!</f>
        <v>#REF!</v>
      </c>
      <c r="BD79" s="89" t="e">
        <f>#REF!</f>
        <v>#REF!</v>
      </c>
      <c r="BE79" s="89" t="e">
        <f>#REF!</f>
        <v>#REF!</v>
      </c>
      <c r="BF79" s="89" t="e">
        <f>#REF!</f>
        <v>#REF!</v>
      </c>
    </row>
    <row r="80" spans="9:58" x14ac:dyDescent="0.25">
      <c r="I80" s="89">
        <f>ABCD!J129</f>
        <v>19</v>
      </c>
      <c r="J80" s="89">
        <f>ABCD!K129</f>
        <v>62.319999999999993</v>
      </c>
      <c r="K80" s="89">
        <f>ABCD!L129</f>
        <v>5.3999743068918082</v>
      </c>
      <c r="L80" s="89">
        <f>ABCD!M129</f>
        <v>0.94483627253862079</v>
      </c>
      <c r="M80" s="89">
        <f>ABCD!N129</f>
        <v>5.4820104065020105</v>
      </c>
      <c r="N80" s="89" t="e">
        <v>#REF!</v>
      </c>
      <c r="O80" s="89" t="e">
        <v>#REF!</v>
      </c>
      <c r="P80" s="89" t="e">
        <v>#REF!</v>
      </c>
      <c r="Q80" s="89" t="e">
        <v>#REF!</v>
      </c>
      <c r="R80" s="89" t="e">
        <v>#REF!</v>
      </c>
      <c r="S80" s="89" t="e">
        <f>#REF!</f>
        <v>#REF!</v>
      </c>
      <c r="T80" s="89" t="e">
        <f>#REF!</f>
        <v>#REF!</v>
      </c>
      <c r="U80" s="89" t="e">
        <f>#REF!</f>
        <v>#REF!</v>
      </c>
      <c r="V80" s="89" t="e">
        <f>#REF!</f>
        <v>#REF!</v>
      </c>
      <c r="W80" s="89" t="e">
        <f>#REF!</f>
        <v>#REF!</v>
      </c>
      <c r="X80" s="89" t="e">
        <f>#REF!</f>
        <v>#REF!</v>
      </c>
      <c r="Y80" s="89" t="e">
        <f>#REF!</f>
        <v>#REF!</v>
      </c>
      <c r="Z80" s="89" t="e">
        <f>#REF!</f>
        <v>#REF!</v>
      </c>
      <c r="AA80" s="89" t="e">
        <f>#REF!</f>
        <v>#REF!</v>
      </c>
      <c r="AB80" s="89" t="e">
        <f>#REF!</f>
        <v>#REF!</v>
      </c>
      <c r="AC80" s="89" t="e">
        <f>#REF!</f>
        <v>#REF!</v>
      </c>
      <c r="AD80" s="89" t="e">
        <f>#REF!</f>
        <v>#REF!</v>
      </c>
      <c r="AE80" s="89" t="e">
        <f>#REF!</f>
        <v>#REF!</v>
      </c>
      <c r="AF80" s="89" t="e">
        <f>#REF!</f>
        <v>#REF!</v>
      </c>
      <c r="AG80" s="89" t="e">
        <f>#REF!</f>
        <v>#REF!</v>
      </c>
      <c r="AH80" s="89" t="e">
        <f>#REF!</f>
        <v>#REF!</v>
      </c>
      <c r="AI80" s="89" t="e">
        <f>#REF!</f>
        <v>#REF!</v>
      </c>
      <c r="AJ80" s="89" t="e">
        <f>#REF!</f>
        <v>#REF!</v>
      </c>
      <c r="AK80" s="89" t="e">
        <f>#REF!</f>
        <v>#REF!</v>
      </c>
      <c r="AL80" s="89" t="e">
        <f>#REF!</f>
        <v>#REF!</v>
      </c>
      <c r="AM80" s="89" t="e">
        <f>#REF!</f>
        <v>#REF!</v>
      </c>
      <c r="AN80" s="89" t="e">
        <f>#REF!</f>
        <v>#REF!</v>
      </c>
      <c r="AO80" s="89" t="e">
        <f>#REF!</f>
        <v>#REF!</v>
      </c>
      <c r="AP80" s="89" t="e">
        <f>#REF!</f>
        <v>#REF!</v>
      </c>
      <c r="AQ80" s="89" t="e">
        <f>#REF!</f>
        <v>#REF!</v>
      </c>
      <c r="AR80" s="89" t="e">
        <f>#REF!</f>
        <v>#REF!</v>
      </c>
      <c r="AS80" s="89" t="e">
        <f>#REF!</f>
        <v>#REF!</v>
      </c>
      <c r="AT80" s="89" t="e">
        <f>#REF!</f>
        <v>#REF!</v>
      </c>
      <c r="AU80" s="89" t="e">
        <f>#REF!</f>
        <v>#REF!</v>
      </c>
      <c r="AV80" s="89" t="e">
        <f>#REF!</f>
        <v>#REF!</v>
      </c>
      <c r="AW80" s="89" t="e">
        <f>#REF!</f>
        <v>#REF!</v>
      </c>
      <c r="AX80" s="89" t="e">
        <f>#REF!</f>
        <v>#REF!</v>
      </c>
      <c r="AY80" s="89" t="e">
        <f>#REF!</f>
        <v>#REF!</v>
      </c>
      <c r="AZ80" s="89" t="e">
        <f>#REF!</f>
        <v>#REF!</v>
      </c>
      <c r="BA80" s="89" t="e">
        <f>#REF!</f>
        <v>#REF!</v>
      </c>
      <c r="BB80" s="89" t="e">
        <f>#REF!</f>
        <v>#REF!</v>
      </c>
      <c r="BC80" s="89" t="e">
        <f>#REF!</f>
        <v>#REF!</v>
      </c>
      <c r="BD80" s="89" t="e">
        <f>#REF!</f>
        <v>#REF!</v>
      </c>
      <c r="BE80" s="89" t="e">
        <f>#REF!</f>
        <v>#REF!</v>
      </c>
      <c r="BF80" s="89" t="e">
        <f>#REF!</f>
        <v>#REF!</v>
      </c>
    </row>
    <row r="81" spans="9:58" x14ac:dyDescent="0.25">
      <c r="I81" s="89">
        <f>ABCD!J130</f>
        <v>19.25</v>
      </c>
      <c r="J81" s="89">
        <f>ABCD!K130</f>
        <v>63.139999999999993</v>
      </c>
      <c r="K81" s="89">
        <f>ABCD!L130</f>
        <v>5.4596227269114008</v>
      </c>
      <c r="L81" s="89">
        <f>ABCD!M130</f>
        <v>0.95646782081255899</v>
      </c>
      <c r="M81" s="89">
        <f>ABCD!N130</f>
        <v>5.5427710589972419</v>
      </c>
      <c r="N81" s="89" t="e">
        <v>#REF!</v>
      </c>
      <c r="O81" s="89" t="e">
        <v>#REF!</v>
      </c>
      <c r="P81" s="89" t="e">
        <v>#REF!</v>
      </c>
      <c r="Q81" s="89" t="e">
        <v>#REF!</v>
      </c>
      <c r="R81" s="89" t="e">
        <v>#REF!</v>
      </c>
      <c r="S81" s="89" t="e">
        <f>#REF!</f>
        <v>#REF!</v>
      </c>
      <c r="T81" s="89" t="e">
        <f>#REF!</f>
        <v>#REF!</v>
      </c>
      <c r="U81" s="89" t="e">
        <f>#REF!</f>
        <v>#REF!</v>
      </c>
      <c r="V81" s="89" t="e">
        <f>#REF!</f>
        <v>#REF!</v>
      </c>
      <c r="W81" s="89" t="e">
        <f>#REF!</f>
        <v>#REF!</v>
      </c>
      <c r="X81" s="89" t="e">
        <f>#REF!</f>
        <v>#REF!</v>
      </c>
      <c r="Y81" s="89" t="e">
        <f>#REF!</f>
        <v>#REF!</v>
      </c>
      <c r="Z81" s="89" t="e">
        <f>#REF!</f>
        <v>#REF!</v>
      </c>
      <c r="AA81" s="89" t="e">
        <f>#REF!</f>
        <v>#REF!</v>
      </c>
      <c r="AB81" s="89" t="e">
        <f>#REF!</f>
        <v>#REF!</v>
      </c>
      <c r="AC81" s="89" t="e">
        <f>#REF!</f>
        <v>#REF!</v>
      </c>
      <c r="AD81" s="89" t="e">
        <f>#REF!</f>
        <v>#REF!</v>
      </c>
      <c r="AE81" s="89" t="e">
        <f>#REF!</f>
        <v>#REF!</v>
      </c>
      <c r="AF81" s="89" t="e">
        <f>#REF!</f>
        <v>#REF!</v>
      </c>
      <c r="AG81" s="89" t="e">
        <f>#REF!</f>
        <v>#REF!</v>
      </c>
      <c r="AH81" s="89" t="e">
        <f>#REF!</f>
        <v>#REF!</v>
      </c>
      <c r="AI81" s="89" t="e">
        <f>#REF!</f>
        <v>#REF!</v>
      </c>
      <c r="AJ81" s="89" t="e">
        <f>#REF!</f>
        <v>#REF!</v>
      </c>
      <c r="AK81" s="89" t="e">
        <f>#REF!</f>
        <v>#REF!</v>
      </c>
      <c r="AL81" s="89" t="e">
        <f>#REF!</f>
        <v>#REF!</v>
      </c>
      <c r="AM81" s="89" t="e">
        <f>#REF!</f>
        <v>#REF!</v>
      </c>
      <c r="AN81" s="89" t="e">
        <f>#REF!</f>
        <v>#REF!</v>
      </c>
      <c r="AO81" s="89" t="e">
        <f>#REF!</f>
        <v>#REF!</v>
      </c>
      <c r="AP81" s="89" t="e">
        <f>#REF!</f>
        <v>#REF!</v>
      </c>
      <c r="AQ81" s="89" t="e">
        <f>#REF!</f>
        <v>#REF!</v>
      </c>
      <c r="AR81" s="89" t="e">
        <f>#REF!</f>
        <v>#REF!</v>
      </c>
      <c r="AS81" s="89" t="e">
        <f>#REF!</f>
        <v>#REF!</v>
      </c>
      <c r="AT81" s="89" t="e">
        <f>#REF!</f>
        <v>#REF!</v>
      </c>
      <c r="AU81" s="89" t="e">
        <f>#REF!</f>
        <v>#REF!</v>
      </c>
      <c r="AV81" s="89" t="e">
        <f>#REF!</f>
        <v>#REF!</v>
      </c>
      <c r="AW81" s="89" t="e">
        <f>#REF!</f>
        <v>#REF!</v>
      </c>
      <c r="AX81" s="89" t="e">
        <f>#REF!</f>
        <v>#REF!</v>
      </c>
      <c r="AY81" s="89" t="e">
        <f>#REF!</f>
        <v>#REF!</v>
      </c>
      <c r="AZ81" s="89" t="e">
        <f>#REF!</f>
        <v>#REF!</v>
      </c>
      <c r="BA81" s="89" t="e">
        <f>#REF!</f>
        <v>#REF!</v>
      </c>
      <c r="BB81" s="89" t="e">
        <f>#REF!</f>
        <v>#REF!</v>
      </c>
      <c r="BC81" s="89" t="e">
        <f>#REF!</f>
        <v>#REF!</v>
      </c>
      <c r="BD81" s="89" t="e">
        <f>#REF!</f>
        <v>#REF!</v>
      </c>
      <c r="BE81" s="89" t="e">
        <f>#REF!</f>
        <v>#REF!</v>
      </c>
      <c r="BF81" s="89" t="e">
        <f>#REF!</f>
        <v>#REF!</v>
      </c>
    </row>
    <row r="82" spans="9:58" x14ac:dyDescent="0.25">
      <c r="I82" s="89">
        <f>ABCD!J131</f>
        <v>19.5</v>
      </c>
      <c r="J82" s="89">
        <f>ABCD!K131</f>
        <v>63.959999999999994</v>
      </c>
      <c r="K82" s="89">
        <f>ABCD!L131</f>
        <v>5.5179571823205791</v>
      </c>
      <c r="L82" s="89">
        <f>ABCD!M131</f>
        <v>0.96786811334186273</v>
      </c>
      <c r="M82" s="89">
        <f>ABCD!N131</f>
        <v>5.6021977964676681</v>
      </c>
      <c r="N82" s="89" t="e">
        <v>#REF!</v>
      </c>
      <c r="O82" s="89" t="e">
        <v>#REF!</v>
      </c>
      <c r="P82" s="89" t="e">
        <v>#REF!</v>
      </c>
      <c r="Q82" s="89" t="e">
        <v>#REF!</v>
      </c>
      <c r="R82" s="89" t="e">
        <v>#REF!</v>
      </c>
      <c r="S82" s="89" t="e">
        <f>#REF!</f>
        <v>#REF!</v>
      </c>
      <c r="T82" s="89" t="e">
        <f>#REF!</f>
        <v>#REF!</v>
      </c>
      <c r="U82" s="89" t="e">
        <f>#REF!</f>
        <v>#REF!</v>
      </c>
      <c r="V82" s="89" t="e">
        <f>#REF!</f>
        <v>#REF!</v>
      </c>
      <c r="W82" s="89" t="e">
        <f>#REF!</f>
        <v>#REF!</v>
      </c>
      <c r="X82" s="89" t="e">
        <f>#REF!</f>
        <v>#REF!</v>
      </c>
      <c r="Y82" s="89" t="e">
        <f>#REF!</f>
        <v>#REF!</v>
      </c>
      <c r="Z82" s="89" t="e">
        <f>#REF!</f>
        <v>#REF!</v>
      </c>
      <c r="AA82" s="89" t="e">
        <f>#REF!</f>
        <v>#REF!</v>
      </c>
      <c r="AB82" s="89" t="e">
        <f>#REF!</f>
        <v>#REF!</v>
      </c>
      <c r="AC82" s="89" t="e">
        <f>#REF!</f>
        <v>#REF!</v>
      </c>
      <c r="AD82" s="89" t="e">
        <f>#REF!</f>
        <v>#REF!</v>
      </c>
      <c r="AE82" s="89" t="e">
        <f>#REF!</f>
        <v>#REF!</v>
      </c>
      <c r="AF82" s="89" t="e">
        <f>#REF!</f>
        <v>#REF!</v>
      </c>
      <c r="AG82" s="89" t="e">
        <f>#REF!</f>
        <v>#REF!</v>
      </c>
      <c r="AH82" s="89" t="e">
        <f>#REF!</f>
        <v>#REF!</v>
      </c>
      <c r="AI82" s="89" t="e">
        <f>#REF!</f>
        <v>#REF!</v>
      </c>
      <c r="AJ82" s="89" t="e">
        <f>#REF!</f>
        <v>#REF!</v>
      </c>
      <c r="AK82" s="89" t="e">
        <f>#REF!</f>
        <v>#REF!</v>
      </c>
      <c r="AL82" s="89" t="e">
        <f>#REF!</f>
        <v>#REF!</v>
      </c>
      <c r="AM82" s="89" t="e">
        <f>#REF!</f>
        <v>#REF!</v>
      </c>
      <c r="AN82" s="89" t="e">
        <f>#REF!</f>
        <v>#REF!</v>
      </c>
      <c r="AO82" s="89" t="e">
        <f>#REF!</f>
        <v>#REF!</v>
      </c>
      <c r="AP82" s="89" t="e">
        <f>#REF!</f>
        <v>#REF!</v>
      </c>
      <c r="AQ82" s="89" t="e">
        <f>#REF!</f>
        <v>#REF!</v>
      </c>
      <c r="AR82" s="89" t="e">
        <f>#REF!</f>
        <v>#REF!</v>
      </c>
      <c r="AS82" s="89" t="e">
        <f>#REF!</f>
        <v>#REF!</v>
      </c>
      <c r="AT82" s="89" t="e">
        <f>#REF!</f>
        <v>#REF!</v>
      </c>
      <c r="AU82" s="89" t="e">
        <f>#REF!</f>
        <v>#REF!</v>
      </c>
      <c r="AV82" s="89" t="e">
        <f>#REF!</f>
        <v>#REF!</v>
      </c>
      <c r="AW82" s="89" t="e">
        <f>#REF!</f>
        <v>#REF!</v>
      </c>
      <c r="AX82" s="89" t="e">
        <f>#REF!</f>
        <v>#REF!</v>
      </c>
      <c r="AY82" s="89" t="e">
        <f>#REF!</f>
        <v>#REF!</v>
      </c>
      <c r="AZ82" s="89" t="e">
        <f>#REF!</f>
        <v>#REF!</v>
      </c>
      <c r="BA82" s="89" t="e">
        <f>#REF!</f>
        <v>#REF!</v>
      </c>
      <c r="BB82" s="89" t="e">
        <f>#REF!</f>
        <v>#REF!</v>
      </c>
      <c r="BC82" s="89" t="e">
        <f>#REF!</f>
        <v>#REF!</v>
      </c>
      <c r="BD82" s="89" t="e">
        <f>#REF!</f>
        <v>#REF!</v>
      </c>
      <c r="BE82" s="89" t="e">
        <f>#REF!</f>
        <v>#REF!</v>
      </c>
      <c r="BF82" s="89" t="e">
        <f>#REF!</f>
        <v>#REF!</v>
      </c>
    </row>
    <row r="83" spans="9:58" x14ac:dyDescent="0.25">
      <c r="I83" s="89">
        <f>ABCD!J132</f>
        <v>19.75</v>
      </c>
      <c r="J83" s="89">
        <f>ABCD!K132</f>
        <v>64.78</v>
      </c>
      <c r="K83" s="89">
        <f>ABCD!L132</f>
        <v>5.5749653891670636</v>
      </c>
      <c r="L83" s="89">
        <f>ABCD!M132</f>
        <v>0.9790347265072803</v>
      </c>
      <c r="M83" s="89">
        <f>ABCD!N132</f>
        <v>5.6602780926486158</v>
      </c>
      <c r="N83" s="89" t="e">
        <v>#REF!</v>
      </c>
      <c r="O83" s="89" t="e">
        <v>#REF!</v>
      </c>
      <c r="P83" s="89" t="e">
        <v>#REF!</v>
      </c>
      <c r="Q83" s="89" t="e">
        <v>#REF!</v>
      </c>
      <c r="R83" s="89" t="e">
        <v>#REF!</v>
      </c>
      <c r="S83" s="89" t="e">
        <f>#REF!</f>
        <v>#REF!</v>
      </c>
      <c r="T83" s="89" t="e">
        <f>#REF!</f>
        <v>#REF!</v>
      </c>
      <c r="U83" s="89" t="e">
        <f>#REF!</f>
        <v>#REF!</v>
      </c>
      <c r="V83" s="89" t="e">
        <f>#REF!</f>
        <v>#REF!</v>
      </c>
      <c r="W83" s="89" t="e">
        <f>#REF!</f>
        <v>#REF!</v>
      </c>
      <c r="X83" s="89" t="e">
        <f>#REF!</f>
        <v>#REF!</v>
      </c>
      <c r="Y83" s="89" t="e">
        <f>#REF!</f>
        <v>#REF!</v>
      </c>
      <c r="Z83" s="89" t="e">
        <f>#REF!</f>
        <v>#REF!</v>
      </c>
      <c r="AA83" s="89" t="e">
        <f>#REF!</f>
        <v>#REF!</v>
      </c>
      <c r="AB83" s="89" t="e">
        <f>#REF!</f>
        <v>#REF!</v>
      </c>
      <c r="AC83" s="89" t="e">
        <f>#REF!</f>
        <v>#REF!</v>
      </c>
      <c r="AD83" s="89" t="e">
        <f>#REF!</f>
        <v>#REF!</v>
      </c>
      <c r="AE83" s="89" t="e">
        <f>#REF!</f>
        <v>#REF!</v>
      </c>
      <c r="AF83" s="89" t="e">
        <f>#REF!</f>
        <v>#REF!</v>
      </c>
      <c r="AG83" s="89" t="e">
        <f>#REF!</f>
        <v>#REF!</v>
      </c>
      <c r="AH83" s="89" t="e">
        <f>#REF!</f>
        <v>#REF!</v>
      </c>
      <c r="AI83" s="89" t="e">
        <f>#REF!</f>
        <v>#REF!</v>
      </c>
      <c r="AJ83" s="89" t="e">
        <f>#REF!</f>
        <v>#REF!</v>
      </c>
      <c r="AK83" s="89" t="e">
        <f>#REF!</f>
        <v>#REF!</v>
      </c>
      <c r="AL83" s="89" t="e">
        <f>#REF!</f>
        <v>#REF!</v>
      </c>
      <c r="AM83" s="89" t="e">
        <f>#REF!</f>
        <v>#REF!</v>
      </c>
      <c r="AN83" s="89" t="e">
        <f>#REF!</f>
        <v>#REF!</v>
      </c>
      <c r="AO83" s="89" t="e">
        <f>#REF!</f>
        <v>#REF!</v>
      </c>
      <c r="AP83" s="89" t="e">
        <f>#REF!</f>
        <v>#REF!</v>
      </c>
      <c r="AQ83" s="89" t="e">
        <f>#REF!</f>
        <v>#REF!</v>
      </c>
      <c r="AR83" s="89" t="e">
        <f>#REF!</f>
        <v>#REF!</v>
      </c>
      <c r="AS83" s="89" t="e">
        <f>#REF!</f>
        <v>#REF!</v>
      </c>
      <c r="AT83" s="89" t="e">
        <f>#REF!</f>
        <v>#REF!</v>
      </c>
      <c r="AU83" s="89" t="e">
        <f>#REF!</f>
        <v>#REF!</v>
      </c>
      <c r="AV83" s="89" t="e">
        <f>#REF!</f>
        <v>#REF!</v>
      </c>
      <c r="AW83" s="89" t="e">
        <f>#REF!</f>
        <v>#REF!</v>
      </c>
      <c r="AX83" s="89" t="e">
        <f>#REF!</f>
        <v>#REF!</v>
      </c>
      <c r="AY83" s="89" t="e">
        <f>#REF!</f>
        <v>#REF!</v>
      </c>
      <c r="AZ83" s="89" t="e">
        <f>#REF!</f>
        <v>#REF!</v>
      </c>
      <c r="BA83" s="89" t="e">
        <f>#REF!</f>
        <v>#REF!</v>
      </c>
      <c r="BB83" s="89" t="e">
        <f>#REF!</f>
        <v>#REF!</v>
      </c>
      <c r="BC83" s="89" t="e">
        <f>#REF!</f>
        <v>#REF!</v>
      </c>
      <c r="BD83" s="89" t="e">
        <f>#REF!</f>
        <v>#REF!</v>
      </c>
      <c r="BE83" s="89" t="e">
        <f>#REF!</f>
        <v>#REF!</v>
      </c>
      <c r="BF83" s="89" t="e">
        <f>#REF!</f>
        <v>#REF!</v>
      </c>
    </row>
    <row r="84" spans="9:58" x14ac:dyDescent="0.25">
      <c r="I84" s="89">
        <f>ABCD!J133</f>
        <v>20</v>
      </c>
      <c r="J84" s="89">
        <f>ABCD!K133</f>
        <v>65.599999999999994</v>
      </c>
      <c r="K84" s="89">
        <f>ABCD!L133</f>
        <v>5.6306353807018024</v>
      </c>
      <c r="L84" s="89">
        <f>ABCD!M133</f>
        <v>0.98996529281263523</v>
      </c>
      <c r="M84" s="89">
        <f>ABCD!N133</f>
        <v>5.7169997438678042</v>
      </c>
      <c r="N84" s="89" t="e">
        <v>#REF!</v>
      </c>
      <c r="O84" s="89" t="e">
        <v>#REF!</v>
      </c>
      <c r="P84" s="89" t="e">
        <v>#REF!</v>
      </c>
      <c r="Q84" s="89" t="e">
        <v>#REF!</v>
      </c>
      <c r="R84" s="89" t="e">
        <v>#REF!</v>
      </c>
      <c r="S84" s="89" t="e">
        <f>#REF!</f>
        <v>#REF!</v>
      </c>
      <c r="T84" s="89" t="e">
        <f>#REF!</f>
        <v>#REF!</v>
      </c>
      <c r="U84" s="89" t="e">
        <f>#REF!</f>
        <v>#REF!</v>
      </c>
      <c r="V84" s="89" t="e">
        <f>#REF!</f>
        <v>#REF!</v>
      </c>
      <c r="W84" s="89" t="e">
        <f>#REF!</f>
        <v>#REF!</v>
      </c>
      <c r="X84" s="89" t="e">
        <f>#REF!</f>
        <v>#REF!</v>
      </c>
      <c r="Y84" s="89" t="e">
        <f>#REF!</f>
        <v>#REF!</v>
      </c>
      <c r="Z84" s="89" t="e">
        <f>#REF!</f>
        <v>#REF!</v>
      </c>
      <c r="AA84" s="89" t="e">
        <f>#REF!</f>
        <v>#REF!</v>
      </c>
      <c r="AB84" s="89" t="e">
        <f>#REF!</f>
        <v>#REF!</v>
      </c>
      <c r="AC84" s="89" t="e">
        <f>#REF!</f>
        <v>#REF!</v>
      </c>
      <c r="AD84" s="89" t="e">
        <f>#REF!</f>
        <v>#REF!</v>
      </c>
      <c r="AE84" s="89" t="e">
        <f>#REF!</f>
        <v>#REF!</v>
      </c>
      <c r="AF84" s="89" t="e">
        <f>#REF!</f>
        <v>#REF!</v>
      </c>
      <c r="AG84" s="89" t="e">
        <f>#REF!</f>
        <v>#REF!</v>
      </c>
      <c r="AH84" s="89" t="e">
        <f>#REF!</f>
        <v>#REF!</v>
      </c>
      <c r="AI84" s="89" t="e">
        <f>#REF!</f>
        <v>#REF!</v>
      </c>
      <c r="AJ84" s="89" t="e">
        <f>#REF!</f>
        <v>#REF!</v>
      </c>
      <c r="AK84" s="89" t="e">
        <f>#REF!</f>
        <v>#REF!</v>
      </c>
      <c r="AL84" s="89" t="e">
        <f>#REF!</f>
        <v>#REF!</v>
      </c>
      <c r="AM84" s="89" t="e">
        <f>#REF!</f>
        <v>#REF!</v>
      </c>
      <c r="AN84" s="89" t="e">
        <f>#REF!</f>
        <v>#REF!</v>
      </c>
      <c r="AO84" s="89" t="e">
        <f>#REF!</f>
        <v>#REF!</v>
      </c>
      <c r="AP84" s="89" t="e">
        <f>#REF!</f>
        <v>#REF!</v>
      </c>
      <c r="AQ84" s="89" t="e">
        <f>#REF!</f>
        <v>#REF!</v>
      </c>
      <c r="AR84" s="89" t="e">
        <f>#REF!</f>
        <v>#REF!</v>
      </c>
      <c r="AS84" s="89" t="e">
        <f>#REF!</f>
        <v>#REF!</v>
      </c>
      <c r="AT84" s="89" t="e">
        <f>#REF!</f>
        <v>#REF!</v>
      </c>
      <c r="AU84" s="89" t="e">
        <f>#REF!</f>
        <v>#REF!</v>
      </c>
      <c r="AV84" s="89" t="e">
        <f>#REF!</f>
        <v>#REF!</v>
      </c>
      <c r="AW84" s="89" t="e">
        <f>#REF!</f>
        <v>#REF!</v>
      </c>
      <c r="AX84" s="89" t="e">
        <f>#REF!</f>
        <v>#REF!</v>
      </c>
      <c r="AY84" s="89" t="e">
        <f>#REF!</f>
        <v>#REF!</v>
      </c>
      <c r="AZ84" s="89" t="e">
        <f>#REF!</f>
        <v>#REF!</v>
      </c>
      <c r="BA84" s="89" t="e">
        <f>#REF!</f>
        <v>#REF!</v>
      </c>
      <c r="BB84" s="89" t="e">
        <f>#REF!</f>
        <v>#REF!</v>
      </c>
      <c r="BC84" s="89" t="e">
        <f>#REF!</f>
        <v>#REF!</v>
      </c>
      <c r="BD84" s="89" t="e">
        <f>#REF!</f>
        <v>#REF!</v>
      </c>
      <c r="BE84" s="89" t="e">
        <f>#REF!</f>
        <v>#REF!</v>
      </c>
      <c r="BF84" s="89" t="e">
        <f>#REF!</f>
        <v>#REF!</v>
      </c>
    </row>
    <row r="85" spans="9:58" x14ac:dyDescent="0.25">
      <c r="I85" s="89">
        <f>ABCD!J134</f>
        <v>20.25</v>
      </c>
      <c r="J85" s="89">
        <f>ABCD!K134</f>
        <v>66.42</v>
      </c>
      <c r="K85" s="89">
        <f>ABCD!L134</f>
        <v>5.6849555098560405</v>
      </c>
      <c r="L85" s="89">
        <f>ABCD!M134</f>
        <v>1.000657501380845</v>
      </c>
      <c r="M85" s="89">
        <f>ABCD!N134</f>
        <v>5.7723508715351244</v>
      </c>
      <c r="N85" s="89" t="e">
        <v>#REF!</v>
      </c>
      <c r="O85" s="89" t="e">
        <v>#REF!</v>
      </c>
      <c r="P85" s="89" t="e">
        <v>#REF!</v>
      </c>
      <c r="Q85" s="89" t="e">
        <v>#REF!</v>
      </c>
      <c r="R85" s="89" t="e">
        <v>#REF!</v>
      </c>
      <c r="S85" s="89" t="e">
        <f>#REF!</f>
        <v>#REF!</v>
      </c>
      <c r="T85" s="89" t="e">
        <f>#REF!</f>
        <v>#REF!</v>
      </c>
      <c r="U85" s="89" t="e">
        <f>#REF!</f>
        <v>#REF!</v>
      </c>
      <c r="V85" s="89" t="e">
        <f>#REF!</f>
        <v>#REF!</v>
      </c>
      <c r="W85" s="89" t="e">
        <f>#REF!</f>
        <v>#REF!</v>
      </c>
      <c r="X85" s="89" t="e">
        <f>#REF!</f>
        <v>#REF!</v>
      </c>
      <c r="Y85" s="89" t="e">
        <f>#REF!</f>
        <v>#REF!</v>
      </c>
      <c r="Z85" s="89" t="e">
        <f>#REF!</f>
        <v>#REF!</v>
      </c>
      <c r="AA85" s="89" t="e">
        <f>#REF!</f>
        <v>#REF!</v>
      </c>
      <c r="AB85" s="89" t="e">
        <f>#REF!</f>
        <v>#REF!</v>
      </c>
      <c r="AC85" s="89" t="e">
        <f>#REF!</f>
        <v>#REF!</v>
      </c>
      <c r="AD85" s="89" t="e">
        <f>#REF!</f>
        <v>#REF!</v>
      </c>
      <c r="AE85" s="89" t="e">
        <f>#REF!</f>
        <v>#REF!</v>
      </c>
      <c r="AF85" s="89" t="e">
        <f>#REF!</f>
        <v>#REF!</v>
      </c>
      <c r="AG85" s="89" t="e">
        <f>#REF!</f>
        <v>#REF!</v>
      </c>
      <c r="AH85" s="89" t="e">
        <f>#REF!</f>
        <v>#REF!</v>
      </c>
      <c r="AI85" s="89" t="e">
        <f>#REF!</f>
        <v>#REF!</v>
      </c>
      <c r="AJ85" s="89" t="e">
        <f>#REF!</f>
        <v>#REF!</v>
      </c>
      <c r="AK85" s="89" t="e">
        <f>#REF!</f>
        <v>#REF!</v>
      </c>
      <c r="AL85" s="89" t="e">
        <f>#REF!</f>
        <v>#REF!</v>
      </c>
      <c r="AM85" s="89" t="e">
        <f>#REF!</f>
        <v>#REF!</v>
      </c>
      <c r="AN85" s="89" t="e">
        <f>#REF!</f>
        <v>#REF!</v>
      </c>
      <c r="AO85" s="89" t="e">
        <f>#REF!</f>
        <v>#REF!</v>
      </c>
      <c r="AP85" s="89" t="e">
        <f>#REF!</f>
        <v>#REF!</v>
      </c>
      <c r="AQ85" s="89" t="e">
        <f>#REF!</f>
        <v>#REF!</v>
      </c>
      <c r="AR85" s="89" t="e">
        <f>#REF!</f>
        <v>#REF!</v>
      </c>
      <c r="AS85" s="89" t="e">
        <f>#REF!</f>
        <v>#REF!</v>
      </c>
      <c r="AT85" s="89" t="e">
        <f>#REF!</f>
        <v>#REF!</v>
      </c>
      <c r="AU85" s="89" t="e">
        <f>#REF!</f>
        <v>#REF!</v>
      </c>
      <c r="AV85" s="89" t="e">
        <f>#REF!</f>
        <v>#REF!</v>
      </c>
      <c r="AW85" s="89" t="e">
        <f>#REF!</f>
        <v>#REF!</v>
      </c>
      <c r="AX85" s="89" t="e">
        <f>#REF!</f>
        <v>#REF!</v>
      </c>
      <c r="AY85" s="89" t="e">
        <f>#REF!</f>
        <v>#REF!</v>
      </c>
      <c r="AZ85" s="89" t="e">
        <f>#REF!</f>
        <v>#REF!</v>
      </c>
      <c r="BA85" s="89" t="e">
        <f>#REF!</f>
        <v>#REF!</v>
      </c>
      <c r="BB85" s="89" t="e">
        <f>#REF!</f>
        <v>#REF!</v>
      </c>
      <c r="BC85" s="89" t="e">
        <f>#REF!</f>
        <v>#REF!</v>
      </c>
      <c r="BD85" s="89" t="e">
        <f>#REF!</f>
        <v>#REF!</v>
      </c>
      <c r="BE85" s="89" t="e">
        <f>#REF!</f>
        <v>#REF!</v>
      </c>
      <c r="BF85" s="89" t="e">
        <f>#REF!</f>
        <v>#REF!</v>
      </c>
    </row>
    <row r="86" spans="9:58" x14ac:dyDescent="0.25">
      <c r="I86" s="89">
        <f>ABCD!J135</f>
        <v>20.5</v>
      </c>
      <c r="J86" s="89">
        <f>ABCD!K135</f>
        <v>67.239999999999995</v>
      </c>
      <c r="K86" s="89">
        <f>ABCD!L135</f>
        <v>5.7379144516423377</v>
      </c>
      <c r="L86" s="89">
        <f>ABCD!M135</f>
        <v>1.0111090984364459</v>
      </c>
      <c r="M86" s="89">
        <f>ABCD!N135</f>
        <v>5.8263199245584643</v>
      </c>
      <c r="N86" s="89" t="e">
        <v>#REF!</v>
      </c>
      <c r="O86" s="89" t="e">
        <v>#REF!</v>
      </c>
      <c r="P86" s="89" t="e">
        <v>#REF!</v>
      </c>
      <c r="Q86" s="89" t="e">
        <v>#REF!</v>
      </c>
      <c r="R86" s="89" t="e">
        <v>#REF!</v>
      </c>
      <c r="S86" s="89" t="e">
        <f>#REF!</f>
        <v>#REF!</v>
      </c>
      <c r="T86" s="89" t="e">
        <f>#REF!</f>
        <v>#REF!</v>
      </c>
      <c r="U86" s="89" t="e">
        <f>#REF!</f>
        <v>#REF!</v>
      </c>
      <c r="V86" s="89" t="e">
        <f>#REF!</f>
        <v>#REF!</v>
      </c>
      <c r="W86" s="89" t="e">
        <f>#REF!</f>
        <v>#REF!</v>
      </c>
      <c r="X86" s="89" t="e">
        <f>#REF!</f>
        <v>#REF!</v>
      </c>
      <c r="Y86" s="89" t="e">
        <f>#REF!</f>
        <v>#REF!</v>
      </c>
      <c r="Z86" s="89" t="e">
        <f>#REF!</f>
        <v>#REF!</v>
      </c>
      <c r="AA86" s="89" t="e">
        <f>#REF!</f>
        <v>#REF!</v>
      </c>
      <c r="AB86" s="89" t="e">
        <f>#REF!</f>
        <v>#REF!</v>
      </c>
      <c r="AC86" s="89" t="e">
        <f>#REF!</f>
        <v>#REF!</v>
      </c>
      <c r="AD86" s="89" t="e">
        <f>#REF!</f>
        <v>#REF!</v>
      </c>
      <c r="AE86" s="89" t="e">
        <f>#REF!</f>
        <v>#REF!</v>
      </c>
      <c r="AF86" s="89" t="e">
        <f>#REF!</f>
        <v>#REF!</v>
      </c>
      <c r="AG86" s="89" t="e">
        <f>#REF!</f>
        <v>#REF!</v>
      </c>
      <c r="AH86" s="89" t="e">
        <f>#REF!</f>
        <v>#REF!</v>
      </c>
      <c r="AI86" s="89" t="e">
        <f>#REF!</f>
        <v>#REF!</v>
      </c>
      <c r="AJ86" s="89" t="e">
        <f>#REF!</f>
        <v>#REF!</v>
      </c>
      <c r="AK86" s="89" t="e">
        <f>#REF!</f>
        <v>#REF!</v>
      </c>
      <c r="AL86" s="89" t="e">
        <f>#REF!</f>
        <v>#REF!</v>
      </c>
      <c r="AM86" s="89" t="e">
        <f>#REF!</f>
        <v>#REF!</v>
      </c>
      <c r="AN86" s="89" t="e">
        <f>#REF!</f>
        <v>#REF!</v>
      </c>
      <c r="AO86" s="89" t="e">
        <f>#REF!</f>
        <v>#REF!</v>
      </c>
      <c r="AP86" s="89" t="e">
        <f>#REF!</f>
        <v>#REF!</v>
      </c>
      <c r="AQ86" s="89" t="e">
        <f>#REF!</f>
        <v>#REF!</v>
      </c>
      <c r="AR86" s="89" t="e">
        <f>#REF!</f>
        <v>#REF!</v>
      </c>
      <c r="AS86" s="89" t="e">
        <f>#REF!</f>
        <v>#REF!</v>
      </c>
      <c r="AT86" s="89" t="e">
        <f>#REF!</f>
        <v>#REF!</v>
      </c>
      <c r="AU86" s="89" t="e">
        <f>#REF!</f>
        <v>#REF!</v>
      </c>
      <c r="AV86" s="89" t="e">
        <f>#REF!</f>
        <v>#REF!</v>
      </c>
      <c r="AW86" s="89" t="e">
        <f>#REF!</f>
        <v>#REF!</v>
      </c>
      <c r="AX86" s="89" t="e">
        <f>#REF!</f>
        <v>#REF!</v>
      </c>
      <c r="AY86" s="89" t="e">
        <f>#REF!</f>
        <v>#REF!</v>
      </c>
      <c r="AZ86" s="89" t="e">
        <f>#REF!</f>
        <v>#REF!</v>
      </c>
      <c r="BA86" s="89" t="e">
        <f>#REF!</f>
        <v>#REF!</v>
      </c>
      <c r="BB86" s="89" t="e">
        <f>#REF!</f>
        <v>#REF!</v>
      </c>
      <c r="BC86" s="89" t="e">
        <f>#REF!</f>
        <v>#REF!</v>
      </c>
      <c r="BD86" s="89" t="e">
        <f>#REF!</f>
        <v>#REF!</v>
      </c>
      <c r="BE86" s="89" t="e">
        <f>#REF!</f>
        <v>#REF!</v>
      </c>
      <c r="BF86" s="89" t="e">
        <f>#REF!</f>
        <v>#REF!</v>
      </c>
    </row>
    <row r="87" spans="9:58" x14ac:dyDescent="0.25">
      <c r="I87" s="89">
        <f>ABCD!J136</f>
        <v>20.75</v>
      </c>
      <c r="J87" s="89">
        <f>ABCD!K136</f>
        <v>68.06</v>
      </c>
      <c r="K87" s="89">
        <f>ABCD!L136</f>
        <v>5.7895012054791337</v>
      </c>
      <c r="L87" s="89">
        <f>ABCD!M136</f>
        <v>1.0213178877744702</v>
      </c>
      <c r="M87" s="89">
        <f>ABCD!N136</f>
        <v>5.8788956816848223</v>
      </c>
      <c r="N87" s="89" t="e">
        <v>#REF!</v>
      </c>
      <c r="O87" s="89" t="e">
        <v>#REF!</v>
      </c>
      <c r="P87" s="89" t="e">
        <v>#REF!</v>
      </c>
      <c r="Q87" s="89" t="e">
        <v>#REF!</v>
      </c>
      <c r="R87" s="89" t="e">
        <v>#REF!</v>
      </c>
      <c r="S87" s="89" t="e">
        <f>#REF!</f>
        <v>#REF!</v>
      </c>
      <c r="T87" s="89" t="e">
        <f>#REF!</f>
        <v>#REF!</v>
      </c>
      <c r="U87" s="89" t="e">
        <f>#REF!</f>
        <v>#REF!</v>
      </c>
      <c r="V87" s="89" t="e">
        <f>#REF!</f>
        <v>#REF!</v>
      </c>
      <c r="W87" s="89" t="e">
        <f>#REF!</f>
        <v>#REF!</v>
      </c>
      <c r="X87" s="89" t="e">
        <f>#REF!</f>
        <v>#REF!</v>
      </c>
      <c r="Y87" s="89" t="e">
        <f>#REF!</f>
        <v>#REF!</v>
      </c>
      <c r="Z87" s="89" t="e">
        <f>#REF!</f>
        <v>#REF!</v>
      </c>
      <c r="AA87" s="89" t="e">
        <f>#REF!</f>
        <v>#REF!</v>
      </c>
      <c r="AB87" s="89" t="e">
        <f>#REF!</f>
        <v>#REF!</v>
      </c>
      <c r="AC87" s="89" t="e">
        <f>#REF!</f>
        <v>#REF!</v>
      </c>
      <c r="AD87" s="89" t="e">
        <f>#REF!</f>
        <v>#REF!</v>
      </c>
      <c r="AE87" s="89" t="e">
        <f>#REF!</f>
        <v>#REF!</v>
      </c>
      <c r="AF87" s="89" t="e">
        <f>#REF!</f>
        <v>#REF!</v>
      </c>
      <c r="AG87" s="89" t="e">
        <f>#REF!</f>
        <v>#REF!</v>
      </c>
      <c r="AH87" s="89" t="e">
        <f>#REF!</f>
        <v>#REF!</v>
      </c>
      <c r="AI87" s="89" t="e">
        <f>#REF!</f>
        <v>#REF!</v>
      </c>
      <c r="AJ87" s="89" t="e">
        <f>#REF!</f>
        <v>#REF!</v>
      </c>
      <c r="AK87" s="89" t="e">
        <f>#REF!</f>
        <v>#REF!</v>
      </c>
      <c r="AL87" s="89" t="e">
        <f>#REF!</f>
        <v>#REF!</v>
      </c>
      <c r="AM87" s="89" t="e">
        <f>#REF!</f>
        <v>#REF!</v>
      </c>
      <c r="AN87" s="89" t="e">
        <f>#REF!</f>
        <v>#REF!</v>
      </c>
      <c r="AO87" s="89" t="e">
        <f>#REF!</f>
        <v>#REF!</v>
      </c>
      <c r="AP87" s="89" t="e">
        <f>#REF!</f>
        <v>#REF!</v>
      </c>
      <c r="AQ87" s="89" t="e">
        <f>#REF!</f>
        <v>#REF!</v>
      </c>
      <c r="AR87" s="89" t="e">
        <f>#REF!</f>
        <v>#REF!</v>
      </c>
      <c r="AS87" s="89" t="e">
        <f>#REF!</f>
        <v>#REF!</v>
      </c>
      <c r="AT87" s="89" t="e">
        <f>#REF!</f>
        <v>#REF!</v>
      </c>
      <c r="AU87" s="89" t="e">
        <f>#REF!</f>
        <v>#REF!</v>
      </c>
      <c r="AV87" s="89" t="e">
        <f>#REF!</f>
        <v>#REF!</v>
      </c>
      <c r="AW87" s="89" t="e">
        <f>#REF!</f>
        <v>#REF!</v>
      </c>
      <c r="AX87" s="89" t="e">
        <f>#REF!</f>
        <v>#REF!</v>
      </c>
      <c r="AY87" s="89" t="e">
        <f>#REF!</f>
        <v>#REF!</v>
      </c>
      <c r="AZ87" s="89" t="e">
        <f>#REF!</f>
        <v>#REF!</v>
      </c>
      <c r="BA87" s="89" t="e">
        <f>#REF!</f>
        <v>#REF!</v>
      </c>
      <c r="BB87" s="89" t="e">
        <f>#REF!</f>
        <v>#REF!</v>
      </c>
      <c r="BC87" s="89" t="e">
        <f>#REF!</f>
        <v>#REF!</v>
      </c>
      <c r="BD87" s="89" t="e">
        <f>#REF!</f>
        <v>#REF!</v>
      </c>
      <c r="BE87" s="89" t="e">
        <f>#REF!</f>
        <v>#REF!</v>
      </c>
      <c r="BF87" s="89" t="e">
        <f>#REF!</f>
        <v>#REF!</v>
      </c>
    </row>
    <row r="88" spans="9:58" x14ac:dyDescent="0.25">
      <c r="I88" s="89">
        <f>ABCD!J137</f>
        <v>21</v>
      </c>
      <c r="J88" s="89">
        <f>ABCD!K137</f>
        <v>68.88</v>
      </c>
      <c r="K88" s="89">
        <f>ABCD!L137</f>
        <v>5.8397050974382694</v>
      </c>
      <c r="L88" s="89">
        <f>ABCD!M137</f>
        <v>1.0312817312156435</v>
      </c>
      <c r="M88" s="89">
        <f>ABCD!N137</f>
        <v>5.9300672537658157</v>
      </c>
      <c r="N88" s="89" t="e">
        <v>#REF!</v>
      </c>
      <c r="O88" s="89" t="e">
        <v>#REF!</v>
      </c>
      <c r="P88" s="89" t="e">
        <v>#REF!</v>
      </c>
      <c r="Q88" s="89" t="e">
        <v>#REF!</v>
      </c>
      <c r="R88" s="89" t="e">
        <v>#REF!</v>
      </c>
      <c r="S88" s="89" t="e">
        <f>#REF!</f>
        <v>#REF!</v>
      </c>
      <c r="T88" s="89" t="e">
        <f>#REF!</f>
        <v>#REF!</v>
      </c>
      <c r="U88" s="89" t="e">
        <f>#REF!</f>
        <v>#REF!</v>
      </c>
      <c r="V88" s="89" t="e">
        <f>#REF!</f>
        <v>#REF!</v>
      </c>
      <c r="W88" s="89" t="e">
        <f>#REF!</f>
        <v>#REF!</v>
      </c>
      <c r="X88" s="89" t="e">
        <f>#REF!</f>
        <v>#REF!</v>
      </c>
      <c r="Y88" s="89" t="e">
        <f>#REF!</f>
        <v>#REF!</v>
      </c>
      <c r="Z88" s="89" t="e">
        <f>#REF!</f>
        <v>#REF!</v>
      </c>
      <c r="AA88" s="89" t="e">
        <f>#REF!</f>
        <v>#REF!</v>
      </c>
      <c r="AB88" s="89" t="e">
        <f>#REF!</f>
        <v>#REF!</v>
      </c>
      <c r="AC88" s="89" t="e">
        <f>#REF!</f>
        <v>#REF!</v>
      </c>
      <c r="AD88" s="89" t="e">
        <f>#REF!</f>
        <v>#REF!</v>
      </c>
      <c r="AE88" s="89" t="e">
        <f>#REF!</f>
        <v>#REF!</v>
      </c>
      <c r="AF88" s="89" t="e">
        <f>#REF!</f>
        <v>#REF!</v>
      </c>
      <c r="AG88" s="89" t="e">
        <f>#REF!</f>
        <v>#REF!</v>
      </c>
      <c r="AH88" s="89" t="e">
        <f>#REF!</f>
        <v>#REF!</v>
      </c>
      <c r="AI88" s="89" t="e">
        <f>#REF!</f>
        <v>#REF!</v>
      </c>
      <c r="AJ88" s="89" t="e">
        <f>#REF!</f>
        <v>#REF!</v>
      </c>
      <c r="AK88" s="89" t="e">
        <f>#REF!</f>
        <v>#REF!</v>
      </c>
      <c r="AL88" s="89" t="e">
        <f>#REF!</f>
        <v>#REF!</v>
      </c>
      <c r="AM88" s="89" t="e">
        <f>#REF!</f>
        <v>#REF!</v>
      </c>
      <c r="AN88" s="89" t="e">
        <f>#REF!</f>
        <v>#REF!</v>
      </c>
      <c r="AO88" s="89" t="e">
        <f>#REF!</f>
        <v>#REF!</v>
      </c>
      <c r="AP88" s="89" t="e">
        <f>#REF!</f>
        <v>#REF!</v>
      </c>
      <c r="AQ88" s="89" t="e">
        <f>#REF!</f>
        <v>#REF!</v>
      </c>
      <c r="AR88" s="89" t="e">
        <f>#REF!</f>
        <v>#REF!</v>
      </c>
      <c r="AS88" s="89" t="e">
        <f>#REF!</f>
        <v>#REF!</v>
      </c>
      <c r="AT88" s="89" t="e">
        <f>#REF!</f>
        <v>#REF!</v>
      </c>
      <c r="AU88" s="89" t="e">
        <f>#REF!</f>
        <v>#REF!</v>
      </c>
      <c r="AV88" s="89" t="e">
        <f>#REF!</f>
        <v>#REF!</v>
      </c>
      <c r="AW88" s="89" t="e">
        <f>#REF!</f>
        <v>#REF!</v>
      </c>
      <c r="AX88" s="89" t="e">
        <f>#REF!</f>
        <v>#REF!</v>
      </c>
      <c r="AY88" s="89" t="e">
        <f>#REF!</f>
        <v>#REF!</v>
      </c>
      <c r="AZ88" s="89" t="e">
        <f>#REF!</f>
        <v>#REF!</v>
      </c>
      <c r="BA88" s="89" t="e">
        <f>#REF!</f>
        <v>#REF!</v>
      </c>
      <c r="BB88" s="89" t="e">
        <f>#REF!</f>
        <v>#REF!</v>
      </c>
      <c r="BC88" s="89" t="e">
        <f>#REF!</f>
        <v>#REF!</v>
      </c>
      <c r="BD88" s="89" t="e">
        <f>#REF!</f>
        <v>#REF!</v>
      </c>
      <c r="BE88" s="89" t="e">
        <f>#REF!</f>
        <v>#REF!</v>
      </c>
      <c r="BF88" s="89" t="e">
        <f>#REF!</f>
        <v>#REF!</v>
      </c>
    </row>
    <row r="89" spans="9:58" x14ac:dyDescent="0.25">
      <c r="I89" s="89">
        <f>ABCD!J138</f>
        <v>21.25</v>
      </c>
      <c r="J89" s="89">
        <f>ABCD!K138</f>
        <v>69.7</v>
      </c>
      <c r="K89" s="89">
        <f>ABCD!L138</f>
        <v>5.8885157824151193</v>
      </c>
      <c r="L89" s="89">
        <f>ABCD!M138</f>
        <v>1.040998549047766</v>
      </c>
      <c r="M89" s="89">
        <f>ABCD!N138</f>
        <v>5.9798240859469693</v>
      </c>
      <c r="N89" s="89" t="e">
        <v>#REF!</v>
      </c>
      <c r="O89" s="89" t="e">
        <v>#REF!</v>
      </c>
      <c r="P89" s="89" t="e">
        <v>#REF!</v>
      </c>
      <c r="Q89" s="89" t="e">
        <v>#REF!</v>
      </c>
      <c r="R89" s="89" t="e">
        <v>#REF!</v>
      </c>
      <c r="S89" s="89" t="e">
        <f>#REF!</f>
        <v>#REF!</v>
      </c>
      <c r="T89" s="89" t="e">
        <f>#REF!</f>
        <v>#REF!</v>
      </c>
      <c r="U89" s="89" t="e">
        <f>#REF!</f>
        <v>#REF!</v>
      </c>
      <c r="V89" s="89" t="e">
        <f>#REF!</f>
        <v>#REF!</v>
      </c>
      <c r="W89" s="89" t="e">
        <f>#REF!</f>
        <v>#REF!</v>
      </c>
      <c r="X89" s="89" t="e">
        <f>#REF!</f>
        <v>#REF!</v>
      </c>
      <c r="Y89" s="89" t="e">
        <f>#REF!</f>
        <v>#REF!</v>
      </c>
      <c r="Z89" s="89" t="e">
        <f>#REF!</f>
        <v>#REF!</v>
      </c>
      <c r="AA89" s="89" t="e">
        <f>#REF!</f>
        <v>#REF!</v>
      </c>
      <c r="AB89" s="89" t="e">
        <f>#REF!</f>
        <v>#REF!</v>
      </c>
      <c r="AC89" s="89" t="e">
        <f>#REF!</f>
        <v>#REF!</v>
      </c>
      <c r="AD89" s="89" t="e">
        <f>#REF!</f>
        <v>#REF!</v>
      </c>
      <c r="AE89" s="89" t="e">
        <f>#REF!</f>
        <v>#REF!</v>
      </c>
      <c r="AF89" s="89" t="e">
        <f>#REF!</f>
        <v>#REF!</v>
      </c>
      <c r="AG89" s="89" t="e">
        <f>#REF!</f>
        <v>#REF!</v>
      </c>
      <c r="AH89" s="89" t="e">
        <f>#REF!</f>
        <v>#REF!</v>
      </c>
      <c r="AI89" s="89" t="e">
        <f>#REF!</f>
        <v>#REF!</v>
      </c>
      <c r="AJ89" s="89" t="e">
        <f>#REF!</f>
        <v>#REF!</v>
      </c>
      <c r="AK89" s="89" t="e">
        <f>#REF!</f>
        <v>#REF!</v>
      </c>
      <c r="AL89" s="89" t="e">
        <f>#REF!</f>
        <v>#REF!</v>
      </c>
      <c r="AM89" s="89" t="e">
        <f>#REF!</f>
        <v>#REF!</v>
      </c>
      <c r="AN89" s="89" t="e">
        <f>#REF!</f>
        <v>#REF!</v>
      </c>
      <c r="AO89" s="89" t="e">
        <f>#REF!</f>
        <v>#REF!</v>
      </c>
      <c r="AP89" s="89" t="e">
        <f>#REF!</f>
        <v>#REF!</v>
      </c>
      <c r="AQ89" s="89" t="e">
        <f>#REF!</f>
        <v>#REF!</v>
      </c>
      <c r="AR89" s="89" t="e">
        <f>#REF!</f>
        <v>#REF!</v>
      </c>
      <c r="AS89" s="89" t="e">
        <f>#REF!</f>
        <v>#REF!</v>
      </c>
      <c r="AT89" s="89" t="e">
        <f>#REF!</f>
        <v>#REF!</v>
      </c>
      <c r="AU89" s="89" t="e">
        <f>#REF!</f>
        <v>#REF!</v>
      </c>
      <c r="AV89" s="89" t="e">
        <f>#REF!</f>
        <v>#REF!</v>
      </c>
      <c r="AW89" s="89" t="e">
        <f>#REF!</f>
        <v>#REF!</v>
      </c>
      <c r="AX89" s="89" t="e">
        <f>#REF!</f>
        <v>#REF!</v>
      </c>
      <c r="AY89" s="89" t="e">
        <f>#REF!</f>
        <v>#REF!</v>
      </c>
      <c r="AZ89" s="89" t="e">
        <f>#REF!</f>
        <v>#REF!</v>
      </c>
      <c r="BA89" s="89" t="e">
        <f>#REF!</f>
        <v>#REF!</v>
      </c>
      <c r="BB89" s="89" t="e">
        <f>#REF!</f>
        <v>#REF!</v>
      </c>
      <c r="BC89" s="89" t="e">
        <f>#REF!</f>
        <v>#REF!</v>
      </c>
      <c r="BD89" s="89" t="e">
        <f>#REF!</f>
        <v>#REF!</v>
      </c>
      <c r="BE89" s="89" t="e">
        <f>#REF!</f>
        <v>#REF!</v>
      </c>
      <c r="BF89" s="89" t="e">
        <f>#REF!</f>
        <v>#REF!</v>
      </c>
    </row>
    <row r="90" spans="9:58" x14ac:dyDescent="0.25">
      <c r="I90" s="89">
        <f>ABCD!J139</f>
        <v>21.5</v>
      </c>
      <c r="J90" s="89">
        <f>ABCD!K139</f>
        <v>70.52</v>
      </c>
      <c r="K90" s="89">
        <f>ABCD!L139</f>
        <v>5.9359232462208684</v>
      </c>
      <c r="L90" s="89">
        <f>ABCD!M139</f>
        <v>1.0504663204531899</v>
      </c>
      <c r="M90" s="89">
        <f>ABCD!N139</f>
        <v>6.0281559597800518</v>
      </c>
      <c r="N90" s="89" t="e">
        <v>#REF!</v>
      </c>
      <c r="O90" s="89" t="e">
        <v>#REF!</v>
      </c>
      <c r="P90" s="89" t="e">
        <v>#REF!</v>
      </c>
      <c r="Q90" s="89" t="e">
        <v>#REF!</v>
      </c>
      <c r="R90" s="89" t="e">
        <v>#REF!</v>
      </c>
      <c r="S90" s="89" t="e">
        <f>#REF!</f>
        <v>#REF!</v>
      </c>
      <c r="T90" s="89" t="e">
        <f>#REF!</f>
        <v>#REF!</v>
      </c>
      <c r="U90" s="89" t="e">
        <f>#REF!</f>
        <v>#REF!</v>
      </c>
      <c r="V90" s="89" t="e">
        <f>#REF!</f>
        <v>#REF!</v>
      </c>
      <c r="W90" s="89" t="e">
        <f>#REF!</f>
        <v>#REF!</v>
      </c>
      <c r="X90" s="89" t="e">
        <f>#REF!</f>
        <v>#REF!</v>
      </c>
      <c r="Y90" s="89" t="e">
        <f>#REF!</f>
        <v>#REF!</v>
      </c>
      <c r="Z90" s="89" t="e">
        <f>#REF!</f>
        <v>#REF!</v>
      </c>
      <c r="AA90" s="89" t="e">
        <f>#REF!</f>
        <v>#REF!</v>
      </c>
      <c r="AB90" s="89" t="e">
        <f>#REF!</f>
        <v>#REF!</v>
      </c>
      <c r="AC90" s="89" t="e">
        <f>#REF!</f>
        <v>#REF!</v>
      </c>
      <c r="AD90" s="89" t="e">
        <f>#REF!</f>
        <v>#REF!</v>
      </c>
      <c r="AE90" s="89" t="e">
        <f>#REF!</f>
        <v>#REF!</v>
      </c>
      <c r="AF90" s="89" t="e">
        <f>#REF!</f>
        <v>#REF!</v>
      </c>
      <c r="AG90" s="89" t="e">
        <f>#REF!</f>
        <v>#REF!</v>
      </c>
      <c r="AH90" s="89" t="e">
        <f>#REF!</f>
        <v>#REF!</v>
      </c>
      <c r="AI90" s="89" t="e">
        <f>#REF!</f>
        <v>#REF!</v>
      </c>
      <c r="AJ90" s="89" t="e">
        <f>#REF!</f>
        <v>#REF!</v>
      </c>
      <c r="AK90" s="89" t="e">
        <f>#REF!</f>
        <v>#REF!</v>
      </c>
      <c r="AL90" s="89" t="e">
        <f>#REF!</f>
        <v>#REF!</v>
      </c>
      <c r="AM90" s="89" t="e">
        <f>#REF!</f>
        <v>#REF!</v>
      </c>
      <c r="AN90" s="89" t="e">
        <f>#REF!</f>
        <v>#REF!</v>
      </c>
      <c r="AO90" s="89" t="e">
        <f>#REF!</f>
        <v>#REF!</v>
      </c>
      <c r="AP90" s="89" t="e">
        <f>#REF!</f>
        <v>#REF!</v>
      </c>
      <c r="AQ90" s="89" t="e">
        <f>#REF!</f>
        <v>#REF!</v>
      </c>
      <c r="AR90" s="89" t="e">
        <f>#REF!</f>
        <v>#REF!</v>
      </c>
      <c r="AS90" s="89" t="e">
        <f>#REF!</f>
        <v>#REF!</v>
      </c>
      <c r="AT90" s="89" t="e">
        <f>#REF!</f>
        <v>#REF!</v>
      </c>
      <c r="AU90" s="89" t="e">
        <f>#REF!</f>
        <v>#REF!</v>
      </c>
      <c r="AV90" s="89" t="e">
        <f>#REF!</f>
        <v>#REF!</v>
      </c>
      <c r="AW90" s="89" t="e">
        <f>#REF!</f>
        <v>#REF!</v>
      </c>
      <c r="AX90" s="89" t="e">
        <f>#REF!</f>
        <v>#REF!</v>
      </c>
      <c r="AY90" s="89" t="e">
        <f>#REF!</f>
        <v>#REF!</v>
      </c>
      <c r="AZ90" s="89" t="e">
        <f>#REF!</f>
        <v>#REF!</v>
      </c>
      <c r="BA90" s="89" t="e">
        <f>#REF!</f>
        <v>#REF!</v>
      </c>
      <c r="BB90" s="89" t="e">
        <f>#REF!</f>
        <v>#REF!</v>
      </c>
      <c r="BC90" s="89" t="e">
        <f>#REF!</f>
        <v>#REF!</v>
      </c>
      <c r="BD90" s="89" t="e">
        <f>#REF!</f>
        <v>#REF!</v>
      </c>
      <c r="BE90" s="89" t="e">
        <f>#REF!</f>
        <v>#REF!</v>
      </c>
      <c r="BF90" s="89" t="e">
        <f>#REF!</f>
        <v>#REF!</v>
      </c>
    </row>
    <row r="91" spans="9:58" x14ac:dyDescent="0.25">
      <c r="I91" s="89">
        <f>ABCD!J140</f>
        <v>21.75</v>
      </c>
      <c r="J91" s="89">
        <f>ABCD!K140</f>
        <v>71.339999999999989</v>
      </c>
      <c r="K91" s="89">
        <f>ABCD!L140</f>
        <v>5.9819178075964974</v>
      </c>
      <c r="L91" s="89">
        <f>ABCD!M140</f>
        <v>1.0596830839223286</v>
      </c>
      <c r="M91" s="89">
        <f>ABCD!N140</f>
        <v>6.0750529952578374</v>
      </c>
      <c r="N91" s="89" t="e">
        <v>#REF!</v>
      </c>
      <c r="O91" s="89" t="e">
        <v>#REF!</v>
      </c>
      <c r="P91" s="89" t="e">
        <v>#REF!</v>
      </c>
      <c r="Q91" s="89" t="e">
        <v>#REF!</v>
      </c>
      <c r="R91" s="89" t="e">
        <v>#REF!</v>
      </c>
      <c r="S91" s="89" t="e">
        <f>#REF!</f>
        <v>#REF!</v>
      </c>
      <c r="T91" s="89" t="e">
        <f>#REF!</f>
        <v>#REF!</v>
      </c>
      <c r="U91" s="89" t="e">
        <f>#REF!</f>
        <v>#REF!</v>
      </c>
      <c r="V91" s="89" t="e">
        <f>#REF!</f>
        <v>#REF!</v>
      </c>
      <c r="W91" s="89" t="e">
        <f>#REF!</f>
        <v>#REF!</v>
      </c>
      <c r="X91" s="89" t="e">
        <f>#REF!</f>
        <v>#REF!</v>
      </c>
      <c r="Y91" s="89" t="e">
        <f>#REF!</f>
        <v>#REF!</v>
      </c>
      <c r="Z91" s="89" t="e">
        <f>#REF!</f>
        <v>#REF!</v>
      </c>
      <c r="AA91" s="89" t="e">
        <f>#REF!</f>
        <v>#REF!</v>
      </c>
      <c r="AB91" s="89" t="e">
        <f>#REF!</f>
        <v>#REF!</v>
      </c>
      <c r="AC91" s="89" t="e">
        <f>#REF!</f>
        <v>#REF!</v>
      </c>
      <c r="AD91" s="89" t="e">
        <f>#REF!</f>
        <v>#REF!</v>
      </c>
      <c r="AE91" s="89" t="e">
        <f>#REF!</f>
        <v>#REF!</v>
      </c>
      <c r="AF91" s="89" t="e">
        <f>#REF!</f>
        <v>#REF!</v>
      </c>
      <c r="AG91" s="89" t="e">
        <f>#REF!</f>
        <v>#REF!</v>
      </c>
      <c r="AH91" s="89" t="e">
        <f>#REF!</f>
        <v>#REF!</v>
      </c>
      <c r="AI91" s="89" t="e">
        <f>#REF!</f>
        <v>#REF!</v>
      </c>
      <c r="AJ91" s="89" t="e">
        <f>#REF!</f>
        <v>#REF!</v>
      </c>
      <c r="AK91" s="89" t="e">
        <f>#REF!</f>
        <v>#REF!</v>
      </c>
      <c r="AL91" s="89" t="e">
        <f>#REF!</f>
        <v>#REF!</v>
      </c>
      <c r="AM91" s="89" t="e">
        <f>#REF!</f>
        <v>#REF!</v>
      </c>
      <c r="AN91" s="89" t="e">
        <f>#REF!</f>
        <v>#REF!</v>
      </c>
      <c r="AO91" s="89" t="e">
        <f>#REF!</f>
        <v>#REF!</v>
      </c>
      <c r="AP91" s="89" t="e">
        <f>#REF!</f>
        <v>#REF!</v>
      </c>
      <c r="AQ91" s="89" t="e">
        <f>#REF!</f>
        <v>#REF!</v>
      </c>
      <c r="AR91" s="89" t="e">
        <f>#REF!</f>
        <v>#REF!</v>
      </c>
      <c r="AS91" s="89" t="e">
        <f>#REF!</f>
        <v>#REF!</v>
      </c>
      <c r="AT91" s="89" t="e">
        <f>#REF!</f>
        <v>#REF!</v>
      </c>
      <c r="AU91" s="89" t="e">
        <f>#REF!</f>
        <v>#REF!</v>
      </c>
      <c r="AV91" s="89" t="e">
        <f>#REF!</f>
        <v>#REF!</v>
      </c>
      <c r="AW91" s="89" t="e">
        <f>#REF!</f>
        <v>#REF!</v>
      </c>
      <c r="AX91" s="89" t="e">
        <f>#REF!</f>
        <v>#REF!</v>
      </c>
      <c r="AY91" s="89" t="e">
        <f>#REF!</f>
        <v>#REF!</v>
      </c>
      <c r="AZ91" s="89" t="e">
        <f>#REF!</f>
        <v>#REF!</v>
      </c>
      <c r="BA91" s="89" t="e">
        <f>#REF!</f>
        <v>#REF!</v>
      </c>
      <c r="BB91" s="89" t="e">
        <f>#REF!</f>
        <v>#REF!</v>
      </c>
      <c r="BC91" s="89" t="e">
        <f>#REF!</f>
        <v>#REF!</v>
      </c>
      <c r="BD91" s="89" t="e">
        <f>#REF!</f>
        <v>#REF!</v>
      </c>
      <c r="BE91" s="89" t="e">
        <f>#REF!</f>
        <v>#REF!</v>
      </c>
      <c r="BF91" s="89" t="e">
        <f>#REF!</f>
        <v>#REF!</v>
      </c>
    </row>
    <row r="92" spans="9:58" x14ac:dyDescent="0.25">
      <c r="I92" s="89">
        <f>ABCD!J141</f>
        <v>22</v>
      </c>
      <c r="J92" s="89">
        <f>ABCD!K141</f>
        <v>72.16</v>
      </c>
      <c r="K92" s="89">
        <f>ABCD!L141</f>
        <v>6.0264901201481198</v>
      </c>
      <c r="L92" s="89">
        <f>ABCD!M141</f>
        <v>1.0686469376531087</v>
      </c>
      <c r="M92" s="89">
        <f>ABCD!N141</f>
        <v>6.1205056527707145</v>
      </c>
      <c r="N92" s="89" t="e">
        <v>#REF!</v>
      </c>
      <c r="O92" s="89" t="e">
        <v>#REF!</v>
      </c>
      <c r="P92" s="89" t="e">
        <v>#REF!</v>
      </c>
      <c r="Q92" s="89" t="e">
        <v>#REF!</v>
      </c>
      <c r="R92" s="89" t="e">
        <v>#REF!</v>
      </c>
      <c r="S92" s="89" t="e">
        <f>#REF!</f>
        <v>#REF!</v>
      </c>
      <c r="T92" s="89" t="e">
        <f>#REF!</f>
        <v>#REF!</v>
      </c>
      <c r="U92" s="89" t="e">
        <f>#REF!</f>
        <v>#REF!</v>
      </c>
      <c r="V92" s="89" t="e">
        <f>#REF!</f>
        <v>#REF!</v>
      </c>
      <c r="W92" s="89" t="e">
        <f>#REF!</f>
        <v>#REF!</v>
      </c>
      <c r="X92" s="89" t="e">
        <f>#REF!</f>
        <v>#REF!</v>
      </c>
      <c r="Y92" s="89" t="e">
        <f>#REF!</f>
        <v>#REF!</v>
      </c>
      <c r="Z92" s="89" t="e">
        <f>#REF!</f>
        <v>#REF!</v>
      </c>
      <c r="AA92" s="89" t="e">
        <f>#REF!</f>
        <v>#REF!</v>
      </c>
      <c r="AB92" s="89" t="e">
        <f>#REF!</f>
        <v>#REF!</v>
      </c>
      <c r="AC92" s="89" t="e">
        <f>#REF!</f>
        <v>#REF!</v>
      </c>
      <c r="AD92" s="89" t="e">
        <f>#REF!</f>
        <v>#REF!</v>
      </c>
      <c r="AE92" s="89" t="e">
        <f>#REF!</f>
        <v>#REF!</v>
      </c>
      <c r="AF92" s="89" t="e">
        <f>#REF!</f>
        <v>#REF!</v>
      </c>
      <c r="AG92" s="89" t="e">
        <f>#REF!</f>
        <v>#REF!</v>
      </c>
      <c r="AH92" s="89" t="e">
        <f>#REF!</f>
        <v>#REF!</v>
      </c>
      <c r="AI92" s="89" t="e">
        <f>#REF!</f>
        <v>#REF!</v>
      </c>
      <c r="AJ92" s="89" t="e">
        <f>#REF!</f>
        <v>#REF!</v>
      </c>
      <c r="AK92" s="89" t="e">
        <f>#REF!</f>
        <v>#REF!</v>
      </c>
      <c r="AL92" s="89" t="e">
        <f>#REF!</f>
        <v>#REF!</v>
      </c>
      <c r="AM92" s="89" t="e">
        <f>#REF!</f>
        <v>#REF!</v>
      </c>
      <c r="AN92" s="89" t="e">
        <f>#REF!</f>
        <v>#REF!</v>
      </c>
      <c r="AO92" s="89" t="e">
        <f>#REF!</f>
        <v>#REF!</v>
      </c>
      <c r="AP92" s="89" t="e">
        <f>#REF!</f>
        <v>#REF!</v>
      </c>
      <c r="AQ92" s="89" t="e">
        <f>#REF!</f>
        <v>#REF!</v>
      </c>
      <c r="AR92" s="89" t="e">
        <f>#REF!</f>
        <v>#REF!</v>
      </c>
      <c r="AS92" s="89" t="e">
        <f>#REF!</f>
        <v>#REF!</v>
      </c>
      <c r="AT92" s="89" t="e">
        <f>#REF!</f>
        <v>#REF!</v>
      </c>
      <c r="AU92" s="89" t="e">
        <f>#REF!</f>
        <v>#REF!</v>
      </c>
      <c r="AV92" s="89" t="e">
        <f>#REF!</f>
        <v>#REF!</v>
      </c>
      <c r="AW92" s="89" t="e">
        <f>#REF!</f>
        <v>#REF!</v>
      </c>
      <c r="AX92" s="89" t="e">
        <f>#REF!</f>
        <v>#REF!</v>
      </c>
      <c r="AY92" s="89" t="e">
        <f>#REF!</f>
        <v>#REF!</v>
      </c>
      <c r="AZ92" s="89" t="e">
        <f>#REF!</f>
        <v>#REF!</v>
      </c>
      <c r="BA92" s="89" t="e">
        <f>#REF!</f>
        <v>#REF!</v>
      </c>
      <c r="BB92" s="89" t="e">
        <f>#REF!</f>
        <v>#REF!</v>
      </c>
      <c r="BC92" s="89" t="e">
        <f>#REF!</f>
        <v>#REF!</v>
      </c>
      <c r="BD92" s="89" t="e">
        <f>#REF!</f>
        <v>#REF!</v>
      </c>
      <c r="BE92" s="89" t="e">
        <f>#REF!</f>
        <v>#REF!</v>
      </c>
      <c r="BF92" s="89" t="e">
        <f>#REF!</f>
        <v>#REF!</v>
      </c>
    </row>
    <row r="93" spans="9:58" x14ac:dyDescent="0.25">
      <c r="I93" s="89">
        <f>ABCD!J142</f>
        <v>22.25</v>
      </c>
      <c r="J93" s="89">
        <f>ABCD!K142</f>
        <v>72.97999999999999</v>
      </c>
      <c r="K93" s="89">
        <f>ABCD!L142</f>
        <v>6.0696311742032698</v>
      </c>
      <c r="L93" s="89">
        <f>ABCD!M142</f>
        <v>1.0773560399362516</v>
      </c>
      <c r="M93" s="89">
        <f>ABCD!N142</f>
        <v>6.1645047349845781</v>
      </c>
      <c r="N93" s="89" t="e">
        <v>#REF!</v>
      </c>
      <c r="O93" s="89" t="e">
        <v>#REF!</v>
      </c>
      <c r="P93" s="89" t="e">
        <v>#REF!</v>
      </c>
      <c r="Q93" s="89" t="e">
        <v>#REF!</v>
      </c>
      <c r="R93" s="89" t="e">
        <v>#REF!</v>
      </c>
      <c r="S93" s="89" t="e">
        <f>#REF!</f>
        <v>#REF!</v>
      </c>
      <c r="T93" s="89" t="e">
        <f>#REF!</f>
        <v>#REF!</v>
      </c>
      <c r="U93" s="89" t="e">
        <f>#REF!</f>
        <v>#REF!</v>
      </c>
      <c r="V93" s="89" t="e">
        <f>#REF!</f>
        <v>#REF!</v>
      </c>
      <c r="W93" s="89" t="e">
        <f>#REF!</f>
        <v>#REF!</v>
      </c>
      <c r="X93" s="89" t="e">
        <f>#REF!</f>
        <v>#REF!</v>
      </c>
      <c r="Y93" s="89" t="e">
        <f>#REF!</f>
        <v>#REF!</v>
      </c>
      <c r="Z93" s="89" t="e">
        <f>#REF!</f>
        <v>#REF!</v>
      </c>
      <c r="AA93" s="89" t="e">
        <f>#REF!</f>
        <v>#REF!</v>
      </c>
      <c r="AB93" s="89" t="e">
        <f>#REF!</f>
        <v>#REF!</v>
      </c>
      <c r="AC93" s="89" t="e">
        <f>#REF!</f>
        <v>#REF!</v>
      </c>
      <c r="AD93" s="89" t="e">
        <f>#REF!</f>
        <v>#REF!</v>
      </c>
      <c r="AE93" s="89" t="e">
        <f>#REF!</f>
        <v>#REF!</v>
      </c>
      <c r="AF93" s="89" t="e">
        <f>#REF!</f>
        <v>#REF!</v>
      </c>
      <c r="AG93" s="89" t="e">
        <f>#REF!</f>
        <v>#REF!</v>
      </c>
      <c r="AH93" s="89" t="e">
        <f>#REF!</f>
        <v>#REF!</v>
      </c>
      <c r="AI93" s="89" t="e">
        <f>#REF!</f>
        <v>#REF!</v>
      </c>
      <c r="AJ93" s="89" t="e">
        <f>#REF!</f>
        <v>#REF!</v>
      </c>
      <c r="AK93" s="89" t="e">
        <f>#REF!</f>
        <v>#REF!</v>
      </c>
      <c r="AL93" s="89" t="e">
        <f>#REF!</f>
        <v>#REF!</v>
      </c>
      <c r="AM93" s="89" t="e">
        <f>#REF!</f>
        <v>#REF!</v>
      </c>
      <c r="AN93" s="89" t="e">
        <f>#REF!</f>
        <v>#REF!</v>
      </c>
      <c r="AO93" s="89" t="e">
        <f>#REF!</f>
        <v>#REF!</v>
      </c>
      <c r="AP93" s="89" t="e">
        <f>#REF!</f>
        <v>#REF!</v>
      </c>
      <c r="AQ93" s="89" t="e">
        <f>#REF!</f>
        <v>#REF!</v>
      </c>
      <c r="AR93" s="89" t="e">
        <f>#REF!</f>
        <v>#REF!</v>
      </c>
      <c r="AS93" s="89" t="e">
        <f>#REF!</f>
        <v>#REF!</v>
      </c>
      <c r="AT93" s="89" t="e">
        <f>#REF!</f>
        <v>#REF!</v>
      </c>
      <c r="AU93" s="89" t="e">
        <f>#REF!</f>
        <v>#REF!</v>
      </c>
      <c r="AV93" s="89" t="e">
        <f>#REF!</f>
        <v>#REF!</v>
      </c>
      <c r="AW93" s="89" t="e">
        <f>#REF!</f>
        <v>#REF!</v>
      </c>
      <c r="AX93" s="89" t="e">
        <f>#REF!</f>
        <v>#REF!</v>
      </c>
      <c r="AY93" s="89" t="e">
        <f>#REF!</f>
        <v>#REF!</v>
      </c>
      <c r="AZ93" s="89" t="e">
        <f>#REF!</f>
        <v>#REF!</v>
      </c>
      <c r="BA93" s="89" t="e">
        <f>#REF!</f>
        <v>#REF!</v>
      </c>
      <c r="BB93" s="89" t="e">
        <f>#REF!</f>
        <v>#REF!</v>
      </c>
      <c r="BC93" s="89" t="e">
        <f>#REF!</f>
        <v>#REF!</v>
      </c>
      <c r="BD93" s="89" t="e">
        <f>#REF!</f>
        <v>#REF!</v>
      </c>
      <c r="BE93" s="89" t="e">
        <f>#REF!</f>
        <v>#REF!</v>
      </c>
      <c r="BF93" s="89" t="e">
        <f>#REF!</f>
        <v>#REF!</v>
      </c>
    </row>
    <row r="94" spans="9:58" x14ac:dyDescent="0.25">
      <c r="I94" s="89">
        <f>ABCD!J143</f>
        <v>22.5</v>
      </c>
      <c r="J94" s="89">
        <f>ABCD!K143</f>
        <v>73.8</v>
      </c>
      <c r="K94" s="89">
        <f>ABCD!L143</f>
        <v>6.1113322985877829</v>
      </c>
      <c r="L94" s="89">
        <f>ABCD!M143</f>
        <v>1.0858086095263864</v>
      </c>
      <c r="M94" s="89">
        <f>ABCD!N143</f>
        <v>6.2070413886395075</v>
      </c>
      <c r="N94" s="89" t="e">
        <v>#REF!</v>
      </c>
      <c r="O94" s="89" t="e">
        <v>#REF!</v>
      </c>
      <c r="P94" s="89" t="e">
        <v>#REF!</v>
      </c>
      <c r="Q94" s="89" t="e">
        <v>#REF!</v>
      </c>
      <c r="R94" s="89" t="e">
        <v>#REF!</v>
      </c>
      <c r="S94" s="89" t="e">
        <f>#REF!</f>
        <v>#REF!</v>
      </c>
      <c r="T94" s="89" t="e">
        <f>#REF!</f>
        <v>#REF!</v>
      </c>
      <c r="U94" s="89" t="e">
        <f>#REF!</f>
        <v>#REF!</v>
      </c>
      <c r="V94" s="89" t="e">
        <f>#REF!</f>
        <v>#REF!</v>
      </c>
      <c r="W94" s="89" t="e">
        <f>#REF!</f>
        <v>#REF!</v>
      </c>
      <c r="X94" s="89" t="e">
        <f>#REF!</f>
        <v>#REF!</v>
      </c>
      <c r="Y94" s="89" t="e">
        <f>#REF!</f>
        <v>#REF!</v>
      </c>
      <c r="Z94" s="89" t="e">
        <f>#REF!</f>
        <v>#REF!</v>
      </c>
      <c r="AA94" s="89" t="e">
        <f>#REF!</f>
        <v>#REF!</v>
      </c>
      <c r="AB94" s="89" t="e">
        <f>#REF!</f>
        <v>#REF!</v>
      </c>
      <c r="AC94" s="89" t="e">
        <f>#REF!</f>
        <v>#REF!</v>
      </c>
      <c r="AD94" s="89" t="e">
        <f>#REF!</f>
        <v>#REF!</v>
      </c>
      <c r="AE94" s="89" t="e">
        <f>#REF!</f>
        <v>#REF!</v>
      </c>
      <c r="AF94" s="89" t="e">
        <f>#REF!</f>
        <v>#REF!</v>
      </c>
      <c r="AG94" s="89" t="e">
        <f>#REF!</f>
        <v>#REF!</v>
      </c>
      <c r="AH94" s="89" t="e">
        <f>#REF!</f>
        <v>#REF!</v>
      </c>
      <c r="AI94" s="89" t="e">
        <f>#REF!</f>
        <v>#REF!</v>
      </c>
      <c r="AJ94" s="89" t="e">
        <f>#REF!</f>
        <v>#REF!</v>
      </c>
      <c r="AK94" s="89" t="e">
        <f>#REF!</f>
        <v>#REF!</v>
      </c>
      <c r="AL94" s="89" t="e">
        <f>#REF!</f>
        <v>#REF!</v>
      </c>
      <c r="AM94" s="89" t="e">
        <f>#REF!</f>
        <v>#REF!</v>
      </c>
      <c r="AN94" s="89" t="e">
        <f>#REF!</f>
        <v>#REF!</v>
      </c>
      <c r="AO94" s="89" t="e">
        <f>#REF!</f>
        <v>#REF!</v>
      </c>
      <c r="AP94" s="89" t="e">
        <f>#REF!</f>
        <v>#REF!</v>
      </c>
      <c r="AQ94" s="89" t="e">
        <f>#REF!</f>
        <v>#REF!</v>
      </c>
      <c r="AR94" s="89" t="e">
        <f>#REF!</f>
        <v>#REF!</v>
      </c>
      <c r="AS94" s="89" t="e">
        <f>#REF!</f>
        <v>#REF!</v>
      </c>
      <c r="AT94" s="89" t="e">
        <f>#REF!</f>
        <v>#REF!</v>
      </c>
      <c r="AU94" s="89" t="e">
        <f>#REF!</f>
        <v>#REF!</v>
      </c>
      <c r="AV94" s="89" t="e">
        <f>#REF!</f>
        <v>#REF!</v>
      </c>
      <c r="AW94" s="89" t="e">
        <f>#REF!</f>
        <v>#REF!</v>
      </c>
      <c r="AX94" s="89" t="e">
        <f>#REF!</f>
        <v>#REF!</v>
      </c>
      <c r="AY94" s="89" t="e">
        <f>#REF!</f>
        <v>#REF!</v>
      </c>
      <c r="AZ94" s="89" t="e">
        <f>#REF!</f>
        <v>#REF!</v>
      </c>
      <c r="BA94" s="89" t="e">
        <f>#REF!</f>
        <v>#REF!</v>
      </c>
      <c r="BB94" s="89" t="e">
        <f>#REF!</f>
        <v>#REF!</v>
      </c>
      <c r="BC94" s="89" t="e">
        <f>#REF!</f>
        <v>#REF!</v>
      </c>
      <c r="BD94" s="89" t="e">
        <f>#REF!</f>
        <v>#REF!</v>
      </c>
      <c r="BE94" s="89" t="e">
        <f>#REF!</f>
        <v>#REF!</v>
      </c>
      <c r="BF94" s="89" t="e">
        <f>#REF!</f>
        <v>#REF!</v>
      </c>
    </row>
    <row r="95" spans="9:58" x14ac:dyDescent="0.25">
      <c r="I95" s="89">
        <f>ABCD!J144</f>
        <v>22.75</v>
      </c>
      <c r="J95" s="89">
        <f>ABCD!K144</f>
        <v>74.61999999999999</v>
      </c>
      <c r="K95" s="89">
        <f>ABCD!L144</f>
        <v>6.151585162322962</v>
      </c>
      <c r="L95" s="89">
        <f>ABCD!M144</f>
        <v>1.0940029259988098</v>
      </c>
      <c r="M95" s="89">
        <f>ABCD!N144</f>
        <v>6.2481071062687441</v>
      </c>
      <c r="N95" s="89" t="e">
        <v>#REF!</v>
      </c>
      <c r="O95" s="89" t="e">
        <v>#REF!</v>
      </c>
      <c r="P95" s="89" t="e">
        <v>#REF!</v>
      </c>
      <c r="Q95" s="89" t="e">
        <v>#REF!</v>
      </c>
      <c r="R95" s="89" t="e">
        <v>#REF!</v>
      </c>
      <c r="S95" s="89" t="e">
        <f>#REF!</f>
        <v>#REF!</v>
      </c>
      <c r="T95" s="89" t="e">
        <f>#REF!</f>
        <v>#REF!</v>
      </c>
      <c r="U95" s="89" t="e">
        <f>#REF!</f>
        <v>#REF!</v>
      </c>
      <c r="V95" s="89" t="e">
        <f>#REF!</f>
        <v>#REF!</v>
      </c>
      <c r="W95" s="89" t="e">
        <f>#REF!</f>
        <v>#REF!</v>
      </c>
      <c r="X95" s="89" t="e">
        <f>#REF!</f>
        <v>#REF!</v>
      </c>
      <c r="Y95" s="89" t="e">
        <f>#REF!</f>
        <v>#REF!</v>
      </c>
      <c r="Z95" s="89" t="e">
        <f>#REF!</f>
        <v>#REF!</v>
      </c>
      <c r="AA95" s="89" t="e">
        <f>#REF!</f>
        <v>#REF!</v>
      </c>
      <c r="AB95" s="89" t="e">
        <f>#REF!</f>
        <v>#REF!</v>
      </c>
      <c r="AC95" s="89" t="e">
        <f>#REF!</f>
        <v>#REF!</v>
      </c>
      <c r="AD95" s="89" t="e">
        <f>#REF!</f>
        <v>#REF!</v>
      </c>
      <c r="AE95" s="89" t="e">
        <f>#REF!</f>
        <v>#REF!</v>
      </c>
      <c r="AF95" s="89" t="e">
        <f>#REF!</f>
        <v>#REF!</v>
      </c>
      <c r="AG95" s="89" t="e">
        <f>#REF!</f>
        <v>#REF!</v>
      </c>
      <c r="AH95" s="89" t="e">
        <f>#REF!</f>
        <v>#REF!</v>
      </c>
      <c r="AI95" s="89" t="e">
        <f>#REF!</f>
        <v>#REF!</v>
      </c>
      <c r="AJ95" s="89" t="e">
        <f>#REF!</f>
        <v>#REF!</v>
      </c>
      <c r="AK95" s="89" t="e">
        <f>#REF!</f>
        <v>#REF!</v>
      </c>
      <c r="AL95" s="89" t="e">
        <f>#REF!</f>
        <v>#REF!</v>
      </c>
      <c r="AM95" s="89" t="e">
        <f>#REF!</f>
        <v>#REF!</v>
      </c>
      <c r="AN95" s="89" t="e">
        <f>#REF!</f>
        <v>#REF!</v>
      </c>
      <c r="AO95" s="89" t="e">
        <f>#REF!</f>
        <v>#REF!</v>
      </c>
      <c r="AP95" s="89" t="e">
        <f>#REF!</f>
        <v>#REF!</v>
      </c>
      <c r="AQ95" s="89" t="e">
        <f>#REF!</f>
        <v>#REF!</v>
      </c>
      <c r="AR95" s="89" t="e">
        <f>#REF!</f>
        <v>#REF!</v>
      </c>
      <c r="AS95" s="89" t="e">
        <f>#REF!</f>
        <v>#REF!</v>
      </c>
      <c r="AT95" s="89" t="e">
        <f>#REF!</f>
        <v>#REF!</v>
      </c>
      <c r="AU95" s="89" t="e">
        <f>#REF!</f>
        <v>#REF!</v>
      </c>
      <c r="AV95" s="89" t="e">
        <f>#REF!</f>
        <v>#REF!</v>
      </c>
      <c r="AW95" s="89" t="e">
        <f>#REF!</f>
        <v>#REF!</v>
      </c>
      <c r="AX95" s="89" t="e">
        <f>#REF!</f>
        <v>#REF!</v>
      </c>
      <c r="AY95" s="89" t="e">
        <f>#REF!</f>
        <v>#REF!</v>
      </c>
      <c r="AZ95" s="89" t="e">
        <f>#REF!</f>
        <v>#REF!</v>
      </c>
      <c r="BA95" s="89" t="e">
        <f>#REF!</f>
        <v>#REF!</v>
      </c>
      <c r="BB95" s="89" t="e">
        <f>#REF!</f>
        <v>#REF!</v>
      </c>
      <c r="BC95" s="89" t="e">
        <f>#REF!</f>
        <v>#REF!</v>
      </c>
      <c r="BD95" s="89" t="e">
        <f>#REF!</f>
        <v>#REF!</v>
      </c>
      <c r="BE95" s="89" t="e">
        <f>#REF!</f>
        <v>#REF!</v>
      </c>
      <c r="BF95" s="89" t="e">
        <f>#REF!</f>
        <v>#REF!</v>
      </c>
    </row>
    <row r="96" spans="9:58" x14ac:dyDescent="0.25">
      <c r="I96" s="89">
        <f>ABCD!J145</f>
        <v>23</v>
      </c>
      <c r="J96" s="89">
        <f>ABCD!K145</f>
        <v>75.44</v>
      </c>
      <c r="K96" s="89">
        <f>ABCD!L145</f>
        <v>6.1903817762426545</v>
      </c>
      <c r="L96" s="89">
        <f>ABCD!M145</f>
        <v>1.1019373300919455</v>
      </c>
      <c r="M96" s="89">
        <f>ABCD!N145</f>
        <v>6.2876937278375227</v>
      </c>
      <c r="N96" s="89" t="e">
        <v>#REF!</v>
      </c>
      <c r="O96" s="89" t="e">
        <v>#REF!</v>
      </c>
      <c r="P96" s="89" t="e">
        <v>#REF!</v>
      </c>
      <c r="Q96" s="89" t="e">
        <v>#REF!</v>
      </c>
      <c r="R96" s="89" t="e">
        <v>#REF!</v>
      </c>
      <c r="S96" s="89" t="e">
        <f>#REF!</f>
        <v>#REF!</v>
      </c>
      <c r="T96" s="89" t="e">
        <f>#REF!</f>
        <v>#REF!</v>
      </c>
      <c r="U96" s="89" t="e">
        <f>#REF!</f>
        <v>#REF!</v>
      </c>
      <c r="V96" s="89" t="e">
        <f>#REF!</f>
        <v>#REF!</v>
      </c>
      <c r="W96" s="89" t="e">
        <f>#REF!</f>
        <v>#REF!</v>
      </c>
      <c r="X96" s="89" t="e">
        <f>#REF!</f>
        <v>#REF!</v>
      </c>
      <c r="Y96" s="89" t="e">
        <f>#REF!</f>
        <v>#REF!</v>
      </c>
      <c r="Z96" s="89" t="e">
        <f>#REF!</f>
        <v>#REF!</v>
      </c>
      <c r="AA96" s="89" t="e">
        <f>#REF!</f>
        <v>#REF!</v>
      </c>
      <c r="AB96" s="89" t="e">
        <f>#REF!</f>
        <v>#REF!</v>
      </c>
      <c r="AC96" s="89" t="e">
        <f>#REF!</f>
        <v>#REF!</v>
      </c>
      <c r="AD96" s="89" t="e">
        <f>#REF!</f>
        <v>#REF!</v>
      </c>
      <c r="AE96" s="89" t="e">
        <f>#REF!</f>
        <v>#REF!</v>
      </c>
      <c r="AF96" s="89" t="e">
        <f>#REF!</f>
        <v>#REF!</v>
      </c>
      <c r="AG96" s="89" t="e">
        <f>#REF!</f>
        <v>#REF!</v>
      </c>
      <c r="AH96" s="89" t="e">
        <f>#REF!</f>
        <v>#REF!</v>
      </c>
      <c r="AI96" s="89" t="e">
        <f>#REF!</f>
        <v>#REF!</v>
      </c>
      <c r="AJ96" s="89" t="e">
        <f>#REF!</f>
        <v>#REF!</v>
      </c>
      <c r="AK96" s="89" t="e">
        <f>#REF!</f>
        <v>#REF!</v>
      </c>
      <c r="AL96" s="89" t="e">
        <f>#REF!</f>
        <v>#REF!</v>
      </c>
      <c r="AM96" s="89" t="e">
        <f>#REF!</f>
        <v>#REF!</v>
      </c>
      <c r="AN96" s="89" t="e">
        <f>#REF!</f>
        <v>#REF!</v>
      </c>
      <c r="AO96" s="89" t="e">
        <f>#REF!</f>
        <v>#REF!</v>
      </c>
      <c r="AP96" s="89" t="e">
        <f>#REF!</f>
        <v>#REF!</v>
      </c>
      <c r="AQ96" s="89" t="e">
        <f>#REF!</f>
        <v>#REF!</v>
      </c>
      <c r="AR96" s="89" t="e">
        <f>#REF!</f>
        <v>#REF!</v>
      </c>
      <c r="AS96" s="89" t="e">
        <f>#REF!</f>
        <v>#REF!</v>
      </c>
      <c r="AT96" s="89" t="e">
        <f>#REF!</f>
        <v>#REF!</v>
      </c>
      <c r="AU96" s="89" t="e">
        <f>#REF!</f>
        <v>#REF!</v>
      </c>
      <c r="AV96" s="89" t="e">
        <f>#REF!</f>
        <v>#REF!</v>
      </c>
      <c r="AW96" s="89" t="e">
        <f>#REF!</f>
        <v>#REF!</v>
      </c>
      <c r="AX96" s="89" t="e">
        <f>#REF!</f>
        <v>#REF!</v>
      </c>
      <c r="AY96" s="89" t="e">
        <f>#REF!</f>
        <v>#REF!</v>
      </c>
      <c r="AZ96" s="89" t="e">
        <f>#REF!</f>
        <v>#REF!</v>
      </c>
      <c r="BA96" s="89" t="e">
        <f>#REF!</f>
        <v>#REF!</v>
      </c>
      <c r="BB96" s="89" t="e">
        <f>#REF!</f>
        <v>#REF!</v>
      </c>
      <c r="BC96" s="89" t="e">
        <f>#REF!</f>
        <v>#REF!</v>
      </c>
      <c r="BD96" s="89" t="e">
        <f>#REF!</f>
        <v>#REF!</v>
      </c>
      <c r="BE96" s="89" t="e">
        <f>#REF!</f>
        <v>#REF!</v>
      </c>
      <c r="BF96" s="89" t="e">
        <f>#REF!</f>
        <v>#REF!</v>
      </c>
    </row>
    <row r="97" spans="9:58" x14ac:dyDescent="0.25">
      <c r="I97" s="89">
        <f>ABCD!J146</f>
        <v>23.25</v>
      </c>
      <c r="J97" s="89">
        <f>ABCD!K146</f>
        <v>76.259999999999991</v>
      </c>
      <c r="K97" s="89">
        <f>ABCD!L146</f>
        <v>6.2277144945300087</v>
      </c>
      <c r="L97" s="89">
        <f>ABCD!M146</f>
        <v>1.1096102240353214</v>
      </c>
      <c r="M97" s="89">
        <f>ABCD!N146</f>
        <v>6.3257934423013591</v>
      </c>
      <c r="N97" s="89" t="e">
        <v>#REF!</v>
      </c>
      <c r="O97" s="89" t="e">
        <v>#REF!</v>
      </c>
      <c r="P97" s="89" t="e">
        <v>#REF!</v>
      </c>
      <c r="Q97" s="89" t="e">
        <v>#REF!</v>
      </c>
      <c r="R97" s="89" t="e">
        <v>#REF!</v>
      </c>
      <c r="S97" s="89" t="e">
        <f>#REF!</f>
        <v>#REF!</v>
      </c>
      <c r="T97" s="89" t="e">
        <f>#REF!</f>
        <v>#REF!</v>
      </c>
      <c r="U97" s="89" t="e">
        <f>#REF!</f>
        <v>#REF!</v>
      </c>
      <c r="V97" s="89" t="e">
        <f>#REF!</f>
        <v>#REF!</v>
      </c>
      <c r="W97" s="89" t="e">
        <f>#REF!</f>
        <v>#REF!</v>
      </c>
      <c r="X97" s="89" t="e">
        <f>#REF!</f>
        <v>#REF!</v>
      </c>
      <c r="Y97" s="89" t="e">
        <f>#REF!</f>
        <v>#REF!</v>
      </c>
      <c r="Z97" s="89" t="e">
        <f>#REF!</f>
        <v>#REF!</v>
      </c>
      <c r="AA97" s="89" t="e">
        <f>#REF!</f>
        <v>#REF!</v>
      </c>
      <c r="AB97" s="89" t="e">
        <f>#REF!</f>
        <v>#REF!</v>
      </c>
      <c r="AC97" s="89" t="e">
        <f>#REF!</f>
        <v>#REF!</v>
      </c>
      <c r="AD97" s="89" t="e">
        <f>#REF!</f>
        <v>#REF!</v>
      </c>
      <c r="AE97" s="89" t="e">
        <f>#REF!</f>
        <v>#REF!</v>
      </c>
      <c r="AF97" s="89" t="e">
        <f>#REF!</f>
        <v>#REF!</v>
      </c>
      <c r="AG97" s="89" t="e">
        <f>#REF!</f>
        <v>#REF!</v>
      </c>
      <c r="AH97" s="89" t="e">
        <f>#REF!</f>
        <v>#REF!</v>
      </c>
      <c r="AI97" s="89" t="e">
        <f>#REF!</f>
        <v>#REF!</v>
      </c>
      <c r="AJ97" s="89" t="e">
        <f>#REF!</f>
        <v>#REF!</v>
      </c>
      <c r="AK97" s="89" t="e">
        <f>#REF!</f>
        <v>#REF!</v>
      </c>
      <c r="AL97" s="89" t="e">
        <f>#REF!</f>
        <v>#REF!</v>
      </c>
      <c r="AM97" s="89" t="e">
        <f>#REF!</f>
        <v>#REF!</v>
      </c>
      <c r="AN97" s="89" t="e">
        <f>#REF!</f>
        <v>#REF!</v>
      </c>
      <c r="AO97" s="89" t="e">
        <f>#REF!</f>
        <v>#REF!</v>
      </c>
      <c r="AP97" s="89" t="e">
        <f>#REF!</f>
        <v>#REF!</v>
      </c>
      <c r="AQ97" s="89" t="e">
        <f>#REF!</f>
        <v>#REF!</v>
      </c>
      <c r="AR97" s="89" t="e">
        <f>#REF!</f>
        <v>#REF!</v>
      </c>
      <c r="AS97" s="89" t="e">
        <f>#REF!</f>
        <v>#REF!</v>
      </c>
      <c r="AT97" s="89" t="e">
        <f>#REF!</f>
        <v>#REF!</v>
      </c>
      <c r="AU97" s="89" t="e">
        <f>#REF!</f>
        <v>#REF!</v>
      </c>
      <c r="AV97" s="89" t="e">
        <f>#REF!</f>
        <v>#REF!</v>
      </c>
      <c r="AW97" s="89" t="e">
        <f>#REF!</f>
        <v>#REF!</v>
      </c>
      <c r="AX97" s="89" t="e">
        <f>#REF!</f>
        <v>#REF!</v>
      </c>
      <c r="AY97" s="89" t="e">
        <f>#REF!</f>
        <v>#REF!</v>
      </c>
      <c r="AZ97" s="89" t="e">
        <f>#REF!</f>
        <v>#REF!</v>
      </c>
      <c r="BA97" s="89" t="e">
        <f>#REF!</f>
        <v>#REF!</v>
      </c>
      <c r="BB97" s="89" t="e">
        <f>#REF!</f>
        <v>#REF!</v>
      </c>
      <c r="BC97" s="89" t="e">
        <f>#REF!</f>
        <v>#REF!</v>
      </c>
      <c r="BD97" s="89" t="e">
        <f>#REF!</f>
        <v>#REF!</v>
      </c>
      <c r="BE97" s="89" t="e">
        <f>#REF!</f>
        <v>#REF!</v>
      </c>
      <c r="BF97" s="89" t="e">
        <f>#REF!</f>
        <v>#REF!</v>
      </c>
    </row>
    <row r="98" spans="9:58" x14ac:dyDescent="0.25">
      <c r="I98" s="89">
        <f>ABCD!J147</f>
        <v>23.5</v>
      </c>
      <c r="J98" s="89">
        <f>ABCD!K147</f>
        <v>77.08</v>
      </c>
      <c r="K98" s="89">
        <f>ABCD!L147</f>
        <v>6.2635760161735483</v>
      </c>
      <c r="L98" s="89">
        <f>ABCD!M147</f>
        <v>1.1170200718630996</v>
      </c>
      <c r="M98" s="89">
        <f>ABCD!N147</f>
        <v>6.3623987890833709</v>
      </c>
      <c r="N98" s="89" t="e">
        <v>#REF!</v>
      </c>
      <c r="O98" s="89" t="e">
        <v>#REF!</v>
      </c>
      <c r="P98" s="89" t="e">
        <v>#REF!</v>
      </c>
      <c r="Q98" s="89" t="e">
        <v>#REF!</v>
      </c>
      <c r="R98" s="89" t="e">
        <v>#REF!</v>
      </c>
      <c r="S98" s="89" t="e">
        <f>#REF!</f>
        <v>#REF!</v>
      </c>
      <c r="T98" s="89" t="e">
        <f>#REF!</f>
        <v>#REF!</v>
      </c>
      <c r="U98" s="89" t="e">
        <f>#REF!</f>
        <v>#REF!</v>
      </c>
      <c r="V98" s="89" t="e">
        <f>#REF!</f>
        <v>#REF!</v>
      </c>
      <c r="W98" s="89" t="e">
        <f>#REF!</f>
        <v>#REF!</v>
      </c>
      <c r="X98" s="89" t="e">
        <f>#REF!</f>
        <v>#REF!</v>
      </c>
      <c r="Y98" s="89" t="e">
        <f>#REF!</f>
        <v>#REF!</v>
      </c>
      <c r="Z98" s="89" t="e">
        <f>#REF!</f>
        <v>#REF!</v>
      </c>
      <c r="AA98" s="89" t="e">
        <f>#REF!</f>
        <v>#REF!</v>
      </c>
      <c r="AB98" s="89" t="e">
        <f>#REF!</f>
        <v>#REF!</v>
      </c>
      <c r="AC98" s="89" t="e">
        <f>#REF!</f>
        <v>#REF!</v>
      </c>
      <c r="AD98" s="89" t="e">
        <f>#REF!</f>
        <v>#REF!</v>
      </c>
      <c r="AE98" s="89" t="e">
        <f>#REF!</f>
        <v>#REF!</v>
      </c>
      <c r="AF98" s="89" t="e">
        <f>#REF!</f>
        <v>#REF!</v>
      </c>
      <c r="AG98" s="89" t="e">
        <f>#REF!</f>
        <v>#REF!</v>
      </c>
      <c r="AH98" s="89" t="e">
        <f>#REF!</f>
        <v>#REF!</v>
      </c>
      <c r="AI98" s="89" t="e">
        <f>#REF!</f>
        <v>#REF!</v>
      </c>
      <c r="AJ98" s="89" t="e">
        <f>#REF!</f>
        <v>#REF!</v>
      </c>
      <c r="AK98" s="89" t="e">
        <f>#REF!</f>
        <v>#REF!</v>
      </c>
      <c r="AL98" s="89" t="e">
        <f>#REF!</f>
        <v>#REF!</v>
      </c>
      <c r="AM98" s="89" t="e">
        <f>#REF!</f>
        <v>#REF!</v>
      </c>
      <c r="AN98" s="89" t="e">
        <f>#REF!</f>
        <v>#REF!</v>
      </c>
      <c r="AO98" s="89" t="e">
        <f>#REF!</f>
        <v>#REF!</v>
      </c>
      <c r="AP98" s="89" t="e">
        <f>#REF!</f>
        <v>#REF!</v>
      </c>
      <c r="AQ98" s="89" t="e">
        <f>#REF!</f>
        <v>#REF!</v>
      </c>
      <c r="AR98" s="89" t="e">
        <f>#REF!</f>
        <v>#REF!</v>
      </c>
      <c r="AS98" s="89" t="e">
        <f>#REF!</f>
        <v>#REF!</v>
      </c>
      <c r="AT98" s="89" t="e">
        <f>#REF!</f>
        <v>#REF!</v>
      </c>
      <c r="AU98" s="89" t="e">
        <f>#REF!</f>
        <v>#REF!</v>
      </c>
      <c r="AV98" s="89" t="e">
        <f>#REF!</f>
        <v>#REF!</v>
      </c>
      <c r="AW98" s="89" t="e">
        <f>#REF!</f>
        <v>#REF!</v>
      </c>
      <c r="AX98" s="89" t="e">
        <f>#REF!</f>
        <v>#REF!</v>
      </c>
      <c r="AY98" s="89" t="e">
        <f>#REF!</f>
        <v>#REF!</v>
      </c>
      <c r="AZ98" s="89" t="e">
        <f>#REF!</f>
        <v>#REF!</v>
      </c>
      <c r="BA98" s="89" t="e">
        <f>#REF!</f>
        <v>#REF!</v>
      </c>
      <c r="BB98" s="89" t="e">
        <f>#REF!</f>
        <v>#REF!</v>
      </c>
      <c r="BC98" s="89" t="e">
        <f>#REF!</f>
        <v>#REF!</v>
      </c>
      <c r="BD98" s="89" t="e">
        <f>#REF!</f>
        <v>#REF!</v>
      </c>
      <c r="BE98" s="89" t="e">
        <f>#REF!</f>
        <v>#REF!</v>
      </c>
      <c r="BF98" s="89" t="e">
        <f>#REF!</f>
        <v>#REF!</v>
      </c>
    </row>
    <row r="99" spans="9:58" x14ac:dyDescent="0.25">
      <c r="I99" s="89">
        <f>ABCD!J148</f>
        <v>23.75</v>
      </c>
      <c r="J99" s="89">
        <f>ABCD!K148</f>
        <v>77.899999999999991</v>
      </c>
      <c r="K99" s="89">
        <f>ABCD!L148</f>
        <v>6.2979593863423613</v>
      </c>
      <c r="L99" s="89">
        <f>ABCD!M148</f>
        <v>1.1241653997130481</v>
      </c>
      <c r="M99" s="89">
        <f>ABCD!N148</f>
        <v>6.397502659470323</v>
      </c>
      <c r="N99" s="89" t="e">
        <v>#REF!</v>
      </c>
      <c r="O99" s="89" t="e">
        <v>#REF!</v>
      </c>
      <c r="P99" s="89" t="e">
        <v>#REF!</v>
      </c>
      <c r="Q99" s="89" t="e">
        <v>#REF!</v>
      </c>
      <c r="R99" s="89" t="e">
        <v>#REF!</v>
      </c>
      <c r="S99" s="89" t="e">
        <f>#REF!</f>
        <v>#REF!</v>
      </c>
      <c r="T99" s="89" t="e">
        <f>#REF!</f>
        <v>#REF!</v>
      </c>
      <c r="U99" s="89" t="e">
        <f>#REF!</f>
        <v>#REF!</v>
      </c>
      <c r="V99" s="89" t="e">
        <f>#REF!</f>
        <v>#REF!</v>
      </c>
      <c r="W99" s="89" t="e">
        <f>#REF!</f>
        <v>#REF!</v>
      </c>
      <c r="X99" s="89" t="e">
        <f>#REF!</f>
        <v>#REF!</v>
      </c>
      <c r="Y99" s="89" t="e">
        <f>#REF!</f>
        <v>#REF!</v>
      </c>
      <c r="Z99" s="89" t="e">
        <f>#REF!</f>
        <v>#REF!</v>
      </c>
      <c r="AA99" s="89" t="e">
        <f>#REF!</f>
        <v>#REF!</v>
      </c>
      <c r="AB99" s="89" t="e">
        <f>#REF!</f>
        <v>#REF!</v>
      </c>
      <c r="AC99" s="89" t="e">
        <f>#REF!</f>
        <v>#REF!</v>
      </c>
      <c r="AD99" s="89" t="e">
        <f>#REF!</f>
        <v>#REF!</v>
      </c>
      <c r="AE99" s="89" t="e">
        <f>#REF!</f>
        <v>#REF!</v>
      </c>
      <c r="AF99" s="89" t="e">
        <f>#REF!</f>
        <v>#REF!</v>
      </c>
      <c r="AG99" s="89" t="e">
        <f>#REF!</f>
        <v>#REF!</v>
      </c>
      <c r="AH99" s="89" t="e">
        <f>#REF!</f>
        <v>#REF!</v>
      </c>
      <c r="AI99" s="89" t="e">
        <f>#REF!</f>
        <v>#REF!</v>
      </c>
      <c r="AJ99" s="89" t="e">
        <f>#REF!</f>
        <v>#REF!</v>
      </c>
      <c r="AK99" s="89" t="e">
        <f>#REF!</f>
        <v>#REF!</v>
      </c>
      <c r="AL99" s="89" t="e">
        <f>#REF!</f>
        <v>#REF!</v>
      </c>
      <c r="AM99" s="89" t="e">
        <f>#REF!</f>
        <v>#REF!</v>
      </c>
      <c r="AN99" s="89" t="e">
        <f>#REF!</f>
        <v>#REF!</v>
      </c>
      <c r="AO99" s="89" t="e">
        <f>#REF!</f>
        <v>#REF!</v>
      </c>
      <c r="AP99" s="89" t="e">
        <f>#REF!</f>
        <v>#REF!</v>
      </c>
      <c r="AQ99" s="89" t="e">
        <f>#REF!</f>
        <v>#REF!</v>
      </c>
      <c r="AR99" s="89" t="e">
        <f>#REF!</f>
        <v>#REF!</v>
      </c>
      <c r="AS99" s="89" t="e">
        <f>#REF!</f>
        <v>#REF!</v>
      </c>
      <c r="AT99" s="89" t="e">
        <f>#REF!</f>
        <v>#REF!</v>
      </c>
      <c r="AU99" s="89" t="e">
        <f>#REF!</f>
        <v>#REF!</v>
      </c>
      <c r="AV99" s="89" t="e">
        <f>#REF!</f>
        <v>#REF!</v>
      </c>
      <c r="AW99" s="89" t="e">
        <f>#REF!</f>
        <v>#REF!</v>
      </c>
      <c r="AX99" s="89" t="e">
        <f>#REF!</f>
        <v>#REF!</v>
      </c>
      <c r="AY99" s="89" t="e">
        <f>#REF!</f>
        <v>#REF!</v>
      </c>
      <c r="AZ99" s="89" t="e">
        <f>#REF!</f>
        <v>#REF!</v>
      </c>
      <c r="BA99" s="89" t="e">
        <f>#REF!</f>
        <v>#REF!</v>
      </c>
      <c r="BB99" s="89" t="e">
        <f>#REF!</f>
        <v>#REF!</v>
      </c>
      <c r="BC99" s="89" t="e">
        <f>#REF!</f>
        <v>#REF!</v>
      </c>
      <c r="BD99" s="89" t="e">
        <f>#REF!</f>
        <v>#REF!</v>
      </c>
      <c r="BE99" s="89" t="e">
        <f>#REF!</f>
        <v>#REF!</v>
      </c>
      <c r="BF99" s="89" t="e">
        <f>#REF!</f>
        <v>#REF!</v>
      </c>
    </row>
    <row r="100" spans="9:58" x14ac:dyDescent="0.25">
      <c r="I100" s="89">
        <f>ABCD!J149</f>
        <v>24</v>
      </c>
      <c r="J100" s="89">
        <f>ABCD!K149</f>
        <v>78.72</v>
      </c>
      <c r="K100" s="89">
        <f>ABCD!L149</f>
        <v>6.3308579976801571</v>
      </c>
      <c r="L100" s="89">
        <f>ABCD!M149</f>
        <v>1.1310447961108698</v>
      </c>
      <c r="M100" s="89">
        <f>ABCD!N149</f>
        <v>6.4310982979270568</v>
      </c>
      <c r="N100" s="89" t="e">
        <v>#REF!</v>
      </c>
      <c r="O100" s="89" t="e">
        <v>#REF!</v>
      </c>
      <c r="P100" s="89" t="e">
        <v>#REF!</v>
      </c>
      <c r="Q100" s="89" t="e">
        <v>#REF!</v>
      </c>
      <c r="R100" s="89" t="e">
        <v>#REF!</v>
      </c>
      <c r="S100" s="89" t="e">
        <f>#REF!</f>
        <v>#REF!</v>
      </c>
      <c r="T100" s="89" t="e">
        <f>#REF!</f>
        <v>#REF!</v>
      </c>
      <c r="U100" s="89" t="e">
        <f>#REF!</f>
        <v>#REF!</v>
      </c>
      <c r="V100" s="89" t="e">
        <f>#REF!</f>
        <v>#REF!</v>
      </c>
      <c r="W100" s="89" t="e">
        <f>#REF!</f>
        <v>#REF!</v>
      </c>
      <c r="X100" s="89" t="e">
        <f>#REF!</f>
        <v>#REF!</v>
      </c>
      <c r="Y100" s="89" t="e">
        <f>#REF!</f>
        <v>#REF!</v>
      </c>
      <c r="Z100" s="89" t="e">
        <f>#REF!</f>
        <v>#REF!</v>
      </c>
      <c r="AA100" s="89" t="e">
        <f>#REF!</f>
        <v>#REF!</v>
      </c>
      <c r="AB100" s="89" t="e">
        <f>#REF!</f>
        <v>#REF!</v>
      </c>
      <c r="AC100" s="89" t="e">
        <f>#REF!</f>
        <v>#REF!</v>
      </c>
      <c r="AD100" s="89" t="e">
        <f>#REF!</f>
        <v>#REF!</v>
      </c>
      <c r="AE100" s="89" t="e">
        <f>#REF!</f>
        <v>#REF!</v>
      </c>
      <c r="AF100" s="89" t="e">
        <f>#REF!</f>
        <v>#REF!</v>
      </c>
      <c r="AG100" s="89" t="e">
        <f>#REF!</f>
        <v>#REF!</v>
      </c>
      <c r="AH100" s="89" t="e">
        <f>#REF!</f>
        <v>#REF!</v>
      </c>
      <c r="AI100" s="89" t="e">
        <f>#REF!</f>
        <v>#REF!</v>
      </c>
      <c r="AJ100" s="89" t="e">
        <f>#REF!</f>
        <v>#REF!</v>
      </c>
      <c r="AK100" s="89" t="e">
        <f>#REF!</f>
        <v>#REF!</v>
      </c>
      <c r="AL100" s="89" t="e">
        <f>#REF!</f>
        <v>#REF!</v>
      </c>
      <c r="AM100" s="89" t="e">
        <f>#REF!</f>
        <v>#REF!</v>
      </c>
      <c r="AN100" s="89" t="e">
        <f>#REF!</f>
        <v>#REF!</v>
      </c>
      <c r="AO100" s="89" t="e">
        <f>#REF!</f>
        <v>#REF!</v>
      </c>
      <c r="AP100" s="89" t="e">
        <f>#REF!</f>
        <v>#REF!</v>
      </c>
      <c r="AQ100" s="89" t="e">
        <f>#REF!</f>
        <v>#REF!</v>
      </c>
      <c r="AR100" s="89" t="e">
        <f>#REF!</f>
        <v>#REF!</v>
      </c>
      <c r="AS100" s="89" t="e">
        <f>#REF!</f>
        <v>#REF!</v>
      </c>
      <c r="AT100" s="89" t="e">
        <f>#REF!</f>
        <v>#REF!</v>
      </c>
      <c r="AU100" s="89" t="e">
        <f>#REF!</f>
        <v>#REF!</v>
      </c>
      <c r="AV100" s="89" t="e">
        <f>#REF!</f>
        <v>#REF!</v>
      </c>
      <c r="AW100" s="89" t="e">
        <f>#REF!</f>
        <v>#REF!</v>
      </c>
      <c r="AX100" s="89" t="e">
        <f>#REF!</f>
        <v>#REF!</v>
      </c>
      <c r="AY100" s="89" t="e">
        <f>#REF!</f>
        <v>#REF!</v>
      </c>
      <c r="AZ100" s="89" t="e">
        <f>#REF!</f>
        <v>#REF!</v>
      </c>
      <c r="BA100" s="89" t="e">
        <f>#REF!</f>
        <v>#REF!</v>
      </c>
      <c r="BB100" s="89" t="e">
        <f>#REF!</f>
        <v>#REF!</v>
      </c>
      <c r="BC100" s="89" t="e">
        <f>#REF!</f>
        <v>#REF!</v>
      </c>
      <c r="BD100" s="89" t="e">
        <f>#REF!</f>
        <v>#REF!</v>
      </c>
      <c r="BE100" s="89" t="e">
        <f>#REF!</f>
        <v>#REF!</v>
      </c>
      <c r="BF100" s="89" t="e">
        <f>#REF!</f>
        <v>#REF!</v>
      </c>
    </row>
    <row r="101" spans="9:58" x14ac:dyDescent="0.25">
      <c r="I101" s="89">
        <f>ABCD!J150</f>
        <v>24.25</v>
      </c>
      <c r="J101" s="89">
        <f>ABCD!K150</f>
        <v>79.539999999999992</v>
      </c>
      <c r="K101" s="89">
        <f>ABCD!L150</f>
        <v>6.3622655915179038</v>
      </c>
      <c r="L101" s="89">
        <f>ABCD!M150</f>
        <v>1.1376569122399482</v>
      </c>
      <c r="M101" s="89">
        <f>ABCD!N150</f>
        <v>6.4631793033289737</v>
      </c>
      <c r="N101" s="89" t="e">
        <v>#REF!</v>
      </c>
      <c r="O101" s="89" t="e">
        <v>#REF!</v>
      </c>
      <c r="P101" s="89" t="e">
        <v>#REF!</v>
      </c>
      <c r="Q101" s="89" t="e">
        <v>#REF!</v>
      </c>
      <c r="R101" s="89" t="e">
        <v>#REF!</v>
      </c>
      <c r="S101" s="89" t="e">
        <f>#REF!</f>
        <v>#REF!</v>
      </c>
      <c r="T101" s="89" t="e">
        <f>#REF!</f>
        <v>#REF!</v>
      </c>
      <c r="U101" s="89" t="e">
        <f>#REF!</f>
        <v>#REF!</v>
      </c>
      <c r="V101" s="89" t="e">
        <f>#REF!</f>
        <v>#REF!</v>
      </c>
      <c r="W101" s="89" t="e">
        <f>#REF!</f>
        <v>#REF!</v>
      </c>
      <c r="X101" s="89" t="e">
        <f>#REF!</f>
        <v>#REF!</v>
      </c>
      <c r="Y101" s="89" t="e">
        <f>#REF!</f>
        <v>#REF!</v>
      </c>
      <c r="Z101" s="89" t="e">
        <f>#REF!</f>
        <v>#REF!</v>
      </c>
      <c r="AA101" s="89" t="e">
        <f>#REF!</f>
        <v>#REF!</v>
      </c>
      <c r="AB101" s="89" t="e">
        <f>#REF!</f>
        <v>#REF!</v>
      </c>
      <c r="AC101" s="89" t="e">
        <f>#REF!</f>
        <v>#REF!</v>
      </c>
      <c r="AD101" s="89" t="e">
        <f>#REF!</f>
        <v>#REF!</v>
      </c>
      <c r="AE101" s="89" t="e">
        <f>#REF!</f>
        <v>#REF!</v>
      </c>
      <c r="AF101" s="89" t="e">
        <f>#REF!</f>
        <v>#REF!</v>
      </c>
      <c r="AG101" s="89" t="e">
        <f>#REF!</f>
        <v>#REF!</v>
      </c>
      <c r="AH101" s="89" t="e">
        <f>#REF!</f>
        <v>#REF!</v>
      </c>
      <c r="AI101" s="89" t="e">
        <f>#REF!</f>
        <v>#REF!</v>
      </c>
      <c r="AJ101" s="89" t="e">
        <f>#REF!</f>
        <v>#REF!</v>
      </c>
      <c r="AK101" s="89" t="e">
        <f>#REF!</f>
        <v>#REF!</v>
      </c>
      <c r="AL101" s="89" t="e">
        <f>#REF!</f>
        <v>#REF!</v>
      </c>
      <c r="AM101" s="89" t="e">
        <f>#REF!</f>
        <v>#REF!</v>
      </c>
      <c r="AN101" s="89" t="e">
        <f>#REF!</f>
        <v>#REF!</v>
      </c>
      <c r="AO101" s="89" t="e">
        <f>#REF!</f>
        <v>#REF!</v>
      </c>
      <c r="AP101" s="89" t="e">
        <f>#REF!</f>
        <v>#REF!</v>
      </c>
      <c r="AQ101" s="89" t="e">
        <f>#REF!</f>
        <v>#REF!</v>
      </c>
      <c r="AR101" s="89" t="e">
        <f>#REF!</f>
        <v>#REF!</v>
      </c>
      <c r="AS101" s="89" t="e">
        <f>#REF!</f>
        <v>#REF!</v>
      </c>
      <c r="AT101" s="89" t="e">
        <f>#REF!</f>
        <v>#REF!</v>
      </c>
      <c r="AU101" s="89" t="e">
        <f>#REF!</f>
        <v>#REF!</v>
      </c>
      <c r="AV101" s="89" t="e">
        <f>#REF!</f>
        <v>#REF!</v>
      </c>
      <c r="AW101" s="89" t="e">
        <f>#REF!</f>
        <v>#REF!</v>
      </c>
      <c r="AX101" s="89" t="e">
        <f>#REF!</f>
        <v>#REF!</v>
      </c>
      <c r="AY101" s="89" t="e">
        <f>#REF!</f>
        <v>#REF!</v>
      </c>
      <c r="AZ101" s="89" t="e">
        <f>#REF!</f>
        <v>#REF!</v>
      </c>
      <c r="BA101" s="89" t="e">
        <f>#REF!</f>
        <v>#REF!</v>
      </c>
      <c r="BB101" s="89" t="e">
        <f>#REF!</f>
        <v>#REF!</v>
      </c>
      <c r="BC101" s="89" t="e">
        <f>#REF!</f>
        <v>#REF!</v>
      </c>
      <c r="BD101" s="89" t="e">
        <f>#REF!</f>
        <v>#REF!</v>
      </c>
      <c r="BE101" s="89" t="e">
        <f>#REF!</f>
        <v>#REF!</v>
      </c>
      <c r="BF101" s="89" t="e">
        <f>#REF!</f>
        <v>#REF!</v>
      </c>
    </row>
    <row r="102" spans="9:58" x14ac:dyDescent="0.25">
      <c r="I102" s="89">
        <f>ABCD!J151</f>
        <v>24.5</v>
      </c>
      <c r="J102" s="89">
        <f>ABCD!K151</f>
        <v>80.36</v>
      </c>
      <c r="K102" s="89">
        <f>ABCD!L151</f>
        <v>6.3921762590049287</v>
      </c>
      <c r="L102" s="89">
        <f>ABCD!M151</f>
        <v>1.1440004621963058</v>
      </c>
      <c r="M102" s="89">
        <f>ABCD!N151</f>
        <v>6.4937396301123442</v>
      </c>
      <c r="N102" s="89" t="e">
        <v>#REF!</v>
      </c>
      <c r="O102" s="89" t="e">
        <v>#REF!</v>
      </c>
      <c r="P102" s="89" t="e">
        <v>#REF!</v>
      </c>
      <c r="Q102" s="89" t="e">
        <v>#REF!</v>
      </c>
      <c r="R102" s="89" t="e">
        <v>#REF!</v>
      </c>
      <c r="S102" s="89" t="e">
        <f>#REF!</f>
        <v>#REF!</v>
      </c>
      <c r="T102" s="89" t="e">
        <f>#REF!</f>
        <v>#REF!</v>
      </c>
      <c r="U102" s="89" t="e">
        <f>#REF!</f>
        <v>#REF!</v>
      </c>
      <c r="V102" s="89" t="e">
        <f>#REF!</f>
        <v>#REF!</v>
      </c>
      <c r="W102" s="89" t="e">
        <f>#REF!</f>
        <v>#REF!</v>
      </c>
      <c r="X102" s="89" t="e">
        <f>#REF!</f>
        <v>#REF!</v>
      </c>
      <c r="Y102" s="89" t="e">
        <f>#REF!</f>
        <v>#REF!</v>
      </c>
      <c r="Z102" s="89" t="e">
        <f>#REF!</f>
        <v>#REF!</v>
      </c>
      <c r="AA102" s="89" t="e">
        <f>#REF!</f>
        <v>#REF!</v>
      </c>
      <c r="AB102" s="89" t="e">
        <f>#REF!</f>
        <v>#REF!</v>
      </c>
      <c r="AC102" s="89" t="e">
        <f>#REF!</f>
        <v>#REF!</v>
      </c>
      <c r="AD102" s="89" t="e">
        <f>#REF!</f>
        <v>#REF!</v>
      </c>
      <c r="AE102" s="89" t="e">
        <f>#REF!</f>
        <v>#REF!</v>
      </c>
      <c r="AF102" s="89" t="e">
        <f>#REF!</f>
        <v>#REF!</v>
      </c>
      <c r="AG102" s="89" t="e">
        <f>#REF!</f>
        <v>#REF!</v>
      </c>
      <c r="AH102" s="89" t="e">
        <f>#REF!</f>
        <v>#REF!</v>
      </c>
      <c r="AI102" s="89" t="e">
        <f>#REF!</f>
        <v>#REF!</v>
      </c>
      <c r="AJ102" s="89" t="e">
        <f>#REF!</f>
        <v>#REF!</v>
      </c>
      <c r="AK102" s="89" t="e">
        <f>#REF!</f>
        <v>#REF!</v>
      </c>
      <c r="AL102" s="89" t="e">
        <f>#REF!</f>
        <v>#REF!</v>
      </c>
      <c r="AM102" s="89" t="e">
        <f>#REF!</f>
        <v>#REF!</v>
      </c>
      <c r="AN102" s="89" t="e">
        <f>#REF!</f>
        <v>#REF!</v>
      </c>
      <c r="AO102" s="89" t="e">
        <f>#REF!</f>
        <v>#REF!</v>
      </c>
      <c r="AP102" s="89" t="e">
        <f>#REF!</f>
        <v>#REF!</v>
      </c>
      <c r="AQ102" s="89" t="e">
        <f>#REF!</f>
        <v>#REF!</v>
      </c>
      <c r="AR102" s="89" t="e">
        <f>#REF!</f>
        <v>#REF!</v>
      </c>
      <c r="AS102" s="89" t="e">
        <f>#REF!</f>
        <v>#REF!</v>
      </c>
      <c r="AT102" s="89" t="e">
        <f>#REF!</f>
        <v>#REF!</v>
      </c>
      <c r="AU102" s="89" t="e">
        <f>#REF!</f>
        <v>#REF!</v>
      </c>
      <c r="AV102" s="89" t="e">
        <f>#REF!</f>
        <v>#REF!</v>
      </c>
      <c r="AW102" s="89" t="e">
        <f>#REF!</f>
        <v>#REF!</v>
      </c>
      <c r="AX102" s="89" t="e">
        <f>#REF!</f>
        <v>#REF!</v>
      </c>
      <c r="AY102" s="89" t="e">
        <f>#REF!</f>
        <v>#REF!</v>
      </c>
      <c r="AZ102" s="89" t="e">
        <f>#REF!</f>
        <v>#REF!</v>
      </c>
      <c r="BA102" s="89" t="e">
        <f>#REF!</f>
        <v>#REF!</v>
      </c>
      <c r="BB102" s="89" t="e">
        <f>#REF!</f>
        <v>#REF!</v>
      </c>
      <c r="BC102" s="89" t="e">
        <f>#REF!</f>
        <v>#REF!</v>
      </c>
      <c r="BD102" s="89" t="e">
        <f>#REF!</f>
        <v>#REF!</v>
      </c>
      <c r="BE102" s="89" t="e">
        <f>#REF!</f>
        <v>#REF!</v>
      </c>
      <c r="BF102" s="89" t="e">
        <f>#REF!</f>
        <v>#REF!</v>
      </c>
    </row>
    <row r="103" spans="9:58" x14ac:dyDescent="0.25">
      <c r="I103" s="89">
        <f>ABCD!J152</f>
        <v>24.75</v>
      </c>
      <c r="J103" s="89">
        <f>ABCD!K152</f>
        <v>81.179999999999993</v>
      </c>
      <c r="K103" s="89">
        <f>ABCD!L152</f>
        <v>6.4205844421582192</v>
      </c>
      <c r="L103" s="89">
        <f>ABCD!M152</f>
        <v>1.1500742232288663</v>
      </c>
      <c r="M103" s="89">
        <f>ABCD!N152</f>
        <v>6.5227735893421634</v>
      </c>
      <c r="N103" s="89" t="e">
        <v>#REF!</v>
      </c>
      <c r="O103" s="89" t="e">
        <v>#REF!</v>
      </c>
      <c r="P103" s="89" t="e">
        <v>#REF!</v>
      </c>
      <c r="Q103" s="89" t="e">
        <v>#REF!</v>
      </c>
      <c r="R103" s="89" t="e">
        <v>#REF!</v>
      </c>
      <c r="S103" s="89" t="e">
        <f>#REF!</f>
        <v>#REF!</v>
      </c>
      <c r="T103" s="89" t="e">
        <f>#REF!</f>
        <v>#REF!</v>
      </c>
      <c r="U103" s="89" t="e">
        <f>#REF!</f>
        <v>#REF!</v>
      </c>
      <c r="V103" s="89" t="e">
        <f>#REF!</f>
        <v>#REF!</v>
      </c>
      <c r="W103" s="89" t="e">
        <f>#REF!</f>
        <v>#REF!</v>
      </c>
      <c r="X103" s="89" t="e">
        <f>#REF!</f>
        <v>#REF!</v>
      </c>
      <c r="Y103" s="89" t="e">
        <f>#REF!</f>
        <v>#REF!</v>
      </c>
      <c r="Z103" s="89" t="e">
        <f>#REF!</f>
        <v>#REF!</v>
      </c>
      <c r="AA103" s="89" t="e">
        <f>#REF!</f>
        <v>#REF!</v>
      </c>
      <c r="AB103" s="89" t="e">
        <f>#REF!</f>
        <v>#REF!</v>
      </c>
      <c r="AC103" s="89" t="e">
        <f>#REF!</f>
        <v>#REF!</v>
      </c>
      <c r="AD103" s="89" t="e">
        <f>#REF!</f>
        <v>#REF!</v>
      </c>
      <c r="AE103" s="89" t="e">
        <f>#REF!</f>
        <v>#REF!</v>
      </c>
      <c r="AF103" s="89" t="e">
        <f>#REF!</f>
        <v>#REF!</v>
      </c>
      <c r="AG103" s="89" t="e">
        <f>#REF!</f>
        <v>#REF!</v>
      </c>
      <c r="AH103" s="89" t="e">
        <f>#REF!</f>
        <v>#REF!</v>
      </c>
      <c r="AI103" s="89" t="e">
        <f>#REF!</f>
        <v>#REF!</v>
      </c>
      <c r="AJ103" s="89" t="e">
        <f>#REF!</f>
        <v>#REF!</v>
      </c>
      <c r="AK103" s="89" t="e">
        <f>#REF!</f>
        <v>#REF!</v>
      </c>
      <c r="AL103" s="89" t="e">
        <f>#REF!</f>
        <v>#REF!</v>
      </c>
      <c r="AM103" s="89" t="e">
        <f>#REF!</f>
        <v>#REF!</v>
      </c>
      <c r="AN103" s="89" t="e">
        <f>#REF!</f>
        <v>#REF!</v>
      </c>
      <c r="AO103" s="89" t="e">
        <f>#REF!</f>
        <v>#REF!</v>
      </c>
      <c r="AP103" s="89" t="e">
        <f>#REF!</f>
        <v>#REF!</v>
      </c>
      <c r="AQ103" s="89" t="e">
        <f>#REF!</f>
        <v>#REF!</v>
      </c>
      <c r="AR103" s="89" t="e">
        <f>#REF!</f>
        <v>#REF!</v>
      </c>
      <c r="AS103" s="89" t="e">
        <f>#REF!</f>
        <v>#REF!</v>
      </c>
      <c r="AT103" s="89" t="e">
        <f>#REF!</f>
        <v>#REF!</v>
      </c>
      <c r="AU103" s="89" t="e">
        <f>#REF!</f>
        <v>#REF!</v>
      </c>
      <c r="AV103" s="89" t="e">
        <f>#REF!</f>
        <v>#REF!</v>
      </c>
      <c r="AW103" s="89" t="e">
        <f>#REF!</f>
        <v>#REF!</v>
      </c>
      <c r="AX103" s="89" t="e">
        <f>#REF!</f>
        <v>#REF!</v>
      </c>
      <c r="AY103" s="89" t="e">
        <f>#REF!</f>
        <v>#REF!</v>
      </c>
      <c r="AZ103" s="89" t="e">
        <f>#REF!</f>
        <v>#REF!</v>
      </c>
      <c r="BA103" s="89" t="e">
        <f>#REF!</f>
        <v>#REF!</v>
      </c>
      <c r="BB103" s="89" t="e">
        <f>#REF!</f>
        <v>#REF!</v>
      </c>
      <c r="BC103" s="89" t="e">
        <f>#REF!</f>
        <v>#REF!</v>
      </c>
      <c r="BD103" s="89" t="e">
        <f>#REF!</f>
        <v>#REF!</v>
      </c>
      <c r="BE103" s="89" t="e">
        <f>#REF!</f>
        <v>#REF!</v>
      </c>
      <c r="BF103" s="89" t="e">
        <f>#REF!</f>
        <v>#REF!</v>
      </c>
    </row>
    <row r="104" spans="9:58" x14ac:dyDescent="0.25">
      <c r="I104" s="89">
        <f>ABCD!J153</f>
        <v>25</v>
      </c>
      <c r="J104" s="89">
        <f>ABCD!K153</f>
        <v>82</v>
      </c>
      <c r="K104" s="89">
        <f>ABCD!L153</f>
        <v>6.4474849348297951</v>
      </c>
      <c r="L104" s="89">
        <f>ABCD!M153</f>
        <v>1.1558770359648993</v>
      </c>
      <c r="M104" s="89">
        <f>ABCD!N153</f>
        <v>6.5502758496973374</v>
      </c>
      <c r="N104" s="89" t="e">
        <v>#REF!</v>
      </c>
      <c r="O104" s="89" t="e">
        <v>#REF!</v>
      </c>
      <c r="P104" s="89" t="e">
        <v>#REF!</v>
      </c>
      <c r="Q104" s="89" t="e">
        <v>#REF!</v>
      </c>
      <c r="R104" s="89" t="e">
        <v>#REF!</v>
      </c>
      <c r="S104" s="89" t="e">
        <f>#REF!</f>
        <v>#REF!</v>
      </c>
      <c r="T104" s="89" t="e">
        <f>#REF!</f>
        <v>#REF!</v>
      </c>
      <c r="U104" s="89" t="e">
        <f>#REF!</f>
        <v>#REF!</v>
      </c>
      <c r="V104" s="89" t="e">
        <f>#REF!</f>
        <v>#REF!</v>
      </c>
      <c r="W104" s="89" t="e">
        <f>#REF!</f>
        <v>#REF!</v>
      </c>
      <c r="X104" s="89" t="e">
        <f>#REF!</f>
        <v>#REF!</v>
      </c>
      <c r="Y104" s="89" t="e">
        <f>#REF!</f>
        <v>#REF!</v>
      </c>
      <c r="Z104" s="89" t="e">
        <f>#REF!</f>
        <v>#REF!</v>
      </c>
      <c r="AA104" s="89" t="e">
        <f>#REF!</f>
        <v>#REF!</v>
      </c>
      <c r="AB104" s="89" t="e">
        <f>#REF!</f>
        <v>#REF!</v>
      </c>
      <c r="AC104" s="89" t="e">
        <f>#REF!</f>
        <v>#REF!</v>
      </c>
      <c r="AD104" s="89" t="e">
        <f>#REF!</f>
        <v>#REF!</v>
      </c>
      <c r="AE104" s="89" t="e">
        <f>#REF!</f>
        <v>#REF!</v>
      </c>
      <c r="AF104" s="89" t="e">
        <f>#REF!</f>
        <v>#REF!</v>
      </c>
      <c r="AG104" s="89" t="e">
        <f>#REF!</f>
        <v>#REF!</v>
      </c>
      <c r="AH104" s="89" t="e">
        <f>#REF!</f>
        <v>#REF!</v>
      </c>
      <c r="AI104" s="89" t="e">
        <f>#REF!</f>
        <v>#REF!</v>
      </c>
      <c r="AJ104" s="89" t="e">
        <f>#REF!</f>
        <v>#REF!</v>
      </c>
      <c r="AK104" s="89" t="e">
        <f>#REF!</f>
        <v>#REF!</v>
      </c>
      <c r="AL104" s="89" t="e">
        <f>#REF!</f>
        <v>#REF!</v>
      </c>
      <c r="AM104" s="89" t="e">
        <f>#REF!</f>
        <v>#REF!</v>
      </c>
      <c r="AN104" s="89" t="e">
        <f>#REF!</f>
        <v>#REF!</v>
      </c>
      <c r="AO104" s="89" t="e">
        <f>#REF!</f>
        <v>#REF!</v>
      </c>
      <c r="AP104" s="89" t="e">
        <f>#REF!</f>
        <v>#REF!</v>
      </c>
      <c r="AQ104" s="89" t="e">
        <f>#REF!</f>
        <v>#REF!</v>
      </c>
      <c r="AR104" s="89" t="e">
        <f>#REF!</f>
        <v>#REF!</v>
      </c>
      <c r="AS104" s="89" t="e">
        <f>#REF!</f>
        <v>#REF!</v>
      </c>
      <c r="AT104" s="89" t="e">
        <f>#REF!</f>
        <v>#REF!</v>
      </c>
      <c r="AU104" s="89" t="e">
        <f>#REF!</f>
        <v>#REF!</v>
      </c>
      <c r="AV104" s="89" t="e">
        <f>#REF!</f>
        <v>#REF!</v>
      </c>
      <c r="AW104" s="89" t="e">
        <f>#REF!</f>
        <v>#REF!</v>
      </c>
      <c r="AX104" s="89" t="e">
        <f>#REF!</f>
        <v>#REF!</v>
      </c>
      <c r="AY104" s="89" t="e">
        <f>#REF!</f>
        <v>#REF!</v>
      </c>
      <c r="AZ104" s="89" t="e">
        <f>#REF!</f>
        <v>#REF!</v>
      </c>
      <c r="BA104" s="89" t="e">
        <f>#REF!</f>
        <v>#REF!</v>
      </c>
      <c r="BB104" s="89" t="e">
        <f>#REF!</f>
        <v>#REF!</v>
      </c>
      <c r="BC104" s="89" t="e">
        <f>#REF!</f>
        <v>#REF!</v>
      </c>
      <c r="BD104" s="89" t="e">
        <f>#REF!</f>
        <v>#REF!</v>
      </c>
      <c r="BE104" s="89" t="e">
        <f>#REF!</f>
        <v>#REF!</v>
      </c>
      <c r="BF104" s="89" t="e">
        <f>#REF!</f>
        <v>#REF!</v>
      </c>
    </row>
    <row r="105" spans="9:58" x14ac:dyDescent="0.25">
      <c r="I105" s="89">
        <f>ABCD!J154</f>
        <v>25.25</v>
      </c>
      <c r="J105" s="89">
        <f>ABCD!K154</f>
        <v>82.82</v>
      </c>
      <c r="K105" s="89">
        <f>ABCD!L154</f>
        <v>6.4728728835919958</v>
      </c>
      <c r="L105" s="89">
        <f>ABCD!M154</f>
        <v>1.1614078046206364</v>
      </c>
      <c r="M105" s="89">
        <f>ABCD!N154</f>
        <v>6.5762414383730077</v>
      </c>
      <c r="N105" s="89" t="e">
        <v>#REF!</v>
      </c>
      <c r="O105" s="89" t="e">
        <v>#REF!</v>
      </c>
      <c r="P105" s="89" t="e">
        <v>#REF!</v>
      </c>
      <c r="Q105" s="89" t="e">
        <v>#REF!</v>
      </c>
      <c r="R105" s="89" t="e">
        <v>#REF!</v>
      </c>
      <c r="S105" s="89" t="e">
        <f>#REF!</f>
        <v>#REF!</v>
      </c>
      <c r="T105" s="89" t="e">
        <f>#REF!</f>
        <v>#REF!</v>
      </c>
      <c r="U105" s="89" t="e">
        <f>#REF!</f>
        <v>#REF!</v>
      </c>
      <c r="V105" s="89" t="e">
        <f>#REF!</f>
        <v>#REF!</v>
      </c>
      <c r="W105" s="89" t="e">
        <f>#REF!</f>
        <v>#REF!</v>
      </c>
      <c r="X105" s="89" t="e">
        <f>#REF!</f>
        <v>#REF!</v>
      </c>
      <c r="Y105" s="89" t="e">
        <f>#REF!</f>
        <v>#REF!</v>
      </c>
      <c r="Z105" s="89" t="e">
        <f>#REF!</f>
        <v>#REF!</v>
      </c>
      <c r="AA105" s="89" t="e">
        <f>#REF!</f>
        <v>#REF!</v>
      </c>
      <c r="AB105" s="89" t="e">
        <f>#REF!</f>
        <v>#REF!</v>
      </c>
      <c r="AC105" s="89" t="e">
        <f>#REF!</f>
        <v>#REF!</v>
      </c>
      <c r="AD105" s="89" t="e">
        <f>#REF!</f>
        <v>#REF!</v>
      </c>
      <c r="AE105" s="89" t="e">
        <f>#REF!</f>
        <v>#REF!</v>
      </c>
      <c r="AF105" s="89" t="e">
        <f>#REF!</f>
        <v>#REF!</v>
      </c>
      <c r="AG105" s="89" t="e">
        <f>#REF!</f>
        <v>#REF!</v>
      </c>
      <c r="AH105" s="89" t="e">
        <f>#REF!</f>
        <v>#REF!</v>
      </c>
      <c r="AI105" s="89" t="e">
        <f>#REF!</f>
        <v>#REF!</v>
      </c>
      <c r="AJ105" s="89" t="e">
        <f>#REF!</f>
        <v>#REF!</v>
      </c>
      <c r="AK105" s="89" t="e">
        <f>#REF!</f>
        <v>#REF!</v>
      </c>
      <c r="AL105" s="89" t="e">
        <f>#REF!</f>
        <v>#REF!</v>
      </c>
      <c r="AM105" s="89" t="e">
        <f>#REF!</f>
        <v>#REF!</v>
      </c>
      <c r="AN105" s="89" t="e">
        <f>#REF!</f>
        <v>#REF!</v>
      </c>
      <c r="AO105" s="89" t="e">
        <f>#REF!</f>
        <v>#REF!</v>
      </c>
      <c r="AP105" s="89" t="e">
        <f>#REF!</f>
        <v>#REF!</v>
      </c>
      <c r="AQ105" s="89" t="e">
        <f>#REF!</f>
        <v>#REF!</v>
      </c>
      <c r="AR105" s="89" t="e">
        <f>#REF!</f>
        <v>#REF!</v>
      </c>
      <c r="AS105" s="89" t="e">
        <f>#REF!</f>
        <v>#REF!</v>
      </c>
      <c r="AT105" s="89" t="e">
        <f>#REF!</f>
        <v>#REF!</v>
      </c>
      <c r="AU105" s="89" t="e">
        <f>#REF!</f>
        <v>#REF!</v>
      </c>
      <c r="AV105" s="89" t="e">
        <f>#REF!</f>
        <v>#REF!</v>
      </c>
      <c r="AW105" s="89" t="e">
        <f>#REF!</f>
        <v>#REF!</v>
      </c>
      <c r="AX105" s="89" t="e">
        <f>#REF!</f>
        <v>#REF!</v>
      </c>
      <c r="AY105" s="89" t="e">
        <f>#REF!</f>
        <v>#REF!</v>
      </c>
      <c r="AZ105" s="89" t="e">
        <f>#REF!</f>
        <v>#REF!</v>
      </c>
      <c r="BA105" s="89" t="e">
        <f>#REF!</f>
        <v>#REF!</v>
      </c>
      <c r="BB105" s="89" t="e">
        <f>#REF!</f>
        <v>#REF!</v>
      </c>
      <c r="BC105" s="89" t="e">
        <f>#REF!</f>
        <v>#REF!</v>
      </c>
      <c r="BD105" s="89" t="e">
        <f>#REF!</f>
        <v>#REF!</v>
      </c>
      <c r="BE105" s="89" t="e">
        <f>#REF!</f>
        <v>#REF!</v>
      </c>
      <c r="BF105" s="89" t="e">
        <f>#REF!</f>
        <v>#REF!</v>
      </c>
    </row>
    <row r="106" spans="9:58" x14ac:dyDescent="0.25">
      <c r="I106" s="89">
        <f>ABCD!J155</f>
        <v>25.5</v>
      </c>
      <c r="J106" s="89">
        <f>ABCD!K155</f>
        <v>83.64</v>
      </c>
      <c r="K106" s="89">
        <f>ABCD!L155</f>
        <v>6.4967437885405435</v>
      </c>
      <c r="L106" s="89">
        <f>ABCD!M155</f>
        <v>1.166665497197021</v>
      </c>
      <c r="M106" s="89">
        <f>ABCD!N155</f>
        <v>6.600665741899836</v>
      </c>
      <c r="N106" s="89" t="e">
        <v>#REF!</v>
      </c>
      <c r="O106" s="89" t="e">
        <v>#REF!</v>
      </c>
      <c r="P106" s="89" t="e">
        <v>#REF!</v>
      </c>
      <c r="Q106" s="89" t="e">
        <v>#REF!</v>
      </c>
      <c r="R106" s="89" t="e">
        <v>#REF!</v>
      </c>
      <c r="S106" s="89" t="e">
        <f>#REF!</f>
        <v>#REF!</v>
      </c>
      <c r="T106" s="89" t="e">
        <f>#REF!</f>
        <v>#REF!</v>
      </c>
      <c r="U106" s="89" t="e">
        <f>#REF!</f>
        <v>#REF!</v>
      </c>
      <c r="V106" s="89" t="e">
        <f>#REF!</f>
        <v>#REF!</v>
      </c>
      <c r="W106" s="89" t="e">
        <f>#REF!</f>
        <v>#REF!</v>
      </c>
      <c r="X106" s="89" t="e">
        <f>#REF!</f>
        <v>#REF!</v>
      </c>
      <c r="Y106" s="89" t="e">
        <f>#REF!</f>
        <v>#REF!</v>
      </c>
      <c r="Z106" s="89" t="e">
        <f>#REF!</f>
        <v>#REF!</v>
      </c>
      <c r="AA106" s="89" t="e">
        <f>#REF!</f>
        <v>#REF!</v>
      </c>
      <c r="AB106" s="89" t="e">
        <f>#REF!</f>
        <v>#REF!</v>
      </c>
      <c r="AC106" s="89" t="e">
        <f>#REF!</f>
        <v>#REF!</v>
      </c>
      <c r="AD106" s="89" t="e">
        <f>#REF!</f>
        <v>#REF!</v>
      </c>
      <c r="AE106" s="89" t="e">
        <f>#REF!</f>
        <v>#REF!</v>
      </c>
      <c r="AF106" s="89" t="e">
        <f>#REF!</f>
        <v>#REF!</v>
      </c>
      <c r="AG106" s="89" t="e">
        <f>#REF!</f>
        <v>#REF!</v>
      </c>
      <c r="AH106" s="89" t="e">
        <f>#REF!</f>
        <v>#REF!</v>
      </c>
      <c r="AI106" s="89" t="e">
        <f>#REF!</f>
        <v>#REF!</v>
      </c>
      <c r="AJ106" s="89" t="e">
        <f>#REF!</f>
        <v>#REF!</v>
      </c>
      <c r="AK106" s="89" t="e">
        <f>#REF!</f>
        <v>#REF!</v>
      </c>
      <c r="AL106" s="89" t="e">
        <f>#REF!</f>
        <v>#REF!</v>
      </c>
      <c r="AM106" s="89" t="e">
        <f>#REF!</f>
        <v>#REF!</v>
      </c>
      <c r="AN106" s="89" t="e">
        <f>#REF!</f>
        <v>#REF!</v>
      </c>
      <c r="AO106" s="89" t="e">
        <f>#REF!</f>
        <v>#REF!</v>
      </c>
      <c r="AP106" s="89" t="e">
        <f>#REF!</f>
        <v>#REF!</v>
      </c>
      <c r="AQ106" s="89" t="e">
        <f>#REF!</f>
        <v>#REF!</v>
      </c>
      <c r="AR106" s="89" t="e">
        <f>#REF!</f>
        <v>#REF!</v>
      </c>
      <c r="AS106" s="89" t="e">
        <f>#REF!</f>
        <v>#REF!</v>
      </c>
      <c r="AT106" s="89" t="e">
        <f>#REF!</f>
        <v>#REF!</v>
      </c>
      <c r="AU106" s="89" t="e">
        <f>#REF!</f>
        <v>#REF!</v>
      </c>
      <c r="AV106" s="89" t="e">
        <f>#REF!</f>
        <v>#REF!</v>
      </c>
      <c r="AW106" s="89" t="e">
        <f>#REF!</f>
        <v>#REF!</v>
      </c>
      <c r="AX106" s="89" t="e">
        <f>#REF!</f>
        <v>#REF!</v>
      </c>
      <c r="AY106" s="89" t="e">
        <f>#REF!</f>
        <v>#REF!</v>
      </c>
      <c r="AZ106" s="89" t="e">
        <f>#REF!</f>
        <v>#REF!</v>
      </c>
      <c r="BA106" s="89" t="e">
        <f>#REF!</f>
        <v>#REF!</v>
      </c>
      <c r="BB106" s="89" t="e">
        <f>#REF!</f>
        <v>#REF!</v>
      </c>
      <c r="BC106" s="89" t="e">
        <f>#REF!</f>
        <v>#REF!</v>
      </c>
      <c r="BD106" s="89" t="e">
        <f>#REF!</f>
        <v>#REF!</v>
      </c>
      <c r="BE106" s="89" t="e">
        <f>#REF!</f>
        <v>#REF!</v>
      </c>
      <c r="BF106" s="89" t="e">
        <f>#REF!</f>
        <v>#REF!</v>
      </c>
    </row>
    <row r="107" spans="9:58" x14ac:dyDescent="0.25">
      <c r="I107" s="89">
        <f>ABCD!J156</f>
        <v>25.75</v>
      </c>
      <c r="J107" s="89">
        <f>ABCD!K156</f>
        <v>84.46</v>
      </c>
      <c r="K107" s="89">
        <f>ABCD!L156</f>
        <v>6.5190935040152773</v>
      </c>
      <c r="L107" s="89">
        <f>ABCD!M156</f>
        <v>1.1716491456605513</v>
      </c>
      <c r="M107" s="89">
        <f>ABCD!N156</f>
        <v>6.6235445068800809</v>
      </c>
      <c r="N107" s="89" t="e">
        <v>#REF!</v>
      </c>
      <c r="O107" s="89" t="e">
        <v>#REF!</v>
      </c>
      <c r="P107" s="89" t="e">
        <v>#REF!</v>
      </c>
      <c r="Q107" s="89" t="e">
        <v>#REF!</v>
      </c>
      <c r="R107" s="89" t="e">
        <v>#REF!</v>
      </c>
      <c r="S107" s="89" t="e">
        <f>#REF!</f>
        <v>#REF!</v>
      </c>
      <c r="T107" s="89" t="e">
        <f>#REF!</f>
        <v>#REF!</v>
      </c>
      <c r="U107" s="89" t="e">
        <f>#REF!</f>
        <v>#REF!</v>
      </c>
      <c r="V107" s="89" t="e">
        <f>#REF!</f>
        <v>#REF!</v>
      </c>
      <c r="W107" s="89" t="e">
        <f>#REF!</f>
        <v>#REF!</v>
      </c>
      <c r="X107" s="89" t="e">
        <f>#REF!</f>
        <v>#REF!</v>
      </c>
      <c r="Y107" s="89" t="e">
        <f>#REF!</f>
        <v>#REF!</v>
      </c>
      <c r="Z107" s="89" t="e">
        <f>#REF!</f>
        <v>#REF!</v>
      </c>
      <c r="AA107" s="89" t="e">
        <f>#REF!</f>
        <v>#REF!</v>
      </c>
      <c r="AB107" s="89" t="e">
        <f>#REF!</f>
        <v>#REF!</v>
      </c>
      <c r="AC107" s="89" t="e">
        <f>#REF!</f>
        <v>#REF!</v>
      </c>
      <c r="AD107" s="89" t="e">
        <f>#REF!</f>
        <v>#REF!</v>
      </c>
      <c r="AE107" s="89" t="e">
        <f>#REF!</f>
        <v>#REF!</v>
      </c>
      <c r="AF107" s="89" t="e">
        <f>#REF!</f>
        <v>#REF!</v>
      </c>
      <c r="AG107" s="89" t="e">
        <f>#REF!</f>
        <v>#REF!</v>
      </c>
      <c r="AH107" s="89" t="e">
        <f>#REF!</f>
        <v>#REF!</v>
      </c>
      <c r="AI107" s="89" t="e">
        <f>#REF!</f>
        <v>#REF!</v>
      </c>
      <c r="AJ107" s="89" t="e">
        <f>#REF!</f>
        <v>#REF!</v>
      </c>
      <c r="AK107" s="89" t="e">
        <f>#REF!</f>
        <v>#REF!</v>
      </c>
      <c r="AL107" s="89" t="e">
        <f>#REF!</f>
        <v>#REF!</v>
      </c>
      <c r="AM107" s="89" t="e">
        <f>#REF!</f>
        <v>#REF!</v>
      </c>
      <c r="AN107" s="89" t="e">
        <f>#REF!</f>
        <v>#REF!</v>
      </c>
      <c r="AO107" s="89" t="e">
        <f>#REF!</f>
        <v>#REF!</v>
      </c>
      <c r="AP107" s="89" t="e">
        <f>#REF!</f>
        <v>#REF!</v>
      </c>
      <c r="AQ107" s="89" t="e">
        <f>#REF!</f>
        <v>#REF!</v>
      </c>
      <c r="AR107" s="89" t="e">
        <f>#REF!</f>
        <v>#REF!</v>
      </c>
      <c r="AS107" s="89" t="e">
        <f>#REF!</f>
        <v>#REF!</v>
      </c>
      <c r="AT107" s="89" t="e">
        <f>#REF!</f>
        <v>#REF!</v>
      </c>
      <c r="AU107" s="89" t="e">
        <f>#REF!</f>
        <v>#REF!</v>
      </c>
      <c r="AV107" s="89" t="e">
        <f>#REF!</f>
        <v>#REF!</v>
      </c>
      <c r="AW107" s="89" t="e">
        <f>#REF!</f>
        <v>#REF!</v>
      </c>
      <c r="AX107" s="89" t="e">
        <f>#REF!</f>
        <v>#REF!</v>
      </c>
      <c r="AY107" s="89" t="e">
        <f>#REF!</f>
        <v>#REF!</v>
      </c>
      <c r="AZ107" s="89" t="e">
        <f>#REF!</f>
        <v>#REF!</v>
      </c>
      <c r="BA107" s="89" t="e">
        <f>#REF!</f>
        <v>#REF!</v>
      </c>
      <c r="BB107" s="89" t="e">
        <f>#REF!</f>
        <v>#REF!</v>
      </c>
      <c r="BC107" s="89" t="e">
        <f>#REF!</f>
        <v>#REF!</v>
      </c>
      <c r="BD107" s="89" t="e">
        <f>#REF!</f>
        <v>#REF!</v>
      </c>
      <c r="BE107" s="89" t="e">
        <f>#REF!</f>
        <v>#REF!</v>
      </c>
      <c r="BF107" s="89" t="e">
        <f>#REF!</f>
        <v>#REF!</v>
      </c>
    </row>
    <row r="108" spans="9:58" x14ac:dyDescent="0.25">
      <c r="I108" s="89">
        <f>ABCD!J157</f>
        <v>26</v>
      </c>
      <c r="J108" s="89">
        <f>ABCD!K157</f>
        <v>85.28</v>
      </c>
      <c r="K108" s="89">
        <f>ABCD!L157</f>
        <v>6.5399182392384674</v>
      </c>
      <c r="L108" s="89">
        <f>ABCD!M157</f>
        <v>1.1763578461092001</v>
      </c>
      <c r="M108" s="89">
        <f>ABCD!N157</f>
        <v>6.6448738406403667</v>
      </c>
      <c r="N108" s="89" t="e">
        <v>#REF!</v>
      </c>
      <c r="O108" s="89" t="e">
        <v>#REF!</v>
      </c>
      <c r="P108" s="89" t="e">
        <v>#REF!</v>
      </c>
      <c r="Q108" s="89" t="e">
        <v>#REF!</v>
      </c>
      <c r="R108" s="89" t="e">
        <v>#REF!</v>
      </c>
      <c r="S108" s="89" t="e">
        <f>#REF!</f>
        <v>#REF!</v>
      </c>
      <c r="T108" s="89" t="e">
        <f>#REF!</f>
        <v>#REF!</v>
      </c>
      <c r="U108" s="89" t="e">
        <f>#REF!</f>
        <v>#REF!</v>
      </c>
      <c r="V108" s="89" t="e">
        <f>#REF!</f>
        <v>#REF!</v>
      </c>
      <c r="W108" s="89" t="e">
        <f>#REF!</f>
        <v>#REF!</v>
      </c>
      <c r="X108" s="89" t="e">
        <f>#REF!</f>
        <v>#REF!</v>
      </c>
      <c r="Y108" s="89" t="e">
        <f>#REF!</f>
        <v>#REF!</v>
      </c>
      <c r="Z108" s="89" t="e">
        <f>#REF!</f>
        <v>#REF!</v>
      </c>
      <c r="AA108" s="89" t="e">
        <f>#REF!</f>
        <v>#REF!</v>
      </c>
      <c r="AB108" s="89" t="e">
        <f>#REF!</f>
        <v>#REF!</v>
      </c>
      <c r="AC108" s="89" t="e">
        <f>#REF!</f>
        <v>#REF!</v>
      </c>
      <c r="AD108" s="89" t="e">
        <f>#REF!</f>
        <v>#REF!</v>
      </c>
      <c r="AE108" s="89" t="e">
        <f>#REF!</f>
        <v>#REF!</v>
      </c>
      <c r="AF108" s="89" t="e">
        <f>#REF!</f>
        <v>#REF!</v>
      </c>
      <c r="AG108" s="89" t="e">
        <f>#REF!</f>
        <v>#REF!</v>
      </c>
      <c r="AH108" s="89" t="e">
        <f>#REF!</f>
        <v>#REF!</v>
      </c>
      <c r="AI108" s="89" t="e">
        <f>#REF!</f>
        <v>#REF!</v>
      </c>
      <c r="AJ108" s="89" t="e">
        <f>#REF!</f>
        <v>#REF!</v>
      </c>
      <c r="AK108" s="89" t="e">
        <f>#REF!</f>
        <v>#REF!</v>
      </c>
      <c r="AL108" s="89" t="e">
        <f>#REF!</f>
        <v>#REF!</v>
      </c>
      <c r="AM108" s="89" t="e">
        <f>#REF!</f>
        <v>#REF!</v>
      </c>
      <c r="AN108" s="89" t="e">
        <f>#REF!</f>
        <v>#REF!</v>
      </c>
      <c r="AO108" s="89" t="e">
        <f>#REF!</f>
        <v>#REF!</v>
      </c>
      <c r="AP108" s="89" t="e">
        <f>#REF!</f>
        <v>#REF!</v>
      </c>
      <c r="AQ108" s="89" t="e">
        <f>#REF!</f>
        <v>#REF!</v>
      </c>
      <c r="AR108" s="89" t="e">
        <f>#REF!</f>
        <v>#REF!</v>
      </c>
      <c r="AS108" s="89" t="e">
        <f>#REF!</f>
        <v>#REF!</v>
      </c>
      <c r="AT108" s="89" t="e">
        <f>#REF!</f>
        <v>#REF!</v>
      </c>
      <c r="AU108" s="89" t="e">
        <f>#REF!</f>
        <v>#REF!</v>
      </c>
      <c r="AV108" s="89" t="e">
        <f>#REF!</f>
        <v>#REF!</v>
      </c>
      <c r="AW108" s="89" t="e">
        <f>#REF!</f>
        <v>#REF!</v>
      </c>
      <c r="AX108" s="89" t="e">
        <f>#REF!</f>
        <v>#REF!</v>
      </c>
      <c r="AY108" s="89" t="e">
        <f>#REF!</f>
        <v>#REF!</v>
      </c>
      <c r="AZ108" s="89" t="e">
        <f>#REF!</f>
        <v>#REF!</v>
      </c>
      <c r="BA108" s="89" t="e">
        <f>#REF!</f>
        <v>#REF!</v>
      </c>
      <c r="BB108" s="89" t="e">
        <f>#REF!</f>
        <v>#REF!</v>
      </c>
      <c r="BC108" s="89" t="e">
        <f>#REF!</f>
        <v>#REF!</v>
      </c>
      <c r="BD108" s="89" t="e">
        <f>#REF!</f>
        <v>#REF!</v>
      </c>
      <c r="BE108" s="89" t="e">
        <f>#REF!</f>
        <v>#REF!</v>
      </c>
      <c r="BF108" s="89" t="e">
        <f>#REF!</f>
        <v>#REF!</v>
      </c>
    </row>
    <row r="109" spans="9:58" x14ac:dyDescent="0.25">
      <c r="I109" s="89">
        <f>ABCD!J158</f>
        <v>26.25</v>
      </c>
      <c r="J109" s="89">
        <f>ABCD!K158</f>
        <v>86.1</v>
      </c>
      <c r="K109" s="89">
        <f>ABCD!L158</f>
        <v>6.5592145588706288</v>
      </c>
      <c r="L109" s="89">
        <f>ABCD!M158</f>
        <v>1.1807907589233895</v>
      </c>
      <c r="M109" s="89">
        <f>ABCD!N158</f>
        <v>6.6646502118010131</v>
      </c>
      <c r="N109" s="89" t="e">
        <v>#REF!</v>
      </c>
      <c r="O109" s="89" t="e">
        <v>#REF!</v>
      </c>
      <c r="P109" s="89" t="e">
        <v>#REF!</v>
      </c>
      <c r="Q109" s="89" t="e">
        <v>#REF!</v>
      </c>
      <c r="R109" s="89" t="e">
        <v>#REF!</v>
      </c>
      <c r="S109" s="89" t="e">
        <f>#REF!</f>
        <v>#REF!</v>
      </c>
      <c r="T109" s="89" t="e">
        <f>#REF!</f>
        <v>#REF!</v>
      </c>
      <c r="U109" s="89" t="e">
        <f>#REF!</f>
        <v>#REF!</v>
      </c>
      <c r="V109" s="89" t="e">
        <f>#REF!</f>
        <v>#REF!</v>
      </c>
      <c r="W109" s="89" t="e">
        <f>#REF!</f>
        <v>#REF!</v>
      </c>
      <c r="X109" s="89" t="e">
        <f>#REF!</f>
        <v>#REF!</v>
      </c>
      <c r="Y109" s="89" t="e">
        <f>#REF!</f>
        <v>#REF!</v>
      </c>
      <c r="Z109" s="89" t="e">
        <f>#REF!</f>
        <v>#REF!</v>
      </c>
      <c r="AA109" s="89" t="e">
        <f>#REF!</f>
        <v>#REF!</v>
      </c>
      <c r="AB109" s="89" t="e">
        <f>#REF!</f>
        <v>#REF!</v>
      </c>
      <c r="AC109" s="89" t="e">
        <f>#REF!</f>
        <v>#REF!</v>
      </c>
      <c r="AD109" s="89" t="e">
        <f>#REF!</f>
        <v>#REF!</v>
      </c>
      <c r="AE109" s="89" t="e">
        <f>#REF!</f>
        <v>#REF!</v>
      </c>
      <c r="AF109" s="89" t="e">
        <f>#REF!</f>
        <v>#REF!</v>
      </c>
      <c r="AG109" s="89" t="e">
        <f>#REF!</f>
        <v>#REF!</v>
      </c>
      <c r="AH109" s="89" t="e">
        <f>#REF!</f>
        <v>#REF!</v>
      </c>
      <c r="AI109" s="89" t="e">
        <f>#REF!</f>
        <v>#REF!</v>
      </c>
      <c r="AJ109" s="89" t="e">
        <f>#REF!</f>
        <v>#REF!</v>
      </c>
      <c r="AK109" s="89" t="e">
        <f>#REF!</f>
        <v>#REF!</v>
      </c>
      <c r="AL109" s="89" t="e">
        <f>#REF!</f>
        <v>#REF!</v>
      </c>
      <c r="AM109" s="89" t="e">
        <f>#REF!</f>
        <v>#REF!</v>
      </c>
      <c r="AN109" s="89" t="e">
        <f>#REF!</f>
        <v>#REF!</v>
      </c>
      <c r="AO109" s="89" t="e">
        <f>#REF!</f>
        <v>#REF!</v>
      </c>
      <c r="AP109" s="89" t="e">
        <f>#REF!</f>
        <v>#REF!</v>
      </c>
      <c r="AQ109" s="89" t="e">
        <f>#REF!</f>
        <v>#REF!</v>
      </c>
      <c r="AR109" s="89" t="e">
        <f>#REF!</f>
        <v>#REF!</v>
      </c>
      <c r="AS109" s="89" t="e">
        <f>#REF!</f>
        <v>#REF!</v>
      </c>
      <c r="AT109" s="89" t="e">
        <f>#REF!</f>
        <v>#REF!</v>
      </c>
      <c r="AU109" s="89" t="e">
        <f>#REF!</f>
        <v>#REF!</v>
      </c>
      <c r="AV109" s="89" t="e">
        <f>#REF!</f>
        <v>#REF!</v>
      </c>
      <c r="AW109" s="89" t="e">
        <f>#REF!</f>
        <v>#REF!</v>
      </c>
      <c r="AX109" s="89" t="e">
        <f>#REF!</f>
        <v>#REF!</v>
      </c>
      <c r="AY109" s="89" t="e">
        <f>#REF!</f>
        <v>#REF!</v>
      </c>
      <c r="AZ109" s="89" t="e">
        <f>#REF!</f>
        <v>#REF!</v>
      </c>
      <c r="BA109" s="89" t="e">
        <f>#REF!</f>
        <v>#REF!</v>
      </c>
      <c r="BB109" s="89" t="e">
        <f>#REF!</f>
        <v>#REF!</v>
      </c>
      <c r="BC109" s="89" t="e">
        <f>#REF!</f>
        <v>#REF!</v>
      </c>
      <c r="BD109" s="89" t="e">
        <f>#REF!</f>
        <v>#REF!</v>
      </c>
      <c r="BE109" s="89" t="e">
        <f>#REF!</f>
        <v>#REF!</v>
      </c>
      <c r="BF109" s="89" t="e">
        <f>#REF!</f>
        <v>#REF!</v>
      </c>
    </row>
    <row r="110" spans="9:58" x14ac:dyDescent="0.25">
      <c r="I110" s="89">
        <f>ABCD!J159</f>
        <v>26.5</v>
      </c>
      <c r="J110" s="89">
        <f>ABCD!K159</f>
        <v>86.92</v>
      </c>
      <c r="K110" s="89">
        <f>ABCD!L159</f>
        <v>6.5769793834837929</v>
      </c>
      <c r="L110" s="89">
        <f>ABCD!M159</f>
        <v>1.1849471089019636</v>
      </c>
      <c r="M110" s="89">
        <f>ABCD!N159</f>
        <v>6.6828704507618557</v>
      </c>
      <c r="N110" s="89" t="e">
        <v>#REF!</v>
      </c>
      <c r="O110" s="89" t="e">
        <v>#REF!</v>
      </c>
      <c r="P110" s="89" t="e">
        <v>#REF!</v>
      </c>
      <c r="Q110" s="89" t="e">
        <v>#REF!</v>
      </c>
      <c r="R110" s="89" t="e">
        <v>#REF!</v>
      </c>
      <c r="S110" s="89" t="e">
        <f>#REF!</f>
        <v>#REF!</v>
      </c>
      <c r="T110" s="89" t="e">
        <f>#REF!</f>
        <v>#REF!</v>
      </c>
      <c r="U110" s="89" t="e">
        <f>#REF!</f>
        <v>#REF!</v>
      </c>
      <c r="V110" s="89" t="e">
        <f>#REF!</f>
        <v>#REF!</v>
      </c>
      <c r="W110" s="89" t="e">
        <f>#REF!</f>
        <v>#REF!</v>
      </c>
      <c r="X110" s="89" t="e">
        <f>#REF!</f>
        <v>#REF!</v>
      </c>
      <c r="Y110" s="89" t="e">
        <f>#REF!</f>
        <v>#REF!</v>
      </c>
      <c r="Z110" s="89" t="e">
        <f>#REF!</f>
        <v>#REF!</v>
      </c>
      <c r="AA110" s="89" t="e">
        <f>#REF!</f>
        <v>#REF!</v>
      </c>
      <c r="AB110" s="89" t="e">
        <f>#REF!</f>
        <v>#REF!</v>
      </c>
      <c r="AC110" s="89" t="e">
        <f>#REF!</f>
        <v>#REF!</v>
      </c>
      <c r="AD110" s="89" t="e">
        <f>#REF!</f>
        <v>#REF!</v>
      </c>
      <c r="AE110" s="89" t="e">
        <f>#REF!</f>
        <v>#REF!</v>
      </c>
      <c r="AF110" s="89" t="e">
        <f>#REF!</f>
        <v>#REF!</v>
      </c>
      <c r="AG110" s="89" t="e">
        <f>#REF!</f>
        <v>#REF!</v>
      </c>
      <c r="AH110" s="89" t="e">
        <f>#REF!</f>
        <v>#REF!</v>
      </c>
      <c r="AI110" s="89" t="e">
        <f>#REF!</f>
        <v>#REF!</v>
      </c>
      <c r="AJ110" s="89" t="e">
        <f>#REF!</f>
        <v>#REF!</v>
      </c>
      <c r="AK110" s="89" t="e">
        <f>#REF!</f>
        <v>#REF!</v>
      </c>
      <c r="AL110" s="89" t="e">
        <f>#REF!</f>
        <v>#REF!</v>
      </c>
      <c r="AM110" s="89" t="e">
        <f>#REF!</f>
        <v>#REF!</v>
      </c>
      <c r="AN110" s="89" t="e">
        <f>#REF!</f>
        <v>#REF!</v>
      </c>
      <c r="AO110" s="89" t="e">
        <f>#REF!</f>
        <v>#REF!</v>
      </c>
      <c r="AP110" s="89" t="e">
        <f>#REF!</f>
        <v>#REF!</v>
      </c>
      <c r="AQ110" s="89" t="e">
        <f>#REF!</f>
        <v>#REF!</v>
      </c>
      <c r="AR110" s="89" t="e">
        <f>#REF!</f>
        <v>#REF!</v>
      </c>
      <c r="AS110" s="89" t="e">
        <f>#REF!</f>
        <v>#REF!</v>
      </c>
      <c r="AT110" s="89" t="e">
        <f>#REF!</f>
        <v>#REF!</v>
      </c>
      <c r="AU110" s="89" t="e">
        <f>#REF!</f>
        <v>#REF!</v>
      </c>
      <c r="AV110" s="89" t="e">
        <f>#REF!</f>
        <v>#REF!</v>
      </c>
      <c r="AW110" s="89" t="e">
        <f>#REF!</f>
        <v>#REF!</v>
      </c>
      <c r="AX110" s="89" t="e">
        <f>#REF!</f>
        <v>#REF!</v>
      </c>
      <c r="AY110" s="89" t="e">
        <f>#REF!</f>
        <v>#REF!</v>
      </c>
      <c r="AZ110" s="89" t="e">
        <f>#REF!</f>
        <v>#REF!</v>
      </c>
      <c r="BA110" s="89" t="e">
        <f>#REF!</f>
        <v>#REF!</v>
      </c>
      <c r="BB110" s="89" t="e">
        <f>#REF!</f>
        <v>#REF!</v>
      </c>
      <c r="BC110" s="89" t="e">
        <f>#REF!</f>
        <v>#REF!</v>
      </c>
      <c r="BD110" s="89" t="e">
        <f>#REF!</f>
        <v>#REF!</v>
      </c>
      <c r="BE110" s="89" t="e">
        <f>#REF!</f>
        <v>#REF!</v>
      </c>
      <c r="BF110" s="89" t="e">
        <f>#REF!</f>
        <v>#REF!</v>
      </c>
    </row>
    <row r="111" spans="9:58" x14ac:dyDescent="0.25">
      <c r="I111" s="89">
        <f>ABCD!J160</f>
        <v>26.75</v>
      </c>
      <c r="J111" s="89">
        <f>ABCD!K160</f>
        <v>87.74</v>
      </c>
      <c r="K111" s="89">
        <f>ABCD!L160</f>
        <v>6.5932099899521841</v>
      </c>
      <c r="L111" s="89">
        <f>ABCD!M160</f>
        <v>1.1888261853832027</v>
      </c>
      <c r="M111" s="89">
        <f>ABCD!N160</f>
        <v>6.6995317501044847</v>
      </c>
      <c r="N111" s="89" t="e">
        <v>#REF!</v>
      </c>
      <c r="O111" s="89" t="e">
        <v>#REF!</v>
      </c>
      <c r="P111" s="89" t="e">
        <v>#REF!</v>
      </c>
      <c r="Q111" s="89" t="e">
        <v>#REF!</v>
      </c>
      <c r="R111" s="89" t="e">
        <v>#REF!</v>
      </c>
      <c r="S111" s="89" t="e">
        <f>#REF!</f>
        <v>#REF!</v>
      </c>
      <c r="T111" s="89" t="e">
        <f>#REF!</f>
        <v>#REF!</v>
      </c>
      <c r="U111" s="89" t="e">
        <f>#REF!</f>
        <v>#REF!</v>
      </c>
      <c r="V111" s="89" t="e">
        <f>#REF!</f>
        <v>#REF!</v>
      </c>
      <c r="W111" s="89" t="e">
        <f>#REF!</f>
        <v>#REF!</v>
      </c>
      <c r="X111" s="89" t="e">
        <f>#REF!</f>
        <v>#REF!</v>
      </c>
      <c r="Y111" s="89" t="e">
        <f>#REF!</f>
        <v>#REF!</v>
      </c>
      <c r="Z111" s="89" t="e">
        <f>#REF!</f>
        <v>#REF!</v>
      </c>
      <c r="AA111" s="89" t="e">
        <f>#REF!</f>
        <v>#REF!</v>
      </c>
      <c r="AB111" s="89" t="e">
        <f>#REF!</f>
        <v>#REF!</v>
      </c>
      <c r="AC111" s="89" t="e">
        <f>#REF!</f>
        <v>#REF!</v>
      </c>
      <c r="AD111" s="89" t="e">
        <f>#REF!</f>
        <v>#REF!</v>
      </c>
      <c r="AE111" s="89" t="e">
        <f>#REF!</f>
        <v>#REF!</v>
      </c>
      <c r="AF111" s="89" t="e">
        <f>#REF!</f>
        <v>#REF!</v>
      </c>
      <c r="AG111" s="89" t="e">
        <f>#REF!</f>
        <v>#REF!</v>
      </c>
      <c r="AH111" s="89" t="e">
        <f>#REF!</f>
        <v>#REF!</v>
      </c>
      <c r="AI111" s="89" t="e">
        <f>#REF!</f>
        <v>#REF!</v>
      </c>
      <c r="AJ111" s="89" t="e">
        <f>#REF!</f>
        <v>#REF!</v>
      </c>
      <c r="AK111" s="89" t="e">
        <f>#REF!</f>
        <v>#REF!</v>
      </c>
      <c r="AL111" s="89" t="e">
        <f>#REF!</f>
        <v>#REF!</v>
      </c>
      <c r="AM111" s="89" t="e">
        <f>#REF!</f>
        <v>#REF!</v>
      </c>
      <c r="AN111" s="89" t="e">
        <f>#REF!</f>
        <v>#REF!</v>
      </c>
      <c r="AO111" s="89" t="e">
        <f>#REF!</f>
        <v>#REF!</v>
      </c>
      <c r="AP111" s="89" t="e">
        <f>#REF!</f>
        <v>#REF!</v>
      </c>
      <c r="AQ111" s="89" t="e">
        <f>#REF!</f>
        <v>#REF!</v>
      </c>
      <c r="AR111" s="89" t="e">
        <f>#REF!</f>
        <v>#REF!</v>
      </c>
      <c r="AS111" s="89" t="e">
        <f>#REF!</f>
        <v>#REF!</v>
      </c>
      <c r="AT111" s="89" t="e">
        <f>#REF!</f>
        <v>#REF!</v>
      </c>
      <c r="AU111" s="89" t="e">
        <f>#REF!</f>
        <v>#REF!</v>
      </c>
      <c r="AV111" s="89" t="e">
        <f>#REF!</f>
        <v>#REF!</v>
      </c>
      <c r="AW111" s="89" t="e">
        <f>#REF!</f>
        <v>#REF!</v>
      </c>
      <c r="AX111" s="89" t="e">
        <f>#REF!</f>
        <v>#REF!</v>
      </c>
      <c r="AY111" s="89" t="e">
        <f>#REF!</f>
        <v>#REF!</v>
      </c>
      <c r="AZ111" s="89" t="e">
        <f>#REF!</f>
        <v>#REF!</v>
      </c>
      <c r="BA111" s="89" t="e">
        <f>#REF!</f>
        <v>#REF!</v>
      </c>
      <c r="BB111" s="89" t="e">
        <f>#REF!</f>
        <v>#REF!</v>
      </c>
      <c r="BC111" s="89" t="e">
        <f>#REF!</f>
        <v>#REF!</v>
      </c>
      <c r="BD111" s="89" t="e">
        <f>#REF!</f>
        <v>#REF!</v>
      </c>
      <c r="BE111" s="89" t="e">
        <f>#REF!</f>
        <v>#REF!</v>
      </c>
      <c r="BF111" s="89" t="e">
        <f>#REF!</f>
        <v>#REF!</v>
      </c>
    </row>
    <row r="112" spans="9:58" x14ac:dyDescent="0.25">
      <c r="I112" s="89">
        <f>ABCD!J161</f>
        <v>27</v>
      </c>
      <c r="J112" s="89">
        <f>ABCD!K161</f>
        <v>88.559999999999988</v>
      </c>
      <c r="K112" s="89">
        <f>ABCD!L161</f>
        <v>6.6079040117603052</v>
      </c>
      <c r="L112" s="89">
        <f>ABCD!M161</f>
        <v>1.1924273423508067</v>
      </c>
      <c r="M112" s="89">
        <f>ABCD!N161</f>
        <v>6.7146316649108719</v>
      </c>
      <c r="N112" s="89" t="e">
        <v>#REF!</v>
      </c>
      <c r="O112" s="89" t="e">
        <v>#REF!</v>
      </c>
      <c r="P112" s="89" t="e">
        <v>#REF!</v>
      </c>
      <c r="Q112" s="89" t="e">
        <v>#REF!</v>
      </c>
      <c r="R112" s="89" t="e">
        <v>#REF!</v>
      </c>
      <c r="S112" s="89" t="e">
        <f>#REF!</f>
        <v>#REF!</v>
      </c>
      <c r="T112" s="89" t="e">
        <f>#REF!</f>
        <v>#REF!</v>
      </c>
      <c r="U112" s="89" t="e">
        <f>#REF!</f>
        <v>#REF!</v>
      </c>
      <c r="V112" s="89" t="e">
        <f>#REF!</f>
        <v>#REF!</v>
      </c>
      <c r="W112" s="89" t="e">
        <f>#REF!</f>
        <v>#REF!</v>
      </c>
      <c r="X112" s="89" t="e">
        <f>#REF!</f>
        <v>#REF!</v>
      </c>
      <c r="Y112" s="89" t="e">
        <f>#REF!</f>
        <v>#REF!</v>
      </c>
      <c r="Z112" s="89" t="e">
        <f>#REF!</f>
        <v>#REF!</v>
      </c>
      <c r="AA112" s="89" t="e">
        <f>#REF!</f>
        <v>#REF!</v>
      </c>
      <c r="AB112" s="89" t="e">
        <f>#REF!</f>
        <v>#REF!</v>
      </c>
      <c r="AC112" s="89" t="e">
        <f>#REF!</f>
        <v>#REF!</v>
      </c>
      <c r="AD112" s="89" t="e">
        <f>#REF!</f>
        <v>#REF!</v>
      </c>
      <c r="AE112" s="89" t="e">
        <f>#REF!</f>
        <v>#REF!</v>
      </c>
      <c r="AF112" s="89" t="e">
        <f>#REF!</f>
        <v>#REF!</v>
      </c>
      <c r="AG112" s="89" t="e">
        <f>#REF!</f>
        <v>#REF!</v>
      </c>
      <c r="AH112" s="89" t="e">
        <f>#REF!</f>
        <v>#REF!</v>
      </c>
      <c r="AI112" s="89" t="e">
        <f>#REF!</f>
        <v>#REF!</v>
      </c>
      <c r="AJ112" s="89" t="e">
        <f>#REF!</f>
        <v>#REF!</v>
      </c>
      <c r="AK112" s="89" t="e">
        <f>#REF!</f>
        <v>#REF!</v>
      </c>
      <c r="AL112" s="89" t="e">
        <f>#REF!</f>
        <v>#REF!</v>
      </c>
      <c r="AM112" s="89" t="e">
        <f>#REF!</f>
        <v>#REF!</v>
      </c>
      <c r="AN112" s="89" t="e">
        <f>#REF!</f>
        <v>#REF!</v>
      </c>
      <c r="AO112" s="89" t="e">
        <f>#REF!</f>
        <v>#REF!</v>
      </c>
      <c r="AP112" s="89" t="e">
        <f>#REF!</f>
        <v>#REF!</v>
      </c>
      <c r="AQ112" s="89" t="e">
        <f>#REF!</f>
        <v>#REF!</v>
      </c>
      <c r="AR112" s="89" t="e">
        <f>#REF!</f>
        <v>#REF!</v>
      </c>
      <c r="AS112" s="89" t="e">
        <f>#REF!</f>
        <v>#REF!</v>
      </c>
      <c r="AT112" s="89" t="e">
        <f>#REF!</f>
        <v>#REF!</v>
      </c>
      <c r="AU112" s="89" t="e">
        <f>#REF!</f>
        <v>#REF!</v>
      </c>
      <c r="AV112" s="89" t="e">
        <f>#REF!</f>
        <v>#REF!</v>
      </c>
      <c r="AW112" s="89" t="e">
        <f>#REF!</f>
        <v>#REF!</v>
      </c>
      <c r="AX112" s="89" t="e">
        <f>#REF!</f>
        <v>#REF!</v>
      </c>
      <c r="AY112" s="89" t="e">
        <f>#REF!</f>
        <v>#REF!</v>
      </c>
      <c r="AZ112" s="89" t="e">
        <f>#REF!</f>
        <v>#REF!</v>
      </c>
      <c r="BA112" s="89" t="e">
        <f>#REF!</f>
        <v>#REF!</v>
      </c>
      <c r="BB112" s="89" t="e">
        <f>#REF!</f>
        <v>#REF!</v>
      </c>
      <c r="BC112" s="89" t="e">
        <f>#REF!</f>
        <v>#REF!</v>
      </c>
      <c r="BD112" s="89" t="e">
        <f>#REF!</f>
        <v>#REF!</v>
      </c>
      <c r="BE112" s="89" t="e">
        <f>#REF!</f>
        <v>#REF!</v>
      </c>
      <c r="BF112" s="89" t="e">
        <f>#REF!</f>
        <v>#REF!</v>
      </c>
    </row>
    <row r="113" spans="9:58" x14ac:dyDescent="0.25">
      <c r="I113" s="89">
        <f>ABCD!J162</f>
        <v>27.25</v>
      </c>
      <c r="J113" s="89">
        <f>ABCD!K162</f>
        <v>89.38</v>
      </c>
      <c r="K113" s="89">
        <f>ABCD!L162</f>
        <v>6.6210594392284232</v>
      </c>
      <c r="L113" s="89">
        <f>ABCD!M162</f>
        <v>1.1957499985248579</v>
      </c>
      <c r="M113" s="89">
        <f>ABCD!N162</f>
        <v>6.7281681129983664</v>
      </c>
      <c r="N113" s="89" t="e">
        <v>#REF!</v>
      </c>
      <c r="O113" s="89" t="e">
        <v>#REF!</v>
      </c>
      <c r="P113" s="89" t="e">
        <v>#REF!</v>
      </c>
      <c r="Q113" s="89" t="e">
        <v>#REF!</v>
      </c>
      <c r="R113" s="89" t="e">
        <v>#REF!</v>
      </c>
      <c r="S113" s="89" t="e">
        <f>#REF!</f>
        <v>#REF!</v>
      </c>
      <c r="T113" s="89" t="e">
        <f>#REF!</f>
        <v>#REF!</v>
      </c>
      <c r="U113" s="89" t="e">
        <f>#REF!</f>
        <v>#REF!</v>
      </c>
      <c r="V113" s="89" t="e">
        <f>#REF!</f>
        <v>#REF!</v>
      </c>
      <c r="W113" s="89" t="e">
        <f>#REF!</f>
        <v>#REF!</v>
      </c>
      <c r="X113" s="89" t="e">
        <f>#REF!</f>
        <v>#REF!</v>
      </c>
      <c r="Y113" s="89" t="e">
        <f>#REF!</f>
        <v>#REF!</v>
      </c>
      <c r="Z113" s="89" t="e">
        <f>#REF!</f>
        <v>#REF!</v>
      </c>
      <c r="AA113" s="89" t="e">
        <f>#REF!</f>
        <v>#REF!</v>
      </c>
      <c r="AB113" s="89" t="e">
        <f>#REF!</f>
        <v>#REF!</v>
      </c>
      <c r="AC113" s="89" t="e">
        <f>#REF!</f>
        <v>#REF!</v>
      </c>
      <c r="AD113" s="89" t="e">
        <f>#REF!</f>
        <v>#REF!</v>
      </c>
      <c r="AE113" s="89" t="e">
        <f>#REF!</f>
        <v>#REF!</v>
      </c>
      <c r="AF113" s="89" t="e">
        <f>#REF!</f>
        <v>#REF!</v>
      </c>
      <c r="AG113" s="89" t="e">
        <f>#REF!</f>
        <v>#REF!</v>
      </c>
      <c r="AH113" s="89" t="e">
        <f>#REF!</f>
        <v>#REF!</v>
      </c>
      <c r="AI113" s="89" t="e">
        <f>#REF!</f>
        <v>#REF!</v>
      </c>
      <c r="AJ113" s="89" t="e">
        <f>#REF!</f>
        <v>#REF!</v>
      </c>
      <c r="AK113" s="89" t="e">
        <f>#REF!</f>
        <v>#REF!</v>
      </c>
      <c r="AL113" s="89" t="e">
        <f>#REF!</f>
        <v>#REF!</v>
      </c>
      <c r="AM113" s="89" t="e">
        <f>#REF!</f>
        <v>#REF!</v>
      </c>
      <c r="AN113" s="89" t="e">
        <f>#REF!</f>
        <v>#REF!</v>
      </c>
      <c r="AO113" s="89" t="e">
        <f>#REF!</f>
        <v>#REF!</v>
      </c>
      <c r="AP113" s="89" t="e">
        <f>#REF!</f>
        <v>#REF!</v>
      </c>
      <c r="AQ113" s="89" t="e">
        <f>#REF!</f>
        <v>#REF!</v>
      </c>
      <c r="AR113" s="89" t="e">
        <f>#REF!</f>
        <v>#REF!</v>
      </c>
      <c r="AS113" s="89" t="e">
        <f>#REF!</f>
        <v>#REF!</v>
      </c>
      <c r="AT113" s="89" t="e">
        <f>#REF!</f>
        <v>#REF!</v>
      </c>
      <c r="AU113" s="89" t="e">
        <f>#REF!</f>
        <v>#REF!</v>
      </c>
      <c r="AV113" s="89" t="e">
        <f>#REF!</f>
        <v>#REF!</v>
      </c>
      <c r="AW113" s="89" t="e">
        <f>#REF!</f>
        <v>#REF!</v>
      </c>
      <c r="AX113" s="89" t="e">
        <f>#REF!</f>
        <v>#REF!</v>
      </c>
      <c r="AY113" s="89" t="e">
        <f>#REF!</f>
        <v>#REF!</v>
      </c>
      <c r="AZ113" s="89" t="e">
        <f>#REF!</f>
        <v>#REF!</v>
      </c>
      <c r="BA113" s="89" t="e">
        <f>#REF!</f>
        <v>#REF!</v>
      </c>
      <c r="BB113" s="89" t="e">
        <f>#REF!</f>
        <v>#REF!</v>
      </c>
      <c r="BC113" s="89" t="e">
        <f>#REF!</f>
        <v>#REF!</v>
      </c>
      <c r="BD113" s="89" t="e">
        <f>#REF!</f>
        <v>#REF!</v>
      </c>
      <c r="BE113" s="89" t="e">
        <f>#REF!</f>
        <v>#REF!</v>
      </c>
      <c r="BF113" s="89" t="e">
        <f>#REF!</f>
        <v>#REF!</v>
      </c>
    </row>
    <row r="114" spans="9:58" x14ac:dyDescent="0.25">
      <c r="I114" s="89">
        <f>ABCD!J163</f>
        <v>27.5</v>
      </c>
      <c r="J114" s="89">
        <f>ABCD!K163</f>
        <v>90.199999999999989</v>
      </c>
      <c r="K114" s="89">
        <f>ABCD!L163</f>
        <v>6.6326746196554716</v>
      </c>
      <c r="L114" s="89">
        <f>ABCD!M163</f>
        <v>1.1987936374377945</v>
      </c>
      <c r="M114" s="89">
        <f>ABCD!N163</f>
        <v>6.7401393750710525</v>
      </c>
      <c r="N114" s="89" t="e">
        <v>#REF!</v>
      </c>
      <c r="O114" s="89" t="e">
        <v>#REF!</v>
      </c>
      <c r="P114" s="89" t="e">
        <v>#REF!</v>
      </c>
      <c r="Q114" s="89" t="e">
        <v>#REF!</v>
      </c>
      <c r="R114" s="89" t="e">
        <v>#REF!</v>
      </c>
      <c r="S114" s="89" t="e">
        <f>#REF!</f>
        <v>#REF!</v>
      </c>
      <c r="T114" s="89" t="e">
        <f>#REF!</f>
        <v>#REF!</v>
      </c>
      <c r="U114" s="89" t="e">
        <f>#REF!</f>
        <v>#REF!</v>
      </c>
      <c r="V114" s="89" t="e">
        <f>#REF!</f>
        <v>#REF!</v>
      </c>
      <c r="W114" s="89" t="e">
        <f>#REF!</f>
        <v>#REF!</v>
      </c>
      <c r="X114" s="89" t="e">
        <f>#REF!</f>
        <v>#REF!</v>
      </c>
      <c r="Y114" s="89" t="e">
        <f>#REF!</f>
        <v>#REF!</v>
      </c>
      <c r="Z114" s="89" t="e">
        <f>#REF!</f>
        <v>#REF!</v>
      </c>
      <c r="AA114" s="89" t="e">
        <f>#REF!</f>
        <v>#REF!</v>
      </c>
      <c r="AB114" s="89" t="e">
        <f>#REF!</f>
        <v>#REF!</v>
      </c>
      <c r="AC114" s="89" t="e">
        <f>#REF!</f>
        <v>#REF!</v>
      </c>
      <c r="AD114" s="89" t="e">
        <f>#REF!</f>
        <v>#REF!</v>
      </c>
      <c r="AE114" s="89" t="e">
        <f>#REF!</f>
        <v>#REF!</v>
      </c>
      <c r="AF114" s="89" t="e">
        <f>#REF!</f>
        <v>#REF!</v>
      </c>
      <c r="AG114" s="89" t="e">
        <f>#REF!</f>
        <v>#REF!</v>
      </c>
      <c r="AH114" s="89" t="e">
        <f>#REF!</f>
        <v>#REF!</v>
      </c>
      <c r="AI114" s="89" t="e">
        <f>#REF!</f>
        <v>#REF!</v>
      </c>
      <c r="AJ114" s="89" t="e">
        <f>#REF!</f>
        <v>#REF!</v>
      </c>
      <c r="AK114" s="89" t="e">
        <f>#REF!</f>
        <v>#REF!</v>
      </c>
      <c r="AL114" s="89" t="e">
        <f>#REF!</f>
        <v>#REF!</v>
      </c>
      <c r="AM114" s="89" t="e">
        <f>#REF!</f>
        <v>#REF!</v>
      </c>
      <c r="AN114" s="89" t="e">
        <f>#REF!</f>
        <v>#REF!</v>
      </c>
      <c r="AO114" s="89" t="e">
        <f>#REF!</f>
        <v>#REF!</v>
      </c>
      <c r="AP114" s="89" t="e">
        <f>#REF!</f>
        <v>#REF!</v>
      </c>
      <c r="AQ114" s="89" t="e">
        <f>#REF!</f>
        <v>#REF!</v>
      </c>
      <c r="AR114" s="89" t="e">
        <f>#REF!</f>
        <v>#REF!</v>
      </c>
      <c r="AS114" s="89" t="e">
        <f>#REF!</f>
        <v>#REF!</v>
      </c>
      <c r="AT114" s="89" t="e">
        <f>#REF!</f>
        <v>#REF!</v>
      </c>
      <c r="AU114" s="89" t="e">
        <f>#REF!</f>
        <v>#REF!</v>
      </c>
      <c r="AV114" s="89" t="e">
        <f>#REF!</f>
        <v>#REF!</v>
      </c>
      <c r="AW114" s="89" t="e">
        <f>#REF!</f>
        <v>#REF!</v>
      </c>
      <c r="AX114" s="89" t="e">
        <f>#REF!</f>
        <v>#REF!</v>
      </c>
      <c r="AY114" s="89" t="e">
        <f>#REF!</f>
        <v>#REF!</v>
      </c>
      <c r="AZ114" s="89" t="e">
        <f>#REF!</f>
        <v>#REF!</v>
      </c>
      <c r="BA114" s="89" t="e">
        <f>#REF!</f>
        <v>#REF!</v>
      </c>
      <c r="BB114" s="89" t="e">
        <f>#REF!</f>
        <v>#REF!</v>
      </c>
      <c r="BC114" s="89" t="e">
        <f>#REF!</f>
        <v>#REF!</v>
      </c>
      <c r="BD114" s="89" t="e">
        <f>#REF!</f>
        <v>#REF!</v>
      </c>
      <c r="BE114" s="89" t="e">
        <f>#REF!</f>
        <v>#REF!</v>
      </c>
      <c r="BF114" s="89" t="e">
        <f>#REF!</f>
        <v>#REF!</v>
      </c>
    </row>
    <row r="115" spans="9:58" x14ac:dyDescent="0.25">
      <c r="I115" s="89">
        <f>ABCD!J164</f>
        <v>27.75</v>
      </c>
      <c r="J115" s="89">
        <f>ABCD!K164</f>
        <v>91.02</v>
      </c>
      <c r="K115" s="89">
        <f>ABCD!L164</f>
        <v>6.6427482573794325</v>
      </c>
      <c r="L115" s="89">
        <f>ABCD!M164</f>
        <v>1.2015578074952973</v>
      </c>
      <c r="M115" s="89">
        <f>ABCD!N164</f>
        <v>6.7505440947875002</v>
      </c>
      <c r="N115" s="89" t="e">
        <v>#REF!</v>
      </c>
      <c r="O115" s="89" t="e">
        <v>#REF!</v>
      </c>
      <c r="P115" s="89" t="e">
        <v>#REF!</v>
      </c>
      <c r="Q115" s="89" t="e">
        <v>#REF!</v>
      </c>
      <c r="R115" s="89" t="e">
        <v>#REF!</v>
      </c>
      <c r="S115" s="89" t="e">
        <f>#REF!</f>
        <v>#REF!</v>
      </c>
      <c r="T115" s="89" t="e">
        <f>#REF!</f>
        <v>#REF!</v>
      </c>
      <c r="U115" s="89" t="e">
        <f>#REF!</f>
        <v>#REF!</v>
      </c>
      <c r="V115" s="89" t="e">
        <f>#REF!</f>
        <v>#REF!</v>
      </c>
      <c r="W115" s="89" t="e">
        <f>#REF!</f>
        <v>#REF!</v>
      </c>
      <c r="X115" s="89" t="e">
        <f>#REF!</f>
        <v>#REF!</v>
      </c>
      <c r="Y115" s="89" t="e">
        <f>#REF!</f>
        <v>#REF!</v>
      </c>
      <c r="Z115" s="89" t="e">
        <f>#REF!</f>
        <v>#REF!</v>
      </c>
      <c r="AA115" s="89" t="e">
        <f>#REF!</f>
        <v>#REF!</v>
      </c>
      <c r="AB115" s="89" t="e">
        <f>#REF!</f>
        <v>#REF!</v>
      </c>
      <c r="AC115" s="89" t="e">
        <f>#REF!</f>
        <v>#REF!</v>
      </c>
      <c r="AD115" s="89" t="e">
        <f>#REF!</f>
        <v>#REF!</v>
      </c>
      <c r="AE115" s="89" t="e">
        <f>#REF!</f>
        <v>#REF!</v>
      </c>
      <c r="AF115" s="89" t="e">
        <f>#REF!</f>
        <v>#REF!</v>
      </c>
      <c r="AG115" s="89" t="e">
        <f>#REF!</f>
        <v>#REF!</v>
      </c>
      <c r="AH115" s="89" t="e">
        <f>#REF!</f>
        <v>#REF!</v>
      </c>
      <c r="AI115" s="89" t="e">
        <f>#REF!</f>
        <v>#REF!</v>
      </c>
      <c r="AJ115" s="89" t="e">
        <f>#REF!</f>
        <v>#REF!</v>
      </c>
      <c r="AK115" s="89" t="e">
        <f>#REF!</f>
        <v>#REF!</v>
      </c>
      <c r="AL115" s="89" t="e">
        <f>#REF!</f>
        <v>#REF!</v>
      </c>
      <c r="AM115" s="89" t="e">
        <f>#REF!</f>
        <v>#REF!</v>
      </c>
      <c r="AN115" s="89" t="e">
        <f>#REF!</f>
        <v>#REF!</v>
      </c>
      <c r="AO115" s="89" t="e">
        <f>#REF!</f>
        <v>#REF!</v>
      </c>
      <c r="AP115" s="89" t="e">
        <f>#REF!</f>
        <v>#REF!</v>
      </c>
      <c r="AQ115" s="89" t="e">
        <f>#REF!</f>
        <v>#REF!</v>
      </c>
      <c r="AR115" s="89" t="e">
        <f>#REF!</f>
        <v>#REF!</v>
      </c>
      <c r="AS115" s="89" t="e">
        <f>#REF!</f>
        <v>#REF!</v>
      </c>
      <c r="AT115" s="89" t="e">
        <f>#REF!</f>
        <v>#REF!</v>
      </c>
      <c r="AU115" s="89" t="e">
        <f>#REF!</f>
        <v>#REF!</v>
      </c>
      <c r="AV115" s="89" t="e">
        <f>#REF!</f>
        <v>#REF!</v>
      </c>
      <c r="AW115" s="89" t="e">
        <f>#REF!</f>
        <v>#REF!</v>
      </c>
      <c r="AX115" s="89" t="e">
        <f>#REF!</f>
        <v>#REF!</v>
      </c>
      <c r="AY115" s="89" t="e">
        <f>#REF!</f>
        <v>#REF!</v>
      </c>
      <c r="AZ115" s="89" t="e">
        <f>#REF!</f>
        <v>#REF!</v>
      </c>
      <c r="BA115" s="89" t="e">
        <f>#REF!</f>
        <v>#REF!</v>
      </c>
      <c r="BB115" s="89" t="e">
        <f>#REF!</f>
        <v>#REF!</v>
      </c>
      <c r="BC115" s="89" t="e">
        <f>#REF!</f>
        <v>#REF!</v>
      </c>
      <c r="BD115" s="89" t="e">
        <f>#REF!</f>
        <v>#REF!</v>
      </c>
      <c r="BE115" s="89" t="e">
        <f>#REF!</f>
        <v>#REF!</v>
      </c>
      <c r="BF115" s="89" t="e">
        <f>#REF!</f>
        <v>#REF!</v>
      </c>
    </row>
    <row r="116" spans="9:58" x14ac:dyDescent="0.25">
      <c r="I116" s="89">
        <f>ABCD!J165</f>
        <v>28</v>
      </c>
      <c r="J116" s="89">
        <f>ABCD!K165</f>
        <v>91.839999999999989</v>
      </c>
      <c r="K116" s="89">
        <f>ABCD!L165</f>
        <v>6.6512794137552298</v>
      </c>
      <c r="L116" s="89">
        <f>ABCD!M165</f>
        <v>1.2040421220222053</v>
      </c>
      <c r="M116" s="89">
        <f>ABCD!N165</f>
        <v>6.7593812787449599</v>
      </c>
      <c r="N116" s="89" t="e">
        <v>#REF!</v>
      </c>
      <c r="O116" s="89" t="e">
        <v>#REF!</v>
      </c>
      <c r="P116" s="89" t="e">
        <v>#REF!</v>
      </c>
      <c r="Q116" s="89" t="e">
        <v>#REF!</v>
      </c>
      <c r="R116" s="89" t="e">
        <v>#REF!</v>
      </c>
      <c r="S116" s="89" t="e">
        <f>#REF!</f>
        <v>#REF!</v>
      </c>
      <c r="T116" s="89" t="e">
        <f>#REF!</f>
        <v>#REF!</v>
      </c>
      <c r="U116" s="89" t="e">
        <f>#REF!</f>
        <v>#REF!</v>
      </c>
      <c r="V116" s="89" t="e">
        <f>#REF!</f>
        <v>#REF!</v>
      </c>
      <c r="W116" s="89" t="e">
        <f>#REF!</f>
        <v>#REF!</v>
      </c>
      <c r="X116" s="89" t="e">
        <f>#REF!</f>
        <v>#REF!</v>
      </c>
      <c r="Y116" s="89" t="e">
        <f>#REF!</f>
        <v>#REF!</v>
      </c>
      <c r="Z116" s="89" t="e">
        <f>#REF!</f>
        <v>#REF!</v>
      </c>
      <c r="AA116" s="89" t="e">
        <f>#REF!</f>
        <v>#REF!</v>
      </c>
      <c r="AB116" s="89" t="e">
        <f>#REF!</f>
        <v>#REF!</v>
      </c>
      <c r="AC116" s="89" t="e">
        <f>#REF!</f>
        <v>#REF!</v>
      </c>
      <c r="AD116" s="89" t="e">
        <f>#REF!</f>
        <v>#REF!</v>
      </c>
      <c r="AE116" s="89" t="e">
        <f>#REF!</f>
        <v>#REF!</v>
      </c>
      <c r="AF116" s="89" t="e">
        <f>#REF!</f>
        <v>#REF!</v>
      </c>
      <c r="AG116" s="89" t="e">
        <f>#REF!</f>
        <v>#REF!</v>
      </c>
      <c r="AH116" s="89" t="e">
        <f>#REF!</f>
        <v>#REF!</v>
      </c>
      <c r="AI116" s="89" t="e">
        <f>#REF!</f>
        <v>#REF!</v>
      </c>
      <c r="AJ116" s="89" t="e">
        <f>#REF!</f>
        <v>#REF!</v>
      </c>
      <c r="AK116" s="89" t="e">
        <f>#REF!</f>
        <v>#REF!</v>
      </c>
      <c r="AL116" s="89" t="e">
        <f>#REF!</f>
        <v>#REF!</v>
      </c>
      <c r="AM116" s="89" t="e">
        <f>#REF!</f>
        <v>#REF!</v>
      </c>
      <c r="AN116" s="89" t="e">
        <f>#REF!</f>
        <v>#REF!</v>
      </c>
      <c r="AO116" s="89" t="e">
        <f>#REF!</f>
        <v>#REF!</v>
      </c>
      <c r="AP116" s="89" t="e">
        <f>#REF!</f>
        <v>#REF!</v>
      </c>
      <c r="AQ116" s="89" t="e">
        <f>#REF!</f>
        <v>#REF!</v>
      </c>
      <c r="AR116" s="89" t="e">
        <f>#REF!</f>
        <v>#REF!</v>
      </c>
      <c r="AS116" s="89" t="e">
        <f>#REF!</f>
        <v>#REF!</v>
      </c>
      <c r="AT116" s="89" t="e">
        <f>#REF!</f>
        <v>#REF!</v>
      </c>
      <c r="AU116" s="89" t="e">
        <f>#REF!</f>
        <v>#REF!</v>
      </c>
      <c r="AV116" s="89" t="e">
        <f>#REF!</f>
        <v>#REF!</v>
      </c>
      <c r="AW116" s="89" t="e">
        <f>#REF!</f>
        <v>#REF!</v>
      </c>
      <c r="AX116" s="89" t="e">
        <f>#REF!</f>
        <v>#REF!</v>
      </c>
      <c r="AY116" s="89" t="e">
        <f>#REF!</f>
        <v>#REF!</v>
      </c>
      <c r="AZ116" s="89" t="e">
        <f>#REF!</f>
        <v>#REF!</v>
      </c>
      <c r="BA116" s="89" t="e">
        <f>#REF!</f>
        <v>#REF!</v>
      </c>
      <c r="BB116" s="89" t="e">
        <f>#REF!</f>
        <v>#REF!</v>
      </c>
      <c r="BC116" s="89" t="e">
        <f>#REF!</f>
        <v>#REF!</v>
      </c>
      <c r="BD116" s="89" t="e">
        <f>#REF!</f>
        <v>#REF!</v>
      </c>
      <c r="BE116" s="89" t="e">
        <f>#REF!</f>
        <v>#REF!</v>
      </c>
      <c r="BF116" s="89" t="e">
        <f>#REF!</f>
        <v>#REF!</v>
      </c>
    </row>
    <row r="117" spans="9:58" x14ac:dyDescent="0.25">
      <c r="I117" s="89">
        <f>ABCD!J166</f>
        <v>28.25</v>
      </c>
      <c r="J117" s="89">
        <f>ABCD!K166</f>
        <v>92.66</v>
      </c>
      <c r="K117" s="89">
        <f>ABCD!L166</f>
        <v>6.6582675070502502</v>
      </c>
      <c r="L117" s="89">
        <f>ABCD!M166</f>
        <v>1.2062462592933425</v>
      </c>
      <c r="M117" s="89">
        <f>ABCD!N166</f>
        <v>6.7666502963800585</v>
      </c>
      <c r="N117" s="89" t="e">
        <v>#REF!</v>
      </c>
      <c r="O117" s="89" t="e">
        <v>#REF!</v>
      </c>
      <c r="P117" s="89" t="e">
        <v>#REF!</v>
      </c>
      <c r="Q117" s="89" t="e">
        <v>#REF!</v>
      </c>
      <c r="R117" s="89" t="e">
        <v>#REF!</v>
      </c>
      <c r="S117" s="89" t="e">
        <f>#REF!</f>
        <v>#REF!</v>
      </c>
      <c r="T117" s="89" t="e">
        <f>#REF!</f>
        <v>#REF!</v>
      </c>
      <c r="U117" s="89" t="e">
        <f>#REF!</f>
        <v>#REF!</v>
      </c>
      <c r="V117" s="89" t="e">
        <f>#REF!</f>
        <v>#REF!</v>
      </c>
      <c r="W117" s="89" t="e">
        <f>#REF!</f>
        <v>#REF!</v>
      </c>
      <c r="X117" s="89" t="e">
        <f>#REF!</f>
        <v>#REF!</v>
      </c>
      <c r="Y117" s="89" t="e">
        <f>#REF!</f>
        <v>#REF!</v>
      </c>
      <c r="Z117" s="89" t="e">
        <f>#REF!</f>
        <v>#REF!</v>
      </c>
      <c r="AA117" s="89" t="e">
        <f>#REF!</f>
        <v>#REF!</v>
      </c>
      <c r="AB117" s="89" t="e">
        <f>#REF!</f>
        <v>#REF!</v>
      </c>
      <c r="AC117" s="89" t="e">
        <f>#REF!</f>
        <v>#REF!</v>
      </c>
      <c r="AD117" s="89" t="e">
        <f>#REF!</f>
        <v>#REF!</v>
      </c>
      <c r="AE117" s="89" t="e">
        <f>#REF!</f>
        <v>#REF!</v>
      </c>
      <c r="AF117" s="89" t="e">
        <f>#REF!</f>
        <v>#REF!</v>
      </c>
      <c r="AG117" s="89" t="e">
        <f>#REF!</f>
        <v>#REF!</v>
      </c>
      <c r="AH117" s="89" t="e">
        <f>#REF!</f>
        <v>#REF!</v>
      </c>
      <c r="AI117" s="89" t="e">
        <f>#REF!</f>
        <v>#REF!</v>
      </c>
      <c r="AJ117" s="89" t="e">
        <f>#REF!</f>
        <v>#REF!</v>
      </c>
      <c r="AK117" s="89" t="e">
        <f>#REF!</f>
        <v>#REF!</v>
      </c>
      <c r="AL117" s="89" t="e">
        <f>#REF!</f>
        <v>#REF!</v>
      </c>
      <c r="AM117" s="89" t="e">
        <f>#REF!</f>
        <v>#REF!</v>
      </c>
      <c r="AN117" s="89" t="e">
        <f>#REF!</f>
        <v>#REF!</v>
      </c>
      <c r="AO117" s="89" t="e">
        <f>#REF!</f>
        <v>#REF!</v>
      </c>
      <c r="AP117" s="89" t="e">
        <f>#REF!</f>
        <v>#REF!</v>
      </c>
      <c r="AQ117" s="89" t="e">
        <f>#REF!</f>
        <v>#REF!</v>
      </c>
      <c r="AR117" s="89" t="e">
        <f>#REF!</f>
        <v>#REF!</v>
      </c>
      <c r="AS117" s="89" t="e">
        <f>#REF!</f>
        <v>#REF!</v>
      </c>
      <c r="AT117" s="89" t="e">
        <f>#REF!</f>
        <v>#REF!</v>
      </c>
      <c r="AU117" s="89" t="e">
        <f>#REF!</f>
        <v>#REF!</v>
      </c>
      <c r="AV117" s="89" t="e">
        <f>#REF!</f>
        <v>#REF!</v>
      </c>
      <c r="AW117" s="89" t="e">
        <f>#REF!</f>
        <v>#REF!</v>
      </c>
      <c r="AX117" s="89" t="e">
        <f>#REF!</f>
        <v>#REF!</v>
      </c>
      <c r="AY117" s="89" t="e">
        <f>#REF!</f>
        <v>#REF!</v>
      </c>
      <c r="AZ117" s="89" t="e">
        <f>#REF!</f>
        <v>#REF!</v>
      </c>
      <c r="BA117" s="89" t="e">
        <f>#REF!</f>
        <v>#REF!</v>
      </c>
      <c r="BB117" s="89" t="e">
        <f>#REF!</f>
        <v>#REF!</v>
      </c>
      <c r="BC117" s="89" t="e">
        <f>#REF!</f>
        <v>#REF!</v>
      </c>
      <c r="BD117" s="89" t="e">
        <f>#REF!</f>
        <v>#REF!</v>
      </c>
      <c r="BE117" s="89" t="e">
        <f>#REF!</f>
        <v>#REF!</v>
      </c>
      <c r="BF117" s="89" t="e">
        <f>#REF!</f>
        <v>#REF!</v>
      </c>
    </row>
    <row r="118" spans="9:58" x14ac:dyDescent="0.25">
      <c r="I118" s="89">
        <f>ABCD!J167</f>
        <v>28.5</v>
      </c>
      <c r="J118" s="89">
        <f>ABCD!K167</f>
        <v>93.47999999999999</v>
      </c>
      <c r="K118" s="89">
        <f>ABCD!L167</f>
        <v>6.6637123122575375</v>
      </c>
      <c r="L118" s="89">
        <f>ABCD!M167</f>
        <v>1.2081699625493818</v>
      </c>
      <c r="M118" s="89">
        <f>ABCD!N167</f>
        <v>6.772350879786079</v>
      </c>
      <c r="N118" s="89" t="e">
        <v>#REF!</v>
      </c>
      <c r="O118" s="89" t="e">
        <v>#REF!</v>
      </c>
      <c r="P118" s="89" t="e">
        <v>#REF!</v>
      </c>
      <c r="Q118" s="89" t="e">
        <v>#REF!</v>
      </c>
      <c r="R118" s="89" t="e">
        <v>#REF!</v>
      </c>
      <c r="S118" s="89" t="e">
        <f>#REF!</f>
        <v>#REF!</v>
      </c>
      <c r="T118" s="89" t="e">
        <f>#REF!</f>
        <v>#REF!</v>
      </c>
      <c r="U118" s="89" t="e">
        <f>#REF!</f>
        <v>#REF!</v>
      </c>
      <c r="V118" s="89" t="e">
        <f>#REF!</f>
        <v>#REF!</v>
      </c>
      <c r="W118" s="89" t="e">
        <f>#REF!</f>
        <v>#REF!</v>
      </c>
      <c r="X118" s="89" t="e">
        <f>#REF!</f>
        <v>#REF!</v>
      </c>
      <c r="Y118" s="89" t="e">
        <f>#REF!</f>
        <v>#REF!</v>
      </c>
      <c r="Z118" s="89" t="e">
        <f>#REF!</f>
        <v>#REF!</v>
      </c>
      <c r="AA118" s="89" t="e">
        <f>#REF!</f>
        <v>#REF!</v>
      </c>
      <c r="AB118" s="89" t="e">
        <f>#REF!</f>
        <v>#REF!</v>
      </c>
      <c r="AC118" s="89" t="e">
        <f>#REF!</f>
        <v>#REF!</v>
      </c>
      <c r="AD118" s="89" t="e">
        <f>#REF!</f>
        <v>#REF!</v>
      </c>
      <c r="AE118" s="89" t="e">
        <f>#REF!</f>
        <v>#REF!</v>
      </c>
      <c r="AF118" s="89" t="e">
        <f>#REF!</f>
        <v>#REF!</v>
      </c>
      <c r="AG118" s="89" t="e">
        <f>#REF!</f>
        <v>#REF!</v>
      </c>
      <c r="AH118" s="89" t="e">
        <f>#REF!</f>
        <v>#REF!</v>
      </c>
      <c r="AI118" s="89" t="e">
        <f>#REF!</f>
        <v>#REF!</v>
      </c>
      <c r="AJ118" s="89" t="e">
        <f>#REF!</f>
        <v>#REF!</v>
      </c>
      <c r="AK118" s="89" t="e">
        <f>#REF!</f>
        <v>#REF!</v>
      </c>
      <c r="AL118" s="89" t="e">
        <f>#REF!</f>
        <v>#REF!</v>
      </c>
      <c r="AM118" s="89" t="e">
        <f>#REF!</f>
        <v>#REF!</v>
      </c>
      <c r="AN118" s="89" t="e">
        <f>#REF!</f>
        <v>#REF!</v>
      </c>
      <c r="AO118" s="89" t="e">
        <f>#REF!</f>
        <v>#REF!</v>
      </c>
      <c r="AP118" s="89" t="e">
        <f>#REF!</f>
        <v>#REF!</v>
      </c>
      <c r="AQ118" s="89" t="e">
        <f>#REF!</f>
        <v>#REF!</v>
      </c>
      <c r="AR118" s="89" t="e">
        <f>#REF!</f>
        <v>#REF!</v>
      </c>
      <c r="AS118" s="89" t="e">
        <f>#REF!</f>
        <v>#REF!</v>
      </c>
      <c r="AT118" s="89" t="e">
        <f>#REF!</f>
        <v>#REF!</v>
      </c>
      <c r="AU118" s="89" t="e">
        <f>#REF!</f>
        <v>#REF!</v>
      </c>
      <c r="AV118" s="89" t="e">
        <f>#REF!</f>
        <v>#REF!</v>
      </c>
      <c r="AW118" s="89" t="e">
        <f>#REF!</f>
        <v>#REF!</v>
      </c>
      <c r="AX118" s="89" t="e">
        <f>#REF!</f>
        <v>#REF!</v>
      </c>
      <c r="AY118" s="89" t="e">
        <f>#REF!</f>
        <v>#REF!</v>
      </c>
      <c r="AZ118" s="89" t="e">
        <f>#REF!</f>
        <v>#REF!</v>
      </c>
      <c r="BA118" s="89" t="e">
        <f>#REF!</f>
        <v>#REF!</v>
      </c>
      <c r="BB118" s="89" t="e">
        <f>#REF!</f>
        <v>#REF!</v>
      </c>
      <c r="BC118" s="89" t="e">
        <f>#REF!</f>
        <v>#REF!</v>
      </c>
      <c r="BD118" s="89" t="e">
        <f>#REF!</f>
        <v>#REF!</v>
      </c>
      <c r="BE118" s="89" t="e">
        <f>#REF!</f>
        <v>#REF!</v>
      </c>
      <c r="BF118" s="89" t="e">
        <f>#REF!</f>
        <v>#REF!</v>
      </c>
    </row>
    <row r="119" spans="9:58" x14ac:dyDescent="0.25">
      <c r="I119" s="89">
        <f>ABCD!J168</f>
        <v>28.75</v>
      </c>
      <c r="J119" s="89">
        <f>ABCD!K168</f>
        <v>94.3</v>
      </c>
      <c r="K119" s="89">
        <f>ABCD!L168</f>
        <v>6.6676139608268352</v>
      </c>
      <c r="L119" s="89">
        <f>ABCD!M168</f>
        <v>1.2098130399976756</v>
      </c>
      <c r="M119" s="89">
        <f>ABCD!N168</f>
        <v>6.7764831234469503</v>
      </c>
      <c r="N119" s="89" t="e">
        <v>#REF!</v>
      </c>
      <c r="O119" s="89" t="e">
        <v>#REF!</v>
      </c>
      <c r="P119" s="89" t="e">
        <v>#REF!</v>
      </c>
      <c r="Q119" s="89" t="e">
        <v>#REF!</v>
      </c>
      <c r="R119" s="89" t="e">
        <v>#REF!</v>
      </c>
      <c r="S119" s="89" t="e">
        <f>#REF!</f>
        <v>#REF!</v>
      </c>
      <c r="T119" s="89" t="e">
        <f>#REF!</f>
        <v>#REF!</v>
      </c>
      <c r="U119" s="89" t="e">
        <f>#REF!</f>
        <v>#REF!</v>
      </c>
      <c r="V119" s="89" t="e">
        <f>#REF!</f>
        <v>#REF!</v>
      </c>
      <c r="W119" s="89" t="e">
        <f>#REF!</f>
        <v>#REF!</v>
      </c>
      <c r="X119" s="89" t="e">
        <f>#REF!</f>
        <v>#REF!</v>
      </c>
      <c r="Y119" s="89" t="e">
        <f>#REF!</f>
        <v>#REF!</v>
      </c>
      <c r="Z119" s="89" t="e">
        <f>#REF!</f>
        <v>#REF!</v>
      </c>
      <c r="AA119" s="89" t="e">
        <f>#REF!</f>
        <v>#REF!</v>
      </c>
      <c r="AB119" s="89" t="e">
        <f>#REF!</f>
        <v>#REF!</v>
      </c>
      <c r="AC119" s="89" t="e">
        <f>#REF!</f>
        <v>#REF!</v>
      </c>
      <c r="AD119" s="89" t="e">
        <f>#REF!</f>
        <v>#REF!</v>
      </c>
      <c r="AE119" s="89" t="e">
        <f>#REF!</f>
        <v>#REF!</v>
      </c>
      <c r="AF119" s="89" t="e">
        <f>#REF!</f>
        <v>#REF!</v>
      </c>
      <c r="AG119" s="89" t="e">
        <f>#REF!</f>
        <v>#REF!</v>
      </c>
      <c r="AH119" s="89" t="e">
        <f>#REF!</f>
        <v>#REF!</v>
      </c>
      <c r="AI119" s="89" t="e">
        <f>#REF!</f>
        <v>#REF!</v>
      </c>
      <c r="AJ119" s="89" t="e">
        <f>#REF!</f>
        <v>#REF!</v>
      </c>
      <c r="AK119" s="89" t="e">
        <f>#REF!</f>
        <v>#REF!</v>
      </c>
      <c r="AL119" s="89" t="e">
        <f>#REF!</f>
        <v>#REF!</v>
      </c>
      <c r="AM119" s="89" t="e">
        <f>#REF!</f>
        <v>#REF!</v>
      </c>
      <c r="AN119" s="89" t="e">
        <f>#REF!</f>
        <v>#REF!</v>
      </c>
      <c r="AO119" s="89" t="e">
        <f>#REF!</f>
        <v>#REF!</v>
      </c>
      <c r="AP119" s="89" t="e">
        <f>#REF!</f>
        <v>#REF!</v>
      </c>
      <c r="AQ119" s="89" t="e">
        <f>#REF!</f>
        <v>#REF!</v>
      </c>
      <c r="AR119" s="89" t="e">
        <f>#REF!</f>
        <v>#REF!</v>
      </c>
      <c r="AS119" s="89" t="e">
        <f>#REF!</f>
        <v>#REF!</v>
      </c>
      <c r="AT119" s="89" t="e">
        <f>#REF!</f>
        <v>#REF!</v>
      </c>
      <c r="AU119" s="89" t="e">
        <f>#REF!</f>
        <v>#REF!</v>
      </c>
      <c r="AV119" s="89" t="e">
        <f>#REF!</f>
        <v>#REF!</v>
      </c>
      <c r="AW119" s="89" t="e">
        <f>#REF!</f>
        <v>#REF!</v>
      </c>
      <c r="AX119" s="89" t="e">
        <f>#REF!</f>
        <v>#REF!</v>
      </c>
      <c r="AY119" s="89" t="e">
        <f>#REF!</f>
        <v>#REF!</v>
      </c>
      <c r="AZ119" s="89" t="e">
        <f>#REF!</f>
        <v>#REF!</v>
      </c>
      <c r="BA119" s="89" t="e">
        <f>#REF!</f>
        <v>#REF!</v>
      </c>
      <c r="BB119" s="89" t="e">
        <f>#REF!</f>
        <v>#REF!</v>
      </c>
      <c r="BC119" s="89" t="e">
        <f>#REF!</f>
        <v>#REF!</v>
      </c>
      <c r="BD119" s="89" t="e">
        <f>#REF!</f>
        <v>#REF!</v>
      </c>
      <c r="BE119" s="89" t="e">
        <f>#REF!</f>
        <v>#REF!</v>
      </c>
      <c r="BF119" s="89" t="e">
        <f>#REF!</f>
        <v>#REF!</v>
      </c>
    </row>
    <row r="120" spans="9:58" x14ac:dyDescent="0.25">
      <c r="I120" s="89">
        <f>ABCD!J169</f>
        <v>29</v>
      </c>
      <c r="J120" s="89">
        <f>ABCD!K169</f>
        <v>95.11999999999999</v>
      </c>
      <c r="K120" s="89">
        <f>ABCD!L169</f>
        <v>6.6699729403135777</v>
      </c>
      <c r="L120" s="89">
        <f>ABCD!M169</f>
        <v>1.2111753647980534</v>
      </c>
      <c r="M120" s="89">
        <f>ABCD!N169</f>
        <v>6.7790474838880614</v>
      </c>
      <c r="N120" s="89" t="e">
        <v>#REF!</v>
      </c>
      <c r="O120" s="89" t="e">
        <v>#REF!</v>
      </c>
      <c r="P120" s="89" t="e">
        <v>#REF!</v>
      </c>
      <c r="Q120" s="89" t="e">
        <v>#REF!</v>
      </c>
      <c r="R120" s="89" t="e">
        <v>#REF!</v>
      </c>
      <c r="S120" s="89" t="e">
        <f>#REF!</f>
        <v>#REF!</v>
      </c>
      <c r="T120" s="89" t="e">
        <f>#REF!</f>
        <v>#REF!</v>
      </c>
      <c r="U120" s="89" t="e">
        <f>#REF!</f>
        <v>#REF!</v>
      </c>
      <c r="V120" s="89" t="e">
        <f>#REF!</f>
        <v>#REF!</v>
      </c>
      <c r="W120" s="89" t="e">
        <f>#REF!</f>
        <v>#REF!</v>
      </c>
      <c r="X120" s="89" t="e">
        <f>#REF!</f>
        <v>#REF!</v>
      </c>
      <c r="Y120" s="89" t="e">
        <f>#REF!</f>
        <v>#REF!</v>
      </c>
      <c r="Z120" s="89" t="e">
        <f>#REF!</f>
        <v>#REF!</v>
      </c>
      <c r="AA120" s="89" t="e">
        <f>#REF!</f>
        <v>#REF!</v>
      </c>
      <c r="AB120" s="89" t="e">
        <f>#REF!</f>
        <v>#REF!</v>
      </c>
      <c r="AC120" s="89" t="e">
        <f>#REF!</f>
        <v>#REF!</v>
      </c>
      <c r="AD120" s="89" t="e">
        <f>#REF!</f>
        <v>#REF!</v>
      </c>
      <c r="AE120" s="89" t="e">
        <f>#REF!</f>
        <v>#REF!</v>
      </c>
      <c r="AF120" s="89" t="e">
        <f>#REF!</f>
        <v>#REF!</v>
      </c>
      <c r="AG120" s="89" t="e">
        <f>#REF!</f>
        <v>#REF!</v>
      </c>
      <c r="AH120" s="89" t="e">
        <f>#REF!</f>
        <v>#REF!</v>
      </c>
      <c r="AI120" s="89" t="e">
        <f>#REF!</f>
        <v>#REF!</v>
      </c>
      <c r="AJ120" s="89" t="e">
        <f>#REF!</f>
        <v>#REF!</v>
      </c>
      <c r="AK120" s="89" t="e">
        <f>#REF!</f>
        <v>#REF!</v>
      </c>
      <c r="AL120" s="89" t="e">
        <f>#REF!</f>
        <v>#REF!</v>
      </c>
      <c r="AM120" s="89" t="e">
        <f>#REF!</f>
        <v>#REF!</v>
      </c>
      <c r="AN120" s="89" t="e">
        <f>#REF!</f>
        <v>#REF!</v>
      </c>
      <c r="AO120" s="89" t="e">
        <f>#REF!</f>
        <v>#REF!</v>
      </c>
      <c r="AP120" s="89" t="e">
        <f>#REF!</f>
        <v>#REF!</v>
      </c>
      <c r="AQ120" s="89" t="e">
        <f>#REF!</f>
        <v>#REF!</v>
      </c>
      <c r="AR120" s="89" t="e">
        <f>#REF!</f>
        <v>#REF!</v>
      </c>
      <c r="AS120" s="89" t="e">
        <f>#REF!</f>
        <v>#REF!</v>
      </c>
      <c r="AT120" s="89" t="e">
        <f>#REF!</f>
        <v>#REF!</v>
      </c>
      <c r="AU120" s="89" t="e">
        <f>#REF!</f>
        <v>#REF!</v>
      </c>
      <c r="AV120" s="89" t="e">
        <f>#REF!</f>
        <v>#REF!</v>
      </c>
      <c r="AW120" s="89" t="e">
        <f>#REF!</f>
        <v>#REF!</v>
      </c>
      <c r="AX120" s="89" t="e">
        <f>#REF!</f>
        <v>#REF!</v>
      </c>
      <c r="AY120" s="89" t="e">
        <f>#REF!</f>
        <v>#REF!</v>
      </c>
      <c r="AZ120" s="89" t="e">
        <f>#REF!</f>
        <v>#REF!</v>
      </c>
      <c r="BA120" s="89" t="e">
        <f>#REF!</f>
        <v>#REF!</v>
      </c>
      <c r="BB120" s="89" t="e">
        <f>#REF!</f>
        <v>#REF!</v>
      </c>
      <c r="BC120" s="89" t="e">
        <f>#REF!</f>
        <v>#REF!</v>
      </c>
      <c r="BD120" s="89" t="e">
        <f>#REF!</f>
        <v>#REF!</v>
      </c>
      <c r="BE120" s="89" t="e">
        <f>#REF!</f>
        <v>#REF!</v>
      </c>
      <c r="BF120" s="89" t="e">
        <f>#REF!</f>
        <v>#REF!</v>
      </c>
    </row>
    <row r="121" spans="9:58" x14ac:dyDescent="0.25">
      <c r="I121" s="89">
        <f>ABCD!J170</f>
        <v>29.25</v>
      </c>
      <c r="J121" s="89">
        <f>ABCD!K170</f>
        <v>95.94</v>
      </c>
      <c r="K121" s="89">
        <f>ABCD!L170</f>
        <v>6.6707900939459801</v>
      </c>
      <c r="L121" s="89">
        <f>ABCD!M170</f>
        <v>1.2122568750337157</v>
      </c>
      <c r="M121" s="89">
        <f>ABCD!N170</f>
        <v>6.7800447792440375</v>
      </c>
      <c r="N121" s="89" t="e">
        <v>#REF!</v>
      </c>
      <c r="O121" s="89" t="e">
        <v>#REF!</v>
      </c>
      <c r="P121" s="89" t="e">
        <v>#REF!</v>
      </c>
      <c r="Q121" s="89" t="e">
        <v>#REF!</v>
      </c>
      <c r="R121" s="89" t="e">
        <v>#REF!</v>
      </c>
      <c r="S121" s="89" t="e">
        <f>#REF!</f>
        <v>#REF!</v>
      </c>
      <c r="T121" s="89" t="e">
        <f>#REF!</f>
        <v>#REF!</v>
      </c>
      <c r="U121" s="89" t="e">
        <f>#REF!</f>
        <v>#REF!</v>
      </c>
      <c r="V121" s="89" t="e">
        <f>#REF!</f>
        <v>#REF!</v>
      </c>
      <c r="W121" s="89" t="e">
        <f>#REF!</f>
        <v>#REF!</v>
      </c>
      <c r="X121" s="89" t="e">
        <f>#REF!</f>
        <v>#REF!</v>
      </c>
      <c r="Y121" s="89" t="e">
        <f>#REF!</f>
        <v>#REF!</v>
      </c>
      <c r="Z121" s="89" t="e">
        <f>#REF!</f>
        <v>#REF!</v>
      </c>
      <c r="AA121" s="89" t="e">
        <f>#REF!</f>
        <v>#REF!</v>
      </c>
      <c r="AB121" s="89" t="e">
        <f>#REF!</f>
        <v>#REF!</v>
      </c>
      <c r="AC121" s="89" t="e">
        <f>#REF!</f>
        <v>#REF!</v>
      </c>
      <c r="AD121" s="89" t="e">
        <f>#REF!</f>
        <v>#REF!</v>
      </c>
      <c r="AE121" s="89" t="e">
        <f>#REF!</f>
        <v>#REF!</v>
      </c>
      <c r="AF121" s="89" t="e">
        <f>#REF!</f>
        <v>#REF!</v>
      </c>
      <c r="AG121" s="89" t="e">
        <f>#REF!</f>
        <v>#REF!</v>
      </c>
      <c r="AH121" s="89" t="e">
        <f>#REF!</f>
        <v>#REF!</v>
      </c>
      <c r="AI121" s="89" t="e">
        <f>#REF!</f>
        <v>#REF!</v>
      </c>
      <c r="AJ121" s="89" t="e">
        <f>#REF!</f>
        <v>#REF!</v>
      </c>
      <c r="AK121" s="89" t="e">
        <f>#REF!</f>
        <v>#REF!</v>
      </c>
      <c r="AL121" s="89" t="e">
        <f>#REF!</f>
        <v>#REF!</v>
      </c>
      <c r="AM121" s="89" t="e">
        <f>#REF!</f>
        <v>#REF!</v>
      </c>
      <c r="AN121" s="89" t="e">
        <f>#REF!</f>
        <v>#REF!</v>
      </c>
      <c r="AO121" s="89" t="e">
        <f>#REF!</f>
        <v>#REF!</v>
      </c>
      <c r="AP121" s="89" t="e">
        <f>#REF!</f>
        <v>#REF!</v>
      </c>
      <c r="AQ121" s="89" t="e">
        <f>#REF!</f>
        <v>#REF!</v>
      </c>
      <c r="AR121" s="89" t="e">
        <f>#REF!</f>
        <v>#REF!</v>
      </c>
      <c r="AS121" s="89" t="e">
        <f>#REF!</f>
        <v>#REF!</v>
      </c>
      <c r="AT121" s="89" t="e">
        <f>#REF!</f>
        <v>#REF!</v>
      </c>
      <c r="AU121" s="89" t="e">
        <f>#REF!</f>
        <v>#REF!</v>
      </c>
      <c r="AV121" s="89" t="e">
        <f>#REF!</f>
        <v>#REF!</v>
      </c>
      <c r="AW121" s="89" t="e">
        <f>#REF!</f>
        <v>#REF!</v>
      </c>
      <c r="AX121" s="89" t="e">
        <f>#REF!</f>
        <v>#REF!</v>
      </c>
      <c r="AY121" s="89" t="e">
        <f>#REF!</f>
        <v>#REF!</v>
      </c>
      <c r="AZ121" s="89" t="e">
        <f>#REF!</f>
        <v>#REF!</v>
      </c>
      <c r="BA121" s="89" t="e">
        <f>#REF!</f>
        <v>#REF!</v>
      </c>
      <c r="BB121" s="89" t="e">
        <f>#REF!</f>
        <v>#REF!</v>
      </c>
      <c r="BC121" s="89" t="e">
        <f>#REF!</f>
        <v>#REF!</v>
      </c>
      <c r="BD121" s="89" t="e">
        <f>#REF!</f>
        <v>#REF!</v>
      </c>
      <c r="BE121" s="89" t="e">
        <f>#REF!</f>
        <v>#REF!</v>
      </c>
      <c r="BF121" s="89" t="e">
        <f>#REF!</f>
        <v>#REF!</v>
      </c>
    </row>
    <row r="122" spans="9:58" x14ac:dyDescent="0.25">
      <c r="I122" s="89">
        <f>ABCD!J171</f>
        <v>29.5</v>
      </c>
      <c r="J122" s="89">
        <f>ABCD!K171</f>
        <v>96.759999999999991</v>
      </c>
      <c r="K122" s="89">
        <f>ABCD!L171</f>
        <v>6.6700666201104362</v>
      </c>
      <c r="L122" s="89">
        <f>ABCD!M171</f>
        <v>1.2130575736670854</v>
      </c>
      <c r="M122" s="89">
        <f>ABCD!N171</f>
        <v>6.7794761887436801</v>
      </c>
      <c r="N122" s="89" t="e">
        <v>#REF!</v>
      </c>
      <c r="O122" s="89" t="e">
        <v>#REF!</v>
      </c>
      <c r="P122" s="89" t="e">
        <v>#REF!</v>
      </c>
      <c r="Q122" s="89" t="e">
        <v>#REF!</v>
      </c>
      <c r="R122" s="89" t="e">
        <v>#REF!</v>
      </c>
      <c r="S122" s="89" t="e">
        <f>#REF!</f>
        <v>#REF!</v>
      </c>
      <c r="T122" s="89" t="e">
        <f>#REF!</f>
        <v>#REF!</v>
      </c>
      <c r="U122" s="89" t="e">
        <f>#REF!</f>
        <v>#REF!</v>
      </c>
      <c r="V122" s="89" t="e">
        <f>#REF!</f>
        <v>#REF!</v>
      </c>
      <c r="W122" s="89" t="e">
        <f>#REF!</f>
        <v>#REF!</v>
      </c>
      <c r="X122" s="89" t="e">
        <f>#REF!</f>
        <v>#REF!</v>
      </c>
      <c r="Y122" s="89" t="e">
        <f>#REF!</f>
        <v>#REF!</v>
      </c>
      <c r="Z122" s="89" t="e">
        <f>#REF!</f>
        <v>#REF!</v>
      </c>
      <c r="AA122" s="89" t="e">
        <f>#REF!</f>
        <v>#REF!</v>
      </c>
      <c r="AB122" s="89" t="e">
        <f>#REF!</f>
        <v>#REF!</v>
      </c>
      <c r="AC122" s="89" t="e">
        <f>#REF!</f>
        <v>#REF!</v>
      </c>
      <c r="AD122" s="89" t="e">
        <f>#REF!</f>
        <v>#REF!</v>
      </c>
      <c r="AE122" s="89" t="e">
        <f>#REF!</f>
        <v>#REF!</v>
      </c>
      <c r="AF122" s="89" t="e">
        <f>#REF!</f>
        <v>#REF!</v>
      </c>
      <c r="AG122" s="89" t="e">
        <f>#REF!</f>
        <v>#REF!</v>
      </c>
      <c r="AH122" s="89" t="e">
        <f>#REF!</f>
        <v>#REF!</v>
      </c>
      <c r="AI122" s="89" t="e">
        <f>#REF!</f>
        <v>#REF!</v>
      </c>
      <c r="AJ122" s="89" t="e">
        <f>#REF!</f>
        <v>#REF!</v>
      </c>
      <c r="AK122" s="89" t="e">
        <f>#REF!</f>
        <v>#REF!</v>
      </c>
      <c r="AL122" s="89" t="e">
        <f>#REF!</f>
        <v>#REF!</v>
      </c>
      <c r="AM122" s="89" t="e">
        <f>#REF!</f>
        <v>#REF!</v>
      </c>
      <c r="AN122" s="89" t="e">
        <f>#REF!</f>
        <v>#REF!</v>
      </c>
      <c r="AO122" s="89" t="e">
        <f>#REF!</f>
        <v>#REF!</v>
      </c>
      <c r="AP122" s="89" t="e">
        <f>#REF!</f>
        <v>#REF!</v>
      </c>
      <c r="AQ122" s="89" t="e">
        <f>#REF!</f>
        <v>#REF!</v>
      </c>
      <c r="AR122" s="89" t="e">
        <f>#REF!</f>
        <v>#REF!</v>
      </c>
      <c r="AS122" s="89" t="e">
        <f>#REF!</f>
        <v>#REF!</v>
      </c>
      <c r="AT122" s="89" t="e">
        <f>#REF!</f>
        <v>#REF!</v>
      </c>
      <c r="AU122" s="89" t="e">
        <f>#REF!</f>
        <v>#REF!</v>
      </c>
      <c r="AV122" s="89" t="e">
        <f>#REF!</f>
        <v>#REF!</v>
      </c>
      <c r="AW122" s="89" t="e">
        <f>#REF!</f>
        <v>#REF!</v>
      </c>
      <c r="AX122" s="89" t="e">
        <f>#REF!</f>
        <v>#REF!</v>
      </c>
      <c r="AY122" s="89" t="e">
        <f>#REF!</f>
        <v>#REF!</v>
      </c>
      <c r="AZ122" s="89" t="e">
        <f>#REF!</f>
        <v>#REF!</v>
      </c>
      <c r="BA122" s="89" t="e">
        <f>#REF!</f>
        <v>#REF!</v>
      </c>
      <c r="BB122" s="89" t="e">
        <f>#REF!</f>
        <v>#REF!</v>
      </c>
      <c r="BC122" s="89" t="e">
        <f>#REF!</f>
        <v>#REF!</v>
      </c>
      <c r="BD122" s="89" t="e">
        <f>#REF!</f>
        <v>#REF!</v>
      </c>
      <c r="BE122" s="89" t="e">
        <f>#REF!</f>
        <v>#REF!</v>
      </c>
      <c r="BF122" s="89" t="e">
        <f>#REF!</f>
        <v>#REF!</v>
      </c>
    </row>
    <row r="123" spans="9:58" x14ac:dyDescent="0.25">
      <c r="I123" s="89">
        <f>ABCD!J172</f>
        <v>29.75</v>
      </c>
      <c r="J123" s="89">
        <f>ABCD!K172</f>
        <v>97.58</v>
      </c>
      <c r="K123" s="89">
        <f>ABCD!L172</f>
        <v>6.6678040717553806</v>
      </c>
      <c r="L123" s="89">
        <f>ABCD!M172</f>
        <v>1.2135775284807757</v>
      </c>
      <c r="M123" s="89">
        <f>ABCD!N172</f>
        <v>6.7773432521122272</v>
      </c>
      <c r="N123" s="89" t="e">
        <v>#REF!</v>
      </c>
      <c r="O123" s="89" t="e">
        <v>#REF!</v>
      </c>
      <c r="P123" s="89" t="e">
        <v>#REF!</v>
      </c>
      <c r="Q123" s="89" t="e">
        <v>#REF!</v>
      </c>
      <c r="R123" s="89" t="e">
        <v>#REF!</v>
      </c>
      <c r="S123" s="89" t="e">
        <f>#REF!</f>
        <v>#REF!</v>
      </c>
      <c r="T123" s="89" t="e">
        <f>#REF!</f>
        <v>#REF!</v>
      </c>
      <c r="U123" s="89" t="e">
        <f>#REF!</f>
        <v>#REF!</v>
      </c>
      <c r="V123" s="89" t="e">
        <f>#REF!</f>
        <v>#REF!</v>
      </c>
      <c r="W123" s="89" t="e">
        <f>#REF!</f>
        <v>#REF!</v>
      </c>
      <c r="X123" s="89" t="e">
        <f>#REF!</f>
        <v>#REF!</v>
      </c>
      <c r="Y123" s="89" t="e">
        <f>#REF!</f>
        <v>#REF!</v>
      </c>
      <c r="Z123" s="89" t="e">
        <f>#REF!</f>
        <v>#REF!</v>
      </c>
      <c r="AA123" s="89" t="e">
        <f>#REF!</f>
        <v>#REF!</v>
      </c>
      <c r="AB123" s="89" t="e">
        <f>#REF!</f>
        <v>#REF!</v>
      </c>
      <c r="AC123" s="89" t="e">
        <f>#REF!</f>
        <v>#REF!</v>
      </c>
      <c r="AD123" s="89" t="e">
        <f>#REF!</f>
        <v>#REF!</v>
      </c>
      <c r="AE123" s="89" t="e">
        <f>#REF!</f>
        <v>#REF!</v>
      </c>
      <c r="AF123" s="89" t="e">
        <f>#REF!</f>
        <v>#REF!</v>
      </c>
      <c r="AG123" s="89" t="e">
        <f>#REF!</f>
        <v>#REF!</v>
      </c>
      <c r="AH123" s="89" t="e">
        <f>#REF!</f>
        <v>#REF!</v>
      </c>
      <c r="AI123" s="89" t="e">
        <f>#REF!</f>
        <v>#REF!</v>
      </c>
      <c r="AJ123" s="89" t="e">
        <f>#REF!</f>
        <v>#REF!</v>
      </c>
      <c r="AK123" s="89" t="e">
        <f>#REF!</f>
        <v>#REF!</v>
      </c>
      <c r="AL123" s="89" t="e">
        <f>#REF!</f>
        <v>#REF!</v>
      </c>
      <c r="AM123" s="89" t="e">
        <f>#REF!</f>
        <v>#REF!</v>
      </c>
      <c r="AN123" s="89" t="e">
        <f>#REF!</f>
        <v>#REF!</v>
      </c>
      <c r="AO123" s="89" t="e">
        <f>#REF!</f>
        <v>#REF!</v>
      </c>
      <c r="AP123" s="89" t="e">
        <f>#REF!</f>
        <v>#REF!</v>
      </c>
      <c r="AQ123" s="89" t="e">
        <f>#REF!</f>
        <v>#REF!</v>
      </c>
      <c r="AR123" s="89" t="e">
        <f>#REF!</f>
        <v>#REF!</v>
      </c>
      <c r="AS123" s="89" t="e">
        <f>#REF!</f>
        <v>#REF!</v>
      </c>
      <c r="AT123" s="89" t="e">
        <f>#REF!</f>
        <v>#REF!</v>
      </c>
      <c r="AU123" s="89" t="e">
        <f>#REF!</f>
        <v>#REF!</v>
      </c>
      <c r="AV123" s="89" t="e">
        <f>#REF!</f>
        <v>#REF!</v>
      </c>
      <c r="AW123" s="89" t="e">
        <f>#REF!</f>
        <v>#REF!</v>
      </c>
      <c r="AX123" s="89" t="e">
        <f>#REF!</f>
        <v>#REF!</v>
      </c>
      <c r="AY123" s="89" t="e">
        <f>#REF!</f>
        <v>#REF!</v>
      </c>
      <c r="AZ123" s="89" t="e">
        <f>#REF!</f>
        <v>#REF!</v>
      </c>
      <c r="BA123" s="89" t="e">
        <f>#REF!</f>
        <v>#REF!</v>
      </c>
      <c r="BB123" s="89" t="e">
        <f>#REF!</f>
        <v>#REF!</v>
      </c>
      <c r="BC123" s="89" t="e">
        <f>#REF!</f>
        <v>#REF!</v>
      </c>
      <c r="BD123" s="89" t="e">
        <f>#REF!</f>
        <v>#REF!</v>
      </c>
      <c r="BE123" s="89" t="e">
        <f>#REF!</f>
        <v>#REF!</v>
      </c>
      <c r="BF123" s="89" t="e">
        <f>#REF!</f>
        <v>#REF!</v>
      </c>
    </row>
    <row r="124" spans="9:58" x14ac:dyDescent="0.25">
      <c r="I124" s="89">
        <f>ABCD!J173</f>
        <v>30</v>
      </c>
      <c r="J124" s="89">
        <f>ABCD!K173</f>
        <v>98.399999999999991</v>
      </c>
      <c r="K124" s="89">
        <f>ABCD!L173</f>
        <v>6.6640043557138355</v>
      </c>
      <c r="L124" s="89">
        <f>ABCD!M173</f>
        <v>1.2138168720036291</v>
      </c>
      <c r="M124" s="89">
        <f>ABCD!N173</f>
        <v>6.7736478688911523</v>
      </c>
      <c r="N124" s="89" t="e">
        <v>#REF!</v>
      </c>
      <c r="O124" s="89" t="e">
        <v>#REF!</v>
      </c>
      <c r="P124" s="89" t="e">
        <v>#REF!</v>
      </c>
      <c r="Q124" s="89" t="e">
        <v>#REF!</v>
      </c>
      <c r="R124" s="89" t="e">
        <v>#REF!</v>
      </c>
      <c r="S124" s="89" t="e">
        <f>#REF!</f>
        <v>#REF!</v>
      </c>
      <c r="T124" s="89" t="e">
        <f>#REF!</f>
        <v>#REF!</v>
      </c>
      <c r="U124" s="89" t="e">
        <f>#REF!</f>
        <v>#REF!</v>
      </c>
      <c r="V124" s="89" t="e">
        <f>#REF!</f>
        <v>#REF!</v>
      </c>
      <c r="W124" s="89" t="e">
        <f>#REF!</f>
        <v>#REF!</v>
      </c>
      <c r="X124" s="89" t="e">
        <f>#REF!</f>
        <v>#REF!</v>
      </c>
      <c r="Y124" s="89" t="e">
        <f>#REF!</f>
        <v>#REF!</v>
      </c>
      <c r="Z124" s="89" t="e">
        <f>#REF!</f>
        <v>#REF!</v>
      </c>
      <c r="AA124" s="89" t="e">
        <f>#REF!</f>
        <v>#REF!</v>
      </c>
      <c r="AB124" s="89" t="e">
        <f>#REF!</f>
        <v>#REF!</v>
      </c>
      <c r="AC124" s="89" t="e">
        <f>#REF!</f>
        <v>#REF!</v>
      </c>
      <c r="AD124" s="89" t="e">
        <f>#REF!</f>
        <v>#REF!</v>
      </c>
      <c r="AE124" s="89" t="e">
        <f>#REF!</f>
        <v>#REF!</v>
      </c>
      <c r="AF124" s="89" t="e">
        <f>#REF!</f>
        <v>#REF!</v>
      </c>
      <c r="AG124" s="89" t="e">
        <f>#REF!</f>
        <v>#REF!</v>
      </c>
      <c r="AH124" s="89" t="e">
        <f>#REF!</f>
        <v>#REF!</v>
      </c>
      <c r="AI124" s="89" t="e">
        <f>#REF!</f>
        <v>#REF!</v>
      </c>
      <c r="AJ124" s="89" t="e">
        <f>#REF!</f>
        <v>#REF!</v>
      </c>
      <c r="AK124" s="89" t="e">
        <f>#REF!</f>
        <v>#REF!</v>
      </c>
      <c r="AL124" s="89" t="e">
        <f>#REF!</f>
        <v>#REF!</v>
      </c>
      <c r="AM124" s="89" t="e">
        <f>#REF!</f>
        <v>#REF!</v>
      </c>
      <c r="AN124" s="89" t="e">
        <f>#REF!</f>
        <v>#REF!</v>
      </c>
      <c r="AO124" s="89" t="e">
        <f>#REF!</f>
        <v>#REF!</v>
      </c>
      <c r="AP124" s="89" t="e">
        <f>#REF!</f>
        <v>#REF!</v>
      </c>
      <c r="AQ124" s="89" t="e">
        <f>#REF!</f>
        <v>#REF!</v>
      </c>
      <c r="AR124" s="89" t="e">
        <f>#REF!</f>
        <v>#REF!</v>
      </c>
      <c r="AS124" s="89" t="e">
        <f>#REF!</f>
        <v>#REF!</v>
      </c>
      <c r="AT124" s="89" t="e">
        <f>#REF!</f>
        <v>#REF!</v>
      </c>
      <c r="AU124" s="89" t="e">
        <f>#REF!</f>
        <v>#REF!</v>
      </c>
      <c r="AV124" s="89" t="e">
        <f>#REF!</f>
        <v>#REF!</v>
      </c>
      <c r="AW124" s="89" t="e">
        <f>#REF!</f>
        <v>#REF!</v>
      </c>
      <c r="AX124" s="89" t="e">
        <f>#REF!</f>
        <v>#REF!</v>
      </c>
      <c r="AY124" s="89" t="e">
        <f>#REF!</f>
        <v>#REF!</v>
      </c>
      <c r="AZ124" s="89" t="e">
        <f>#REF!</f>
        <v>#REF!</v>
      </c>
      <c r="BA124" s="89" t="e">
        <f>#REF!</f>
        <v>#REF!</v>
      </c>
      <c r="BB124" s="89" t="e">
        <f>#REF!</f>
        <v>#REF!</v>
      </c>
      <c r="BC124" s="89" t="e">
        <f>#REF!</f>
        <v>#REF!</v>
      </c>
      <c r="BD124" s="89" t="e">
        <f>#REF!</f>
        <v>#REF!</v>
      </c>
      <c r="BE124" s="89" t="e">
        <f>#REF!</f>
        <v>#REF!</v>
      </c>
      <c r="BF124" s="89" t="e">
        <f>#REF!</f>
        <v>#REF!</v>
      </c>
    </row>
    <row r="125" spans="9:58" x14ac:dyDescent="0.25">
      <c r="I125" s="89">
        <f>ABCD!J174</f>
        <v>30.25</v>
      </c>
      <c r="J125" s="89">
        <f>ABCD!K174</f>
        <v>99.22</v>
      </c>
      <c r="K125" s="89">
        <f>ABCD!L174</f>
        <v>6.6586697319448946</v>
      </c>
      <c r="L125" s="89">
        <f>ABCD!M174</f>
        <v>1.2137758014218767</v>
      </c>
      <c r="M125" s="89">
        <f>ABCD!N174</f>
        <v>6.7683922976757493</v>
      </c>
      <c r="N125" s="89" t="e">
        <v>#REF!</v>
      </c>
      <c r="O125" s="89" t="e">
        <v>#REF!</v>
      </c>
      <c r="P125" s="89" t="e">
        <v>#REF!</v>
      </c>
      <c r="Q125" s="89" t="e">
        <v>#REF!</v>
      </c>
      <c r="R125" s="89" t="e">
        <v>#REF!</v>
      </c>
      <c r="S125" s="89" t="e">
        <f>#REF!</f>
        <v>#REF!</v>
      </c>
      <c r="T125" s="89" t="e">
        <f>#REF!</f>
        <v>#REF!</v>
      </c>
      <c r="U125" s="89" t="e">
        <f>#REF!</f>
        <v>#REF!</v>
      </c>
      <c r="V125" s="89" t="e">
        <f>#REF!</f>
        <v>#REF!</v>
      </c>
      <c r="W125" s="89" t="e">
        <f>#REF!</f>
        <v>#REF!</v>
      </c>
      <c r="X125" s="89" t="e">
        <f>#REF!</f>
        <v>#REF!</v>
      </c>
      <c r="Y125" s="89" t="e">
        <f>#REF!</f>
        <v>#REF!</v>
      </c>
      <c r="Z125" s="89" t="e">
        <f>#REF!</f>
        <v>#REF!</v>
      </c>
      <c r="AA125" s="89" t="e">
        <f>#REF!</f>
        <v>#REF!</v>
      </c>
      <c r="AB125" s="89" t="e">
        <f>#REF!</f>
        <v>#REF!</v>
      </c>
      <c r="AC125" s="89" t="e">
        <f>#REF!</f>
        <v>#REF!</v>
      </c>
      <c r="AD125" s="89" t="e">
        <f>#REF!</f>
        <v>#REF!</v>
      </c>
      <c r="AE125" s="89" t="e">
        <f>#REF!</f>
        <v>#REF!</v>
      </c>
      <c r="AF125" s="89" t="e">
        <f>#REF!</f>
        <v>#REF!</v>
      </c>
      <c r="AG125" s="89" t="e">
        <f>#REF!</f>
        <v>#REF!</v>
      </c>
      <c r="AH125" s="89" t="e">
        <f>#REF!</f>
        <v>#REF!</v>
      </c>
      <c r="AI125" s="89" t="e">
        <f>#REF!</f>
        <v>#REF!</v>
      </c>
      <c r="AJ125" s="89" t="e">
        <f>#REF!</f>
        <v>#REF!</v>
      </c>
      <c r="AK125" s="89" t="e">
        <f>#REF!</f>
        <v>#REF!</v>
      </c>
      <c r="AL125" s="89" t="e">
        <f>#REF!</f>
        <v>#REF!</v>
      </c>
      <c r="AM125" s="89" t="e">
        <f>#REF!</f>
        <v>#REF!</v>
      </c>
      <c r="AN125" s="89" t="e">
        <f>#REF!</f>
        <v>#REF!</v>
      </c>
      <c r="AO125" s="89" t="e">
        <f>#REF!</f>
        <v>#REF!</v>
      </c>
      <c r="AP125" s="89" t="e">
        <f>#REF!</f>
        <v>#REF!</v>
      </c>
      <c r="AQ125" s="89" t="e">
        <f>#REF!</f>
        <v>#REF!</v>
      </c>
      <c r="AR125" s="89" t="e">
        <f>#REF!</f>
        <v>#REF!</v>
      </c>
      <c r="AS125" s="89" t="e">
        <f>#REF!</f>
        <v>#REF!</v>
      </c>
      <c r="AT125" s="89" t="e">
        <f>#REF!</f>
        <v>#REF!</v>
      </c>
      <c r="AU125" s="89" t="e">
        <f>#REF!</f>
        <v>#REF!</v>
      </c>
      <c r="AV125" s="89" t="e">
        <f>#REF!</f>
        <v>#REF!</v>
      </c>
      <c r="AW125" s="89" t="e">
        <f>#REF!</f>
        <v>#REF!</v>
      </c>
      <c r="AX125" s="89" t="e">
        <f>#REF!</f>
        <v>#REF!</v>
      </c>
      <c r="AY125" s="89" t="e">
        <f>#REF!</f>
        <v>#REF!</v>
      </c>
      <c r="AZ125" s="89" t="e">
        <f>#REF!</f>
        <v>#REF!</v>
      </c>
      <c r="BA125" s="89" t="e">
        <f>#REF!</f>
        <v>#REF!</v>
      </c>
      <c r="BB125" s="89" t="e">
        <f>#REF!</f>
        <v>#REF!</v>
      </c>
      <c r="BC125" s="89" t="e">
        <f>#REF!</f>
        <v>#REF!</v>
      </c>
      <c r="BD125" s="89" t="e">
        <f>#REF!</f>
        <v>#REF!</v>
      </c>
      <c r="BE125" s="89" t="e">
        <f>#REF!</f>
        <v>#REF!</v>
      </c>
      <c r="BF125" s="89" t="e">
        <f>#REF!</f>
        <v>#REF!</v>
      </c>
    </row>
    <row r="126" spans="9:58" x14ac:dyDescent="0.25">
      <c r="I126" s="89">
        <f>ABCD!J175</f>
        <v>30.5</v>
      </c>
      <c r="J126" s="89">
        <f>ABCD!K175</f>
        <v>100.03999999999999</v>
      </c>
      <c r="K126" s="89">
        <f>ABCD!L175</f>
        <v>6.6518028126943474</v>
      </c>
      <c r="L126" s="89">
        <f>ABCD!M175</f>
        <v>1.2134545784754578</v>
      </c>
      <c r="M126" s="89">
        <f>ABCD!N175</f>
        <v>6.7615791552707183</v>
      </c>
      <c r="N126" s="89" t="e">
        <v>#REF!</v>
      </c>
      <c r="O126" s="89" t="e">
        <v>#REF!</v>
      </c>
      <c r="P126" s="89" t="e">
        <v>#REF!</v>
      </c>
      <c r="Q126" s="89" t="e">
        <v>#REF!</v>
      </c>
      <c r="R126" s="89" t="e">
        <v>#REF!</v>
      </c>
      <c r="S126" s="89" t="e">
        <f>#REF!</f>
        <v>#REF!</v>
      </c>
      <c r="T126" s="89" t="e">
        <f>#REF!</f>
        <v>#REF!</v>
      </c>
      <c r="U126" s="89" t="e">
        <f>#REF!</f>
        <v>#REF!</v>
      </c>
      <c r="V126" s="89" t="e">
        <f>#REF!</f>
        <v>#REF!</v>
      </c>
      <c r="W126" s="89" t="e">
        <f>#REF!</f>
        <v>#REF!</v>
      </c>
      <c r="X126" s="89" t="e">
        <f>#REF!</f>
        <v>#REF!</v>
      </c>
      <c r="Y126" s="89" t="e">
        <f>#REF!</f>
        <v>#REF!</v>
      </c>
      <c r="Z126" s="89" t="e">
        <f>#REF!</f>
        <v>#REF!</v>
      </c>
      <c r="AA126" s="89" t="e">
        <f>#REF!</f>
        <v>#REF!</v>
      </c>
      <c r="AB126" s="89" t="e">
        <f>#REF!</f>
        <v>#REF!</v>
      </c>
      <c r="AC126" s="89" t="e">
        <f>#REF!</f>
        <v>#REF!</v>
      </c>
      <c r="AD126" s="89" t="e">
        <f>#REF!</f>
        <v>#REF!</v>
      </c>
      <c r="AE126" s="89" t="e">
        <f>#REF!</f>
        <v>#REF!</v>
      </c>
      <c r="AF126" s="89" t="e">
        <f>#REF!</f>
        <v>#REF!</v>
      </c>
      <c r="AG126" s="89" t="e">
        <f>#REF!</f>
        <v>#REF!</v>
      </c>
      <c r="AH126" s="89" t="e">
        <f>#REF!</f>
        <v>#REF!</v>
      </c>
      <c r="AI126" s="89" t="e">
        <f>#REF!</f>
        <v>#REF!</v>
      </c>
      <c r="AJ126" s="89" t="e">
        <f>#REF!</f>
        <v>#REF!</v>
      </c>
      <c r="AK126" s="89" t="e">
        <f>#REF!</f>
        <v>#REF!</v>
      </c>
      <c r="AL126" s="89" t="e">
        <f>#REF!</f>
        <v>#REF!</v>
      </c>
      <c r="AM126" s="89" t="e">
        <f>#REF!</f>
        <v>#REF!</v>
      </c>
      <c r="AN126" s="89" t="e">
        <f>#REF!</f>
        <v>#REF!</v>
      </c>
      <c r="AO126" s="89" t="e">
        <f>#REF!</f>
        <v>#REF!</v>
      </c>
      <c r="AP126" s="89" t="e">
        <f>#REF!</f>
        <v>#REF!</v>
      </c>
      <c r="AQ126" s="89" t="e">
        <f>#REF!</f>
        <v>#REF!</v>
      </c>
      <c r="AR126" s="89" t="e">
        <f>#REF!</f>
        <v>#REF!</v>
      </c>
      <c r="AS126" s="89" t="e">
        <f>#REF!</f>
        <v>#REF!</v>
      </c>
      <c r="AT126" s="89" t="e">
        <f>#REF!</f>
        <v>#REF!</v>
      </c>
      <c r="AU126" s="89" t="e">
        <f>#REF!</f>
        <v>#REF!</v>
      </c>
      <c r="AV126" s="89" t="e">
        <f>#REF!</f>
        <v>#REF!</v>
      </c>
      <c r="AW126" s="89" t="e">
        <f>#REF!</f>
        <v>#REF!</v>
      </c>
      <c r="AX126" s="89" t="e">
        <f>#REF!</f>
        <v>#REF!</v>
      </c>
      <c r="AY126" s="89" t="e">
        <f>#REF!</f>
        <v>#REF!</v>
      </c>
      <c r="AZ126" s="89" t="e">
        <f>#REF!</f>
        <v>#REF!</v>
      </c>
      <c r="BA126" s="89" t="e">
        <f>#REF!</f>
        <v>#REF!</v>
      </c>
      <c r="BB126" s="89" t="e">
        <f>#REF!</f>
        <v>#REF!</v>
      </c>
      <c r="BC126" s="89" t="e">
        <f>#REF!</f>
        <v>#REF!</v>
      </c>
      <c r="BD126" s="89" t="e">
        <f>#REF!</f>
        <v>#REF!</v>
      </c>
      <c r="BE126" s="89" t="e">
        <f>#REF!</f>
        <v>#REF!</v>
      </c>
      <c r="BF126" s="89" t="e">
        <f>#REF!</f>
        <v>#REF!</v>
      </c>
    </row>
    <row r="127" spans="9:58" x14ac:dyDescent="0.25">
      <c r="I127" s="89">
        <f>ABCD!J176</f>
        <v>30.75</v>
      </c>
      <c r="J127" s="89">
        <f>ABCD!K176</f>
        <v>100.86</v>
      </c>
      <c r="K127" s="89">
        <f>ABCD!L176</f>
        <v>6.6434065615747588</v>
      </c>
      <c r="L127" s="89">
        <f>ABCD!M176</f>
        <v>1.2128535293395226</v>
      </c>
      <c r="M127" s="89">
        <f>ABCD!N176</f>
        <v>6.753211415764051</v>
      </c>
      <c r="N127" s="89" t="e">
        <v>#REF!</v>
      </c>
      <c r="O127" s="89" t="e">
        <v>#REF!</v>
      </c>
      <c r="P127" s="89" t="e">
        <v>#REF!</v>
      </c>
      <c r="Q127" s="89" t="e">
        <v>#REF!</v>
      </c>
      <c r="R127" s="89" t="e">
        <v>#REF!</v>
      </c>
      <c r="S127" s="89" t="e">
        <f>#REF!</f>
        <v>#REF!</v>
      </c>
      <c r="T127" s="89" t="e">
        <f>#REF!</f>
        <v>#REF!</v>
      </c>
      <c r="U127" s="89" t="e">
        <f>#REF!</f>
        <v>#REF!</v>
      </c>
      <c r="V127" s="89" t="e">
        <f>#REF!</f>
        <v>#REF!</v>
      </c>
      <c r="W127" s="89" t="e">
        <f>#REF!</f>
        <v>#REF!</v>
      </c>
      <c r="X127" s="89" t="e">
        <f>#REF!</f>
        <v>#REF!</v>
      </c>
      <c r="Y127" s="89" t="e">
        <f>#REF!</f>
        <v>#REF!</v>
      </c>
      <c r="Z127" s="89" t="e">
        <f>#REF!</f>
        <v>#REF!</v>
      </c>
      <c r="AA127" s="89" t="e">
        <f>#REF!</f>
        <v>#REF!</v>
      </c>
      <c r="AB127" s="89" t="e">
        <f>#REF!</f>
        <v>#REF!</v>
      </c>
      <c r="AC127" s="89" t="e">
        <f>#REF!</f>
        <v>#REF!</v>
      </c>
      <c r="AD127" s="89" t="e">
        <f>#REF!</f>
        <v>#REF!</v>
      </c>
      <c r="AE127" s="89" t="e">
        <f>#REF!</f>
        <v>#REF!</v>
      </c>
      <c r="AF127" s="89" t="e">
        <f>#REF!</f>
        <v>#REF!</v>
      </c>
      <c r="AG127" s="89" t="e">
        <f>#REF!</f>
        <v>#REF!</v>
      </c>
      <c r="AH127" s="89" t="e">
        <f>#REF!</f>
        <v>#REF!</v>
      </c>
      <c r="AI127" s="89" t="e">
        <f>#REF!</f>
        <v>#REF!</v>
      </c>
      <c r="AJ127" s="89" t="e">
        <f>#REF!</f>
        <v>#REF!</v>
      </c>
      <c r="AK127" s="89" t="e">
        <f>#REF!</f>
        <v>#REF!</v>
      </c>
      <c r="AL127" s="89" t="e">
        <f>#REF!</f>
        <v>#REF!</v>
      </c>
      <c r="AM127" s="89" t="e">
        <f>#REF!</f>
        <v>#REF!</v>
      </c>
      <c r="AN127" s="89" t="e">
        <f>#REF!</f>
        <v>#REF!</v>
      </c>
      <c r="AO127" s="89" t="e">
        <f>#REF!</f>
        <v>#REF!</v>
      </c>
      <c r="AP127" s="89" t="e">
        <f>#REF!</f>
        <v>#REF!</v>
      </c>
      <c r="AQ127" s="89" t="e">
        <f>#REF!</f>
        <v>#REF!</v>
      </c>
      <c r="AR127" s="89" t="e">
        <f>#REF!</f>
        <v>#REF!</v>
      </c>
      <c r="AS127" s="89" t="e">
        <f>#REF!</f>
        <v>#REF!</v>
      </c>
      <c r="AT127" s="89" t="e">
        <f>#REF!</f>
        <v>#REF!</v>
      </c>
      <c r="AU127" s="89" t="e">
        <f>#REF!</f>
        <v>#REF!</v>
      </c>
      <c r="AV127" s="89" t="e">
        <f>#REF!</f>
        <v>#REF!</v>
      </c>
      <c r="AW127" s="89" t="e">
        <f>#REF!</f>
        <v>#REF!</v>
      </c>
      <c r="AX127" s="89" t="e">
        <f>#REF!</f>
        <v>#REF!</v>
      </c>
      <c r="AY127" s="89" t="e">
        <f>#REF!</f>
        <v>#REF!</v>
      </c>
      <c r="AZ127" s="89" t="e">
        <f>#REF!</f>
        <v>#REF!</v>
      </c>
      <c r="BA127" s="89" t="e">
        <f>#REF!</f>
        <v>#REF!</v>
      </c>
      <c r="BB127" s="89" t="e">
        <f>#REF!</f>
        <v>#REF!</v>
      </c>
      <c r="BC127" s="89" t="e">
        <f>#REF!</f>
        <v>#REF!</v>
      </c>
      <c r="BD127" s="89" t="e">
        <f>#REF!</f>
        <v>#REF!</v>
      </c>
      <c r="BE127" s="89" t="e">
        <f>#REF!</f>
        <v>#REF!</v>
      </c>
      <c r="BF127" s="89" t="e">
        <f>#REF!</f>
        <v>#REF!</v>
      </c>
    </row>
    <row r="128" spans="9:58" x14ac:dyDescent="0.25">
      <c r="I128" s="89">
        <f>ABCD!J177</f>
        <v>31</v>
      </c>
      <c r="J128" s="89">
        <f>ABCD!K177</f>
        <v>101.67999999999999</v>
      </c>
      <c r="K128" s="89">
        <f>ABCD!L177</f>
        <v>6.6334842925652602</v>
      </c>
      <c r="L128" s="89">
        <f>ABCD!M177</f>
        <v>1.211973044491172</v>
      </c>
      <c r="M128" s="89">
        <f>ABCD!N177</f>
        <v>6.743292409519495</v>
      </c>
      <c r="N128" s="89" t="e">
        <v>#REF!</v>
      </c>
      <c r="O128" s="89" t="e">
        <v>#REF!</v>
      </c>
      <c r="P128" s="89" t="e">
        <v>#REF!</v>
      </c>
      <c r="Q128" s="89" t="e">
        <v>#REF!</v>
      </c>
      <c r="R128" s="89" t="e">
        <v>#REF!</v>
      </c>
      <c r="S128" s="89" t="e">
        <f>#REF!</f>
        <v>#REF!</v>
      </c>
      <c r="T128" s="89" t="e">
        <f>#REF!</f>
        <v>#REF!</v>
      </c>
      <c r="U128" s="89" t="e">
        <f>#REF!</f>
        <v>#REF!</v>
      </c>
      <c r="V128" s="89" t="e">
        <f>#REF!</f>
        <v>#REF!</v>
      </c>
      <c r="W128" s="89" t="e">
        <f>#REF!</f>
        <v>#REF!</v>
      </c>
      <c r="X128" s="89" t="e">
        <f>#REF!</f>
        <v>#REF!</v>
      </c>
      <c r="Y128" s="89" t="e">
        <f>#REF!</f>
        <v>#REF!</v>
      </c>
      <c r="Z128" s="89" t="e">
        <f>#REF!</f>
        <v>#REF!</v>
      </c>
      <c r="AA128" s="89" t="e">
        <f>#REF!</f>
        <v>#REF!</v>
      </c>
      <c r="AB128" s="89" t="e">
        <f>#REF!</f>
        <v>#REF!</v>
      </c>
      <c r="AC128" s="89" t="e">
        <f>#REF!</f>
        <v>#REF!</v>
      </c>
      <c r="AD128" s="89" t="e">
        <f>#REF!</f>
        <v>#REF!</v>
      </c>
      <c r="AE128" s="89" t="e">
        <f>#REF!</f>
        <v>#REF!</v>
      </c>
      <c r="AF128" s="89" t="e">
        <f>#REF!</f>
        <v>#REF!</v>
      </c>
      <c r="AG128" s="89" t="e">
        <f>#REF!</f>
        <v>#REF!</v>
      </c>
      <c r="AH128" s="89" t="e">
        <f>#REF!</f>
        <v>#REF!</v>
      </c>
      <c r="AI128" s="89" t="e">
        <f>#REF!</f>
        <v>#REF!</v>
      </c>
      <c r="AJ128" s="89" t="e">
        <f>#REF!</f>
        <v>#REF!</v>
      </c>
      <c r="AK128" s="89" t="e">
        <f>#REF!</f>
        <v>#REF!</v>
      </c>
      <c r="AL128" s="89" t="e">
        <f>#REF!</f>
        <v>#REF!</v>
      </c>
      <c r="AM128" s="89" t="e">
        <f>#REF!</f>
        <v>#REF!</v>
      </c>
      <c r="AN128" s="89" t="e">
        <f>#REF!</f>
        <v>#REF!</v>
      </c>
      <c r="AO128" s="89" t="e">
        <f>#REF!</f>
        <v>#REF!</v>
      </c>
      <c r="AP128" s="89" t="e">
        <f>#REF!</f>
        <v>#REF!</v>
      </c>
      <c r="AQ128" s="89" t="e">
        <f>#REF!</f>
        <v>#REF!</v>
      </c>
      <c r="AR128" s="89" t="e">
        <f>#REF!</f>
        <v>#REF!</v>
      </c>
      <c r="AS128" s="89" t="e">
        <f>#REF!</f>
        <v>#REF!</v>
      </c>
      <c r="AT128" s="89" t="e">
        <f>#REF!</f>
        <v>#REF!</v>
      </c>
      <c r="AU128" s="89" t="e">
        <f>#REF!</f>
        <v>#REF!</v>
      </c>
      <c r="AV128" s="89" t="e">
        <f>#REF!</f>
        <v>#REF!</v>
      </c>
      <c r="AW128" s="89" t="e">
        <f>#REF!</f>
        <v>#REF!</v>
      </c>
      <c r="AX128" s="89" t="e">
        <f>#REF!</f>
        <v>#REF!</v>
      </c>
      <c r="AY128" s="89" t="e">
        <f>#REF!</f>
        <v>#REF!</v>
      </c>
      <c r="AZ128" s="89" t="e">
        <f>#REF!</f>
        <v>#REF!</v>
      </c>
      <c r="BA128" s="89" t="e">
        <f>#REF!</f>
        <v>#REF!</v>
      </c>
      <c r="BB128" s="89" t="e">
        <f>#REF!</f>
        <v>#REF!</v>
      </c>
      <c r="BC128" s="89" t="e">
        <f>#REF!</f>
        <v>#REF!</v>
      </c>
      <c r="BD128" s="89" t="e">
        <f>#REF!</f>
        <v>#REF!</v>
      </c>
      <c r="BE128" s="89" t="e">
        <f>#REF!</f>
        <v>#REF!</v>
      </c>
      <c r="BF128" s="89" t="e">
        <f>#REF!</f>
        <v>#REF!</v>
      </c>
    </row>
    <row r="129" spans="9:58" x14ac:dyDescent="0.25">
      <c r="I129" s="89">
        <f>ABCD!J178</f>
        <v>31.25</v>
      </c>
      <c r="J129" s="89">
        <f>ABCD!K178</f>
        <v>102.5</v>
      </c>
      <c r="K129" s="89">
        <f>ABCD!L178</f>
        <v>6.6220396689313494</v>
      </c>
      <c r="L129" s="89">
        <f>ABCD!M178</f>
        <v>1.2108135785614855</v>
      </c>
      <c r="M129" s="89">
        <f>ABCD!N178</f>
        <v>6.731825822087889</v>
      </c>
      <c r="N129" s="89" t="e">
        <v>#REF!</v>
      </c>
      <c r="O129" s="89" t="e">
        <v>#REF!</v>
      </c>
      <c r="P129" s="89" t="e">
        <v>#REF!</v>
      </c>
      <c r="Q129" s="89" t="e">
        <v>#REF!</v>
      </c>
      <c r="R129" s="89" t="e">
        <v>#REF!</v>
      </c>
      <c r="S129" s="89" t="e">
        <f>#REF!</f>
        <v>#REF!</v>
      </c>
      <c r="T129" s="89" t="e">
        <f>#REF!</f>
        <v>#REF!</v>
      </c>
      <c r="U129" s="89" t="e">
        <f>#REF!</f>
        <v>#REF!</v>
      </c>
      <c r="V129" s="89" t="e">
        <f>#REF!</f>
        <v>#REF!</v>
      </c>
      <c r="W129" s="89" t="e">
        <f>#REF!</f>
        <v>#REF!</v>
      </c>
      <c r="X129" s="89" t="e">
        <f>#REF!</f>
        <v>#REF!</v>
      </c>
      <c r="Y129" s="89" t="e">
        <f>#REF!</f>
        <v>#REF!</v>
      </c>
      <c r="Z129" s="89" t="e">
        <f>#REF!</f>
        <v>#REF!</v>
      </c>
      <c r="AA129" s="89" t="e">
        <f>#REF!</f>
        <v>#REF!</v>
      </c>
      <c r="AB129" s="89" t="e">
        <f>#REF!</f>
        <v>#REF!</v>
      </c>
      <c r="AC129" s="89" t="e">
        <f>#REF!</f>
        <v>#REF!</v>
      </c>
      <c r="AD129" s="89" t="e">
        <f>#REF!</f>
        <v>#REF!</v>
      </c>
      <c r="AE129" s="89" t="e">
        <f>#REF!</f>
        <v>#REF!</v>
      </c>
      <c r="AF129" s="89" t="e">
        <f>#REF!</f>
        <v>#REF!</v>
      </c>
      <c r="AG129" s="89" t="e">
        <f>#REF!</f>
        <v>#REF!</v>
      </c>
      <c r="AH129" s="89" t="e">
        <f>#REF!</f>
        <v>#REF!</v>
      </c>
      <c r="AI129" s="89" t="e">
        <f>#REF!</f>
        <v>#REF!</v>
      </c>
      <c r="AJ129" s="89" t="e">
        <f>#REF!</f>
        <v>#REF!</v>
      </c>
      <c r="AK129" s="89" t="e">
        <f>#REF!</f>
        <v>#REF!</v>
      </c>
      <c r="AL129" s="89" t="e">
        <f>#REF!</f>
        <v>#REF!</v>
      </c>
      <c r="AM129" s="89" t="e">
        <f>#REF!</f>
        <v>#REF!</v>
      </c>
      <c r="AN129" s="89" t="e">
        <f>#REF!</f>
        <v>#REF!</v>
      </c>
      <c r="AO129" s="89" t="e">
        <f>#REF!</f>
        <v>#REF!</v>
      </c>
      <c r="AP129" s="89" t="e">
        <f>#REF!</f>
        <v>#REF!</v>
      </c>
      <c r="AQ129" s="89" t="e">
        <f>#REF!</f>
        <v>#REF!</v>
      </c>
      <c r="AR129" s="89" t="e">
        <f>#REF!</f>
        <v>#REF!</v>
      </c>
      <c r="AS129" s="89" t="e">
        <f>#REF!</f>
        <v>#REF!</v>
      </c>
      <c r="AT129" s="89" t="e">
        <f>#REF!</f>
        <v>#REF!</v>
      </c>
      <c r="AU129" s="89" t="e">
        <f>#REF!</f>
        <v>#REF!</v>
      </c>
      <c r="AV129" s="89" t="e">
        <f>#REF!</f>
        <v>#REF!</v>
      </c>
      <c r="AW129" s="89" t="e">
        <f>#REF!</f>
        <v>#REF!</v>
      </c>
      <c r="AX129" s="89" t="e">
        <f>#REF!</f>
        <v>#REF!</v>
      </c>
      <c r="AY129" s="89" t="e">
        <f>#REF!</f>
        <v>#REF!</v>
      </c>
      <c r="AZ129" s="89" t="e">
        <f>#REF!</f>
        <v>#REF!</v>
      </c>
      <c r="BA129" s="89" t="e">
        <f>#REF!</f>
        <v>#REF!</v>
      </c>
      <c r="BB129" s="89" t="e">
        <f>#REF!</f>
        <v>#REF!</v>
      </c>
      <c r="BC129" s="89" t="e">
        <f>#REF!</f>
        <v>#REF!</v>
      </c>
      <c r="BD129" s="89" t="e">
        <f>#REF!</f>
        <v>#REF!</v>
      </c>
      <c r="BE129" s="89" t="e">
        <f>#REF!</f>
        <v>#REF!</v>
      </c>
      <c r="BF129" s="89" t="e">
        <f>#REF!</f>
        <v>#REF!</v>
      </c>
    </row>
    <row r="130" spans="9:58" x14ac:dyDescent="0.25">
      <c r="I130" s="89">
        <f>ABCD!J179</f>
        <v>31.5</v>
      </c>
      <c r="J130" s="89">
        <f>ABCD!K179</f>
        <v>103.32</v>
      </c>
      <c r="K130" s="89">
        <f>ABCD!L179</f>
        <v>6.6090767020650496</v>
      </c>
      <c r="L130" s="89">
        <f>ABCD!M179</f>
        <v>1.209375650172841</v>
      </c>
      <c r="M130" s="89">
        <f>ABCD!N179</f>
        <v>6.7188156930377261</v>
      </c>
      <c r="N130" s="89" t="e">
        <v>#REF!</v>
      </c>
      <c r="O130" s="89" t="e">
        <v>#REF!</v>
      </c>
      <c r="P130" s="89" t="e">
        <v>#REF!</v>
      </c>
      <c r="Q130" s="89" t="e">
        <v>#REF!</v>
      </c>
      <c r="R130" s="89" t="e">
        <v>#REF!</v>
      </c>
      <c r="S130" s="89" t="e">
        <f>#REF!</f>
        <v>#REF!</v>
      </c>
      <c r="T130" s="89" t="e">
        <f>#REF!</f>
        <v>#REF!</v>
      </c>
      <c r="U130" s="89" t="e">
        <f>#REF!</f>
        <v>#REF!</v>
      </c>
      <c r="V130" s="89" t="e">
        <f>#REF!</f>
        <v>#REF!</v>
      </c>
      <c r="W130" s="89" t="e">
        <f>#REF!</f>
        <v>#REF!</v>
      </c>
      <c r="X130" s="89" t="e">
        <f>#REF!</f>
        <v>#REF!</v>
      </c>
      <c r="Y130" s="89" t="e">
        <f>#REF!</f>
        <v>#REF!</v>
      </c>
      <c r="Z130" s="89" t="e">
        <f>#REF!</f>
        <v>#REF!</v>
      </c>
      <c r="AA130" s="89" t="e">
        <f>#REF!</f>
        <v>#REF!</v>
      </c>
      <c r="AB130" s="89" t="e">
        <f>#REF!</f>
        <v>#REF!</v>
      </c>
      <c r="AC130" s="89" t="e">
        <f>#REF!</f>
        <v>#REF!</v>
      </c>
      <c r="AD130" s="89" t="e">
        <f>#REF!</f>
        <v>#REF!</v>
      </c>
      <c r="AE130" s="89" t="e">
        <f>#REF!</f>
        <v>#REF!</v>
      </c>
      <c r="AF130" s="89" t="e">
        <f>#REF!</f>
        <v>#REF!</v>
      </c>
      <c r="AG130" s="89" t="e">
        <f>#REF!</f>
        <v>#REF!</v>
      </c>
      <c r="AH130" s="89" t="e">
        <f>#REF!</f>
        <v>#REF!</v>
      </c>
      <c r="AI130" s="89" t="e">
        <f>#REF!</f>
        <v>#REF!</v>
      </c>
      <c r="AJ130" s="89" t="e">
        <f>#REF!</f>
        <v>#REF!</v>
      </c>
      <c r="AK130" s="89" t="e">
        <f>#REF!</f>
        <v>#REF!</v>
      </c>
      <c r="AL130" s="89" t="e">
        <f>#REF!</f>
        <v>#REF!</v>
      </c>
      <c r="AM130" s="89" t="e">
        <f>#REF!</f>
        <v>#REF!</v>
      </c>
      <c r="AN130" s="89" t="e">
        <f>#REF!</f>
        <v>#REF!</v>
      </c>
      <c r="AO130" s="89" t="e">
        <f>#REF!</f>
        <v>#REF!</v>
      </c>
      <c r="AP130" s="89" t="e">
        <f>#REF!</f>
        <v>#REF!</v>
      </c>
      <c r="AQ130" s="89" t="e">
        <f>#REF!</f>
        <v>#REF!</v>
      </c>
      <c r="AR130" s="89" t="e">
        <f>#REF!</f>
        <v>#REF!</v>
      </c>
      <c r="AS130" s="89" t="e">
        <f>#REF!</f>
        <v>#REF!</v>
      </c>
      <c r="AT130" s="89" t="e">
        <f>#REF!</f>
        <v>#REF!</v>
      </c>
      <c r="AU130" s="89" t="e">
        <f>#REF!</f>
        <v>#REF!</v>
      </c>
      <c r="AV130" s="89" t="e">
        <f>#REF!</f>
        <v>#REF!</v>
      </c>
      <c r="AW130" s="89" t="e">
        <f>#REF!</f>
        <v>#REF!</v>
      </c>
      <c r="AX130" s="89" t="e">
        <f>#REF!</f>
        <v>#REF!</v>
      </c>
      <c r="AY130" s="89" t="e">
        <f>#REF!</f>
        <v>#REF!</v>
      </c>
      <c r="AZ130" s="89" t="e">
        <f>#REF!</f>
        <v>#REF!</v>
      </c>
      <c r="BA130" s="89" t="e">
        <f>#REF!</f>
        <v>#REF!</v>
      </c>
      <c r="BB130" s="89" t="e">
        <f>#REF!</f>
        <v>#REF!</v>
      </c>
      <c r="BC130" s="89" t="e">
        <f>#REF!</f>
        <v>#REF!</v>
      </c>
      <c r="BD130" s="89" t="e">
        <f>#REF!</f>
        <v>#REF!</v>
      </c>
      <c r="BE130" s="89" t="e">
        <f>#REF!</f>
        <v>#REF!</v>
      </c>
      <c r="BF130" s="89" t="e">
        <f>#REF!</f>
        <v>#REF!</v>
      </c>
    </row>
    <row r="131" spans="9:58" x14ac:dyDescent="0.25">
      <c r="I131" s="89">
        <f>ABCD!J180</f>
        <v>31.75</v>
      </c>
      <c r="J131" s="89">
        <f>ABCD!K180</f>
        <v>104.14</v>
      </c>
      <c r="K131" s="89">
        <f>ABCD!L180</f>
        <v>6.5945997502457399</v>
      </c>
      <c r="L131" s="89">
        <f>ABCD!M180</f>
        <v>1.2076598417616458</v>
      </c>
      <c r="M131" s="89">
        <f>ABCD!N180</f>
        <v>6.7042664147052617</v>
      </c>
      <c r="N131" s="89" t="e">
        <v>#REF!</v>
      </c>
      <c r="O131" s="89" t="e">
        <v>#REF!</v>
      </c>
      <c r="P131" s="89" t="e">
        <v>#REF!</v>
      </c>
      <c r="Q131" s="89" t="e">
        <v>#REF!</v>
      </c>
      <c r="R131" s="89" t="e">
        <v>#REF!</v>
      </c>
      <c r="S131" s="89" t="e">
        <f>#REF!</f>
        <v>#REF!</v>
      </c>
      <c r="T131" s="89" t="e">
        <f>#REF!</f>
        <v>#REF!</v>
      </c>
      <c r="U131" s="89" t="e">
        <f>#REF!</f>
        <v>#REF!</v>
      </c>
      <c r="V131" s="89" t="e">
        <f>#REF!</f>
        <v>#REF!</v>
      </c>
      <c r="W131" s="89" t="e">
        <f>#REF!</f>
        <v>#REF!</v>
      </c>
      <c r="X131" s="89" t="e">
        <f>#REF!</f>
        <v>#REF!</v>
      </c>
      <c r="Y131" s="89" t="e">
        <f>#REF!</f>
        <v>#REF!</v>
      </c>
      <c r="Z131" s="89" t="e">
        <f>#REF!</f>
        <v>#REF!</v>
      </c>
      <c r="AA131" s="89" t="e">
        <f>#REF!</f>
        <v>#REF!</v>
      </c>
      <c r="AB131" s="89" t="e">
        <f>#REF!</f>
        <v>#REF!</v>
      </c>
      <c r="AC131" s="89" t="e">
        <f>#REF!</f>
        <v>#REF!</v>
      </c>
      <c r="AD131" s="89" t="e">
        <f>#REF!</f>
        <v>#REF!</v>
      </c>
      <c r="AE131" s="89" t="e">
        <f>#REF!</f>
        <v>#REF!</v>
      </c>
      <c r="AF131" s="89" t="e">
        <f>#REF!</f>
        <v>#REF!</v>
      </c>
      <c r="AG131" s="89" t="e">
        <f>#REF!</f>
        <v>#REF!</v>
      </c>
      <c r="AH131" s="89" t="e">
        <f>#REF!</f>
        <v>#REF!</v>
      </c>
      <c r="AI131" s="89" t="e">
        <f>#REF!</f>
        <v>#REF!</v>
      </c>
      <c r="AJ131" s="89" t="e">
        <f>#REF!</f>
        <v>#REF!</v>
      </c>
      <c r="AK131" s="89" t="e">
        <f>#REF!</f>
        <v>#REF!</v>
      </c>
      <c r="AL131" s="89" t="e">
        <f>#REF!</f>
        <v>#REF!</v>
      </c>
      <c r="AM131" s="89" t="e">
        <f>#REF!</f>
        <v>#REF!</v>
      </c>
      <c r="AN131" s="89" t="e">
        <f>#REF!</f>
        <v>#REF!</v>
      </c>
      <c r="AO131" s="89" t="e">
        <f>#REF!</f>
        <v>#REF!</v>
      </c>
      <c r="AP131" s="89" t="e">
        <f>#REF!</f>
        <v>#REF!</v>
      </c>
      <c r="AQ131" s="89" t="e">
        <f>#REF!</f>
        <v>#REF!</v>
      </c>
      <c r="AR131" s="89" t="e">
        <f>#REF!</f>
        <v>#REF!</v>
      </c>
      <c r="AS131" s="89" t="e">
        <f>#REF!</f>
        <v>#REF!</v>
      </c>
      <c r="AT131" s="89" t="e">
        <f>#REF!</f>
        <v>#REF!</v>
      </c>
      <c r="AU131" s="89" t="e">
        <f>#REF!</f>
        <v>#REF!</v>
      </c>
      <c r="AV131" s="89" t="e">
        <f>#REF!</f>
        <v>#REF!</v>
      </c>
      <c r="AW131" s="89" t="e">
        <f>#REF!</f>
        <v>#REF!</v>
      </c>
      <c r="AX131" s="89" t="e">
        <f>#REF!</f>
        <v>#REF!</v>
      </c>
      <c r="AY131" s="89" t="e">
        <f>#REF!</f>
        <v>#REF!</v>
      </c>
      <c r="AZ131" s="89" t="e">
        <f>#REF!</f>
        <v>#REF!</v>
      </c>
      <c r="BA131" s="89" t="e">
        <f>#REF!</f>
        <v>#REF!</v>
      </c>
      <c r="BB131" s="89" t="e">
        <f>#REF!</f>
        <v>#REF!</v>
      </c>
      <c r="BC131" s="89" t="e">
        <f>#REF!</f>
        <v>#REF!</v>
      </c>
      <c r="BD131" s="89" t="e">
        <f>#REF!</f>
        <v>#REF!</v>
      </c>
      <c r="BE131" s="89" t="e">
        <f>#REF!</f>
        <v>#REF!</v>
      </c>
      <c r="BF131" s="89" t="e">
        <f>#REF!</f>
        <v>#REF!</v>
      </c>
    </row>
    <row r="132" spans="9:58" x14ac:dyDescent="0.25">
      <c r="I132" s="89">
        <f>ABCD!J181</f>
        <v>32</v>
      </c>
      <c r="J132" s="89">
        <f>ABCD!K181</f>
        <v>104.96</v>
      </c>
      <c r="K132" s="89">
        <f>ABCD!L181</f>
        <v>6.5786135173220286</v>
      </c>
      <c r="L132" s="89">
        <f>ABCD!M181</f>
        <v>1.205666799386474</v>
      </c>
      <c r="M132" s="89">
        <f>ABCD!N181</f>
        <v>6.6881827308645612</v>
      </c>
      <c r="N132" s="89" t="e">
        <v>#REF!</v>
      </c>
      <c r="O132" s="89" t="e">
        <v>#REF!</v>
      </c>
      <c r="P132" s="89" t="e">
        <v>#REF!</v>
      </c>
      <c r="Q132" s="89" t="e">
        <v>#REF!</v>
      </c>
      <c r="R132" s="89" t="e">
        <v>#REF!</v>
      </c>
      <c r="S132" s="89" t="e">
        <f>#REF!</f>
        <v>#REF!</v>
      </c>
      <c r="T132" s="89" t="e">
        <f>#REF!</f>
        <v>#REF!</v>
      </c>
      <c r="U132" s="89" t="e">
        <f>#REF!</f>
        <v>#REF!</v>
      </c>
      <c r="V132" s="89" t="e">
        <f>#REF!</f>
        <v>#REF!</v>
      </c>
      <c r="W132" s="89" t="e">
        <f>#REF!</f>
        <v>#REF!</v>
      </c>
      <c r="X132" s="89" t="e">
        <f>#REF!</f>
        <v>#REF!</v>
      </c>
      <c r="Y132" s="89" t="e">
        <f>#REF!</f>
        <v>#REF!</v>
      </c>
      <c r="Z132" s="89" t="e">
        <f>#REF!</f>
        <v>#REF!</v>
      </c>
      <c r="AA132" s="89" t="e">
        <f>#REF!</f>
        <v>#REF!</v>
      </c>
      <c r="AB132" s="89" t="e">
        <f>#REF!</f>
        <v>#REF!</v>
      </c>
      <c r="AC132" s="89" t="e">
        <f>#REF!</f>
        <v>#REF!</v>
      </c>
      <c r="AD132" s="89" t="e">
        <f>#REF!</f>
        <v>#REF!</v>
      </c>
      <c r="AE132" s="89" t="e">
        <f>#REF!</f>
        <v>#REF!</v>
      </c>
      <c r="AF132" s="89" t="e">
        <f>#REF!</f>
        <v>#REF!</v>
      </c>
      <c r="AG132" s="89" t="e">
        <f>#REF!</f>
        <v>#REF!</v>
      </c>
      <c r="AH132" s="89" t="e">
        <f>#REF!</f>
        <v>#REF!</v>
      </c>
      <c r="AI132" s="89" t="e">
        <f>#REF!</f>
        <v>#REF!</v>
      </c>
      <c r="AJ132" s="89" t="e">
        <f>#REF!</f>
        <v>#REF!</v>
      </c>
      <c r="AK132" s="89" t="e">
        <f>#REF!</f>
        <v>#REF!</v>
      </c>
      <c r="AL132" s="89" t="e">
        <f>#REF!</f>
        <v>#REF!</v>
      </c>
      <c r="AM132" s="89" t="e">
        <f>#REF!</f>
        <v>#REF!</v>
      </c>
      <c r="AN132" s="89" t="e">
        <f>#REF!</f>
        <v>#REF!</v>
      </c>
      <c r="AO132" s="89" t="e">
        <f>#REF!</f>
        <v>#REF!</v>
      </c>
      <c r="AP132" s="89" t="e">
        <f>#REF!</f>
        <v>#REF!</v>
      </c>
      <c r="AQ132" s="89" t="e">
        <f>#REF!</f>
        <v>#REF!</v>
      </c>
      <c r="AR132" s="89" t="e">
        <f>#REF!</f>
        <v>#REF!</v>
      </c>
      <c r="AS132" s="89" t="e">
        <f>#REF!</f>
        <v>#REF!</v>
      </c>
      <c r="AT132" s="89" t="e">
        <f>#REF!</f>
        <v>#REF!</v>
      </c>
      <c r="AU132" s="89" t="e">
        <f>#REF!</f>
        <v>#REF!</v>
      </c>
      <c r="AV132" s="89" t="e">
        <f>#REF!</f>
        <v>#REF!</v>
      </c>
      <c r="AW132" s="89" t="e">
        <f>#REF!</f>
        <v>#REF!</v>
      </c>
      <c r="AX132" s="89" t="e">
        <f>#REF!</f>
        <v>#REF!</v>
      </c>
      <c r="AY132" s="89" t="e">
        <f>#REF!</f>
        <v>#REF!</v>
      </c>
      <c r="AZ132" s="89" t="e">
        <f>#REF!</f>
        <v>#REF!</v>
      </c>
      <c r="BA132" s="89" t="e">
        <f>#REF!</f>
        <v>#REF!</v>
      </c>
      <c r="BB132" s="89" t="e">
        <f>#REF!</f>
        <v>#REF!</v>
      </c>
      <c r="BC132" s="89" t="e">
        <f>#REF!</f>
        <v>#REF!</v>
      </c>
      <c r="BD132" s="89" t="e">
        <f>#REF!</f>
        <v>#REF!</v>
      </c>
      <c r="BE132" s="89" t="e">
        <f>#REF!</f>
        <v>#REF!</v>
      </c>
      <c r="BF132" s="89" t="e">
        <f>#REF!</f>
        <v>#REF!</v>
      </c>
    </row>
    <row r="133" spans="9:58" x14ac:dyDescent="0.25">
      <c r="I133" s="89">
        <f>ABCD!J182</f>
        <v>32.25</v>
      </c>
      <c r="J133" s="89">
        <f>ABCD!K182</f>
        <v>105.77999999999999</v>
      </c>
      <c r="K133" s="89">
        <f>ABCD!L182</f>
        <v>6.5611230513150343</v>
      </c>
      <c r="L133" s="89">
        <f>ABCD!M182</f>
        <v>1.2033972325216833</v>
      </c>
      <c r="M133" s="89">
        <f>ABCD!N182</f>
        <v>6.6705697353178426</v>
      </c>
      <c r="N133" s="89" t="e">
        <v>#REF!</v>
      </c>
      <c r="O133" s="89" t="e">
        <v>#REF!</v>
      </c>
      <c r="P133" s="89" t="e">
        <v>#REF!</v>
      </c>
      <c r="Q133" s="89" t="e">
        <v>#REF!</v>
      </c>
      <c r="R133" s="89" t="e">
        <v>#REF!</v>
      </c>
      <c r="S133" s="89" t="e">
        <f>#REF!</f>
        <v>#REF!</v>
      </c>
      <c r="T133" s="89" t="e">
        <f>#REF!</f>
        <v>#REF!</v>
      </c>
      <c r="U133" s="89" t="e">
        <f>#REF!</f>
        <v>#REF!</v>
      </c>
      <c r="V133" s="89" t="e">
        <f>#REF!</f>
        <v>#REF!</v>
      </c>
      <c r="W133" s="89" t="e">
        <f>#REF!</f>
        <v>#REF!</v>
      </c>
      <c r="X133" s="89" t="e">
        <f>#REF!</f>
        <v>#REF!</v>
      </c>
      <c r="Y133" s="89" t="e">
        <f>#REF!</f>
        <v>#REF!</v>
      </c>
      <c r="Z133" s="89" t="e">
        <f>#REF!</f>
        <v>#REF!</v>
      </c>
      <c r="AA133" s="89" t="e">
        <f>#REF!</f>
        <v>#REF!</v>
      </c>
      <c r="AB133" s="89" t="e">
        <f>#REF!</f>
        <v>#REF!</v>
      </c>
      <c r="AC133" s="89" t="e">
        <f>#REF!</f>
        <v>#REF!</v>
      </c>
      <c r="AD133" s="89" t="e">
        <f>#REF!</f>
        <v>#REF!</v>
      </c>
      <c r="AE133" s="89" t="e">
        <f>#REF!</f>
        <v>#REF!</v>
      </c>
      <c r="AF133" s="89" t="e">
        <f>#REF!</f>
        <v>#REF!</v>
      </c>
      <c r="AG133" s="89" t="e">
        <f>#REF!</f>
        <v>#REF!</v>
      </c>
      <c r="AH133" s="89" t="e">
        <f>#REF!</f>
        <v>#REF!</v>
      </c>
      <c r="AI133" s="89" t="e">
        <f>#REF!</f>
        <v>#REF!</v>
      </c>
      <c r="AJ133" s="89" t="e">
        <f>#REF!</f>
        <v>#REF!</v>
      </c>
      <c r="AK133" s="89" t="e">
        <f>#REF!</f>
        <v>#REF!</v>
      </c>
      <c r="AL133" s="89" t="e">
        <f>#REF!</f>
        <v>#REF!</v>
      </c>
      <c r="AM133" s="89" t="e">
        <f>#REF!</f>
        <v>#REF!</v>
      </c>
      <c r="AN133" s="89" t="e">
        <f>#REF!</f>
        <v>#REF!</v>
      </c>
      <c r="AO133" s="89" t="e">
        <f>#REF!</f>
        <v>#REF!</v>
      </c>
      <c r="AP133" s="89" t="e">
        <f>#REF!</f>
        <v>#REF!</v>
      </c>
      <c r="AQ133" s="89" t="e">
        <f>#REF!</f>
        <v>#REF!</v>
      </c>
      <c r="AR133" s="89" t="e">
        <f>#REF!</f>
        <v>#REF!</v>
      </c>
      <c r="AS133" s="89" t="e">
        <f>#REF!</f>
        <v>#REF!</v>
      </c>
      <c r="AT133" s="89" t="e">
        <f>#REF!</f>
        <v>#REF!</v>
      </c>
      <c r="AU133" s="89" t="e">
        <f>#REF!</f>
        <v>#REF!</v>
      </c>
      <c r="AV133" s="89" t="e">
        <f>#REF!</f>
        <v>#REF!</v>
      </c>
      <c r="AW133" s="89" t="e">
        <f>#REF!</f>
        <v>#REF!</v>
      </c>
      <c r="AX133" s="89" t="e">
        <f>#REF!</f>
        <v>#REF!</v>
      </c>
      <c r="AY133" s="89" t="e">
        <f>#REF!</f>
        <v>#REF!</v>
      </c>
      <c r="AZ133" s="89" t="e">
        <f>#REF!</f>
        <v>#REF!</v>
      </c>
      <c r="BA133" s="89" t="e">
        <f>#REF!</f>
        <v>#REF!</v>
      </c>
      <c r="BB133" s="89" t="e">
        <f>#REF!</f>
        <v>#REF!</v>
      </c>
      <c r="BC133" s="89" t="e">
        <f>#REF!</f>
        <v>#REF!</v>
      </c>
      <c r="BD133" s="89" t="e">
        <f>#REF!</f>
        <v>#REF!</v>
      </c>
      <c r="BE133" s="89" t="e">
        <f>#REF!</f>
        <v>#REF!</v>
      </c>
      <c r="BF133" s="89" t="e">
        <f>#REF!</f>
        <v>#REF!</v>
      </c>
    </row>
    <row r="134" spans="9:58" x14ac:dyDescent="0.25">
      <c r="I134" s="89">
        <f>ABCD!J183</f>
        <v>32.5</v>
      </c>
      <c r="J134" s="89">
        <f>ABCD!K183</f>
        <v>106.6</v>
      </c>
      <c r="K134" s="89">
        <f>ABCD!L183</f>
        <v>6.5421337429434914</v>
      </c>
      <c r="L134" s="89">
        <f>ABCD!M183</f>
        <v>1.2008519138366214</v>
      </c>
      <c r="M134" s="89">
        <f>ABCD!N183</f>
        <v>6.6514328704065635</v>
      </c>
      <c r="N134" s="89" t="e">
        <v>#REF!</v>
      </c>
      <c r="O134" s="89" t="e">
        <v>#REF!</v>
      </c>
      <c r="P134" s="89" t="e">
        <v>#REF!</v>
      </c>
      <c r="Q134" s="89" t="e">
        <v>#REF!</v>
      </c>
      <c r="R134" s="89" t="e">
        <v>#REF!</v>
      </c>
      <c r="S134" s="89" t="e">
        <f>#REF!</f>
        <v>#REF!</v>
      </c>
      <c r="T134" s="89" t="e">
        <f>#REF!</f>
        <v>#REF!</v>
      </c>
      <c r="U134" s="89" t="e">
        <f>#REF!</f>
        <v>#REF!</v>
      </c>
      <c r="V134" s="89" t="e">
        <f>#REF!</f>
        <v>#REF!</v>
      </c>
      <c r="W134" s="89" t="e">
        <f>#REF!</f>
        <v>#REF!</v>
      </c>
      <c r="X134" s="89" t="e">
        <f>#REF!</f>
        <v>#REF!</v>
      </c>
      <c r="Y134" s="89" t="e">
        <f>#REF!</f>
        <v>#REF!</v>
      </c>
      <c r="Z134" s="89" t="e">
        <f>#REF!</f>
        <v>#REF!</v>
      </c>
      <c r="AA134" s="89" t="e">
        <f>#REF!</f>
        <v>#REF!</v>
      </c>
      <c r="AB134" s="89" t="e">
        <f>#REF!</f>
        <v>#REF!</v>
      </c>
      <c r="AC134" s="89" t="e">
        <f>#REF!</f>
        <v>#REF!</v>
      </c>
      <c r="AD134" s="89" t="e">
        <f>#REF!</f>
        <v>#REF!</v>
      </c>
      <c r="AE134" s="89" t="e">
        <f>#REF!</f>
        <v>#REF!</v>
      </c>
      <c r="AF134" s="89" t="e">
        <f>#REF!</f>
        <v>#REF!</v>
      </c>
      <c r="AG134" s="89" t="e">
        <f>#REF!</f>
        <v>#REF!</v>
      </c>
      <c r="AH134" s="89" t="e">
        <f>#REF!</f>
        <v>#REF!</v>
      </c>
      <c r="AI134" s="89" t="e">
        <f>#REF!</f>
        <v>#REF!</v>
      </c>
      <c r="AJ134" s="89" t="e">
        <f>#REF!</f>
        <v>#REF!</v>
      </c>
      <c r="AK134" s="89" t="e">
        <f>#REF!</f>
        <v>#REF!</v>
      </c>
      <c r="AL134" s="89" t="e">
        <f>#REF!</f>
        <v>#REF!</v>
      </c>
      <c r="AM134" s="89" t="e">
        <f>#REF!</f>
        <v>#REF!</v>
      </c>
      <c r="AN134" s="89" t="e">
        <f>#REF!</f>
        <v>#REF!</v>
      </c>
      <c r="AO134" s="89" t="e">
        <f>#REF!</f>
        <v>#REF!</v>
      </c>
      <c r="AP134" s="89" t="e">
        <f>#REF!</f>
        <v>#REF!</v>
      </c>
      <c r="AQ134" s="89" t="e">
        <f>#REF!</f>
        <v>#REF!</v>
      </c>
      <c r="AR134" s="89" t="e">
        <f>#REF!</f>
        <v>#REF!</v>
      </c>
      <c r="AS134" s="89" t="e">
        <f>#REF!</f>
        <v>#REF!</v>
      </c>
      <c r="AT134" s="89" t="e">
        <f>#REF!</f>
        <v>#REF!</v>
      </c>
      <c r="AU134" s="89" t="e">
        <f>#REF!</f>
        <v>#REF!</v>
      </c>
      <c r="AV134" s="89" t="e">
        <f>#REF!</f>
        <v>#REF!</v>
      </c>
      <c r="AW134" s="89" t="e">
        <f>#REF!</f>
        <v>#REF!</v>
      </c>
      <c r="AX134" s="89" t="e">
        <f>#REF!</f>
        <v>#REF!</v>
      </c>
      <c r="AY134" s="89" t="e">
        <f>#REF!</f>
        <v>#REF!</v>
      </c>
      <c r="AZ134" s="89" t="e">
        <f>#REF!</f>
        <v>#REF!</v>
      </c>
      <c r="BA134" s="89" t="e">
        <f>#REF!</f>
        <v>#REF!</v>
      </c>
      <c r="BB134" s="89" t="e">
        <f>#REF!</f>
        <v>#REF!</v>
      </c>
      <c r="BC134" s="89" t="e">
        <f>#REF!</f>
        <v>#REF!</v>
      </c>
      <c r="BD134" s="89" t="e">
        <f>#REF!</f>
        <v>#REF!</v>
      </c>
      <c r="BE134" s="89" t="e">
        <f>#REF!</f>
        <v>#REF!</v>
      </c>
      <c r="BF134" s="89" t="e">
        <f>#REF!</f>
        <v>#REF!</v>
      </c>
    </row>
    <row r="135" spans="9:58" x14ac:dyDescent="0.25">
      <c r="I135" s="89">
        <f>ABCD!J184</f>
        <v>32.75</v>
      </c>
      <c r="J135" s="89">
        <f>ABCD!K184</f>
        <v>107.41999999999999</v>
      </c>
      <c r="K135" s="89">
        <f>ABCD!L184</f>
        <v>6.5216513240710459</v>
      </c>
      <c r="L135" s="89">
        <f>ABCD!M184</f>
        <v>1.1980316789603762</v>
      </c>
      <c r="M135" s="89">
        <f>ABCD!N184</f>
        <v>6.6307779254436081</v>
      </c>
      <c r="N135" s="89" t="e">
        <v>#REF!</v>
      </c>
      <c r="O135" s="89" t="e">
        <v>#REF!</v>
      </c>
      <c r="P135" s="89" t="e">
        <v>#REF!</v>
      </c>
      <c r="Q135" s="89" t="e">
        <v>#REF!</v>
      </c>
      <c r="R135" s="89" t="e">
        <v>#REF!</v>
      </c>
      <c r="S135" s="89" t="e">
        <f>#REF!</f>
        <v>#REF!</v>
      </c>
      <c r="T135" s="89" t="e">
        <f>#REF!</f>
        <v>#REF!</v>
      </c>
      <c r="U135" s="89" t="e">
        <f>#REF!</f>
        <v>#REF!</v>
      </c>
      <c r="V135" s="89" t="e">
        <f>#REF!</f>
        <v>#REF!</v>
      </c>
      <c r="W135" s="89" t="e">
        <f>#REF!</f>
        <v>#REF!</v>
      </c>
      <c r="X135" s="89" t="e">
        <f>#REF!</f>
        <v>#REF!</v>
      </c>
      <c r="Y135" s="89" t="e">
        <f>#REF!</f>
        <v>#REF!</v>
      </c>
      <c r="Z135" s="89" t="e">
        <f>#REF!</f>
        <v>#REF!</v>
      </c>
      <c r="AA135" s="89" t="e">
        <f>#REF!</f>
        <v>#REF!</v>
      </c>
      <c r="AB135" s="89" t="e">
        <f>#REF!</f>
        <v>#REF!</v>
      </c>
      <c r="AC135" s="89" t="e">
        <f>#REF!</f>
        <v>#REF!</v>
      </c>
      <c r="AD135" s="89" t="e">
        <f>#REF!</f>
        <v>#REF!</v>
      </c>
      <c r="AE135" s="89" t="e">
        <f>#REF!</f>
        <v>#REF!</v>
      </c>
      <c r="AF135" s="89" t="e">
        <f>#REF!</f>
        <v>#REF!</v>
      </c>
      <c r="AG135" s="89" t="e">
        <f>#REF!</f>
        <v>#REF!</v>
      </c>
      <c r="AH135" s="89" t="e">
        <f>#REF!</f>
        <v>#REF!</v>
      </c>
      <c r="AI135" s="89" t="e">
        <f>#REF!</f>
        <v>#REF!</v>
      </c>
      <c r="AJ135" s="89" t="e">
        <f>#REF!</f>
        <v>#REF!</v>
      </c>
      <c r="AK135" s="89" t="e">
        <f>#REF!</f>
        <v>#REF!</v>
      </c>
      <c r="AL135" s="89" t="e">
        <f>#REF!</f>
        <v>#REF!</v>
      </c>
      <c r="AM135" s="89" t="e">
        <f>#REF!</f>
        <v>#REF!</v>
      </c>
      <c r="AN135" s="89" t="e">
        <f>#REF!</f>
        <v>#REF!</v>
      </c>
      <c r="AO135" s="89" t="e">
        <f>#REF!</f>
        <v>#REF!</v>
      </c>
      <c r="AP135" s="89" t="e">
        <f>#REF!</f>
        <v>#REF!</v>
      </c>
      <c r="AQ135" s="89" t="e">
        <f>#REF!</f>
        <v>#REF!</v>
      </c>
      <c r="AR135" s="89" t="e">
        <f>#REF!</f>
        <v>#REF!</v>
      </c>
      <c r="AS135" s="89" t="e">
        <f>#REF!</f>
        <v>#REF!</v>
      </c>
      <c r="AT135" s="89" t="e">
        <f>#REF!</f>
        <v>#REF!</v>
      </c>
      <c r="AU135" s="89" t="e">
        <f>#REF!</f>
        <v>#REF!</v>
      </c>
      <c r="AV135" s="89" t="e">
        <f>#REF!</f>
        <v>#REF!</v>
      </c>
      <c r="AW135" s="89" t="e">
        <f>#REF!</f>
        <v>#REF!</v>
      </c>
      <c r="AX135" s="89" t="e">
        <f>#REF!</f>
        <v>#REF!</v>
      </c>
      <c r="AY135" s="89" t="e">
        <f>#REF!</f>
        <v>#REF!</v>
      </c>
      <c r="AZ135" s="89" t="e">
        <f>#REF!</f>
        <v>#REF!</v>
      </c>
      <c r="BA135" s="89" t="e">
        <f>#REF!</f>
        <v>#REF!</v>
      </c>
      <c r="BB135" s="89" t="e">
        <f>#REF!</f>
        <v>#REF!</v>
      </c>
      <c r="BC135" s="89" t="e">
        <f>#REF!</f>
        <v>#REF!</v>
      </c>
      <c r="BD135" s="89" t="e">
        <f>#REF!</f>
        <v>#REF!</v>
      </c>
      <c r="BE135" s="89" t="e">
        <f>#REF!</f>
        <v>#REF!</v>
      </c>
      <c r="BF135" s="89" t="e">
        <f>#REF!</f>
        <v>#REF!</v>
      </c>
    </row>
    <row r="136" spans="9:58" x14ac:dyDescent="0.25">
      <c r="I136" s="89">
        <f>ABCD!J185</f>
        <v>33</v>
      </c>
      <c r="J136" s="89">
        <f>ABCD!K185</f>
        <v>108.24</v>
      </c>
      <c r="K136" s="89">
        <f>ABCD!L185</f>
        <v>6.499681866076223</v>
      </c>
      <c r="L136" s="89">
        <f>ABCD!M185</f>
        <v>1.1949374262322756</v>
      </c>
      <c r="M136" s="89">
        <f>ABCD!N185</f>
        <v>6.6086110350671046</v>
      </c>
      <c r="N136" s="89" t="e">
        <v>#REF!</v>
      </c>
      <c r="O136" s="89" t="e">
        <v>#REF!</v>
      </c>
      <c r="P136" s="89" t="e">
        <v>#REF!</v>
      </c>
      <c r="Q136" s="89" t="e">
        <v>#REF!</v>
      </c>
      <c r="R136" s="89" t="e">
        <v>#REF!</v>
      </c>
      <c r="S136" s="89" t="e">
        <f>#REF!</f>
        <v>#REF!</v>
      </c>
      <c r="T136" s="89" t="e">
        <f>#REF!</f>
        <v>#REF!</v>
      </c>
      <c r="U136" s="89" t="e">
        <f>#REF!</f>
        <v>#REF!</v>
      </c>
      <c r="V136" s="89" t="e">
        <f>#REF!</f>
        <v>#REF!</v>
      </c>
      <c r="W136" s="89" t="e">
        <f>#REF!</f>
        <v>#REF!</v>
      </c>
      <c r="X136" s="89" t="e">
        <f>#REF!</f>
        <v>#REF!</v>
      </c>
      <c r="Y136" s="89" t="e">
        <f>#REF!</f>
        <v>#REF!</v>
      </c>
      <c r="Z136" s="89" t="e">
        <f>#REF!</f>
        <v>#REF!</v>
      </c>
      <c r="AA136" s="89" t="e">
        <f>#REF!</f>
        <v>#REF!</v>
      </c>
      <c r="AB136" s="89" t="e">
        <f>#REF!</f>
        <v>#REF!</v>
      </c>
      <c r="AC136" s="89" t="e">
        <f>#REF!</f>
        <v>#REF!</v>
      </c>
      <c r="AD136" s="89" t="e">
        <f>#REF!</f>
        <v>#REF!</v>
      </c>
      <c r="AE136" s="89" t="e">
        <f>#REF!</f>
        <v>#REF!</v>
      </c>
      <c r="AF136" s="89" t="e">
        <f>#REF!</f>
        <v>#REF!</v>
      </c>
      <c r="AG136" s="89" t="e">
        <f>#REF!</f>
        <v>#REF!</v>
      </c>
      <c r="AH136" s="89" t="e">
        <f>#REF!</f>
        <v>#REF!</v>
      </c>
      <c r="AI136" s="89" t="e">
        <f>#REF!</f>
        <v>#REF!</v>
      </c>
      <c r="AJ136" s="89" t="e">
        <f>#REF!</f>
        <v>#REF!</v>
      </c>
      <c r="AK136" s="89" t="e">
        <f>#REF!</f>
        <v>#REF!</v>
      </c>
      <c r="AL136" s="89" t="e">
        <f>#REF!</f>
        <v>#REF!</v>
      </c>
      <c r="AM136" s="89" t="e">
        <f>#REF!</f>
        <v>#REF!</v>
      </c>
      <c r="AN136" s="89" t="e">
        <f>#REF!</f>
        <v>#REF!</v>
      </c>
      <c r="AO136" s="89" t="e">
        <f>#REF!</f>
        <v>#REF!</v>
      </c>
      <c r="AP136" s="89" t="e">
        <f>#REF!</f>
        <v>#REF!</v>
      </c>
      <c r="AQ136" s="89" t="e">
        <f>#REF!</f>
        <v>#REF!</v>
      </c>
      <c r="AR136" s="89" t="e">
        <f>#REF!</f>
        <v>#REF!</v>
      </c>
      <c r="AS136" s="89" t="e">
        <f>#REF!</f>
        <v>#REF!</v>
      </c>
      <c r="AT136" s="89" t="e">
        <f>#REF!</f>
        <v>#REF!</v>
      </c>
      <c r="AU136" s="89" t="e">
        <f>#REF!</f>
        <v>#REF!</v>
      </c>
      <c r="AV136" s="89" t="e">
        <f>#REF!</f>
        <v>#REF!</v>
      </c>
      <c r="AW136" s="89" t="e">
        <f>#REF!</f>
        <v>#REF!</v>
      </c>
      <c r="AX136" s="89" t="e">
        <f>#REF!</f>
        <v>#REF!</v>
      </c>
      <c r="AY136" s="89" t="e">
        <f>#REF!</f>
        <v>#REF!</v>
      </c>
      <c r="AZ136" s="89" t="e">
        <f>#REF!</f>
        <v>#REF!</v>
      </c>
      <c r="BA136" s="89" t="e">
        <f>#REF!</f>
        <v>#REF!</v>
      </c>
      <c r="BB136" s="89" t="e">
        <f>#REF!</f>
        <v>#REF!</v>
      </c>
      <c r="BC136" s="89" t="e">
        <f>#REF!</f>
        <v>#REF!</v>
      </c>
      <c r="BD136" s="89" t="e">
        <f>#REF!</f>
        <v>#REF!</v>
      </c>
      <c r="BE136" s="89" t="e">
        <f>#REF!</f>
        <v>#REF!</v>
      </c>
      <c r="BF136" s="89" t="e">
        <f>#REF!</f>
        <v>#REF!</v>
      </c>
    </row>
    <row r="137" spans="9:58" x14ac:dyDescent="0.25">
      <c r="I137" s="89">
        <f>ABCD!J186</f>
        <v>33.25</v>
      </c>
      <c r="J137" s="89">
        <f>ABCD!K186</f>
        <v>109.05999999999999</v>
      </c>
      <c r="K137" s="89">
        <f>ABCD!L186</f>
        <v>6.476231778145479</v>
      </c>
      <c r="L137" s="89">
        <f>ABCD!M186</f>
        <v>1.1915701164380605</v>
      </c>
      <c r="M137" s="89">
        <f>ABCD!N186</f>
        <v>6.5849386775162584</v>
      </c>
      <c r="N137" s="89" t="e">
        <v>#REF!</v>
      </c>
      <c r="O137" s="89" t="e">
        <v>#REF!</v>
      </c>
      <c r="P137" s="89" t="e">
        <v>#REF!</v>
      </c>
      <c r="Q137" s="89" t="e">
        <v>#REF!</v>
      </c>
      <c r="R137" s="89" t="e">
        <v>#REF!</v>
      </c>
      <c r="S137" s="89" t="e">
        <f>#REF!</f>
        <v>#REF!</v>
      </c>
      <c r="T137" s="89" t="e">
        <f>#REF!</f>
        <v>#REF!</v>
      </c>
      <c r="U137" s="89" t="e">
        <f>#REF!</f>
        <v>#REF!</v>
      </c>
      <c r="V137" s="89" t="e">
        <f>#REF!</f>
        <v>#REF!</v>
      </c>
      <c r="W137" s="89" t="e">
        <f>#REF!</f>
        <v>#REF!</v>
      </c>
      <c r="X137" s="89" t="e">
        <f>#REF!</f>
        <v>#REF!</v>
      </c>
      <c r="Y137" s="89" t="e">
        <f>#REF!</f>
        <v>#REF!</v>
      </c>
      <c r="Z137" s="89" t="e">
        <f>#REF!</f>
        <v>#REF!</v>
      </c>
      <c r="AA137" s="89" t="e">
        <f>#REF!</f>
        <v>#REF!</v>
      </c>
      <c r="AB137" s="89" t="e">
        <f>#REF!</f>
        <v>#REF!</v>
      </c>
      <c r="AC137" s="89" t="e">
        <f>#REF!</f>
        <v>#REF!</v>
      </c>
      <c r="AD137" s="89" t="e">
        <f>#REF!</f>
        <v>#REF!</v>
      </c>
      <c r="AE137" s="89" t="e">
        <f>#REF!</f>
        <v>#REF!</v>
      </c>
      <c r="AF137" s="89" t="e">
        <f>#REF!</f>
        <v>#REF!</v>
      </c>
      <c r="AG137" s="89" t="e">
        <f>#REF!</f>
        <v>#REF!</v>
      </c>
      <c r="AH137" s="89" t="e">
        <f>#REF!</f>
        <v>#REF!</v>
      </c>
      <c r="AI137" s="89" t="e">
        <f>#REF!</f>
        <v>#REF!</v>
      </c>
      <c r="AJ137" s="89" t="e">
        <f>#REF!</f>
        <v>#REF!</v>
      </c>
      <c r="AK137" s="89" t="e">
        <f>#REF!</f>
        <v>#REF!</v>
      </c>
      <c r="AL137" s="89" t="e">
        <f>#REF!</f>
        <v>#REF!</v>
      </c>
      <c r="AM137" s="89" t="e">
        <f>#REF!</f>
        <v>#REF!</v>
      </c>
      <c r="AN137" s="89" t="e">
        <f>#REF!</f>
        <v>#REF!</v>
      </c>
      <c r="AO137" s="89" t="e">
        <f>#REF!</f>
        <v>#REF!</v>
      </c>
      <c r="AP137" s="89" t="e">
        <f>#REF!</f>
        <v>#REF!</v>
      </c>
      <c r="AQ137" s="89" t="e">
        <f>#REF!</f>
        <v>#REF!</v>
      </c>
      <c r="AR137" s="89" t="e">
        <f>#REF!</f>
        <v>#REF!</v>
      </c>
      <c r="AS137" s="89" t="e">
        <f>#REF!</f>
        <v>#REF!</v>
      </c>
      <c r="AT137" s="89" t="e">
        <f>#REF!</f>
        <v>#REF!</v>
      </c>
      <c r="AU137" s="89" t="e">
        <f>#REF!</f>
        <v>#REF!</v>
      </c>
      <c r="AV137" s="89" t="e">
        <f>#REF!</f>
        <v>#REF!</v>
      </c>
      <c r="AW137" s="89" t="e">
        <f>#REF!</f>
        <v>#REF!</v>
      </c>
      <c r="AX137" s="89" t="e">
        <f>#REF!</f>
        <v>#REF!</v>
      </c>
      <c r="AY137" s="89" t="e">
        <f>#REF!</f>
        <v>#REF!</v>
      </c>
      <c r="AZ137" s="89" t="e">
        <f>#REF!</f>
        <v>#REF!</v>
      </c>
      <c r="BA137" s="89" t="e">
        <f>#REF!</f>
        <v>#REF!</v>
      </c>
      <c r="BB137" s="89" t="e">
        <f>#REF!</f>
        <v>#REF!</v>
      </c>
      <c r="BC137" s="89" t="e">
        <f>#REF!</f>
        <v>#REF!</v>
      </c>
      <c r="BD137" s="89" t="e">
        <f>#REF!</f>
        <v>#REF!</v>
      </c>
      <c r="BE137" s="89" t="e">
        <f>#REF!</f>
        <v>#REF!</v>
      </c>
      <c r="BF137" s="89" t="e">
        <f>#REF!</f>
        <v>#REF!</v>
      </c>
    </row>
    <row r="138" spans="9:58" x14ac:dyDescent="0.25">
      <c r="I138" s="89">
        <f>ABCD!J187</f>
        <v>33.5</v>
      </c>
      <c r="J138" s="89">
        <f>ABCD!K187</f>
        <v>109.88</v>
      </c>
      <c r="K138" s="89">
        <f>ABCD!L187</f>
        <v>6.4513078054898019</v>
      </c>
      <c r="L138" s="89">
        <f>ABCD!M187</f>
        <v>1.1879307725319497</v>
      </c>
      <c r="M138" s="89">
        <f>ABCD!N187</f>
        <v>6.5597676728297314</v>
      </c>
      <c r="N138" s="89" t="e">
        <v>#REF!</v>
      </c>
      <c r="O138" s="89" t="e">
        <v>#REF!</v>
      </c>
      <c r="P138" s="89" t="e">
        <v>#REF!</v>
      </c>
      <c r="Q138" s="89" t="e">
        <v>#REF!</v>
      </c>
      <c r="R138" s="89" t="e">
        <v>#REF!</v>
      </c>
      <c r="S138" s="89" t="e">
        <f>#REF!</f>
        <v>#REF!</v>
      </c>
      <c r="T138" s="89" t="e">
        <f>#REF!</f>
        <v>#REF!</v>
      </c>
      <c r="U138" s="89" t="e">
        <f>#REF!</f>
        <v>#REF!</v>
      </c>
      <c r="V138" s="89" t="e">
        <f>#REF!</f>
        <v>#REF!</v>
      </c>
      <c r="W138" s="89" t="e">
        <f>#REF!</f>
        <v>#REF!</v>
      </c>
      <c r="X138" s="89" t="e">
        <f>#REF!</f>
        <v>#REF!</v>
      </c>
      <c r="Y138" s="89" t="e">
        <f>#REF!</f>
        <v>#REF!</v>
      </c>
      <c r="Z138" s="89" t="e">
        <f>#REF!</f>
        <v>#REF!</v>
      </c>
      <c r="AA138" s="89" t="e">
        <f>#REF!</f>
        <v>#REF!</v>
      </c>
      <c r="AB138" s="89" t="e">
        <f>#REF!</f>
        <v>#REF!</v>
      </c>
      <c r="AC138" s="89" t="e">
        <f>#REF!</f>
        <v>#REF!</v>
      </c>
      <c r="AD138" s="89" t="e">
        <f>#REF!</f>
        <v>#REF!</v>
      </c>
      <c r="AE138" s="89" t="e">
        <f>#REF!</f>
        <v>#REF!</v>
      </c>
      <c r="AF138" s="89" t="e">
        <f>#REF!</f>
        <v>#REF!</v>
      </c>
      <c r="AG138" s="89" t="e">
        <f>#REF!</f>
        <v>#REF!</v>
      </c>
      <c r="AH138" s="89" t="e">
        <f>#REF!</f>
        <v>#REF!</v>
      </c>
      <c r="AI138" s="89" t="e">
        <f>#REF!</f>
        <v>#REF!</v>
      </c>
      <c r="AJ138" s="89" t="e">
        <f>#REF!</f>
        <v>#REF!</v>
      </c>
      <c r="AK138" s="89" t="e">
        <f>#REF!</f>
        <v>#REF!</v>
      </c>
      <c r="AL138" s="89" t="e">
        <f>#REF!</f>
        <v>#REF!</v>
      </c>
      <c r="AM138" s="89" t="e">
        <f>#REF!</f>
        <v>#REF!</v>
      </c>
      <c r="AN138" s="89" t="e">
        <f>#REF!</f>
        <v>#REF!</v>
      </c>
      <c r="AO138" s="89" t="e">
        <f>#REF!</f>
        <v>#REF!</v>
      </c>
      <c r="AP138" s="89" t="e">
        <f>#REF!</f>
        <v>#REF!</v>
      </c>
      <c r="AQ138" s="89" t="e">
        <f>#REF!</f>
        <v>#REF!</v>
      </c>
      <c r="AR138" s="89" t="e">
        <f>#REF!</f>
        <v>#REF!</v>
      </c>
      <c r="AS138" s="89" t="e">
        <f>#REF!</f>
        <v>#REF!</v>
      </c>
      <c r="AT138" s="89" t="e">
        <f>#REF!</f>
        <v>#REF!</v>
      </c>
      <c r="AU138" s="89" t="e">
        <f>#REF!</f>
        <v>#REF!</v>
      </c>
      <c r="AV138" s="89" t="e">
        <f>#REF!</f>
        <v>#REF!</v>
      </c>
      <c r="AW138" s="89" t="e">
        <f>#REF!</f>
        <v>#REF!</v>
      </c>
      <c r="AX138" s="89" t="e">
        <f>#REF!</f>
        <v>#REF!</v>
      </c>
      <c r="AY138" s="89" t="e">
        <f>#REF!</f>
        <v>#REF!</v>
      </c>
      <c r="AZ138" s="89" t="e">
        <f>#REF!</f>
        <v>#REF!</v>
      </c>
      <c r="BA138" s="89" t="e">
        <f>#REF!</f>
        <v>#REF!</v>
      </c>
      <c r="BB138" s="89" t="e">
        <f>#REF!</f>
        <v>#REF!</v>
      </c>
      <c r="BC138" s="89" t="e">
        <f>#REF!</f>
        <v>#REF!</v>
      </c>
      <c r="BD138" s="89" t="e">
        <f>#REF!</f>
        <v>#REF!</v>
      </c>
      <c r="BE138" s="89" t="e">
        <f>#REF!</f>
        <v>#REF!</v>
      </c>
      <c r="BF138" s="89" t="e">
        <f>#REF!</f>
        <v>#REF!</v>
      </c>
    </row>
    <row r="139" spans="9:58" x14ac:dyDescent="0.25">
      <c r="I139" s="89">
        <f>ABCD!J188</f>
        <v>33.75</v>
      </c>
      <c r="J139" s="89">
        <f>ABCD!K188</f>
        <v>110.69999999999999</v>
      </c>
      <c r="K139" s="89">
        <f>ABCD!L188</f>
        <v>6.4249170274853551</v>
      </c>
      <c r="L139" s="89">
        <f>ABCD!M188</f>
        <v>1.1840204793445741</v>
      </c>
      <c r="M139" s="89">
        <f>ABCD!N188</f>
        <v>6.5331051809670573</v>
      </c>
      <c r="N139" s="89" t="e">
        <v>#REF!</v>
      </c>
      <c r="O139" s="89" t="e">
        <v>#REF!</v>
      </c>
      <c r="P139" s="89" t="e">
        <v>#REF!</v>
      </c>
      <c r="Q139" s="89" t="e">
        <v>#REF!</v>
      </c>
      <c r="R139" s="89" t="e">
        <v>#REF!</v>
      </c>
      <c r="S139" s="89" t="e">
        <f>#REF!</f>
        <v>#REF!</v>
      </c>
      <c r="T139" s="89" t="e">
        <f>#REF!</f>
        <v>#REF!</v>
      </c>
      <c r="U139" s="89" t="e">
        <f>#REF!</f>
        <v>#REF!</v>
      </c>
      <c r="V139" s="89" t="e">
        <f>#REF!</f>
        <v>#REF!</v>
      </c>
      <c r="W139" s="89" t="e">
        <f>#REF!</f>
        <v>#REF!</v>
      </c>
      <c r="X139" s="89" t="e">
        <f>#REF!</f>
        <v>#REF!</v>
      </c>
      <c r="Y139" s="89" t="e">
        <f>#REF!</f>
        <v>#REF!</v>
      </c>
      <c r="Z139" s="89" t="e">
        <f>#REF!</f>
        <v>#REF!</v>
      </c>
      <c r="AA139" s="89" t="e">
        <f>#REF!</f>
        <v>#REF!</v>
      </c>
      <c r="AB139" s="89" t="e">
        <f>#REF!</f>
        <v>#REF!</v>
      </c>
      <c r="AC139" s="89" t="e">
        <f>#REF!</f>
        <v>#REF!</v>
      </c>
      <c r="AD139" s="89" t="e">
        <f>#REF!</f>
        <v>#REF!</v>
      </c>
      <c r="AE139" s="89" t="e">
        <f>#REF!</f>
        <v>#REF!</v>
      </c>
      <c r="AF139" s="89" t="e">
        <f>#REF!</f>
        <v>#REF!</v>
      </c>
      <c r="AG139" s="89" t="e">
        <f>#REF!</f>
        <v>#REF!</v>
      </c>
      <c r="AH139" s="89" t="e">
        <f>#REF!</f>
        <v>#REF!</v>
      </c>
      <c r="AI139" s="89" t="e">
        <f>#REF!</f>
        <v>#REF!</v>
      </c>
      <c r="AJ139" s="89" t="e">
        <f>#REF!</f>
        <v>#REF!</v>
      </c>
      <c r="AK139" s="89" t="e">
        <f>#REF!</f>
        <v>#REF!</v>
      </c>
      <c r="AL139" s="89" t="e">
        <f>#REF!</f>
        <v>#REF!</v>
      </c>
      <c r="AM139" s="89" t="e">
        <f>#REF!</f>
        <v>#REF!</v>
      </c>
      <c r="AN139" s="89" t="e">
        <f>#REF!</f>
        <v>#REF!</v>
      </c>
      <c r="AO139" s="89" t="e">
        <f>#REF!</f>
        <v>#REF!</v>
      </c>
      <c r="AP139" s="89" t="e">
        <f>#REF!</f>
        <v>#REF!</v>
      </c>
      <c r="AQ139" s="89" t="e">
        <f>#REF!</f>
        <v>#REF!</v>
      </c>
      <c r="AR139" s="89" t="e">
        <f>#REF!</f>
        <v>#REF!</v>
      </c>
      <c r="AS139" s="89" t="e">
        <f>#REF!</f>
        <v>#REF!</v>
      </c>
      <c r="AT139" s="89" t="e">
        <f>#REF!</f>
        <v>#REF!</v>
      </c>
      <c r="AU139" s="89" t="e">
        <f>#REF!</f>
        <v>#REF!</v>
      </c>
      <c r="AV139" s="89" t="e">
        <f>#REF!</f>
        <v>#REF!</v>
      </c>
      <c r="AW139" s="89" t="e">
        <f>#REF!</f>
        <v>#REF!</v>
      </c>
      <c r="AX139" s="89" t="e">
        <f>#REF!</f>
        <v>#REF!</v>
      </c>
      <c r="AY139" s="89" t="e">
        <f>#REF!</f>
        <v>#REF!</v>
      </c>
      <c r="AZ139" s="89" t="e">
        <f>#REF!</f>
        <v>#REF!</v>
      </c>
      <c r="BA139" s="89" t="e">
        <f>#REF!</f>
        <v>#REF!</v>
      </c>
      <c r="BB139" s="89" t="e">
        <f>#REF!</f>
        <v>#REF!</v>
      </c>
      <c r="BC139" s="89" t="e">
        <f>#REF!</f>
        <v>#REF!</v>
      </c>
      <c r="BD139" s="89" t="e">
        <f>#REF!</f>
        <v>#REF!</v>
      </c>
      <c r="BE139" s="89" t="e">
        <f>#REF!</f>
        <v>#REF!</v>
      </c>
      <c r="BF139" s="89" t="e">
        <f>#REF!</f>
        <v>#REF!</v>
      </c>
    </row>
    <row r="140" spans="9:58" x14ac:dyDescent="0.25">
      <c r="I140" s="89">
        <f>ABCD!J189</f>
        <v>34</v>
      </c>
      <c r="J140" s="89">
        <f>ABCD!K189</f>
        <v>111.52</v>
      </c>
      <c r="K140" s="89">
        <f>ABCD!L189</f>
        <v>6.3970668557386574</v>
      </c>
      <c r="L140" s="89">
        <f>ABCD!M189</f>
        <v>1.1798403832768589</v>
      </c>
      <c r="M140" s="89">
        <f>ABCD!N189</f>
        <v>6.504958699853594</v>
      </c>
      <c r="N140" s="89" t="e">
        <v>#REF!</v>
      </c>
      <c r="O140" s="89" t="e">
        <v>#REF!</v>
      </c>
      <c r="P140" s="89" t="e">
        <v>#REF!</v>
      </c>
      <c r="Q140" s="89" t="e">
        <v>#REF!</v>
      </c>
      <c r="R140" s="89" t="e">
        <v>#REF!</v>
      </c>
      <c r="S140" s="89" t="e">
        <f>#REF!</f>
        <v>#REF!</v>
      </c>
      <c r="T140" s="89" t="e">
        <f>#REF!</f>
        <v>#REF!</v>
      </c>
      <c r="U140" s="89" t="e">
        <f>#REF!</f>
        <v>#REF!</v>
      </c>
      <c r="V140" s="89" t="e">
        <f>#REF!</f>
        <v>#REF!</v>
      </c>
      <c r="W140" s="89" t="e">
        <f>#REF!</f>
        <v>#REF!</v>
      </c>
      <c r="X140" s="89" t="e">
        <f>#REF!</f>
        <v>#REF!</v>
      </c>
      <c r="Y140" s="89" t="e">
        <f>#REF!</f>
        <v>#REF!</v>
      </c>
      <c r="Z140" s="89" t="e">
        <f>#REF!</f>
        <v>#REF!</v>
      </c>
      <c r="AA140" s="89" t="e">
        <f>#REF!</f>
        <v>#REF!</v>
      </c>
      <c r="AB140" s="89" t="e">
        <f>#REF!</f>
        <v>#REF!</v>
      </c>
      <c r="AC140" s="89" t="e">
        <f>#REF!</f>
        <v>#REF!</v>
      </c>
      <c r="AD140" s="89" t="e">
        <f>#REF!</f>
        <v>#REF!</v>
      </c>
      <c r="AE140" s="89" t="e">
        <f>#REF!</f>
        <v>#REF!</v>
      </c>
      <c r="AF140" s="89" t="e">
        <f>#REF!</f>
        <v>#REF!</v>
      </c>
      <c r="AG140" s="89" t="e">
        <f>#REF!</f>
        <v>#REF!</v>
      </c>
      <c r="AH140" s="89" t="e">
        <f>#REF!</f>
        <v>#REF!</v>
      </c>
      <c r="AI140" s="89" t="e">
        <f>#REF!</f>
        <v>#REF!</v>
      </c>
      <c r="AJ140" s="89" t="e">
        <f>#REF!</f>
        <v>#REF!</v>
      </c>
      <c r="AK140" s="89" t="e">
        <f>#REF!</f>
        <v>#REF!</v>
      </c>
      <c r="AL140" s="89" t="e">
        <f>#REF!</f>
        <v>#REF!</v>
      </c>
      <c r="AM140" s="89" t="e">
        <f>#REF!</f>
        <v>#REF!</v>
      </c>
      <c r="AN140" s="89" t="e">
        <f>#REF!</f>
        <v>#REF!</v>
      </c>
      <c r="AO140" s="89" t="e">
        <f>#REF!</f>
        <v>#REF!</v>
      </c>
      <c r="AP140" s="89" t="e">
        <f>#REF!</f>
        <v>#REF!</v>
      </c>
      <c r="AQ140" s="89" t="e">
        <f>#REF!</f>
        <v>#REF!</v>
      </c>
      <c r="AR140" s="89" t="e">
        <f>#REF!</f>
        <v>#REF!</v>
      </c>
      <c r="AS140" s="89" t="e">
        <f>#REF!</f>
        <v>#REF!</v>
      </c>
      <c r="AT140" s="89" t="e">
        <f>#REF!</f>
        <v>#REF!</v>
      </c>
      <c r="AU140" s="89" t="e">
        <f>#REF!</f>
        <v>#REF!</v>
      </c>
      <c r="AV140" s="89" t="e">
        <f>#REF!</f>
        <v>#REF!</v>
      </c>
      <c r="AW140" s="89" t="e">
        <f>#REF!</f>
        <v>#REF!</v>
      </c>
      <c r="AX140" s="89" t="e">
        <f>#REF!</f>
        <v>#REF!</v>
      </c>
      <c r="AY140" s="89" t="e">
        <f>#REF!</f>
        <v>#REF!</v>
      </c>
      <c r="AZ140" s="89" t="e">
        <f>#REF!</f>
        <v>#REF!</v>
      </c>
      <c r="BA140" s="89" t="e">
        <f>#REF!</f>
        <v>#REF!</v>
      </c>
      <c r="BB140" s="89" t="e">
        <f>#REF!</f>
        <v>#REF!</v>
      </c>
      <c r="BC140" s="89" t="e">
        <f>#REF!</f>
        <v>#REF!</v>
      </c>
      <c r="BD140" s="89" t="e">
        <f>#REF!</f>
        <v>#REF!</v>
      </c>
      <c r="BE140" s="89" t="e">
        <f>#REF!</f>
        <v>#REF!</v>
      </c>
      <c r="BF140" s="89" t="e">
        <f>#REF!</f>
        <v>#REF!</v>
      </c>
    </row>
    <row r="141" spans="9:58" x14ac:dyDescent="0.25">
      <c r="I141" s="89">
        <f>ABCD!J190</f>
        <v>34.25</v>
      </c>
      <c r="J141" s="89">
        <f>ABCD!K190</f>
        <v>112.33999999999999</v>
      </c>
      <c r="K141" s="89">
        <f>ABCD!L190</f>
        <v>6.3677650320768002</v>
      </c>
      <c r="L141" s="89">
        <f>ABCD!M190</f>
        <v>1.1753916919800409</v>
      </c>
      <c r="M141" s="89">
        <f>ABCD!N190</f>
        <v>6.4753360633495891</v>
      </c>
      <c r="N141" s="89" t="e">
        <v>#REF!</v>
      </c>
      <c r="O141" s="89" t="e">
        <v>#REF!</v>
      </c>
      <c r="P141" s="89" t="e">
        <v>#REF!</v>
      </c>
      <c r="Q141" s="89" t="e">
        <v>#REF!</v>
      </c>
      <c r="R141" s="89" t="e">
        <v>#REF!</v>
      </c>
      <c r="S141" s="89" t="e">
        <f>#REF!</f>
        <v>#REF!</v>
      </c>
      <c r="T141" s="89" t="e">
        <f>#REF!</f>
        <v>#REF!</v>
      </c>
      <c r="U141" s="89" t="e">
        <f>#REF!</f>
        <v>#REF!</v>
      </c>
      <c r="V141" s="89" t="e">
        <f>#REF!</f>
        <v>#REF!</v>
      </c>
      <c r="W141" s="89" t="e">
        <f>#REF!</f>
        <v>#REF!</v>
      </c>
      <c r="X141" s="89" t="e">
        <f>#REF!</f>
        <v>#REF!</v>
      </c>
      <c r="Y141" s="89" t="e">
        <f>#REF!</f>
        <v>#REF!</v>
      </c>
      <c r="Z141" s="89" t="e">
        <f>#REF!</f>
        <v>#REF!</v>
      </c>
      <c r="AA141" s="89" t="e">
        <f>#REF!</f>
        <v>#REF!</v>
      </c>
      <c r="AB141" s="89" t="e">
        <f>#REF!</f>
        <v>#REF!</v>
      </c>
      <c r="AC141" s="89" t="e">
        <f>#REF!</f>
        <v>#REF!</v>
      </c>
      <c r="AD141" s="89" t="e">
        <f>#REF!</f>
        <v>#REF!</v>
      </c>
      <c r="AE141" s="89" t="e">
        <f>#REF!</f>
        <v>#REF!</v>
      </c>
      <c r="AF141" s="89" t="e">
        <f>#REF!</f>
        <v>#REF!</v>
      </c>
      <c r="AG141" s="89" t="e">
        <f>#REF!</f>
        <v>#REF!</v>
      </c>
      <c r="AH141" s="89" t="e">
        <f>#REF!</f>
        <v>#REF!</v>
      </c>
      <c r="AI141" s="89" t="e">
        <f>#REF!</f>
        <v>#REF!</v>
      </c>
      <c r="AJ141" s="89" t="e">
        <f>#REF!</f>
        <v>#REF!</v>
      </c>
      <c r="AK141" s="89" t="e">
        <f>#REF!</f>
        <v>#REF!</v>
      </c>
      <c r="AL141" s="89" t="e">
        <f>#REF!</f>
        <v>#REF!</v>
      </c>
      <c r="AM141" s="89" t="e">
        <f>#REF!</f>
        <v>#REF!</v>
      </c>
      <c r="AN141" s="89" t="e">
        <f>#REF!</f>
        <v>#REF!</v>
      </c>
      <c r="AO141" s="89" t="e">
        <f>#REF!</f>
        <v>#REF!</v>
      </c>
      <c r="AP141" s="89" t="e">
        <f>#REF!</f>
        <v>#REF!</v>
      </c>
      <c r="AQ141" s="89" t="e">
        <f>#REF!</f>
        <v>#REF!</v>
      </c>
      <c r="AR141" s="89" t="e">
        <f>#REF!</f>
        <v>#REF!</v>
      </c>
      <c r="AS141" s="89" t="e">
        <f>#REF!</f>
        <v>#REF!</v>
      </c>
      <c r="AT141" s="89" t="e">
        <f>#REF!</f>
        <v>#REF!</v>
      </c>
      <c r="AU141" s="89" t="e">
        <f>#REF!</f>
        <v>#REF!</v>
      </c>
      <c r="AV141" s="89" t="e">
        <f>#REF!</f>
        <v>#REF!</v>
      </c>
      <c r="AW141" s="89" t="e">
        <f>#REF!</f>
        <v>#REF!</v>
      </c>
      <c r="AX141" s="89" t="e">
        <f>#REF!</f>
        <v>#REF!</v>
      </c>
      <c r="AY141" s="89" t="e">
        <f>#REF!</f>
        <v>#REF!</v>
      </c>
      <c r="AZ141" s="89" t="e">
        <f>#REF!</f>
        <v>#REF!</v>
      </c>
      <c r="BA141" s="89" t="e">
        <f>#REF!</f>
        <v>#REF!</v>
      </c>
      <c r="BB141" s="89" t="e">
        <f>#REF!</f>
        <v>#REF!</v>
      </c>
      <c r="BC141" s="89" t="e">
        <f>#REF!</f>
        <v>#REF!</v>
      </c>
      <c r="BD141" s="89" t="e">
        <f>#REF!</f>
        <v>#REF!</v>
      </c>
      <c r="BE141" s="89" t="e">
        <f>#REF!</f>
        <v>#REF!</v>
      </c>
      <c r="BF141" s="89" t="e">
        <f>#REF!</f>
        <v>#REF!</v>
      </c>
    </row>
    <row r="142" spans="9:58" x14ac:dyDescent="0.25">
      <c r="I142" s="89">
        <f>ABCD!J191</f>
        <v>34.5</v>
      </c>
      <c r="J142" s="89">
        <f>ABCD!K191</f>
        <v>113.16</v>
      </c>
      <c r="K142" s="89">
        <f>ABCD!L191</f>
        <v>6.3370196264632561</v>
      </c>
      <c r="L142" s="89">
        <f>ABCD!M191</f>
        <v>1.1706756740217554</v>
      </c>
      <c r="M142" s="89">
        <f>ABCD!N191</f>
        <v>6.4442454391438879</v>
      </c>
      <c r="N142" s="89" t="e">
        <v>#REF!</v>
      </c>
      <c r="O142" s="89" t="e">
        <v>#REF!</v>
      </c>
      <c r="P142" s="89" t="e">
        <v>#REF!</v>
      </c>
      <c r="Q142" s="89" t="e">
        <v>#REF!</v>
      </c>
      <c r="R142" s="89" t="e">
        <v>#REF!</v>
      </c>
      <c r="S142" s="89" t="e">
        <f>#REF!</f>
        <v>#REF!</v>
      </c>
      <c r="T142" s="89" t="e">
        <f>#REF!</f>
        <v>#REF!</v>
      </c>
      <c r="U142" s="89" t="e">
        <f>#REF!</f>
        <v>#REF!</v>
      </c>
      <c r="V142" s="89" t="e">
        <f>#REF!</f>
        <v>#REF!</v>
      </c>
      <c r="W142" s="89" t="e">
        <f>#REF!</f>
        <v>#REF!</v>
      </c>
      <c r="X142" s="89" t="e">
        <f>#REF!</f>
        <v>#REF!</v>
      </c>
      <c r="Y142" s="89" t="e">
        <f>#REF!</f>
        <v>#REF!</v>
      </c>
      <c r="Z142" s="89" t="e">
        <f>#REF!</f>
        <v>#REF!</v>
      </c>
      <c r="AA142" s="89" t="e">
        <f>#REF!</f>
        <v>#REF!</v>
      </c>
      <c r="AB142" s="89" t="e">
        <f>#REF!</f>
        <v>#REF!</v>
      </c>
      <c r="AC142" s="89" t="e">
        <f>#REF!</f>
        <v>#REF!</v>
      </c>
      <c r="AD142" s="89" t="e">
        <f>#REF!</f>
        <v>#REF!</v>
      </c>
      <c r="AE142" s="89" t="e">
        <f>#REF!</f>
        <v>#REF!</v>
      </c>
      <c r="AF142" s="89" t="e">
        <f>#REF!</f>
        <v>#REF!</v>
      </c>
      <c r="AG142" s="89" t="e">
        <f>#REF!</f>
        <v>#REF!</v>
      </c>
      <c r="AH142" s="89" t="e">
        <f>#REF!</f>
        <v>#REF!</v>
      </c>
      <c r="AI142" s="89" t="e">
        <f>#REF!</f>
        <v>#REF!</v>
      </c>
      <c r="AJ142" s="89" t="e">
        <f>#REF!</f>
        <v>#REF!</v>
      </c>
      <c r="AK142" s="89" t="e">
        <f>#REF!</f>
        <v>#REF!</v>
      </c>
      <c r="AL142" s="89" t="e">
        <f>#REF!</f>
        <v>#REF!</v>
      </c>
      <c r="AM142" s="89" t="e">
        <f>#REF!</f>
        <v>#REF!</v>
      </c>
      <c r="AN142" s="89" t="e">
        <f>#REF!</f>
        <v>#REF!</v>
      </c>
      <c r="AO142" s="89" t="e">
        <f>#REF!</f>
        <v>#REF!</v>
      </c>
      <c r="AP142" s="89" t="e">
        <f>#REF!</f>
        <v>#REF!</v>
      </c>
      <c r="AQ142" s="89" t="e">
        <f>#REF!</f>
        <v>#REF!</v>
      </c>
      <c r="AR142" s="89" t="e">
        <f>#REF!</f>
        <v>#REF!</v>
      </c>
      <c r="AS142" s="89" t="e">
        <f>#REF!</f>
        <v>#REF!</v>
      </c>
      <c r="AT142" s="89" t="e">
        <f>#REF!</f>
        <v>#REF!</v>
      </c>
      <c r="AU142" s="89" t="e">
        <f>#REF!</f>
        <v>#REF!</v>
      </c>
      <c r="AV142" s="89" t="e">
        <f>#REF!</f>
        <v>#REF!</v>
      </c>
      <c r="AW142" s="89" t="e">
        <f>#REF!</f>
        <v>#REF!</v>
      </c>
      <c r="AX142" s="89" t="e">
        <f>#REF!</f>
        <v>#REF!</v>
      </c>
      <c r="AY142" s="89" t="e">
        <f>#REF!</f>
        <v>#REF!</v>
      </c>
      <c r="AZ142" s="89" t="e">
        <f>#REF!</f>
        <v>#REF!</v>
      </c>
      <c r="BA142" s="89" t="e">
        <f>#REF!</f>
        <v>#REF!</v>
      </c>
      <c r="BB142" s="89" t="e">
        <f>#REF!</f>
        <v>#REF!</v>
      </c>
      <c r="BC142" s="89" t="e">
        <f>#REF!</f>
        <v>#REF!</v>
      </c>
      <c r="BD142" s="89" t="e">
        <f>#REF!</f>
        <v>#REF!</v>
      </c>
      <c r="BE142" s="89" t="e">
        <f>#REF!</f>
        <v>#REF!</v>
      </c>
      <c r="BF142" s="89" t="e">
        <f>#REF!</f>
        <v>#REF!</v>
      </c>
    </row>
    <row r="143" spans="9:58" x14ac:dyDescent="0.25">
      <c r="I143" s="89">
        <f>ABCD!J192</f>
        <v>34.75</v>
      </c>
      <c r="J143" s="89">
        <f>ABCD!K192</f>
        <v>113.97999999999999</v>
      </c>
      <c r="K143" s="89">
        <f>ABCD!L192</f>
        <v>6.3048390348398113</v>
      </c>
      <c r="L143" s="89">
        <f>ABCD!M192</f>
        <v>1.1656936585384301</v>
      </c>
      <c r="M143" s="89">
        <f>ABCD!N192</f>
        <v>6.4116953265728807</v>
      </c>
      <c r="N143" s="89" t="e">
        <v>#REF!</v>
      </c>
      <c r="O143" s="89" t="e">
        <v>#REF!</v>
      </c>
      <c r="P143" s="89" t="e">
        <v>#REF!</v>
      </c>
      <c r="Q143" s="89" t="e">
        <v>#REF!</v>
      </c>
      <c r="R143" s="89" t="e">
        <v>#REF!</v>
      </c>
      <c r="S143" s="89" t="e">
        <f>#REF!</f>
        <v>#REF!</v>
      </c>
      <c r="T143" s="89" t="e">
        <f>#REF!</f>
        <v>#REF!</v>
      </c>
      <c r="U143" s="89" t="e">
        <f>#REF!</f>
        <v>#REF!</v>
      </c>
      <c r="V143" s="89" t="e">
        <f>#REF!</f>
        <v>#REF!</v>
      </c>
      <c r="W143" s="89" t="e">
        <f>#REF!</f>
        <v>#REF!</v>
      </c>
      <c r="X143" s="89" t="e">
        <f>#REF!</f>
        <v>#REF!</v>
      </c>
      <c r="Y143" s="89" t="e">
        <f>#REF!</f>
        <v>#REF!</v>
      </c>
      <c r="Z143" s="89" t="e">
        <f>#REF!</f>
        <v>#REF!</v>
      </c>
      <c r="AA143" s="89" t="e">
        <f>#REF!</f>
        <v>#REF!</v>
      </c>
      <c r="AB143" s="89" t="e">
        <f>#REF!</f>
        <v>#REF!</v>
      </c>
      <c r="AC143" s="89" t="e">
        <f>#REF!</f>
        <v>#REF!</v>
      </c>
      <c r="AD143" s="89" t="e">
        <f>#REF!</f>
        <v>#REF!</v>
      </c>
      <c r="AE143" s="89" t="e">
        <f>#REF!</f>
        <v>#REF!</v>
      </c>
      <c r="AF143" s="89" t="e">
        <f>#REF!</f>
        <v>#REF!</v>
      </c>
      <c r="AG143" s="89" t="e">
        <f>#REF!</f>
        <v>#REF!</v>
      </c>
      <c r="AH143" s="89" t="e">
        <f>#REF!</f>
        <v>#REF!</v>
      </c>
      <c r="AI143" s="89" t="e">
        <f>#REF!</f>
        <v>#REF!</v>
      </c>
      <c r="AJ143" s="89" t="e">
        <f>#REF!</f>
        <v>#REF!</v>
      </c>
      <c r="AK143" s="89" t="e">
        <f>#REF!</f>
        <v>#REF!</v>
      </c>
      <c r="AL143" s="89" t="e">
        <f>#REF!</f>
        <v>#REF!</v>
      </c>
      <c r="AM143" s="89" t="e">
        <f>#REF!</f>
        <v>#REF!</v>
      </c>
      <c r="AN143" s="89" t="e">
        <f>#REF!</f>
        <v>#REF!</v>
      </c>
      <c r="AO143" s="89" t="e">
        <f>#REF!</f>
        <v>#REF!</v>
      </c>
      <c r="AP143" s="89" t="e">
        <f>#REF!</f>
        <v>#REF!</v>
      </c>
      <c r="AQ143" s="89" t="e">
        <f>#REF!</f>
        <v>#REF!</v>
      </c>
      <c r="AR143" s="89" t="e">
        <f>#REF!</f>
        <v>#REF!</v>
      </c>
      <c r="AS143" s="89" t="e">
        <f>#REF!</f>
        <v>#REF!</v>
      </c>
      <c r="AT143" s="89" t="e">
        <f>#REF!</f>
        <v>#REF!</v>
      </c>
      <c r="AU143" s="89" t="e">
        <f>#REF!</f>
        <v>#REF!</v>
      </c>
      <c r="AV143" s="89" t="e">
        <f>#REF!</f>
        <v>#REF!</v>
      </c>
      <c r="AW143" s="89" t="e">
        <f>#REF!</f>
        <v>#REF!</v>
      </c>
      <c r="AX143" s="89" t="e">
        <f>#REF!</f>
        <v>#REF!</v>
      </c>
      <c r="AY143" s="89" t="e">
        <f>#REF!</f>
        <v>#REF!</v>
      </c>
      <c r="AZ143" s="89" t="e">
        <f>#REF!</f>
        <v>#REF!</v>
      </c>
      <c r="BA143" s="89" t="e">
        <f>#REF!</f>
        <v>#REF!</v>
      </c>
      <c r="BB143" s="89" t="e">
        <f>#REF!</f>
        <v>#REF!</v>
      </c>
      <c r="BC143" s="89" t="e">
        <f>#REF!</f>
        <v>#REF!</v>
      </c>
      <c r="BD143" s="89" t="e">
        <f>#REF!</f>
        <v>#REF!</v>
      </c>
      <c r="BE143" s="89" t="e">
        <f>#REF!</f>
        <v>#REF!</v>
      </c>
      <c r="BF143" s="89" t="e">
        <f>#REF!</f>
        <v>#REF!</v>
      </c>
    </row>
    <row r="144" spans="9:58" x14ac:dyDescent="0.25">
      <c r="I144" s="89">
        <f>ABCD!J193</f>
        <v>35</v>
      </c>
      <c r="J144" s="89">
        <f>ABCD!K193</f>
        <v>114.8</v>
      </c>
      <c r="K144" s="89">
        <f>ABCD!L193</f>
        <v>6.2712319768951801</v>
      </c>
      <c r="L144" s="89">
        <f>ABCD!M193</f>
        <v>1.1604470348739446</v>
      </c>
      <c r="M144" s="89">
        <f>ABCD!N193</f>
        <v>6.3776945543652657</v>
      </c>
      <c r="N144" s="89" t="e">
        <v>#REF!</v>
      </c>
      <c r="O144" s="89" t="e">
        <v>#REF!</v>
      </c>
      <c r="P144" s="89" t="e">
        <v>#REF!</v>
      </c>
      <c r="Q144" s="89" t="e">
        <v>#REF!</v>
      </c>
      <c r="R144" s="89" t="e">
        <v>#REF!</v>
      </c>
      <c r="S144" s="89" t="e">
        <f>#REF!</f>
        <v>#REF!</v>
      </c>
      <c r="T144" s="89" t="e">
        <f>#REF!</f>
        <v>#REF!</v>
      </c>
      <c r="U144" s="89" t="e">
        <f>#REF!</f>
        <v>#REF!</v>
      </c>
      <c r="V144" s="89" t="e">
        <f>#REF!</f>
        <v>#REF!</v>
      </c>
      <c r="W144" s="89" t="e">
        <f>#REF!</f>
        <v>#REF!</v>
      </c>
      <c r="X144" s="89" t="e">
        <f>#REF!</f>
        <v>#REF!</v>
      </c>
      <c r="Y144" s="89" t="e">
        <f>#REF!</f>
        <v>#REF!</v>
      </c>
      <c r="Z144" s="89" t="e">
        <f>#REF!</f>
        <v>#REF!</v>
      </c>
      <c r="AA144" s="89" t="e">
        <f>#REF!</f>
        <v>#REF!</v>
      </c>
      <c r="AB144" s="89" t="e">
        <f>#REF!</f>
        <v>#REF!</v>
      </c>
      <c r="AC144" s="89" t="e">
        <f>#REF!</f>
        <v>#REF!</v>
      </c>
      <c r="AD144" s="89" t="e">
        <f>#REF!</f>
        <v>#REF!</v>
      </c>
      <c r="AE144" s="89" t="e">
        <f>#REF!</f>
        <v>#REF!</v>
      </c>
      <c r="AF144" s="89" t="e">
        <f>#REF!</f>
        <v>#REF!</v>
      </c>
      <c r="AG144" s="89" t="e">
        <f>#REF!</f>
        <v>#REF!</v>
      </c>
      <c r="AH144" s="89" t="e">
        <f>#REF!</f>
        <v>#REF!</v>
      </c>
      <c r="AI144" s="89" t="e">
        <f>#REF!</f>
        <v>#REF!</v>
      </c>
      <c r="AJ144" s="89" t="e">
        <f>#REF!</f>
        <v>#REF!</v>
      </c>
      <c r="AK144" s="89" t="e">
        <f>#REF!</f>
        <v>#REF!</v>
      </c>
      <c r="AL144" s="89" t="e">
        <f>#REF!</f>
        <v>#REF!</v>
      </c>
      <c r="AM144" s="89" t="e">
        <f>#REF!</f>
        <v>#REF!</v>
      </c>
      <c r="AN144" s="89" t="e">
        <f>#REF!</f>
        <v>#REF!</v>
      </c>
      <c r="AO144" s="89" t="e">
        <f>#REF!</f>
        <v>#REF!</v>
      </c>
      <c r="AP144" s="89" t="e">
        <f>#REF!</f>
        <v>#REF!</v>
      </c>
      <c r="AQ144" s="89" t="e">
        <f>#REF!</f>
        <v>#REF!</v>
      </c>
      <c r="AR144" s="89" t="e">
        <f>#REF!</f>
        <v>#REF!</v>
      </c>
      <c r="AS144" s="89" t="e">
        <f>#REF!</f>
        <v>#REF!</v>
      </c>
      <c r="AT144" s="89" t="e">
        <f>#REF!</f>
        <v>#REF!</v>
      </c>
      <c r="AU144" s="89" t="e">
        <f>#REF!</f>
        <v>#REF!</v>
      </c>
      <c r="AV144" s="89" t="e">
        <f>#REF!</f>
        <v>#REF!</v>
      </c>
      <c r="AW144" s="89" t="e">
        <f>#REF!</f>
        <v>#REF!</v>
      </c>
      <c r="AX144" s="89" t="e">
        <f>#REF!</f>
        <v>#REF!</v>
      </c>
      <c r="AY144" s="89" t="e">
        <f>#REF!</f>
        <v>#REF!</v>
      </c>
      <c r="AZ144" s="89" t="e">
        <f>#REF!</f>
        <v>#REF!</v>
      </c>
      <c r="BA144" s="89" t="e">
        <f>#REF!</f>
        <v>#REF!</v>
      </c>
      <c r="BB144" s="89" t="e">
        <f>#REF!</f>
        <v>#REF!</v>
      </c>
      <c r="BC144" s="89" t="e">
        <f>#REF!</f>
        <v>#REF!</v>
      </c>
      <c r="BD144" s="89" t="e">
        <f>#REF!</f>
        <v>#REF!</v>
      </c>
      <c r="BE144" s="89" t="e">
        <f>#REF!</f>
        <v>#REF!</v>
      </c>
      <c r="BF144" s="89" t="e">
        <f>#REF!</f>
        <v>#REF!</v>
      </c>
    </row>
    <row r="145" spans="9:58" x14ac:dyDescent="0.25">
      <c r="I145" s="89">
        <f>ABCD!J194</f>
        <v>35.25</v>
      </c>
      <c r="J145" s="89">
        <f>ABCD!K194</f>
        <v>115.61999999999999</v>
      </c>
      <c r="K145" s="89">
        <f>ABCD!L194</f>
        <v>6.2362074937609115</v>
      </c>
      <c r="L145" s="89">
        <f>ABCD!M194</f>
        <v>1.1549372522047809</v>
      </c>
      <c r="M145" s="89">
        <f>ABCD!N194</f>
        <v>6.3422522783132873</v>
      </c>
      <c r="N145" s="89" t="e">
        <v>#REF!</v>
      </c>
      <c r="O145" s="89" t="e">
        <v>#REF!</v>
      </c>
      <c r="P145" s="89" t="e">
        <v>#REF!</v>
      </c>
      <c r="Q145" s="89" t="e">
        <v>#REF!</v>
      </c>
      <c r="R145" s="89" t="e">
        <v>#REF!</v>
      </c>
      <c r="S145" s="89" t="e">
        <f>#REF!</f>
        <v>#REF!</v>
      </c>
      <c r="T145" s="89" t="e">
        <f>#REF!</f>
        <v>#REF!</v>
      </c>
      <c r="U145" s="89" t="e">
        <f>#REF!</f>
        <v>#REF!</v>
      </c>
      <c r="V145" s="89" t="e">
        <f>#REF!</f>
        <v>#REF!</v>
      </c>
      <c r="W145" s="89" t="e">
        <f>#REF!</f>
        <v>#REF!</v>
      </c>
      <c r="X145" s="89" t="e">
        <f>#REF!</f>
        <v>#REF!</v>
      </c>
      <c r="Y145" s="89" t="e">
        <f>#REF!</f>
        <v>#REF!</v>
      </c>
      <c r="Z145" s="89" t="e">
        <f>#REF!</f>
        <v>#REF!</v>
      </c>
      <c r="AA145" s="89" t="e">
        <f>#REF!</f>
        <v>#REF!</v>
      </c>
      <c r="AB145" s="89" t="e">
        <f>#REF!</f>
        <v>#REF!</v>
      </c>
      <c r="AC145" s="89" t="e">
        <f>#REF!</f>
        <v>#REF!</v>
      </c>
      <c r="AD145" s="89" t="e">
        <f>#REF!</f>
        <v>#REF!</v>
      </c>
      <c r="AE145" s="89" t="e">
        <f>#REF!</f>
        <v>#REF!</v>
      </c>
      <c r="AF145" s="89" t="e">
        <f>#REF!</f>
        <v>#REF!</v>
      </c>
      <c r="AG145" s="89" t="e">
        <f>#REF!</f>
        <v>#REF!</v>
      </c>
      <c r="AH145" s="89" t="e">
        <f>#REF!</f>
        <v>#REF!</v>
      </c>
      <c r="AI145" s="89" t="e">
        <f>#REF!</f>
        <v>#REF!</v>
      </c>
      <c r="AJ145" s="89" t="e">
        <f>#REF!</f>
        <v>#REF!</v>
      </c>
      <c r="AK145" s="89" t="e">
        <f>#REF!</f>
        <v>#REF!</v>
      </c>
      <c r="AL145" s="89" t="e">
        <f>#REF!</f>
        <v>#REF!</v>
      </c>
      <c r="AM145" s="89" t="e">
        <f>#REF!</f>
        <v>#REF!</v>
      </c>
      <c r="AN145" s="89" t="e">
        <f>#REF!</f>
        <v>#REF!</v>
      </c>
      <c r="AO145" s="89" t="e">
        <f>#REF!</f>
        <v>#REF!</v>
      </c>
      <c r="AP145" s="89" t="e">
        <f>#REF!</f>
        <v>#REF!</v>
      </c>
      <c r="AQ145" s="89" t="e">
        <f>#REF!</f>
        <v>#REF!</v>
      </c>
      <c r="AR145" s="89" t="e">
        <f>#REF!</f>
        <v>#REF!</v>
      </c>
      <c r="AS145" s="89" t="e">
        <f>#REF!</f>
        <v>#REF!</v>
      </c>
      <c r="AT145" s="89" t="e">
        <f>#REF!</f>
        <v>#REF!</v>
      </c>
      <c r="AU145" s="89" t="e">
        <f>#REF!</f>
        <v>#REF!</v>
      </c>
      <c r="AV145" s="89" t="e">
        <f>#REF!</f>
        <v>#REF!</v>
      </c>
      <c r="AW145" s="89" t="e">
        <f>#REF!</f>
        <v>#REF!</v>
      </c>
      <c r="AX145" s="89" t="e">
        <f>#REF!</f>
        <v>#REF!</v>
      </c>
      <c r="AY145" s="89" t="e">
        <f>#REF!</f>
        <v>#REF!</v>
      </c>
      <c r="AZ145" s="89" t="e">
        <f>#REF!</f>
        <v>#REF!</v>
      </c>
      <c r="BA145" s="89" t="e">
        <f>#REF!</f>
        <v>#REF!</v>
      </c>
      <c r="BB145" s="89" t="e">
        <f>#REF!</f>
        <v>#REF!</v>
      </c>
      <c r="BC145" s="89" t="e">
        <f>#REF!</f>
        <v>#REF!</v>
      </c>
      <c r="BD145" s="89" t="e">
        <f>#REF!</f>
        <v>#REF!</v>
      </c>
      <c r="BE145" s="89" t="e">
        <f>#REF!</f>
        <v>#REF!</v>
      </c>
      <c r="BF145" s="89" t="e">
        <f>#REF!</f>
        <v>#REF!</v>
      </c>
    </row>
    <row r="146" spans="9:58" x14ac:dyDescent="0.25">
      <c r="I146" s="89">
        <f>ABCD!J195</f>
        <v>35.5</v>
      </c>
      <c r="J146" s="89">
        <f>ABCD!K195</f>
        <v>116.44</v>
      </c>
      <c r="K146" s="89">
        <f>ABCD!L195</f>
        <v>6.1997749456351521</v>
      </c>
      <c r="L146" s="89">
        <f>ABCD!M195</f>
        <v>1.1491658191516543</v>
      </c>
      <c r="M146" s="89">
        <f>ABCD!N195</f>
        <v>6.3053779788710402</v>
      </c>
      <c r="N146" s="89" t="e">
        <v>#REF!</v>
      </c>
      <c r="O146" s="89" t="e">
        <v>#REF!</v>
      </c>
      <c r="P146" s="89" t="e">
        <v>#REF!</v>
      </c>
      <c r="Q146" s="89" t="e">
        <v>#REF!</v>
      </c>
      <c r="R146" s="89" t="e">
        <v>#REF!</v>
      </c>
      <c r="S146" s="89" t="e">
        <f>#REF!</f>
        <v>#REF!</v>
      </c>
      <c r="T146" s="89" t="e">
        <f>#REF!</f>
        <v>#REF!</v>
      </c>
      <c r="U146" s="89" t="e">
        <f>#REF!</f>
        <v>#REF!</v>
      </c>
      <c r="V146" s="89" t="e">
        <f>#REF!</f>
        <v>#REF!</v>
      </c>
      <c r="W146" s="89" t="e">
        <f>#REF!</f>
        <v>#REF!</v>
      </c>
      <c r="X146" s="89" t="e">
        <f>#REF!</f>
        <v>#REF!</v>
      </c>
      <c r="Y146" s="89" t="e">
        <f>#REF!</f>
        <v>#REF!</v>
      </c>
      <c r="Z146" s="89" t="e">
        <f>#REF!</f>
        <v>#REF!</v>
      </c>
      <c r="AA146" s="89" t="e">
        <f>#REF!</f>
        <v>#REF!</v>
      </c>
      <c r="AB146" s="89" t="e">
        <f>#REF!</f>
        <v>#REF!</v>
      </c>
      <c r="AC146" s="89" t="e">
        <f>#REF!</f>
        <v>#REF!</v>
      </c>
      <c r="AD146" s="89" t="e">
        <f>#REF!</f>
        <v>#REF!</v>
      </c>
      <c r="AE146" s="89" t="e">
        <f>#REF!</f>
        <v>#REF!</v>
      </c>
      <c r="AF146" s="89" t="e">
        <f>#REF!</f>
        <v>#REF!</v>
      </c>
      <c r="AG146" s="89" t="e">
        <f>#REF!</f>
        <v>#REF!</v>
      </c>
      <c r="AH146" s="89" t="e">
        <f>#REF!</f>
        <v>#REF!</v>
      </c>
      <c r="AI146" s="89" t="e">
        <f>#REF!</f>
        <v>#REF!</v>
      </c>
      <c r="AJ146" s="89" t="e">
        <f>#REF!</f>
        <v>#REF!</v>
      </c>
      <c r="AK146" s="89" t="e">
        <f>#REF!</f>
        <v>#REF!</v>
      </c>
      <c r="AL146" s="89" t="e">
        <f>#REF!</f>
        <v>#REF!</v>
      </c>
      <c r="AM146" s="89" t="e">
        <f>#REF!</f>
        <v>#REF!</v>
      </c>
      <c r="AN146" s="89" t="e">
        <f>#REF!</f>
        <v>#REF!</v>
      </c>
      <c r="AO146" s="89" t="e">
        <f>#REF!</f>
        <v>#REF!</v>
      </c>
      <c r="AP146" s="89" t="e">
        <f>#REF!</f>
        <v>#REF!</v>
      </c>
      <c r="AQ146" s="89" t="e">
        <f>#REF!</f>
        <v>#REF!</v>
      </c>
      <c r="AR146" s="89" t="e">
        <f>#REF!</f>
        <v>#REF!</v>
      </c>
      <c r="AS146" s="89" t="e">
        <f>#REF!</f>
        <v>#REF!</v>
      </c>
      <c r="AT146" s="89" t="e">
        <f>#REF!</f>
        <v>#REF!</v>
      </c>
      <c r="AU146" s="89" t="e">
        <f>#REF!</f>
        <v>#REF!</v>
      </c>
      <c r="AV146" s="89" t="e">
        <f>#REF!</f>
        <v>#REF!</v>
      </c>
      <c r="AW146" s="89" t="e">
        <f>#REF!</f>
        <v>#REF!</v>
      </c>
      <c r="AX146" s="89" t="e">
        <f>#REF!</f>
        <v>#REF!</v>
      </c>
      <c r="AY146" s="89" t="e">
        <f>#REF!</f>
        <v>#REF!</v>
      </c>
      <c r="AZ146" s="89" t="e">
        <f>#REF!</f>
        <v>#REF!</v>
      </c>
      <c r="BA146" s="89" t="e">
        <f>#REF!</f>
        <v>#REF!</v>
      </c>
      <c r="BB146" s="89" t="e">
        <f>#REF!</f>
        <v>#REF!</v>
      </c>
      <c r="BC146" s="89" t="e">
        <f>#REF!</f>
        <v>#REF!</v>
      </c>
      <c r="BD146" s="89" t="e">
        <f>#REF!</f>
        <v>#REF!</v>
      </c>
      <c r="BE146" s="89" t="e">
        <f>#REF!</f>
        <v>#REF!</v>
      </c>
      <c r="BF146" s="89" t="e">
        <f>#REF!</f>
        <v>#REF!</v>
      </c>
    </row>
    <row r="147" spans="9:58" x14ac:dyDescent="0.25">
      <c r="I147" s="89">
        <f>ABCD!J196</f>
        <v>35.75</v>
      </c>
      <c r="J147" s="89">
        <f>ABCD!K196</f>
        <v>117.25999999999999</v>
      </c>
      <c r="K147" s="89">
        <f>ABCD!L196</f>
        <v>6.1619440093348921</v>
      </c>
      <c r="L147" s="89">
        <f>ABCD!M196</f>
        <v>1.1431343033777863</v>
      </c>
      <c r="M147" s="89">
        <f>ABCD!N196</f>
        <v>6.2670814586805221</v>
      </c>
      <c r="N147" s="89" t="e">
        <v>#REF!</v>
      </c>
      <c r="O147" s="89" t="e">
        <v>#REF!</v>
      </c>
      <c r="P147" s="89" t="e">
        <v>#REF!</v>
      </c>
      <c r="Q147" s="89" t="e">
        <v>#REF!</v>
      </c>
      <c r="R147" s="89" t="e">
        <v>#REF!</v>
      </c>
      <c r="S147" s="89" t="e">
        <f>#REF!</f>
        <v>#REF!</v>
      </c>
      <c r="T147" s="89" t="e">
        <f>#REF!</f>
        <v>#REF!</v>
      </c>
      <c r="U147" s="89" t="e">
        <f>#REF!</f>
        <v>#REF!</v>
      </c>
      <c r="V147" s="89" t="e">
        <f>#REF!</f>
        <v>#REF!</v>
      </c>
      <c r="W147" s="89" t="e">
        <f>#REF!</f>
        <v>#REF!</v>
      </c>
      <c r="X147" s="89" t="e">
        <f>#REF!</f>
        <v>#REF!</v>
      </c>
      <c r="Y147" s="89" t="e">
        <f>#REF!</f>
        <v>#REF!</v>
      </c>
      <c r="Z147" s="89" t="e">
        <f>#REF!</f>
        <v>#REF!</v>
      </c>
      <c r="AA147" s="89" t="e">
        <f>#REF!</f>
        <v>#REF!</v>
      </c>
      <c r="AB147" s="89" t="e">
        <f>#REF!</f>
        <v>#REF!</v>
      </c>
      <c r="AC147" s="89" t="e">
        <f>#REF!</f>
        <v>#REF!</v>
      </c>
      <c r="AD147" s="89" t="e">
        <f>#REF!</f>
        <v>#REF!</v>
      </c>
      <c r="AE147" s="89" t="e">
        <f>#REF!</f>
        <v>#REF!</v>
      </c>
      <c r="AF147" s="89" t="e">
        <f>#REF!</f>
        <v>#REF!</v>
      </c>
      <c r="AG147" s="89" t="e">
        <f>#REF!</f>
        <v>#REF!</v>
      </c>
      <c r="AH147" s="89" t="e">
        <f>#REF!</f>
        <v>#REF!</v>
      </c>
      <c r="AI147" s="89" t="e">
        <f>#REF!</f>
        <v>#REF!</v>
      </c>
      <c r="AJ147" s="89" t="e">
        <f>#REF!</f>
        <v>#REF!</v>
      </c>
      <c r="AK147" s="89" t="e">
        <f>#REF!</f>
        <v>#REF!</v>
      </c>
      <c r="AL147" s="89" t="e">
        <f>#REF!</f>
        <v>#REF!</v>
      </c>
      <c r="AM147" s="89" t="e">
        <f>#REF!</f>
        <v>#REF!</v>
      </c>
      <c r="AN147" s="89" t="e">
        <f>#REF!</f>
        <v>#REF!</v>
      </c>
      <c r="AO147" s="89" t="e">
        <f>#REF!</f>
        <v>#REF!</v>
      </c>
      <c r="AP147" s="89" t="e">
        <f>#REF!</f>
        <v>#REF!</v>
      </c>
      <c r="AQ147" s="89" t="e">
        <f>#REF!</f>
        <v>#REF!</v>
      </c>
      <c r="AR147" s="89" t="e">
        <f>#REF!</f>
        <v>#REF!</v>
      </c>
      <c r="AS147" s="89" t="e">
        <f>#REF!</f>
        <v>#REF!</v>
      </c>
      <c r="AT147" s="89" t="e">
        <f>#REF!</f>
        <v>#REF!</v>
      </c>
      <c r="AU147" s="89" t="e">
        <f>#REF!</f>
        <v>#REF!</v>
      </c>
      <c r="AV147" s="89" t="e">
        <f>#REF!</f>
        <v>#REF!</v>
      </c>
      <c r="AW147" s="89" t="e">
        <f>#REF!</f>
        <v>#REF!</v>
      </c>
      <c r="AX147" s="89" t="e">
        <f>#REF!</f>
        <v>#REF!</v>
      </c>
      <c r="AY147" s="89" t="e">
        <f>#REF!</f>
        <v>#REF!</v>
      </c>
      <c r="AZ147" s="89" t="e">
        <f>#REF!</f>
        <v>#REF!</v>
      </c>
      <c r="BA147" s="89" t="e">
        <f>#REF!</f>
        <v>#REF!</v>
      </c>
      <c r="BB147" s="89" t="e">
        <f>#REF!</f>
        <v>#REF!</v>
      </c>
      <c r="BC147" s="89" t="e">
        <f>#REF!</f>
        <v>#REF!</v>
      </c>
      <c r="BD147" s="89" t="e">
        <f>#REF!</f>
        <v>#REF!</v>
      </c>
      <c r="BE147" s="89" t="e">
        <f>#REF!</f>
        <v>#REF!</v>
      </c>
      <c r="BF147" s="89" t="e">
        <f>#REF!</f>
        <v>#REF!</v>
      </c>
    </row>
    <row r="148" spans="9:58" x14ac:dyDescent="0.25">
      <c r="I148" s="89">
        <f>ABCD!J197</f>
        <v>36</v>
      </c>
      <c r="J148" s="89">
        <f>ABCD!K197</f>
        <v>118.08</v>
      </c>
      <c r="K148" s="89">
        <f>ABCD!L197</f>
        <v>6.1227246757773433</v>
      </c>
      <c r="L148" s="89">
        <f>ABCD!M197</f>
        <v>1.1368443311739118</v>
      </c>
      <c r="M148" s="89">
        <f>ABCD!N197</f>
        <v>6.2273728400261241</v>
      </c>
      <c r="N148" s="89" t="e">
        <v>#REF!</v>
      </c>
      <c r="O148" s="89" t="e">
        <v>#REF!</v>
      </c>
      <c r="P148" s="89" t="e">
        <v>#REF!</v>
      </c>
      <c r="Q148" s="89" t="e">
        <v>#REF!</v>
      </c>
      <c r="R148" s="89" t="e">
        <v>#REF!</v>
      </c>
      <c r="S148" s="89" t="e">
        <f>#REF!</f>
        <v>#REF!</v>
      </c>
      <c r="T148" s="89" t="e">
        <f>#REF!</f>
        <v>#REF!</v>
      </c>
      <c r="U148" s="89" t="e">
        <f>#REF!</f>
        <v>#REF!</v>
      </c>
      <c r="V148" s="89" t="e">
        <f>#REF!</f>
        <v>#REF!</v>
      </c>
      <c r="W148" s="89" t="e">
        <f>#REF!</f>
        <v>#REF!</v>
      </c>
      <c r="X148" s="89" t="e">
        <f>#REF!</f>
        <v>#REF!</v>
      </c>
      <c r="Y148" s="89" t="e">
        <f>#REF!</f>
        <v>#REF!</v>
      </c>
      <c r="Z148" s="89" t="e">
        <f>#REF!</f>
        <v>#REF!</v>
      </c>
      <c r="AA148" s="89" t="e">
        <f>#REF!</f>
        <v>#REF!</v>
      </c>
      <c r="AB148" s="89" t="e">
        <f>#REF!</f>
        <v>#REF!</v>
      </c>
      <c r="AC148" s="89" t="e">
        <f>#REF!</f>
        <v>#REF!</v>
      </c>
      <c r="AD148" s="89" t="e">
        <f>#REF!</f>
        <v>#REF!</v>
      </c>
      <c r="AE148" s="89" t="e">
        <f>#REF!</f>
        <v>#REF!</v>
      </c>
      <c r="AF148" s="89" t="e">
        <f>#REF!</f>
        <v>#REF!</v>
      </c>
      <c r="AG148" s="89" t="e">
        <f>#REF!</f>
        <v>#REF!</v>
      </c>
      <c r="AH148" s="89" t="e">
        <f>#REF!</f>
        <v>#REF!</v>
      </c>
      <c r="AI148" s="89" t="e">
        <f>#REF!</f>
        <v>#REF!</v>
      </c>
      <c r="AJ148" s="89" t="e">
        <f>#REF!</f>
        <v>#REF!</v>
      </c>
      <c r="AK148" s="89" t="e">
        <f>#REF!</f>
        <v>#REF!</v>
      </c>
      <c r="AL148" s="89" t="e">
        <f>#REF!</f>
        <v>#REF!</v>
      </c>
      <c r="AM148" s="89" t="e">
        <f>#REF!</f>
        <v>#REF!</v>
      </c>
      <c r="AN148" s="89" t="e">
        <f>#REF!</f>
        <v>#REF!</v>
      </c>
      <c r="AO148" s="89" t="e">
        <f>#REF!</f>
        <v>#REF!</v>
      </c>
      <c r="AP148" s="89" t="e">
        <f>#REF!</f>
        <v>#REF!</v>
      </c>
      <c r="AQ148" s="89" t="e">
        <f>#REF!</f>
        <v>#REF!</v>
      </c>
      <c r="AR148" s="89" t="e">
        <f>#REF!</f>
        <v>#REF!</v>
      </c>
      <c r="AS148" s="89" t="e">
        <f>#REF!</f>
        <v>#REF!</v>
      </c>
      <c r="AT148" s="89" t="e">
        <f>#REF!</f>
        <v>#REF!</v>
      </c>
      <c r="AU148" s="89" t="e">
        <f>#REF!</f>
        <v>#REF!</v>
      </c>
      <c r="AV148" s="89" t="e">
        <f>#REF!</f>
        <v>#REF!</v>
      </c>
      <c r="AW148" s="89" t="e">
        <f>#REF!</f>
        <v>#REF!</v>
      </c>
      <c r="AX148" s="89" t="e">
        <f>#REF!</f>
        <v>#REF!</v>
      </c>
      <c r="AY148" s="89" t="e">
        <f>#REF!</f>
        <v>#REF!</v>
      </c>
      <c r="AZ148" s="89" t="e">
        <f>#REF!</f>
        <v>#REF!</v>
      </c>
      <c r="BA148" s="89" t="e">
        <f>#REF!</f>
        <v>#REF!</v>
      </c>
      <c r="BB148" s="89" t="e">
        <f>#REF!</f>
        <v>#REF!</v>
      </c>
      <c r="BC148" s="89" t="e">
        <f>#REF!</f>
        <v>#REF!</v>
      </c>
      <c r="BD148" s="89" t="e">
        <f>#REF!</f>
        <v>#REF!</v>
      </c>
      <c r="BE148" s="89" t="e">
        <f>#REF!</f>
        <v>#REF!</v>
      </c>
      <c r="BF148" s="89" t="e">
        <f>#REF!</f>
        <v>#REF!</v>
      </c>
    </row>
    <row r="149" spans="9:58" x14ac:dyDescent="0.25">
      <c r="I149" s="89">
        <f>ABCD!J198</f>
        <v>36.25</v>
      </c>
      <c r="J149" s="89">
        <f>ABCD!K198</f>
        <v>118.89999999999999</v>
      </c>
      <c r="K149" s="89">
        <f>ABCD!L198</f>
        <v>6.0821272473910435</v>
      </c>
      <c r="L149" s="89">
        <f>ABCD!M198</f>
        <v>1.1302975870301268</v>
      </c>
      <c r="M149" s="89">
        <f>ABCD!N198</f>
        <v>6.1862625622182152</v>
      </c>
      <c r="N149" s="89" t="e">
        <v>#REF!</v>
      </c>
      <c r="O149" s="89" t="e">
        <v>#REF!</v>
      </c>
      <c r="P149" s="89" t="e">
        <v>#REF!</v>
      </c>
      <c r="Q149" s="89" t="e">
        <v>#REF!</v>
      </c>
      <c r="R149" s="89" t="e">
        <v>#REF!</v>
      </c>
      <c r="S149" s="89" t="e">
        <f>#REF!</f>
        <v>#REF!</v>
      </c>
      <c r="T149" s="89" t="e">
        <f>#REF!</f>
        <v>#REF!</v>
      </c>
      <c r="U149" s="89" t="e">
        <f>#REF!</f>
        <v>#REF!</v>
      </c>
      <c r="V149" s="89" t="e">
        <f>#REF!</f>
        <v>#REF!</v>
      </c>
      <c r="W149" s="89" t="e">
        <f>#REF!</f>
        <v>#REF!</v>
      </c>
      <c r="X149" s="89" t="e">
        <f>#REF!</f>
        <v>#REF!</v>
      </c>
      <c r="Y149" s="89" t="e">
        <f>#REF!</f>
        <v>#REF!</v>
      </c>
      <c r="Z149" s="89" t="e">
        <f>#REF!</f>
        <v>#REF!</v>
      </c>
      <c r="AA149" s="89" t="e">
        <f>#REF!</f>
        <v>#REF!</v>
      </c>
      <c r="AB149" s="89" t="e">
        <f>#REF!</f>
        <v>#REF!</v>
      </c>
      <c r="AC149" s="89" t="e">
        <f>#REF!</f>
        <v>#REF!</v>
      </c>
      <c r="AD149" s="89" t="e">
        <f>#REF!</f>
        <v>#REF!</v>
      </c>
      <c r="AE149" s="89" t="e">
        <f>#REF!</f>
        <v>#REF!</v>
      </c>
      <c r="AF149" s="89" t="e">
        <f>#REF!</f>
        <v>#REF!</v>
      </c>
      <c r="AG149" s="89" t="e">
        <f>#REF!</f>
        <v>#REF!</v>
      </c>
      <c r="AH149" s="89" t="e">
        <f>#REF!</f>
        <v>#REF!</v>
      </c>
      <c r="AI149" s="89" t="e">
        <f>#REF!</f>
        <v>#REF!</v>
      </c>
      <c r="AJ149" s="89" t="e">
        <f>#REF!</f>
        <v>#REF!</v>
      </c>
      <c r="AK149" s="89" t="e">
        <f>#REF!</f>
        <v>#REF!</v>
      </c>
      <c r="AL149" s="89" t="e">
        <f>#REF!</f>
        <v>#REF!</v>
      </c>
      <c r="AM149" s="89" t="e">
        <f>#REF!</f>
        <v>#REF!</v>
      </c>
      <c r="AN149" s="89" t="e">
        <f>#REF!</f>
        <v>#REF!</v>
      </c>
      <c r="AO149" s="89" t="e">
        <f>#REF!</f>
        <v>#REF!</v>
      </c>
      <c r="AP149" s="89" t="e">
        <f>#REF!</f>
        <v>#REF!</v>
      </c>
      <c r="AQ149" s="89" t="e">
        <f>#REF!</f>
        <v>#REF!</v>
      </c>
      <c r="AR149" s="89" t="e">
        <f>#REF!</f>
        <v>#REF!</v>
      </c>
      <c r="AS149" s="89" t="e">
        <f>#REF!</f>
        <v>#REF!</v>
      </c>
      <c r="AT149" s="89" t="e">
        <f>#REF!</f>
        <v>#REF!</v>
      </c>
      <c r="AU149" s="89" t="e">
        <f>#REF!</f>
        <v>#REF!</v>
      </c>
      <c r="AV149" s="89" t="e">
        <f>#REF!</f>
        <v>#REF!</v>
      </c>
      <c r="AW149" s="89" t="e">
        <f>#REF!</f>
        <v>#REF!</v>
      </c>
      <c r="AX149" s="89" t="e">
        <f>#REF!</f>
        <v>#REF!</v>
      </c>
      <c r="AY149" s="89" t="e">
        <f>#REF!</f>
        <v>#REF!</v>
      </c>
      <c r="AZ149" s="89" t="e">
        <f>#REF!</f>
        <v>#REF!</v>
      </c>
      <c r="BA149" s="89" t="e">
        <f>#REF!</f>
        <v>#REF!</v>
      </c>
      <c r="BB149" s="89" t="e">
        <f>#REF!</f>
        <v>#REF!</v>
      </c>
      <c r="BC149" s="89" t="e">
        <f>#REF!</f>
        <v>#REF!</v>
      </c>
      <c r="BD149" s="89" t="e">
        <f>#REF!</f>
        <v>#REF!</v>
      </c>
      <c r="BE149" s="89" t="e">
        <f>#REF!</f>
        <v>#REF!</v>
      </c>
      <c r="BF149" s="89" t="e">
        <f>#REF!</f>
        <v>#REF!</v>
      </c>
    </row>
    <row r="150" spans="9:58" x14ac:dyDescent="0.25">
      <c r="I150" s="89">
        <f>ABCD!J199</f>
        <v>36.5</v>
      </c>
      <c r="J150" s="89">
        <f>ABCD!K199</f>
        <v>119.72</v>
      </c>
      <c r="K150" s="89">
        <f>ABCD!L199</f>
        <v>6.0401623354574188</v>
      </c>
      <c r="L150" s="89">
        <f>ABCD!M199</f>
        <v>1.1234958131946735</v>
      </c>
      <c r="M150" s="89">
        <f>ABCD!N199</f>
        <v>6.1437613789066043</v>
      </c>
      <c r="N150" s="89" t="e">
        <v>#REF!</v>
      </c>
      <c r="O150" s="89" t="e">
        <v>#REF!</v>
      </c>
      <c r="P150" s="89" t="e">
        <v>#REF!</v>
      </c>
      <c r="Q150" s="89" t="e">
        <v>#REF!</v>
      </c>
      <c r="R150" s="89" t="e">
        <v>#REF!</v>
      </c>
      <c r="S150" s="89" t="e">
        <f>#REF!</f>
        <v>#REF!</v>
      </c>
      <c r="T150" s="89" t="e">
        <f>#REF!</f>
        <v>#REF!</v>
      </c>
      <c r="U150" s="89" t="e">
        <f>#REF!</f>
        <v>#REF!</v>
      </c>
      <c r="V150" s="89" t="e">
        <f>#REF!</f>
        <v>#REF!</v>
      </c>
      <c r="W150" s="89" t="e">
        <f>#REF!</f>
        <v>#REF!</v>
      </c>
      <c r="X150" s="89" t="e">
        <f>#REF!</f>
        <v>#REF!</v>
      </c>
      <c r="Y150" s="89" t="e">
        <f>#REF!</f>
        <v>#REF!</v>
      </c>
      <c r="Z150" s="89" t="e">
        <f>#REF!</f>
        <v>#REF!</v>
      </c>
      <c r="AA150" s="89" t="e">
        <f>#REF!</f>
        <v>#REF!</v>
      </c>
      <c r="AB150" s="89" t="e">
        <f>#REF!</f>
        <v>#REF!</v>
      </c>
      <c r="AC150" s="89" t="e">
        <f>#REF!</f>
        <v>#REF!</v>
      </c>
      <c r="AD150" s="89" t="e">
        <f>#REF!</f>
        <v>#REF!</v>
      </c>
      <c r="AE150" s="89" t="e">
        <f>#REF!</f>
        <v>#REF!</v>
      </c>
      <c r="AF150" s="89" t="e">
        <f>#REF!</f>
        <v>#REF!</v>
      </c>
      <c r="AG150" s="89" t="e">
        <f>#REF!</f>
        <v>#REF!</v>
      </c>
      <c r="AH150" s="89" t="e">
        <f>#REF!</f>
        <v>#REF!</v>
      </c>
      <c r="AI150" s="89" t="e">
        <f>#REF!</f>
        <v>#REF!</v>
      </c>
      <c r="AJ150" s="89" t="e">
        <f>#REF!</f>
        <v>#REF!</v>
      </c>
      <c r="AK150" s="89" t="e">
        <f>#REF!</f>
        <v>#REF!</v>
      </c>
      <c r="AL150" s="89" t="e">
        <f>#REF!</f>
        <v>#REF!</v>
      </c>
      <c r="AM150" s="89" t="e">
        <f>#REF!</f>
        <v>#REF!</v>
      </c>
      <c r="AN150" s="89" t="e">
        <f>#REF!</f>
        <v>#REF!</v>
      </c>
      <c r="AO150" s="89" t="e">
        <f>#REF!</f>
        <v>#REF!</v>
      </c>
      <c r="AP150" s="89" t="e">
        <f>#REF!</f>
        <v>#REF!</v>
      </c>
      <c r="AQ150" s="89" t="e">
        <f>#REF!</f>
        <v>#REF!</v>
      </c>
      <c r="AR150" s="89" t="e">
        <f>#REF!</f>
        <v>#REF!</v>
      </c>
      <c r="AS150" s="89" t="e">
        <f>#REF!</f>
        <v>#REF!</v>
      </c>
      <c r="AT150" s="89" t="e">
        <f>#REF!</f>
        <v>#REF!</v>
      </c>
      <c r="AU150" s="89" t="e">
        <f>#REF!</f>
        <v>#REF!</v>
      </c>
      <c r="AV150" s="89" t="e">
        <f>#REF!</f>
        <v>#REF!</v>
      </c>
      <c r="AW150" s="89" t="e">
        <f>#REF!</f>
        <v>#REF!</v>
      </c>
      <c r="AX150" s="89" t="e">
        <f>#REF!</f>
        <v>#REF!</v>
      </c>
      <c r="AY150" s="89" t="e">
        <f>#REF!</f>
        <v>#REF!</v>
      </c>
      <c r="AZ150" s="89" t="e">
        <f>#REF!</f>
        <v>#REF!</v>
      </c>
      <c r="BA150" s="89" t="e">
        <f>#REF!</f>
        <v>#REF!</v>
      </c>
      <c r="BB150" s="89" t="e">
        <f>#REF!</f>
        <v>#REF!</v>
      </c>
      <c r="BC150" s="89" t="e">
        <f>#REF!</f>
        <v>#REF!</v>
      </c>
      <c r="BD150" s="89" t="e">
        <f>#REF!</f>
        <v>#REF!</v>
      </c>
      <c r="BE150" s="89" t="e">
        <f>#REF!</f>
        <v>#REF!</v>
      </c>
      <c r="BF150" s="89" t="e">
        <f>#REF!</f>
        <v>#REF!</v>
      </c>
    </row>
    <row r="151" spans="9:58" x14ac:dyDescent="0.25">
      <c r="I151" s="89">
        <f>ABCD!J200</f>
        <v>36.75</v>
      </c>
      <c r="J151" s="89">
        <f>ABCD!K200</f>
        <v>120.53999999999999</v>
      </c>
      <c r="K151" s="89">
        <f>ABCD!L200</f>
        <v>5.996840857383404</v>
      </c>
      <c r="L151" s="89">
        <f>ABCD!M200</f>
        <v>1.1164408092198079</v>
      </c>
      <c r="M151" s="89">
        <f>ABCD!N200</f>
        <v>6.0998803553245455</v>
      </c>
      <c r="N151" s="89" t="e">
        <v>#REF!</v>
      </c>
      <c r="O151" s="89" t="e">
        <v>#REF!</v>
      </c>
      <c r="P151" s="89" t="e">
        <v>#REF!</v>
      </c>
      <c r="Q151" s="89" t="e">
        <v>#REF!</v>
      </c>
      <c r="R151" s="89" t="e">
        <v>#REF!</v>
      </c>
      <c r="S151" s="89" t="e">
        <f>#REF!</f>
        <v>#REF!</v>
      </c>
      <c r="T151" s="89" t="e">
        <f>#REF!</f>
        <v>#REF!</v>
      </c>
      <c r="U151" s="89" t="e">
        <f>#REF!</f>
        <v>#REF!</v>
      </c>
      <c r="V151" s="89" t="e">
        <f>#REF!</f>
        <v>#REF!</v>
      </c>
      <c r="W151" s="89" t="e">
        <f>#REF!</f>
        <v>#REF!</v>
      </c>
      <c r="X151" s="89" t="e">
        <f>#REF!</f>
        <v>#REF!</v>
      </c>
      <c r="Y151" s="89" t="e">
        <f>#REF!</f>
        <v>#REF!</v>
      </c>
      <c r="Z151" s="89" t="e">
        <f>#REF!</f>
        <v>#REF!</v>
      </c>
      <c r="AA151" s="89" t="e">
        <f>#REF!</f>
        <v>#REF!</v>
      </c>
      <c r="AB151" s="89" t="e">
        <f>#REF!</f>
        <v>#REF!</v>
      </c>
      <c r="AC151" s="89" t="e">
        <f>#REF!</f>
        <v>#REF!</v>
      </c>
      <c r="AD151" s="89" t="e">
        <f>#REF!</f>
        <v>#REF!</v>
      </c>
      <c r="AE151" s="89" t="e">
        <f>#REF!</f>
        <v>#REF!</v>
      </c>
      <c r="AF151" s="89" t="e">
        <f>#REF!</f>
        <v>#REF!</v>
      </c>
      <c r="AG151" s="89" t="e">
        <f>#REF!</f>
        <v>#REF!</v>
      </c>
      <c r="AH151" s="89" t="e">
        <f>#REF!</f>
        <v>#REF!</v>
      </c>
      <c r="AI151" s="89" t="e">
        <f>#REF!</f>
        <v>#REF!</v>
      </c>
      <c r="AJ151" s="89" t="e">
        <f>#REF!</f>
        <v>#REF!</v>
      </c>
      <c r="AK151" s="89" t="e">
        <f>#REF!</f>
        <v>#REF!</v>
      </c>
      <c r="AL151" s="89" t="e">
        <f>#REF!</f>
        <v>#REF!</v>
      </c>
      <c r="AM151" s="89" t="e">
        <f>#REF!</f>
        <v>#REF!</v>
      </c>
      <c r="AN151" s="89" t="e">
        <f>#REF!</f>
        <v>#REF!</v>
      </c>
      <c r="AO151" s="89" t="e">
        <f>#REF!</f>
        <v>#REF!</v>
      </c>
      <c r="AP151" s="89" t="e">
        <f>#REF!</f>
        <v>#REF!</v>
      </c>
      <c r="AQ151" s="89" t="e">
        <f>#REF!</f>
        <v>#REF!</v>
      </c>
      <c r="AR151" s="89" t="e">
        <f>#REF!</f>
        <v>#REF!</v>
      </c>
      <c r="AS151" s="89" t="e">
        <f>#REF!</f>
        <v>#REF!</v>
      </c>
      <c r="AT151" s="89" t="e">
        <f>#REF!</f>
        <v>#REF!</v>
      </c>
      <c r="AU151" s="89" t="e">
        <f>#REF!</f>
        <v>#REF!</v>
      </c>
      <c r="AV151" s="89" t="e">
        <f>#REF!</f>
        <v>#REF!</v>
      </c>
      <c r="AW151" s="89" t="e">
        <f>#REF!</f>
        <v>#REF!</v>
      </c>
      <c r="AX151" s="89" t="e">
        <f>#REF!</f>
        <v>#REF!</v>
      </c>
      <c r="AY151" s="89" t="e">
        <f>#REF!</f>
        <v>#REF!</v>
      </c>
      <c r="AZ151" s="89" t="e">
        <f>#REF!</f>
        <v>#REF!</v>
      </c>
      <c r="BA151" s="89" t="e">
        <f>#REF!</f>
        <v>#REF!</v>
      </c>
      <c r="BB151" s="89" t="e">
        <f>#REF!</f>
        <v>#REF!</v>
      </c>
      <c r="BC151" s="89" t="e">
        <f>#REF!</f>
        <v>#REF!</v>
      </c>
      <c r="BD151" s="89" t="e">
        <f>#REF!</f>
        <v>#REF!</v>
      </c>
      <c r="BE151" s="89" t="e">
        <f>#REF!</f>
        <v>#REF!</v>
      </c>
      <c r="BF151" s="89" t="e">
        <f>#REF!</f>
        <v>#REF!</v>
      </c>
    </row>
    <row r="152" spans="9:58" x14ac:dyDescent="0.25">
      <c r="I152" s="89">
        <f>ABCD!J201</f>
        <v>37</v>
      </c>
      <c r="J152" s="89">
        <f>ABCD!K201</f>
        <v>121.36</v>
      </c>
      <c r="K152" s="89">
        <f>ABCD!L201</f>
        <v>5.9521740339058766</v>
      </c>
      <c r="L152" s="89">
        <f>ABCD!M201</f>
        <v>1.1091344314948357</v>
      </c>
      <c r="M152" s="89">
        <f>ABCD!N201</f>
        <v>6.0546308654641141</v>
      </c>
      <c r="N152" s="89" t="e">
        <v>#REF!</v>
      </c>
      <c r="O152" s="89" t="e">
        <v>#REF!</v>
      </c>
      <c r="P152" s="89" t="e">
        <v>#REF!</v>
      </c>
      <c r="Q152" s="89" t="e">
        <v>#REF!</v>
      </c>
      <c r="R152" s="89" t="e">
        <v>#REF!</v>
      </c>
      <c r="S152" s="89" t="e">
        <f>#REF!</f>
        <v>#REF!</v>
      </c>
      <c r="T152" s="89" t="e">
        <f>#REF!</f>
        <v>#REF!</v>
      </c>
      <c r="U152" s="89" t="e">
        <f>#REF!</f>
        <v>#REF!</v>
      </c>
      <c r="V152" s="89" t="e">
        <f>#REF!</f>
        <v>#REF!</v>
      </c>
      <c r="W152" s="89" t="e">
        <f>#REF!</f>
        <v>#REF!</v>
      </c>
      <c r="X152" s="89" t="e">
        <f>#REF!</f>
        <v>#REF!</v>
      </c>
      <c r="Y152" s="89" t="e">
        <f>#REF!</f>
        <v>#REF!</v>
      </c>
      <c r="Z152" s="89" t="e">
        <f>#REF!</f>
        <v>#REF!</v>
      </c>
      <c r="AA152" s="89" t="e">
        <f>#REF!</f>
        <v>#REF!</v>
      </c>
      <c r="AB152" s="89" t="e">
        <f>#REF!</f>
        <v>#REF!</v>
      </c>
      <c r="AC152" s="89" t="e">
        <f>#REF!</f>
        <v>#REF!</v>
      </c>
      <c r="AD152" s="89" t="e">
        <f>#REF!</f>
        <v>#REF!</v>
      </c>
      <c r="AE152" s="89" t="e">
        <f>#REF!</f>
        <v>#REF!</v>
      </c>
      <c r="AF152" s="89" t="e">
        <f>#REF!</f>
        <v>#REF!</v>
      </c>
      <c r="AG152" s="89" t="e">
        <f>#REF!</f>
        <v>#REF!</v>
      </c>
      <c r="AH152" s="89" t="e">
        <f>#REF!</f>
        <v>#REF!</v>
      </c>
      <c r="AI152" s="89" t="e">
        <f>#REF!</f>
        <v>#REF!</v>
      </c>
      <c r="AJ152" s="89" t="e">
        <f>#REF!</f>
        <v>#REF!</v>
      </c>
      <c r="AK152" s="89" t="e">
        <f>#REF!</f>
        <v>#REF!</v>
      </c>
      <c r="AL152" s="89" t="e">
        <f>#REF!</f>
        <v>#REF!</v>
      </c>
      <c r="AM152" s="89" t="e">
        <f>#REF!</f>
        <v>#REF!</v>
      </c>
      <c r="AN152" s="89" t="e">
        <f>#REF!</f>
        <v>#REF!</v>
      </c>
      <c r="AO152" s="89" t="e">
        <f>#REF!</f>
        <v>#REF!</v>
      </c>
      <c r="AP152" s="89" t="e">
        <f>#REF!</f>
        <v>#REF!</v>
      </c>
      <c r="AQ152" s="89" t="e">
        <f>#REF!</f>
        <v>#REF!</v>
      </c>
      <c r="AR152" s="89" t="e">
        <f>#REF!</f>
        <v>#REF!</v>
      </c>
      <c r="AS152" s="89" t="e">
        <f>#REF!</f>
        <v>#REF!</v>
      </c>
      <c r="AT152" s="89" t="e">
        <f>#REF!</f>
        <v>#REF!</v>
      </c>
      <c r="AU152" s="89" t="e">
        <f>#REF!</f>
        <v>#REF!</v>
      </c>
      <c r="AV152" s="89" t="e">
        <f>#REF!</f>
        <v>#REF!</v>
      </c>
      <c r="AW152" s="89" t="e">
        <f>#REF!</f>
        <v>#REF!</v>
      </c>
      <c r="AX152" s="89" t="e">
        <f>#REF!</f>
        <v>#REF!</v>
      </c>
      <c r="AY152" s="89" t="e">
        <f>#REF!</f>
        <v>#REF!</v>
      </c>
      <c r="AZ152" s="89" t="e">
        <f>#REF!</f>
        <v>#REF!</v>
      </c>
      <c r="BA152" s="89" t="e">
        <f>#REF!</f>
        <v>#REF!</v>
      </c>
      <c r="BB152" s="89" t="e">
        <f>#REF!</f>
        <v>#REF!</v>
      </c>
      <c r="BC152" s="89" t="e">
        <f>#REF!</f>
        <v>#REF!</v>
      </c>
      <c r="BD152" s="89" t="e">
        <f>#REF!</f>
        <v>#REF!</v>
      </c>
      <c r="BE152" s="89" t="e">
        <f>#REF!</f>
        <v>#REF!</v>
      </c>
      <c r="BF152" s="89" t="e">
        <f>#REF!</f>
        <v>#REF!</v>
      </c>
    </row>
    <row r="153" spans="9:58" x14ac:dyDescent="0.25">
      <c r="I153" s="89">
        <f>ABCD!J202</f>
        <v>37.25</v>
      </c>
      <c r="J153" s="89">
        <f>ABCD!K202</f>
        <v>122.17999999999999</v>
      </c>
      <c r="K153" s="89">
        <f>ABCD!L202</f>
        <v>5.9061733862285735</v>
      </c>
      <c r="L153" s="89">
        <f>ABCD!M202</f>
        <v>1.1015785927664405</v>
      </c>
      <c r="M153" s="89">
        <f>ABCD!N202</f>
        <v>6.0080245891837007</v>
      </c>
      <c r="N153" s="89" t="e">
        <v>#REF!</v>
      </c>
      <c r="O153" s="89" t="e">
        <v>#REF!</v>
      </c>
      <c r="P153" s="89" t="e">
        <v>#REF!</v>
      </c>
      <c r="Q153" s="89" t="e">
        <v>#REF!</v>
      </c>
      <c r="R153" s="89" t="e">
        <v>#REF!</v>
      </c>
      <c r="S153" s="89" t="e">
        <f>#REF!</f>
        <v>#REF!</v>
      </c>
      <c r="T153" s="89" t="e">
        <f>#REF!</f>
        <v>#REF!</v>
      </c>
      <c r="U153" s="89" t="e">
        <f>#REF!</f>
        <v>#REF!</v>
      </c>
      <c r="V153" s="89" t="e">
        <f>#REF!</f>
        <v>#REF!</v>
      </c>
      <c r="W153" s="89" t="e">
        <f>#REF!</f>
        <v>#REF!</v>
      </c>
      <c r="X153" s="89" t="e">
        <f>#REF!</f>
        <v>#REF!</v>
      </c>
      <c r="Y153" s="89" t="e">
        <f>#REF!</f>
        <v>#REF!</v>
      </c>
      <c r="Z153" s="89" t="e">
        <f>#REF!</f>
        <v>#REF!</v>
      </c>
      <c r="AA153" s="89" t="e">
        <f>#REF!</f>
        <v>#REF!</v>
      </c>
      <c r="AB153" s="89" t="e">
        <f>#REF!</f>
        <v>#REF!</v>
      </c>
      <c r="AC153" s="89" t="e">
        <f>#REF!</f>
        <v>#REF!</v>
      </c>
      <c r="AD153" s="89" t="e">
        <f>#REF!</f>
        <v>#REF!</v>
      </c>
      <c r="AE153" s="89" t="e">
        <f>#REF!</f>
        <v>#REF!</v>
      </c>
      <c r="AF153" s="89" t="e">
        <f>#REF!</f>
        <v>#REF!</v>
      </c>
      <c r="AG153" s="89" t="e">
        <f>#REF!</f>
        <v>#REF!</v>
      </c>
      <c r="AH153" s="89" t="e">
        <f>#REF!</f>
        <v>#REF!</v>
      </c>
      <c r="AI153" s="89" t="e">
        <f>#REF!</f>
        <v>#REF!</v>
      </c>
      <c r="AJ153" s="89" t="e">
        <f>#REF!</f>
        <v>#REF!</v>
      </c>
      <c r="AK153" s="89" t="e">
        <f>#REF!</f>
        <v>#REF!</v>
      </c>
      <c r="AL153" s="89" t="e">
        <f>#REF!</f>
        <v>#REF!</v>
      </c>
      <c r="AM153" s="89" t="e">
        <f>#REF!</f>
        <v>#REF!</v>
      </c>
      <c r="AN153" s="89" t="e">
        <f>#REF!</f>
        <v>#REF!</v>
      </c>
      <c r="AO153" s="89" t="e">
        <f>#REF!</f>
        <v>#REF!</v>
      </c>
      <c r="AP153" s="89" t="e">
        <f>#REF!</f>
        <v>#REF!</v>
      </c>
      <c r="AQ153" s="89" t="e">
        <f>#REF!</f>
        <v>#REF!</v>
      </c>
      <c r="AR153" s="89" t="e">
        <f>#REF!</f>
        <v>#REF!</v>
      </c>
      <c r="AS153" s="89" t="e">
        <f>#REF!</f>
        <v>#REF!</v>
      </c>
      <c r="AT153" s="89" t="e">
        <f>#REF!</f>
        <v>#REF!</v>
      </c>
      <c r="AU153" s="89" t="e">
        <f>#REF!</f>
        <v>#REF!</v>
      </c>
      <c r="AV153" s="89" t="e">
        <f>#REF!</f>
        <v>#REF!</v>
      </c>
      <c r="AW153" s="89" t="e">
        <f>#REF!</f>
        <v>#REF!</v>
      </c>
      <c r="AX153" s="89" t="e">
        <f>#REF!</f>
        <v>#REF!</v>
      </c>
      <c r="AY153" s="89" t="e">
        <f>#REF!</f>
        <v>#REF!</v>
      </c>
      <c r="AZ153" s="89" t="e">
        <f>#REF!</f>
        <v>#REF!</v>
      </c>
      <c r="BA153" s="89" t="e">
        <f>#REF!</f>
        <v>#REF!</v>
      </c>
      <c r="BB153" s="89" t="e">
        <f>#REF!</f>
        <v>#REF!</v>
      </c>
      <c r="BC153" s="89" t="e">
        <f>#REF!</f>
        <v>#REF!</v>
      </c>
      <c r="BD153" s="89" t="e">
        <f>#REF!</f>
        <v>#REF!</v>
      </c>
      <c r="BE153" s="89" t="e">
        <f>#REF!</f>
        <v>#REF!</v>
      </c>
      <c r="BF153" s="89" t="e">
        <f>#REF!</f>
        <v>#REF!</v>
      </c>
    </row>
    <row r="154" spans="9:58" x14ac:dyDescent="0.25">
      <c r="I154" s="89">
        <f>ABCD!J203</f>
        <v>37.5</v>
      </c>
      <c r="J154" s="89">
        <f>ABCD!K203</f>
        <v>122.99999999999999</v>
      </c>
      <c r="K154" s="89">
        <f>ABCD!L203</f>
        <v>5.858850733092229</v>
      </c>
      <c r="L154" s="89">
        <f>ABCD!M203</f>
        <v>1.0937752616464733</v>
      </c>
      <c r="M154" s="89">
        <f>ABCD!N203</f>
        <v>5.9600735092484518</v>
      </c>
      <c r="N154" s="89" t="e">
        <v>#REF!</v>
      </c>
      <c r="O154" s="89" t="e">
        <v>#REF!</v>
      </c>
      <c r="P154" s="89" t="e">
        <v>#REF!</v>
      </c>
      <c r="Q154" s="89" t="e">
        <v>#REF!</v>
      </c>
      <c r="R154" s="89" t="e">
        <v>#REF!</v>
      </c>
      <c r="S154" s="89" t="e">
        <f>#REF!</f>
        <v>#REF!</v>
      </c>
      <c r="T154" s="89" t="e">
        <f>#REF!</f>
        <v>#REF!</v>
      </c>
      <c r="U154" s="89" t="e">
        <f>#REF!</f>
        <v>#REF!</v>
      </c>
      <c r="V154" s="89" t="e">
        <f>#REF!</f>
        <v>#REF!</v>
      </c>
      <c r="W154" s="89" t="e">
        <f>#REF!</f>
        <v>#REF!</v>
      </c>
      <c r="X154" s="89" t="e">
        <f>#REF!</f>
        <v>#REF!</v>
      </c>
      <c r="Y154" s="89" t="e">
        <f>#REF!</f>
        <v>#REF!</v>
      </c>
      <c r="Z154" s="89" t="e">
        <f>#REF!</f>
        <v>#REF!</v>
      </c>
      <c r="AA154" s="89" t="e">
        <f>#REF!</f>
        <v>#REF!</v>
      </c>
      <c r="AB154" s="89" t="e">
        <f>#REF!</f>
        <v>#REF!</v>
      </c>
      <c r="AC154" s="89" t="e">
        <f>#REF!</f>
        <v>#REF!</v>
      </c>
      <c r="AD154" s="89" t="e">
        <f>#REF!</f>
        <v>#REF!</v>
      </c>
      <c r="AE154" s="89" t="e">
        <f>#REF!</f>
        <v>#REF!</v>
      </c>
      <c r="AF154" s="89" t="e">
        <f>#REF!</f>
        <v>#REF!</v>
      </c>
      <c r="AG154" s="89" t="e">
        <f>#REF!</f>
        <v>#REF!</v>
      </c>
      <c r="AH154" s="89" t="e">
        <f>#REF!</f>
        <v>#REF!</v>
      </c>
      <c r="AI154" s="89" t="e">
        <f>#REF!</f>
        <v>#REF!</v>
      </c>
      <c r="AJ154" s="89" t="e">
        <f>#REF!</f>
        <v>#REF!</v>
      </c>
      <c r="AK154" s="89" t="e">
        <f>#REF!</f>
        <v>#REF!</v>
      </c>
      <c r="AL154" s="89" t="e">
        <f>#REF!</f>
        <v>#REF!</v>
      </c>
      <c r="AM154" s="89" t="e">
        <f>#REF!</f>
        <v>#REF!</v>
      </c>
      <c r="AN154" s="89" t="e">
        <f>#REF!</f>
        <v>#REF!</v>
      </c>
      <c r="AO154" s="89" t="e">
        <f>#REF!</f>
        <v>#REF!</v>
      </c>
      <c r="AP154" s="89" t="e">
        <f>#REF!</f>
        <v>#REF!</v>
      </c>
      <c r="AQ154" s="89" t="e">
        <f>#REF!</f>
        <v>#REF!</v>
      </c>
      <c r="AR154" s="89" t="e">
        <f>#REF!</f>
        <v>#REF!</v>
      </c>
      <c r="AS154" s="89" t="e">
        <f>#REF!</f>
        <v>#REF!</v>
      </c>
      <c r="AT154" s="89" t="e">
        <f>#REF!</f>
        <v>#REF!</v>
      </c>
      <c r="AU154" s="89" t="e">
        <f>#REF!</f>
        <v>#REF!</v>
      </c>
      <c r="AV154" s="89" t="e">
        <f>#REF!</f>
        <v>#REF!</v>
      </c>
      <c r="AW154" s="89" t="e">
        <f>#REF!</f>
        <v>#REF!</v>
      </c>
      <c r="AX154" s="89" t="e">
        <f>#REF!</f>
        <v>#REF!</v>
      </c>
      <c r="AY154" s="89" t="e">
        <f>#REF!</f>
        <v>#REF!</v>
      </c>
      <c r="AZ154" s="89" t="e">
        <f>#REF!</f>
        <v>#REF!</v>
      </c>
      <c r="BA154" s="89" t="e">
        <f>#REF!</f>
        <v>#REF!</v>
      </c>
      <c r="BB154" s="89" t="e">
        <f>#REF!</f>
        <v>#REF!</v>
      </c>
      <c r="BC154" s="89" t="e">
        <f>#REF!</f>
        <v>#REF!</v>
      </c>
      <c r="BD154" s="89" t="e">
        <f>#REF!</f>
        <v>#REF!</v>
      </c>
      <c r="BE154" s="89" t="e">
        <f>#REF!</f>
        <v>#REF!</v>
      </c>
      <c r="BF154" s="89" t="e">
        <f>#REF!</f>
        <v>#REF!</v>
      </c>
    </row>
    <row r="155" spans="9:58" x14ac:dyDescent="0.25">
      <c r="I155" s="89">
        <f>ABCD!J204</f>
        <v>37.75</v>
      </c>
      <c r="J155" s="89">
        <f>ABCD!K204</f>
        <v>123.82</v>
      </c>
      <c r="K155" s="89">
        <f>ABCD!L204</f>
        <v>5.8102181877786538</v>
      </c>
      <c r="L155" s="89">
        <f>ABCD!M204</f>
        <v>1.0857264621072238</v>
      </c>
      <c r="M155" s="89">
        <f>ABCD!N204</f>
        <v>5.9107899083044506</v>
      </c>
      <c r="N155" s="89" t="e">
        <v>#REF!</v>
      </c>
      <c r="O155" s="89" t="e">
        <v>#REF!</v>
      </c>
      <c r="P155" s="89" t="e">
        <v>#REF!</v>
      </c>
      <c r="Q155" s="89" t="e">
        <v>#REF!</v>
      </c>
      <c r="R155" s="89" t="e">
        <v>#REF!</v>
      </c>
      <c r="S155" s="89" t="e">
        <f>#REF!</f>
        <v>#REF!</v>
      </c>
      <c r="T155" s="89" t="e">
        <f>#REF!</f>
        <v>#REF!</v>
      </c>
      <c r="U155" s="89" t="e">
        <f>#REF!</f>
        <v>#REF!</v>
      </c>
      <c r="V155" s="89" t="e">
        <f>#REF!</f>
        <v>#REF!</v>
      </c>
      <c r="W155" s="89" t="e">
        <f>#REF!</f>
        <v>#REF!</v>
      </c>
      <c r="X155" s="89" t="e">
        <f>#REF!</f>
        <v>#REF!</v>
      </c>
      <c r="Y155" s="89" t="e">
        <f>#REF!</f>
        <v>#REF!</v>
      </c>
      <c r="Z155" s="89" t="e">
        <f>#REF!</f>
        <v>#REF!</v>
      </c>
      <c r="AA155" s="89" t="e">
        <f>#REF!</f>
        <v>#REF!</v>
      </c>
      <c r="AB155" s="89" t="e">
        <f>#REF!</f>
        <v>#REF!</v>
      </c>
      <c r="AC155" s="89" t="e">
        <f>#REF!</f>
        <v>#REF!</v>
      </c>
      <c r="AD155" s="89" t="e">
        <f>#REF!</f>
        <v>#REF!</v>
      </c>
      <c r="AE155" s="89" t="e">
        <f>#REF!</f>
        <v>#REF!</v>
      </c>
      <c r="AF155" s="89" t="e">
        <f>#REF!</f>
        <v>#REF!</v>
      </c>
      <c r="AG155" s="89" t="e">
        <f>#REF!</f>
        <v>#REF!</v>
      </c>
      <c r="AH155" s="89" t="e">
        <f>#REF!</f>
        <v>#REF!</v>
      </c>
      <c r="AI155" s="89" t="e">
        <f>#REF!</f>
        <v>#REF!</v>
      </c>
      <c r="AJ155" s="89" t="e">
        <f>#REF!</f>
        <v>#REF!</v>
      </c>
      <c r="AK155" s="89" t="e">
        <f>#REF!</f>
        <v>#REF!</v>
      </c>
      <c r="AL155" s="89" t="e">
        <f>#REF!</f>
        <v>#REF!</v>
      </c>
      <c r="AM155" s="89" t="e">
        <f>#REF!</f>
        <v>#REF!</v>
      </c>
      <c r="AN155" s="89" t="e">
        <f>#REF!</f>
        <v>#REF!</v>
      </c>
      <c r="AO155" s="89" t="e">
        <f>#REF!</f>
        <v>#REF!</v>
      </c>
      <c r="AP155" s="89" t="e">
        <f>#REF!</f>
        <v>#REF!</v>
      </c>
      <c r="AQ155" s="89" t="e">
        <f>#REF!</f>
        <v>#REF!</v>
      </c>
      <c r="AR155" s="89" t="e">
        <f>#REF!</f>
        <v>#REF!</v>
      </c>
      <c r="AS155" s="89" t="e">
        <f>#REF!</f>
        <v>#REF!</v>
      </c>
      <c r="AT155" s="89" t="e">
        <f>#REF!</f>
        <v>#REF!</v>
      </c>
      <c r="AU155" s="89" t="e">
        <f>#REF!</f>
        <v>#REF!</v>
      </c>
      <c r="AV155" s="89" t="e">
        <f>#REF!</f>
        <v>#REF!</v>
      </c>
      <c r="AW155" s="89" t="e">
        <f>#REF!</f>
        <v>#REF!</v>
      </c>
      <c r="AX155" s="89" t="e">
        <f>#REF!</f>
        <v>#REF!</v>
      </c>
      <c r="AY155" s="89" t="e">
        <f>#REF!</f>
        <v>#REF!</v>
      </c>
      <c r="AZ155" s="89" t="e">
        <f>#REF!</f>
        <v>#REF!</v>
      </c>
      <c r="BA155" s="89" t="e">
        <f>#REF!</f>
        <v>#REF!</v>
      </c>
      <c r="BB155" s="89" t="e">
        <f>#REF!</f>
        <v>#REF!</v>
      </c>
      <c r="BC155" s="89" t="e">
        <f>#REF!</f>
        <v>#REF!</v>
      </c>
      <c r="BD155" s="89" t="e">
        <f>#REF!</f>
        <v>#REF!</v>
      </c>
      <c r="BE155" s="89" t="e">
        <f>#REF!</f>
        <v>#REF!</v>
      </c>
      <c r="BF155" s="89" t="e">
        <f>#REF!</f>
        <v>#REF!</v>
      </c>
    </row>
    <row r="156" spans="9:58" x14ac:dyDescent="0.25">
      <c r="I156" s="89">
        <f>ABCD!J205</f>
        <v>38</v>
      </c>
      <c r="J156" s="89">
        <f>ABCD!K205</f>
        <v>124.63999999999999</v>
      </c>
      <c r="K156" s="89">
        <f>ABCD!L205</f>
        <v>5.7602881550495315</v>
      </c>
      <c r="L156" s="89">
        <f>ABCD!M205</f>
        <v>1.0774342729644346</v>
      </c>
      <c r="M156" s="89">
        <f>ABCD!N205</f>
        <v>5.8601863657875537</v>
      </c>
      <c r="N156" s="89" t="e">
        <v>#REF!</v>
      </c>
      <c r="O156" s="89" t="e">
        <v>#REF!</v>
      </c>
      <c r="P156" s="89" t="e">
        <v>#REF!</v>
      </c>
      <c r="Q156" s="89" t="e">
        <v>#REF!</v>
      </c>
      <c r="R156" s="89" t="e">
        <v>#REF!</v>
      </c>
      <c r="S156" s="89" t="e">
        <f>#REF!</f>
        <v>#REF!</v>
      </c>
      <c r="T156" s="89" t="e">
        <f>#REF!</f>
        <v>#REF!</v>
      </c>
      <c r="U156" s="89" t="e">
        <f>#REF!</f>
        <v>#REF!</v>
      </c>
      <c r="V156" s="89" t="e">
        <f>#REF!</f>
        <v>#REF!</v>
      </c>
      <c r="W156" s="89" t="e">
        <f>#REF!</f>
        <v>#REF!</v>
      </c>
      <c r="X156" s="89" t="e">
        <f>#REF!</f>
        <v>#REF!</v>
      </c>
      <c r="Y156" s="89" t="e">
        <f>#REF!</f>
        <v>#REF!</v>
      </c>
      <c r="Z156" s="89" t="e">
        <f>#REF!</f>
        <v>#REF!</v>
      </c>
      <c r="AA156" s="89" t="e">
        <f>#REF!</f>
        <v>#REF!</v>
      </c>
      <c r="AB156" s="89" t="e">
        <f>#REF!</f>
        <v>#REF!</v>
      </c>
      <c r="AC156" s="89" t="e">
        <f>#REF!</f>
        <v>#REF!</v>
      </c>
      <c r="AD156" s="89" t="e">
        <f>#REF!</f>
        <v>#REF!</v>
      </c>
      <c r="AE156" s="89" t="e">
        <f>#REF!</f>
        <v>#REF!</v>
      </c>
      <c r="AF156" s="89" t="e">
        <f>#REF!</f>
        <v>#REF!</v>
      </c>
      <c r="AG156" s="89" t="e">
        <f>#REF!</f>
        <v>#REF!</v>
      </c>
      <c r="AH156" s="89" t="e">
        <f>#REF!</f>
        <v>#REF!</v>
      </c>
      <c r="AI156" s="89" t="e">
        <f>#REF!</f>
        <v>#REF!</v>
      </c>
      <c r="AJ156" s="89" t="e">
        <f>#REF!</f>
        <v>#REF!</v>
      </c>
      <c r="AK156" s="89" t="e">
        <f>#REF!</f>
        <v>#REF!</v>
      </c>
      <c r="AL156" s="89" t="e">
        <f>#REF!</f>
        <v>#REF!</v>
      </c>
      <c r="AM156" s="89" t="e">
        <f>#REF!</f>
        <v>#REF!</v>
      </c>
      <c r="AN156" s="89" t="e">
        <f>#REF!</f>
        <v>#REF!</v>
      </c>
      <c r="AO156" s="89" t="e">
        <f>#REF!</f>
        <v>#REF!</v>
      </c>
      <c r="AP156" s="89" t="e">
        <f>#REF!</f>
        <v>#REF!</v>
      </c>
      <c r="AQ156" s="89" t="e">
        <f>#REF!</f>
        <v>#REF!</v>
      </c>
      <c r="AR156" s="89" t="e">
        <f>#REF!</f>
        <v>#REF!</v>
      </c>
      <c r="AS156" s="89" t="e">
        <f>#REF!</f>
        <v>#REF!</v>
      </c>
      <c r="AT156" s="89" t="e">
        <f>#REF!</f>
        <v>#REF!</v>
      </c>
      <c r="AU156" s="89" t="e">
        <f>#REF!</f>
        <v>#REF!</v>
      </c>
      <c r="AV156" s="89" t="e">
        <f>#REF!</f>
        <v>#REF!</v>
      </c>
      <c r="AW156" s="89" t="e">
        <f>#REF!</f>
        <v>#REF!</v>
      </c>
      <c r="AX156" s="89" t="e">
        <f>#REF!</f>
        <v>#REF!</v>
      </c>
      <c r="AY156" s="89" t="e">
        <f>#REF!</f>
        <v>#REF!</v>
      </c>
      <c r="AZ156" s="89" t="e">
        <f>#REF!</f>
        <v>#REF!</v>
      </c>
      <c r="BA156" s="89" t="e">
        <f>#REF!</f>
        <v>#REF!</v>
      </c>
      <c r="BB156" s="89" t="e">
        <f>#REF!</f>
        <v>#REF!</v>
      </c>
      <c r="BC156" s="89" t="e">
        <f>#REF!</f>
        <v>#REF!</v>
      </c>
      <c r="BD156" s="89" t="e">
        <f>#REF!</f>
        <v>#REF!</v>
      </c>
      <c r="BE156" s="89" t="e">
        <f>#REF!</f>
        <v>#REF!</v>
      </c>
      <c r="BF156" s="89" t="e">
        <f>#REF!</f>
        <v>#REF!</v>
      </c>
    </row>
    <row r="157" spans="9:58" x14ac:dyDescent="0.25">
      <c r="I157" s="89">
        <f>ABCD!J206</f>
        <v>38.25</v>
      </c>
      <c r="J157" s="89">
        <f>ABCD!K206</f>
        <v>125.46</v>
      </c>
      <c r="K157" s="89">
        <f>ABCD!L206</f>
        <v>5.709073328020672</v>
      </c>
      <c r="L157" s="89">
        <f>ABCD!M206</f>
        <v>1.0689008273480625</v>
      </c>
      <c r="M157" s="89">
        <f>ABCD!N206</f>
        <v>5.8082757547677097</v>
      </c>
      <c r="N157" s="89" t="e">
        <v>#REF!</v>
      </c>
      <c r="O157" s="89" t="e">
        <v>#REF!</v>
      </c>
      <c r="P157" s="89" t="e">
        <v>#REF!</v>
      </c>
      <c r="Q157" s="89" t="e">
        <v>#REF!</v>
      </c>
      <c r="R157" s="89" t="e">
        <v>#REF!</v>
      </c>
      <c r="S157" s="89" t="e">
        <f>#REF!</f>
        <v>#REF!</v>
      </c>
      <c r="T157" s="89" t="e">
        <f>#REF!</f>
        <v>#REF!</v>
      </c>
      <c r="U157" s="89" t="e">
        <f>#REF!</f>
        <v>#REF!</v>
      </c>
      <c r="V157" s="89" t="e">
        <f>#REF!</f>
        <v>#REF!</v>
      </c>
      <c r="W157" s="89" t="e">
        <f>#REF!</f>
        <v>#REF!</v>
      </c>
      <c r="X157" s="89" t="e">
        <f>#REF!</f>
        <v>#REF!</v>
      </c>
      <c r="Y157" s="89" t="e">
        <f>#REF!</f>
        <v>#REF!</v>
      </c>
      <c r="Z157" s="89" t="e">
        <f>#REF!</f>
        <v>#REF!</v>
      </c>
      <c r="AA157" s="89" t="e">
        <f>#REF!</f>
        <v>#REF!</v>
      </c>
      <c r="AB157" s="89" t="e">
        <f>#REF!</f>
        <v>#REF!</v>
      </c>
      <c r="AC157" s="89" t="e">
        <f>#REF!</f>
        <v>#REF!</v>
      </c>
      <c r="AD157" s="89" t="e">
        <f>#REF!</f>
        <v>#REF!</v>
      </c>
      <c r="AE157" s="89" t="e">
        <f>#REF!</f>
        <v>#REF!</v>
      </c>
      <c r="AF157" s="89" t="e">
        <f>#REF!</f>
        <v>#REF!</v>
      </c>
      <c r="AG157" s="89" t="e">
        <f>#REF!</f>
        <v>#REF!</v>
      </c>
      <c r="AH157" s="89" t="e">
        <f>#REF!</f>
        <v>#REF!</v>
      </c>
      <c r="AI157" s="89" t="e">
        <f>#REF!</f>
        <v>#REF!</v>
      </c>
      <c r="AJ157" s="89" t="e">
        <f>#REF!</f>
        <v>#REF!</v>
      </c>
      <c r="AK157" s="89" t="e">
        <f>#REF!</f>
        <v>#REF!</v>
      </c>
      <c r="AL157" s="89" t="e">
        <f>#REF!</f>
        <v>#REF!</v>
      </c>
      <c r="AM157" s="89" t="e">
        <f>#REF!</f>
        <v>#REF!</v>
      </c>
      <c r="AN157" s="89" t="e">
        <f>#REF!</f>
        <v>#REF!</v>
      </c>
      <c r="AO157" s="89" t="e">
        <f>#REF!</f>
        <v>#REF!</v>
      </c>
      <c r="AP157" s="89" t="e">
        <f>#REF!</f>
        <v>#REF!</v>
      </c>
      <c r="AQ157" s="89" t="e">
        <f>#REF!</f>
        <v>#REF!</v>
      </c>
      <c r="AR157" s="89" t="e">
        <f>#REF!</f>
        <v>#REF!</v>
      </c>
      <c r="AS157" s="89" t="e">
        <f>#REF!</f>
        <v>#REF!</v>
      </c>
      <c r="AT157" s="89" t="e">
        <f>#REF!</f>
        <v>#REF!</v>
      </c>
      <c r="AU157" s="89" t="e">
        <f>#REF!</f>
        <v>#REF!</v>
      </c>
      <c r="AV157" s="89" t="e">
        <f>#REF!</f>
        <v>#REF!</v>
      </c>
      <c r="AW157" s="89" t="e">
        <f>#REF!</f>
        <v>#REF!</v>
      </c>
      <c r="AX157" s="89" t="e">
        <f>#REF!</f>
        <v>#REF!</v>
      </c>
      <c r="AY157" s="89" t="e">
        <f>#REF!</f>
        <v>#REF!</v>
      </c>
      <c r="AZ157" s="89" t="e">
        <f>#REF!</f>
        <v>#REF!</v>
      </c>
      <c r="BA157" s="89" t="e">
        <f>#REF!</f>
        <v>#REF!</v>
      </c>
      <c r="BB157" s="89" t="e">
        <f>#REF!</f>
        <v>#REF!</v>
      </c>
      <c r="BC157" s="89" t="e">
        <f>#REF!</f>
        <v>#REF!</v>
      </c>
      <c r="BD157" s="89" t="e">
        <f>#REF!</f>
        <v>#REF!</v>
      </c>
      <c r="BE157" s="89" t="e">
        <f>#REF!</f>
        <v>#REF!</v>
      </c>
      <c r="BF157" s="89" t="e">
        <f>#REF!</f>
        <v>#REF!</v>
      </c>
    </row>
    <row r="158" spans="9:58" x14ac:dyDescent="0.25">
      <c r="I158" s="89">
        <f>ABCD!J207</f>
        <v>38.5</v>
      </c>
      <c r="J158" s="89">
        <f>ABCD!K207</f>
        <v>126.27999999999999</v>
      </c>
      <c r="K158" s="89">
        <f>ABCD!L207</f>
        <v>5.6565866849725213</v>
      </c>
      <c r="L158" s="89">
        <f>ABCD!M207</f>
        <v>1.0601283121610228</v>
      </c>
      <c r="M158" s="89">
        <f>ABCD!N207</f>
        <v>5.7550712387296992</v>
      </c>
      <c r="N158" s="89" t="e">
        <v>#REF!</v>
      </c>
      <c r="O158" s="89" t="e">
        <v>#REF!</v>
      </c>
      <c r="P158" s="89" t="e">
        <v>#REF!</v>
      </c>
      <c r="Q158" s="89" t="e">
        <v>#REF!</v>
      </c>
      <c r="R158" s="89" t="e">
        <v>#REF!</v>
      </c>
      <c r="S158" s="89" t="e">
        <f>#REF!</f>
        <v>#REF!</v>
      </c>
      <c r="T158" s="89" t="e">
        <f>#REF!</f>
        <v>#REF!</v>
      </c>
      <c r="U158" s="89" t="e">
        <f>#REF!</f>
        <v>#REF!</v>
      </c>
      <c r="V158" s="89" t="e">
        <f>#REF!</f>
        <v>#REF!</v>
      </c>
      <c r="W158" s="89" t="e">
        <f>#REF!</f>
        <v>#REF!</v>
      </c>
      <c r="X158" s="89" t="e">
        <f>#REF!</f>
        <v>#REF!</v>
      </c>
      <c r="Y158" s="89" t="e">
        <f>#REF!</f>
        <v>#REF!</v>
      </c>
      <c r="Z158" s="89" t="e">
        <f>#REF!</f>
        <v>#REF!</v>
      </c>
      <c r="AA158" s="89" t="e">
        <f>#REF!</f>
        <v>#REF!</v>
      </c>
      <c r="AB158" s="89" t="e">
        <f>#REF!</f>
        <v>#REF!</v>
      </c>
      <c r="AC158" s="89" t="e">
        <f>#REF!</f>
        <v>#REF!</v>
      </c>
      <c r="AD158" s="89" t="e">
        <f>#REF!</f>
        <v>#REF!</v>
      </c>
      <c r="AE158" s="89" t="e">
        <f>#REF!</f>
        <v>#REF!</v>
      </c>
      <c r="AF158" s="89" t="e">
        <f>#REF!</f>
        <v>#REF!</v>
      </c>
      <c r="AG158" s="89" t="e">
        <f>#REF!</f>
        <v>#REF!</v>
      </c>
      <c r="AH158" s="89" t="e">
        <f>#REF!</f>
        <v>#REF!</v>
      </c>
      <c r="AI158" s="89" t="e">
        <f>#REF!</f>
        <v>#REF!</v>
      </c>
      <c r="AJ158" s="89" t="e">
        <f>#REF!</f>
        <v>#REF!</v>
      </c>
      <c r="AK158" s="89" t="e">
        <f>#REF!</f>
        <v>#REF!</v>
      </c>
      <c r="AL158" s="89" t="e">
        <f>#REF!</f>
        <v>#REF!</v>
      </c>
      <c r="AM158" s="89" t="e">
        <f>#REF!</f>
        <v>#REF!</v>
      </c>
      <c r="AN158" s="89" t="e">
        <f>#REF!</f>
        <v>#REF!</v>
      </c>
      <c r="AO158" s="89" t="e">
        <f>#REF!</f>
        <v>#REF!</v>
      </c>
      <c r="AP158" s="89" t="e">
        <f>#REF!</f>
        <v>#REF!</v>
      </c>
      <c r="AQ158" s="89" t="e">
        <f>#REF!</f>
        <v>#REF!</v>
      </c>
      <c r="AR158" s="89" t="e">
        <f>#REF!</f>
        <v>#REF!</v>
      </c>
      <c r="AS158" s="89" t="e">
        <f>#REF!</f>
        <v>#REF!</v>
      </c>
      <c r="AT158" s="89" t="e">
        <f>#REF!</f>
        <v>#REF!</v>
      </c>
      <c r="AU158" s="89" t="e">
        <f>#REF!</f>
        <v>#REF!</v>
      </c>
      <c r="AV158" s="89" t="e">
        <f>#REF!</f>
        <v>#REF!</v>
      </c>
      <c r="AW158" s="89" t="e">
        <f>#REF!</f>
        <v>#REF!</v>
      </c>
      <c r="AX158" s="89" t="e">
        <f>#REF!</f>
        <v>#REF!</v>
      </c>
      <c r="AY158" s="89" t="e">
        <f>#REF!</f>
        <v>#REF!</v>
      </c>
      <c r="AZ158" s="89" t="e">
        <f>#REF!</f>
        <v>#REF!</v>
      </c>
      <c r="BA158" s="89" t="e">
        <f>#REF!</f>
        <v>#REF!</v>
      </c>
      <c r="BB158" s="89" t="e">
        <f>#REF!</f>
        <v>#REF!</v>
      </c>
      <c r="BC158" s="89" t="e">
        <f>#REF!</f>
        <v>#REF!</v>
      </c>
      <c r="BD158" s="89" t="e">
        <f>#REF!</f>
        <v>#REF!</v>
      </c>
      <c r="BE158" s="89" t="e">
        <f>#REF!</f>
        <v>#REF!</v>
      </c>
      <c r="BF158" s="89" t="e">
        <f>#REF!</f>
        <v>#REF!</v>
      </c>
    </row>
    <row r="159" spans="9:58" x14ac:dyDescent="0.25">
      <c r="I159" s="89">
        <f>ABCD!J208</f>
        <v>38.75</v>
      </c>
      <c r="J159" s="89">
        <f>ABCD!K208</f>
        <v>127.1</v>
      </c>
      <c r="K159" s="89">
        <f>ABCD!L208</f>
        <v>5.6028414860976987</v>
      </c>
      <c r="L159" s="89">
        <f>ABCD!M208</f>
        <v>1.0511189675259711</v>
      </c>
      <c r="M159" s="89">
        <f>ABCD!N208</f>
        <v>5.7005862682912118</v>
      </c>
      <c r="N159" s="89" t="e">
        <v>#REF!</v>
      </c>
      <c r="O159" s="89" t="e">
        <v>#REF!</v>
      </c>
      <c r="P159" s="89" t="e">
        <v>#REF!</v>
      </c>
      <c r="Q159" s="89" t="e">
        <v>#REF!</v>
      </c>
      <c r="R159" s="89" t="e">
        <v>#REF!</v>
      </c>
      <c r="S159" s="89" t="e">
        <f>#REF!</f>
        <v>#REF!</v>
      </c>
      <c r="T159" s="89" t="e">
        <f>#REF!</f>
        <v>#REF!</v>
      </c>
      <c r="U159" s="89" t="e">
        <f>#REF!</f>
        <v>#REF!</v>
      </c>
      <c r="V159" s="89" t="e">
        <f>#REF!</f>
        <v>#REF!</v>
      </c>
      <c r="W159" s="89" t="e">
        <f>#REF!</f>
        <v>#REF!</v>
      </c>
      <c r="X159" s="89" t="e">
        <f>#REF!</f>
        <v>#REF!</v>
      </c>
      <c r="Y159" s="89" t="e">
        <f>#REF!</f>
        <v>#REF!</v>
      </c>
      <c r="Z159" s="89" t="e">
        <f>#REF!</f>
        <v>#REF!</v>
      </c>
      <c r="AA159" s="89" t="e">
        <f>#REF!</f>
        <v>#REF!</v>
      </c>
      <c r="AB159" s="89" t="e">
        <f>#REF!</f>
        <v>#REF!</v>
      </c>
      <c r="AC159" s="89" t="e">
        <f>#REF!</f>
        <v>#REF!</v>
      </c>
      <c r="AD159" s="89" t="e">
        <f>#REF!</f>
        <v>#REF!</v>
      </c>
      <c r="AE159" s="89" t="e">
        <f>#REF!</f>
        <v>#REF!</v>
      </c>
      <c r="AF159" s="89" t="e">
        <f>#REF!</f>
        <v>#REF!</v>
      </c>
      <c r="AG159" s="89" t="e">
        <f>#REF!</f>
        <v>#REF!</v>
      </c>
      <c r="AH159" s="89" t="e">
        <f>#REF!</f>
        <v>#REF!</v>
      </c>
      <c r="AI159" s="89" t="e">
        <f>#REF!</f>
        <v>#REF!</v>
      </c>
      <c r="AJ159" s="89" t="e">
        <f>#REF!</f>
        <v>#REF!</v>
      </c>
      <c r="AK159" s="89" t="e">
        <f>#REF!</f>
        <v>#REF!</v>
      </c>
      <c r="AL159" s="89" t="e">
        <f>#REF!</f>
        <v>#REF!</v>
      </c>
      <c r="AM159" s="89" t="e">
        <f>#REF!</f>
        <v>#REF!</v>
      </c>
      <c r="AN159" s="89" t="e">
        <f>#REF!</f>
        <v>#REF!</v>
      </c>
      <c r="AO159" s="89" t="e">
        <f>#REF!</f>
        <v>#REF!</v>
      </c>
      <c r="AP159" s="89" t="e">
        <f>#REF!</f>
        <v>#REF!</v>
      </c>
      <c r="AQ159" s="89" t="e">
        <f>#REF!</f>
        <v>#REF!</v>
      </c>
      <c r="AR159" s="89" t="e">
        <f>#REF!</f>
        <v>#REF!</v>
      </c>
      <c r="AS159" s="89" t="e">
        <f>#REF!</f>
        <v>#REF!</v>
      </c>
      <c r="AT159" s="89" t="e">
        <f>#REF!</f>
        <v>#REF!</v>
      </c>
      <c r="AU159" s="89" t="e">
        <f>#REF!</f>
        <v>#REF!</v>
      </c>
      <c r="AV159" s="89" t="e">
        <f>#REF!</f>
        <v>#REF!</v>
      </c>
      <c r="AW159" s="89" t="e">
        <f>#REF!</f>
        <v>#REF!</v>
      </c>
      <c r="AX159" s="89" t="e">
        <f>#REF!</f>
        <v>#REF!</v>
      </c>
      <c r="AY159" s="89" t="e">
        <f>#REF!</f>
        <v>#REF!</v>
      </c>
      <c r="AZ159" s="89" t="e">
        <f>#REF!</f>
        <v>#REF!</v>
      </c>
      <c r="BA159" s="89" t="e">
        <f>#REF!</f>
        <v>#REF!</v>
      </c>
      <c r="BB159" s="89" t="e">
        <f>#REF!</f>
        <v>#REF!</v>
      </c>
      <c r="BC159" s="89" t="e">
        <f>#REF!</f>
        <v>#REF!</v>
      </c>
      <c r="BD159" s="89" t="e">
        <f>#REF!</f>
        <v>#REF!</v>
      </c>
      <c r="BE159" s="89" t="e">
        <f>#REF!</f>
        <v>#REF!</v>
      </c>
      <c r="BF159" s="89" t="e">
        <f>#REF!</f>
        <v>#REF!</v>
      </c>
    </row>
    <row r="160" spans="9:58" x14ac:dyDescent="0.25">
      <c r="I160" s="89">
        <f>ABCD!J209</f>
        <v>39</v>
      </c>
      <c r="J160" s="89">
        <f>ABCD!K209</f>
        <v>127.91999999999999</v>
      </c>
      <c r="K160" s="89">
        <f>ABCD!L209</f>
        <v>5.5478512701864027</v>
      </c>
      <c r="L160" s="89">
        <f>ABCD!M209</f>
        <v>1.0418750862203283</v>
      </c>
      <c r="M160" s="89">
        <f>ABCD!N209</f>
        <v>5.6448345778592568</v>
      </c>
      <c r="N160" s="89" t="e">
        <v>#REF!</v>
      </c>
      <c r="O160" s="89" t="e">
        <v>#REF!</v>
      </c>
      <c r="P160" s="89" t="e">
        <v>#REF!</v>
      </c>
      <c r="Q160" s="89" t="e">
        <v>#REF!</v>
      </c>
      <c r="R160" s="89" t="e">
        <v>#REF!</v>
      </c>
      <c r="S160" s="89" t="e">
        <f>#REF!</f>
        <v>#REF!</v>
      </c>
      <c r="T160" s="89" t="e">
        <f>#REF!</f>
        <v>#REF!</v>
      </c>
      <c r="U160" s="89" t="e">
        <f>#REF!</f>
        <v>#REF!</v>
      </c>
      <c r="V160" s="89" t="e">
        <f>#REF!</f>
        <v>#REF!</v>
      </c>
      <c r="W160" s="89" t="e">
        <f>#REF!</f>
        <v>#REF!</v>
      </c>
      <c r="X160" s="89" t="e">
        <f>#REF!</f>
        <v>#REF!</v>
      </c>
      <c r="Y160" s="89" t="e">
        <f>#REF!</f>
        <v>#REF!</v>
      </c>
      <c r="Z160" s="89" t="e">
        <f>#REF!</f>
        <v>#REF!</v>
      </c>
      <c r="AA160" s="89" t="e">
        <f>#REF!</f>
        <v>#REF!</v>
      </c>
      <c r="AB160" s="89" t="e">
        <f>#REF!</f>
        <v>#REF!</v>
      </c>
      <c r="AC160" s="89" t="e">
        <f>#REF!</f>
        <v>#REF!</v>
      </c>
      <c r="AD160" s="89" t="e">
        <f>#REF!</f>
        <v>#REF!</v>
      </c>
      <c r="AE160" s="89" t="e">
        <f>#REF!</f>
        <v>#REF!</v>
      </c>
      <c r="AF160" s="89" t="e">
        <f>#REF!</f>
        <v>#REF!</v>
      </c>
      <c r="AG160" s="89" t="e">
        <f>#REF!</f>
        <v>#REF!</v>
      </c>
      <c r="AH160" s="89" t="e">
        <f>#REF!</f>
        <v>#REF!</v>
      </c>
      <c r="AI160" s="89" t="e">
        <f>#REF!</f>
        <v>#REF!</v>
      </c>
      <c r="AJ160" s="89" t="e">
        <f>#REF!</f>
        <v>#REF!</v>
      </c>
      <c r="AK160" s="89" t="e">
        <f>#REF!</f>
        <v>#REF!</v>
      </c>
      <c r="AL160" s="89" t="e">
        <f>#REF!</f>
        <v>#REF!</v>
      </c>
      <c r="AM160" s="89" t="e">
        <f>#REF!</f>
        <v>#REF!</v>
      </c>
      <c r="AN160" s="89" t="e">
        <f>#REF!</f>
        <v>#REF!</v>
      </c>
      <c r="AO160" s="89" t="e">
        <f>#REF!</f>
        <v>#REF!</v>
      </c>
      <c r="AP160" s="89" t="e">
        <f>#REF!</f>
        <v>#REF!</v>
      </c>
      <c r="AQ160" s="89" t="e">
        <f>#REF!</f>
        <v>#REF!</v>
      </c>
      <c r="AR160" s="89" t="e">
        <f>#REF!</f>
        <v>#REF!</v>
      </c>
      <c r="AS160" s="89" t="e">
        <f>#REF!</f>
        <v>#REF!</v>
      </c>
      <c r="AT160" s="89" t="e">
        <f>#REF!</f>
        <v>#REF!</v>
      </c>
      <c r="AU160" s="89" t="e">
        <f>#REF!</f>
        <v>#REF!</v>
      </c>
      <c r="AV160" s="89" t="e">
        <f>#REF!</f>
        <v>#REF!</v>
      </c>
      <c r="AW160" s="89" t="e">
        <f>#REF!</f>
        <v>#REF!</v>
      </c>
      <c r="AX160" s="89" t="e">
        <f>#REF!</f>
        <v>#REF!</v>
      </c>
      <c r="AY160" s="89" t="e">
        <f>#REF!</f>
        <v>#REF!</v>
      </c>
      <c r="AZ160" s="89" t="e">
        <f>#REF!</f>
        <v>#REF!</v>
      </c>
      <c r="BA160" s="89" t="e">
        <f>#REF!</f>
        <v>#REF!</v>
      </c>
      <c r="BB160" s="89" t="e">
        <f>#REF!</f>
        <v>#REF!</v>
      </c>
      <c r="BC160" s="89" t="e">
        <f>#REF!</f>
        <v>#REF!</v>
      </c>
      <c r="BD160" s="89" t="e">
        <f>#REF!</f>
        <v>#REF!</v>
      </c>
      <c r="BE160" s="89" t="e">
        <f>#REF!</f>
        <v>#REF!</v>
      </c>
      <c r="BF160" s="89" t="e">
        <f>#REF!</f>
        <v>#REF!</v>
      </c>
    </row>
    <row r="161" spans="9:58" x14ac:dyDescent="0.25">
      <c r="I161" s="89">
        <f>ABCD!J210</f>
        <v>39.25</v>
      </c>
      <c r="J161" s="89">
        <f>ABCD!K210</f>
        <v>128.73999999999998</v>
      </c>
      <c r="K161" s="89">
        <f>ABCD!L210</f>
        <v>5.4916298512504795</v>
      </c>
      <c r="L161" s="89">
        <f>ABCD!M210</f>
        <v>1.0323990130996503</v>
      </c>
      <c r="M161" s="89">
        <f>ABCD!N210</f>
        <v>5.5878301822258782</v>
      </c>
      <c r="N161" s="89" t="e">
        <v>#REF!</v>
      </c>
      <c r="O161" s="89" t="e">
        <v>#REF!</v>
      </c>
      <c r="P161" s="89" t="e">
        <v>#REF!</v>
      </c>
      <c r="Q161" s="89" t="e">
        <v>#REF!</v>
      </c>
      <c r="R161" s="89" t="e">
        <v>#REF!</v>
      </c>
      <c r="S161" s="89" t="e">
        <f>#REF!</f>
        <v>#REF!</v>
      </c>
      <c r="T161" s="89" t="e">
        <f>#REF!</f>
        <v>#REF!</v>
      </c>
      <c r="U161" s="89" t="e">
        <f>#REF!</f>
        <v>#REF!</v>
      </c>
      <c r="V161" s="89" t="e">
        <f>#REF!</f>
        <v>#REF!</v>
      </c>
      <c r="W161" s="89" t="e">
        <f>#REF!</f>
        <v>#REF!</v>
      </c>
      <c r="X161" s="89" t="e">
        <f>#REF!</f>
        <v>#REF!</v>
      </c>
      <c r="Y161" s="89" t="e">
        <f>#REF!</f>
        <v>#REF!</v>
      </c>
      <c r="Z161" s="89" t="e">
        <f>#REF!</f>
        <v>#REF!</v>
      </c>
      <c r="AA161" s="89" t="e">
        <f>#REF!</f>
        <v>#REF!</v>
      </c>
      <c r="AB161" s="89" t="e">
        <f>#REF!</f>
        <v>#REF!</v>
      </c>
      <c r="AC161" s="89" t="e">
        <f>#REF!</f>
        <v>#REF!</v>
      </c>
      <c r="AD161" s="89" t="e">
        <f>#REF!</f>
        <v>#REF!</v>
      </c>
      <c r="AE161" s="89" t="e">
        <f>#REF!</f>
        <v>#REF!</v>
      </c>
      <c r="AF161" s="89" t="e">
        <f>#REF!</f>
        <v>#REF!</v>
      </c>
      <c r="AG161" s="89" t="e">
        <f>#REF!</f>
        <v>#REF!</v>
      </c>
      <c r="AH161" s="89" t="e">
        <f>#REF!</f>
        <v>#REF!</v>
      </c>
      <c r="AI161" s="89" t="e">
        <f>#REF!</f>
        <v>#REF!</v>
      </c>
      <c r="AJ161" s="89" t="e">
        <f>#REF!</f>
        <v>#REF!</v>
      </c>
      <c r="AK161" s="89" t="e">
        <f>#REF!</f>
        <v>#REF!</v>
      </c>
      <c r="AL161" s="89" t="e">
        <f>#REF!</f>
        <v>#REF!</v>
      </c>
      <c r="AM161" s="89" t="e">
        <f>#REF!</f>
        <v>#REF!</v>
      </c>
      <c r="AN161" s="89" t="e">
        <f>#REF!</f>
        <v>#REF!</v>
      </c>
      <c r="AO161" s="89" t="e">
        <f>#REF!</f>
        <v>#REF!</v>
      </c>
      <c r="AP161" s="89" t="e">
        <f>#REF!</f>
        <v>#REF!</v>
      </c>
      <c r="AQ161" s="89" t="e">
        <f>#REF!</f>
        <v>#REF!</v>
      </c>
      <c r="AR161" s="89" t="e">
        <f>#REF!</f>
        <v>#REF!</v>
      </c>
      <c r="AS161" s="89" t="e">
        <f>#REF!</f>
        <v>#REF!</v>
      </c>
      <c r="AT161" s="89" t="e">
        <f>#REF!</f>
        <v>#REF!</v>
      </c>
      <c r="AU161" s="89" t="e">
        <f>#REF!</f>
        <v>#REF!</v>
      </c>
      <c r="AV161" s="89" t="e">
        <f>#REF!</f>
        <v>#REF!</v>
      </c>
      <c r="AW161" s="89" t="e">
        <f>#REF!</f>
        <v>#REF!</v>
      </c>
      <c r="AX161" s="89" t="e">
        <f>#REF!</f>
        <v>#REF!</v>
      </c>
      <c r="AY161" s="89" t="e">
        <f>#REF!</f>
        <v>#REF!</v>
      </c>
      <c r="AZ161" s="89" t="e">
        <f>#REF!</f>
        <v>#REF!</v>
      </c>
      <c r="BA161" s="89" t="e">
        <f>#REF!</f>
        <v>#REF!</v>
      </c>
      <c r="BB161" s="89" t="e">
        <f>#REF!</f>
        <v>#REF!</v>
      </c>
      <c r="BC161" s="89" t="e">
        <f>#REF!</f>
        <v>#REF!</v>
      </c>
      <c r="BD161" s="89" t="e">
        <f>#REF!</f>
        <v>#REF!</v>
      </c>
      <c r="BE161" s="89" t="e">
        <f>#REF!</f>
        <v>#REF!</v>
      </c>
      <c r="BF161" s="89" t="e">
        <f>#REF!</f>
        <v>#REF!</v>
      </c>
    </row>
    <row r="162" spans="9:58" x14ac:dyDescent="0.25">
      <c r="I162" s="89">
        <f>ABCD!J211</f>
        <v>39.5</v>
      </c>
      <c r="J162" s="89">
        <f>ABCD!K211</f>
        <v>129.56</v>
      </c>
      <c r="K162" s="89">
        <f>ABCD!L211</f>
        <v>5.4341913150869807</v>
      </c>
      <c r="L162" s="89">
        <f>ABCD!M211</f>
        <v>1.0226931445094651</v>
      </c>
      <c r="M162" s="89">
        <f>ABCD!N211</f>
        <v>5.529587373104202</v>
      </c>
      <c r="N162" s="89" t="e">
        <v>#REF!</v>
      </c>
      <c r="O162" s="89" t="e">
        <v>#REF!</v>
      </c>
      <c r="P162" s="89" t="e">
        <v>#REF!</v>
      </c>
      <c r="Q162" s="89" t="e">
        <v>#REF!</v>
      </c>
      <c r="R162" s="89" t="e">
        <v>#REF!</v>
      </c>
      <c r="S162" s="89" t="e">
        <f>#REF!</f>
        <v>#REF!</v>
      </c>
      <c r="T162" s="89" t="e">
        <f>#REF!</f>
        <v>#REF!</v>
      </c>
      <c r="U162" s="89" t="e">
        <f>#REF!</f>
        <v>#REF!</v>
      </c>
      <c r="V162" s="89" t="e">
        <f>#REF!</f>
        <v>#REF!</v>
      </c>
      <c r="W162" s="89" t="e">
        <f>#REF!</f>
        <v>#REF!</v>
      </c>
      <c r="X162" s="89" t="e">
        <f>#REF!</f>
        <v>#REF!</v>
      </c>
      <c r="Y162" s="89" t="e">
        <f>#REF!</f>
        <v>#REF!</v>
      </c>
      <c r="Z162" s="89" t="e">
        <f>#REF!</f>
        <v>#REF!</v>
      </c>
      <c r="AA162" s="89" t="e">
        <f>#REF!</f>
        <v>#REF!</v>
      </c>
      <c r="AB162" s="89" t="e">
        <f>#REF!</f>
        <v>#REF!</v>
      </c>
      <c r="AC162" s="89" t="e">
        <f>#REF!</f>
        <v>#REF!</v>
      </c>
      <c r="AD162" s="89" t="e">
        <f>#REF!</f>
        <v>#REF!</v>
      </c>
      <c r="AE162" s="89" t="e">
        <f>#REF!</f>
        <v>#REF!</v>
      </c>
      <c r="AF162" s="89" t="e">
        <f>#REF!</f>
        <v>#REF!</v>
      </c>
      <c r="AG162" s="89" t="e">
        <f>#REF!</f>
        <v>#REF!</v>
      </c>
      <c r="AH162" s="89" t="e">
        <f>#REF!</f>
        <v>#REF!</v>
      </c>
      <c r="AI162" s="89" t="e">
        <f>#REF!</f>
        <v>#REF!</v>
      </c>
      <c r="AJ162" s="89" t="e">
        <f>#REF!</f>
        <v>#REF!</v>
      </c>
      <c r="AK162" s="89" t="e">
        <f>#REF!</f>
        <v>#REF!</v>
      </c>
      <c r="AL162" s="89" t="e">
        <f>#REF!</f>
        <v>#REF!</v>
      </c>
      <c r="AM162" s="89" t="e">
        <f>#REF!</f>
        <v>#REF!</v>
      </c>
      <c r="AN162" s="89" t="e">
        <f>#REF!</f>
        <v>#REF!</v>
      </c>
      <c r="AO162" s="89" t="e">
        <f>#REF!</f>
        <v>#REF!</v>
      </c>
      <c r="AP162" s="89" t="e">
        <f>#REF!</f>
        <v>#REF!</v>
      </c>
      <c r="AQ162" s="89" t="e">
        <f>#REF!</f>
        <v>#REF!</v>
      </c>
      <c r="AR162" s="89" t="e">
        <f>#REF!</f>
        <v>#REF!</v>
      </c>
      <c r="AS162" s="89" t="e">
        <f>#REF!</f>
        <v>#REF!</v>
      </c>
      <c r="AT162" s="89" t="e">
        <f>#REF!</f>
        <v>#REF!</v>
      </c>
      <c r="AU162" s="89" t="e">
        <f>#REF!</f>
        <v>#REF!</v>
      </c>
      <c r="AV162" s="89" t="e">
        <f>#REF!</f>
        <v>#REF!</v>
      </c>
      <c r="AW162" s="89" t="e">
        <f>#REF!</f>
        <v>#REF!</v>
      </c>
      <c r="AX162" s="89" t="e">
        <f>#REF!</f>
        <v>#REF!</v>
      </c>
      <c r="AY162" s="89" t="e">
        <f>#REF!</f>
        <v>#REF!</v>
      </c>
      <c r="AZ162" s="89" t="e">
        <f>#REF!</f>
        <v>#REF!</v>
      </c>
      <c r="BA162" s="89" t="e">
        <f>#REF!</f>
        <v>#REF!</v>
      </c>
      <c r="BB162" s="89" t="e">
        <f>#REF!</f>
        <v>#REF!</v>
      </c>
      <c r="BC162" s="89" t="e">
        <f>#REF!</f>
        <v>#REF!</v>
      </c>
      <c r="BD162" s="89" t="e">
        <f>#REF!</f>
        <v>#REF!</v>
      </c>
      <c r="BE162" s="89" t="e">
        <f>#REF!</f>
        <v>#REF!</v>
      </c>
      <c r="BF162" s="89" t="e">
        <f>#REF!</f>
        <v>#REF!</v>
      </c>
    </row>
    <row r="163" spans="9:58" x14ac:dyDescent="0.25">
      <c r="I163" s="89">
        <f>ABCD!J212</f>
        <v>39.75</v>
      </c>
      <c r="J163" s="89">
        <f>ABCD!K212</f>
        <v>130.38</v>
      </c>
      <c r="K163" s="89">
        <f>ABCD!L212</f>
        <v>5.3755500157820997</v>
      </c>
      <c r="L163" s="89">
        <f>ABCD!M212</f>
        <v>1.0127599276858108</v>
      </c>
      <c r="M163" s="89">
        <f>ABCD!N212</f>
        <v>5.4701207156059271</v>
      </c>
      <c r="N163" s="89" t="e">
        <v>#REF!</v>
      </c>
      <c r="O163" s="89" t="e">
        <v>#REF!</v>
      </c>
      <c r="P163" s="89" t="e">
        <v>#REF!</v>
      </c>
      <c r="Q163" s="89" t="e">
        <v>#REF!</v>
      </c>
      <c r="R163" s="89" t="e">
        <v>#REF!</v>
      </c>
      <c r="S163" s="89" t="e">
        <f>#REF!</f>
        <v>#REF!</v>
      </c>
      <c r="T163" s="89" t="e">
        <f>#REF!</f>
        <v>#REF!</v>
      </c>
      <c r="U163" s="89" t="e">
        <f>#REF!</f>
        <v>#REF!</v>
      </c>
      <c r="V163" s="89" t="e">
        <f>#REF!</f>
        <v>#REF!</v>
      </c>
      <c r="W163" s="89" t="e">
        <f>#REF!</f>
        <v>#REF!</v>
      </c>
      <c r="X163" s="89" t="e">
        <f>#REF!</f>
        <v>#REF!</v>
      </c>
      <c r="Y163" s="89" t="e">
        <f>#REF!</f>
        <v>#REF!</v>
      </c>
      <c r="Z163" s="89" t="e">
        <f>#REF!</f>
        <v>#REF!</v>
      </c>
      <c r="AA163" s="89" t="e">
        <f>#REF!</f>
        <v>#REF!</v>
      </c>
      <c r="AB163" s="89" t="e">
        <f>#REF!</f>
        <v>#REF!</v>
      </c>
      <c r="AC163" s="89" t="e">
        <f>#REF!</f>
        <v>#REF!</v>
      </c>
      <c r="AD163" s="89" t="e">
        <f>#REF!</f>
        <v>#REF!</v>
      </c>
      <c r="AE163" s="89" t="e">
        <f>#REF!</f>
        <v>#REF!</v>
      </c>
      <c r="AF163" s="89" t="e">
        <f>#REF!</f>
        <v>#REF!</v>
      </c>
      <c r="AG163" s="89" t="e">
        <f>#REF!</f>
        <v>#REF!</v>
      </c>
      <c r="AH163" s="89" t="e">
        <f>#REF!</f>
        <v>#REF!</v>
      </c>
      <c r="AI163" s="89" t="e">
        <f>#REF!</f>
        <v>#REF!</v>
      </c>
      <c r="AJ163" s="89" t="e">
        <f>#REF!</f>
        <v>#REF!</v>
      </c>
      <c r="AK163" s="89" t="e">
        <f>#REF!</f>
        <v>#REF!</v>
      </c>
      <c r="AL163" s="89" t="e">
        <f>#REF!</f>
        <v>#REF!</v>
      </c>
      <c r="AM163" s="89" t="e">
        <f>#REF!</f>
        <v>#REF!</v>
      </c>
      <c r="AN163" s="89" t="e">
        <f>#REF!</f>
        <v>#REF!</v>
      </c>
      <c r="AO163" s="89" t="e">
        <f>#REF!</f>
        <v>#REF!</v>
      </c>
      <c r="AP163" s="89" t="e">
        <f>#REF!</f>
        <v>#REF!</v>
      </c>
      <c r="AQ163" s="89" t="e">
        <f>#REF!</f>
        <v>#REF!</v>
      </c>
      <c r="AR163" s="89" t="e">
        <f>#REF!</f>
        <v>#REF!</v>
      </c>
      <c r="AS163" s="89" t="e">
        <f>#REF!</f>
        <v>#REF!</v>
      </c>
      <c r="AT163" s="89" t="e">
        <f>#REF!</f>
        <v>#REF!</v>
      </c>
      <c r="AU163" s="89" t="e">
        <f>#REF!</f>
        <v>#REF!</v>
      </c>
      <c r="AV163" s="89" t="e">
        <f>#REF!</f>
        <v>#REF!</v>
      </c>
      <c r="AW163" s="89" t="e">
        <f>#REF!</f>
        <v>#REF!</v>
      </c>
      <c r="AX163" s="89" t="e">
        <f>#REF!</f>
        <v>#REF!</v>
      </c>
      <c r="AY163" s="89" t="e">
        <f>#REF!</f>
        <v>#REF!</v>
      </c>
      <c r="AZ163" s="89" t="e">
        <f>#REF!</f>
        <v>#REF!</v>
      </c>
      <c r="BA163" s="89" t="e">
        <f>#REF!</f>
        <v>#REF!</v>
      </c>
      <c r="BB163" s="89" t="e">
        <f>#REF!</f>
        <v>#REF!</v>
      </c>
      <c r="BC163" s="89" t="e">
        <f>#REF!</f>
        <v>#REF!</v>
      </c>
      <c r="BD163" s="89" t="e">
        <f>#REF!</f>
        <v>#REF!</v>
      </c>
      <c r="BE163" s="89" t="e">
        <f>#REF!</f>
        <v>#REF!</v>
      </c>
      <c r="BF163" s="89" t="e">
        <f>#REF!</f>
        <v>#REF!</v>
      </c>
    </row>
    <row r="164" spans="9:58" x14ac:dyDescent="0.25">
      <c r="I164" s="89">
        <f>ABCD!J213</f>
        <v>40</v>
      </c>
      <c r="J164" s="89">
        <f>ABCD!K213</f>
        <v>131.19999999999999</v>
      </c>
      <c r="K164" s="89">
        <f>ABCD!L213</f>
        <v>5.3157205721562946</v>
      </c>
      <c r="L164" s="89">
        <f>ABCD!M213</f>
        <v>1.0026018601444979</v>
      </c>
      <c r="M164" s="89">
        <f>ABCD!N213</f>
        <v>5.4094450446613145</v>
      </c>
      <c r="N164" s="89" t="e">
        <v>#REF!</v>
      </c>
      <c r="O164" s="89" t="e">
        <v>#REF!</v>
      </c>
      <c r="P164" s="89" t="e">
        <v>#REF!</v>
      </c>
      <c r="Q164" s="89" t="e">
        <v>#REF!</v>
      </c>
      <c r="R164" s="89" t="e">
        <v>#REF!</v>
      </c>
      <c r="S164" s="89" t="e">
        <f>#REF!</f>
        <v>#REF!</v>
      </c>
      <c r="T164" s="89" t="e">
        <f>#REF!</f>
        <v>#REF!</v>
      </c>
      <c r="U164" s="89" t="e">
        <f>#REF!</f>
        <v>#REF!</v>
      </c>
      <c r="V164" s="89" t="e">
        <f>#REF!</f>
        <v>#REF!</v>
      </c>
      <c r="W164" s="89" t="e">
        <f>#REF!</f>
        <v>#REF!</v>
      </c>
      <c r="X164" s="89" t="e">
        <f>#REF!</f>
        <v>#REF!</v>
      </c>
      <c r="Y164" s="89" t="e">
        <f>#REF!</f>
        <v>#REF!</v>
      </c>
      <c r="Z164" s="89" t="e">
        <f>#REF!</f>
        <v>#REF!</v>
      </c>
      <c r="AA164" s="89" t="e">
        <f>#REF!</f>
        <v>#REF!</v>
      </c>
      <c r="AB164" s="89" t="e">
        <f>#REF!</f>
        <v>#REF!</v>
      </c>
      <c r="AC164" s="89" t="e">
        <f>#REF!</f>
        <v>#REF!</v>
      </c>
      <c r="AD164" s="89" t="e">
        <f>#REF!</f>
        <v>#REF!</v>
      </c>
      <c r="AE164" s="89" t="e">
        <f>#REF!</f>
        <v>#REF!</v>
      </c>
      <c r="AF164" s="89" t="e">
        <f>#REF!</f>
        <v>#REF!</v>
      </c>
      <c r="AG164" s="89" t="e">
        <f>#REF!</f>
        <v>#REF!</v>
      </c>
      <c r="AH164" s="89" t="e">
        <f>#REF!</f>
        <v>#REF!</v>
      </c>
      <c r="AI164" s="89" t="e">
        <f>#REF!</f>
        <v>#REF!</v>
      </c>
      <c r="AJ164" s="89" t="e">
        <f>#REF!</f>
        <v>#REF!</v>
      </c>
      <c r="AK164" s="89" t="e">
        <f>#REF!</f>
        <v>#REF!</v>
      </c>
      <c r="AL164" s="89" t="e">
        <f>#REF!</f>
        <v>#REF!</v>
      </c>
      <c r="AM164" s="89" t="e">
        <f>#REF!</f>
        <v>#REF!</v>
      </c>
      <c r="AN164" s="89" t="e">
        <f>#REF!</f>
        <v>#REF!</v>
      </c>
      <c r="AO164" s="89" t="e">
        <f>#REF!</f>
        <v>#REF!</v>
      </c>
      <c r="AP164" s="89" t="e">
        <f>#REF!</f>
        <v>#REF!</v>
      </c>
      <c r="AQ164" s="89" t="e">
        <f>#REF!</f>
        <v>#REF!</v>
      </c>
      <c r="AR164" s="89" t="e">
        <f>#REF!</f>
        <v>#REF!</v>
      </c>
      <c r="AS164" s="89" t="e">
        <f>#REF!</f>
        <v>#REF!</v>
      </c>
      <c r="AT164" s="89" t="e">
        <f>#REF!</f>
        <v>#REF!</v>
      </c>
      <c r="AU164" s="89" t="e">
        <f>#REF!</f>
        <v>#REF!</v>
      </c>
      <c r="AV164" s="89" t="e">
        <f>#REF!</f>
        <v>#REF!</v>
      </c>
      <c r="AW164" s="89" t="e">
        <f>#REF!</f>
        <v>#REF!</v>
      </c>
      <c r="AX164" s="89" t="e">
        <f>#REF!</f>
        <v>#REF!</v>
      </c>
      <c r="AY164" s="89" t="e">
        <f>#REF!</f>
        <v>#REF!</v>
      </c>
      <c r="AZ164" s="89" t="e">
        <f>#REF!</f>
        <v>#REF!</v>
      </c>
      <c r="BA164" s="89" t="e">
        <f>#REF!</f>
        <v>#REF!</v>
      </c>
      <c r="BB164" s="89" t="e">
        <f>#REF!</f>
        <v>#REF!</v>
      </c>
      <c r="BC164" s="89" t="e">
        <f>#REF!</f>
        <v>#REF!</v>
      </c>
      <c r="BD164" s="89" t="e">
        <f>#REF!</f>
        <v>#REF!</v>
      </c>
      <c r="BE164" s="89" t="e">
        <f>#REF!</f>
        <v>#REF!</v>
      </c>
      <c r="BF164" s="89" t="e">
        <f>#REF!</f>
        <v>#REF!</v>
      </c>
    </row>
    <row r="165" spans="9:58" x14ac:dyDescent="0.25">
      <c r="I165" s="89">
        <f>ABCD!J214</f>
        <v>40.25</v>
      </c>
      <c r="J165" s="89">
        <f>ABCD!K214</f>
        <v>132.01999999999998</v>
      </c>
      <c r="K165" s="89">
        <f>ABCD!L214</f>
        <v>5.2547178641515213</v>
      </c>
      <c r="L165" s="89">
        <f>ABCD!M214</f>
        <v>0.99222148905937213</v>
      </c>
      <c r="M165" s="89">
        <f>ABCD!N214</f>
        <v>5.3475754613828803</v>
      </c>
      <c r="N165" s="89" t="e">
        <v>#REF!</v>
      </c>
      <c r="O165" s="89" t="e">
        <v>#REF!</v>
      </c>
      <c r="P165" s="89" t="e">
        <v>#REF!</v>
      </c>
      <c r="Q165" s="89" t="e">
        <v>#REF!</v>
      </c>
      <c r="R165" s="89" t="e">
        <v>#REF!</v>
      </c>
      <c r="S165" s="89" t="e">
        <f>#REF!</f>
        <v>#REF!</v>
      </c>
      <c r="T165" s="89" t="e">
        <f>#REF!</f>
        <v>#REF!</v>
      </c>
      <c r="U165" s="89" t="e">
        <f>#REF!</f>
        <v>#REF!</v>
      </c>
      <c r="V165" s="89" t="e">
        <f>#REF!</f>
        <v>#REF!</v>
      </c>
      <c r="W165" s="89" t="e">
        <f>#REF!</f>
        <v>#REF!</v>
      </c>
      <c r="X165" s="89" t="e">
        <f>#REF!</f>
        <v>#REF!</v>
      </c>
      <c r="Y165" s="89" t="e">
        <f>#REF!</f>
        <v>#REF!</v>
      </c>
      <c r="Z165" s="89" t="e">
        <f>#REF!</f>
        <v>#REF!</v>
      </c>
      <c r="AA165" s="89" t="e">
        <f>#REF!</f>
        <v>#REF!</v>
      </c>
      <c r="AB165" s="89" t="e">
        <f>#REF!</f>
        <v>#REF!</v>
      </c>
      <c r="AC165" s="89" t="e">
        <f>#REF!</f>
        <v>#REF!</v>
      </c>
      <c r="AD165" s="89" t="e">
        <f>#REF!</f>
        <v>#REF!</v>
      </c>
      <c r="AE165" s="89" t="e">
        <f>#REF!</f>
        <v>#REF!</v>
      </c>
      <c r="AF165" s="89" t="e">
        <f>#REF!</f>
        <v>#REF!</v>
      </c>
      <c r="AG165" s="89" t="e">
        <f>#REF!</f>
        <v>#REF!</v>
      </c>
      <c r="AH165" s="89" t="e">
        <f>#REF!</f>
        <v>#REF!</v>
      </c>
      <c r="AI165" s="89" t="e">
        <f>#REF!</f>
        <v>#REF!</v>
      </c>
      <c r="AJ165" s="89" t="e">
        <f>#REF!</f>
        <v>#REF!</v>
      </c>
      <c r="AK165" s="89" t="e">
        <f>#REF!</f>
        <v>#REF!</v>
      </c>
      <c r="AL165" s="89" t="e">
        <f>#REF!</f>
        <v>#REF!</v>
      </c>
      <c r="AM165" s="89" t="e">
        <f>#REF!</f>
        <v>#REF!</v>
      </c>
      <c r="AN165" s="89" t="e">
        <f>#REF!</f>
        <v>#REF!</v>
      </c>
      <c r="AO165" s="89" t="e">
        <f>#REF!</f>
        <v>#REF!</v>
      </c>
      <c r="AP165" s="89" t="e">
        <f>#REF!</f>
        <v>#REF!</v>
      </c>
      <c r="AQ165" s="89" t="e">
        <f>#REF!</f>
        <v>#REF!</v>
      </c>
      <c r="AR165" s="89" t="e">
        <f>#REF!</f>
        <v>#REF!</v>
      </c>
      <c r="AS165" s="89" t="e">
        <f>#REF!</f>
        <v>#REF!</v>
      </c>
      <c r="AT165" s="89" t="e">
        <f>#REF!</f>
        <v>#REF!</v>
      </c>
      <c r="AU165" s="89" t="e">
        <f>#REF!</f>
        <v>#REF!</v>
      </c>
      <c r="AV165" s="89" t="e">
        <f>#REF!</f>
        <v>#REF!</v>
      </c>
      <c r="AW165" s="89" t="e">
        <f>#REF!</f>
        <v>#REF!</v>
      </c>
      <c r="AX165" s="89" t="e">
        <f>#REF!</f>
        <v>#REF!</v>
      </c>
      <c r="AY165" s="89" t="e">
        <f>#REF!</f>
        <v>#REF!</v>
      </c>
      <c r="AZ165" s="89" t="e">
        <f>#REF!</f>
        <v>#REF!</v>
      </c>
      <c r="BA165" s="89" t="e">
        <f>#REF!</f>
        <v>#REF!</v>
      </c>
      <c r="BB165" s="89" t="e">
        <f>#REF!</f>
        <v>#REF!</v>
      </c>
      <c r="BC165" s="89" t="e">
        <f>#REF!</f>
        <v>#REF!</v>
      </c>
      <c r="BD165" s="89" t="e">
        <f>#REF!</f>
        <v>#REF!</v>
      </c>
      <c r="BE165" s="89" t="e">
        <f>#REF!</f>
        <v>#REF!</v>
      </c>
      <c r="BF165" s="89" t="e">
        <f>#REF!</f>
        <v>#REF!</v>
      </c>
    </row>
    <row r="166" spans="9:58" x14ac:dyDescent="0.25">
      <c r="I166" s="89">
        <f>ABCD!J215</f>
        <v>40.5</v>
      </c>
      <c r="J166" s="89">
        <f>ABCD!K215</f>
        <v>132.84</v>
      </c>
      <c r="K166" s="89">
        <f>ABCD!L215</f>
        <v>5.1925570291614225</v>
      </c>
      <c r="L166" s="89">
        <f>ABCD!M215</f>
        <v>0.98162141062964769</v>
      </c>
      <c r="M166" s="89">
        <f>ABCD!N215</f>
        <v>5.2845273293739563</v>
      </c>
      <c r="N166" s="89" t="e">
        <v>#REF!</v>
      </c>
      <c r="O166" s="89" t="e">
        <v>#REF!</v>
      </c>
      <c r="P166" s="89" t="e">
        <v>#REF!</v>
      </c>
      <c r="Q166" s="89" t="e">
        <v>#REF!</v>
      </c>
      <c r="R166" s="89" t="e">
        <v>#REF!</v>
      </c>
      <c r="S166" s="89" t="e">
        <f>#REF!</f>
        <v>#REF!</v>
      </c>
      <c r="T166" s="89" t="e">
        <f>#REF!</f>
        <v>#REF!</v>
      </c>
      <c r="U166" s="89" t="e">
        <f>#REF!</f>
        <v>#REF!</v>
      </c>
      <c r="V166" s="89" t="e">
        <f>#REF!</f>
        <v>#REF!</v>
      </c>
      <c r="W166" s="89" t="e">
        <f>#REF!</f>
        <v>#REF!</v>
      </c>
      <c r="X166" s="89" t="e">
        <f>#REF!</f>
        <v>#REF!</v>
      </c>
      <c r="Y166" s="89" t="e">
        <f>#REF!</f>
        <v>#REF!</v>
      </c>
      <c r="Z166" s="89" t="e">
        <f>#REF!</f>
        <v>#REF!</v>
      </c>
      <c r="AA166" s="89" t="e">
        <f>#REF!</f>
        <v>#REF!</v>
      </c>
      <c r="AB166" s="89" t="e">
        <f>#REF!</f>
        <v>#REF!</v>
      </c>
      <c r="AC166" s="89" t="e">
        <f>#REF!</f>
        <v>#REF!</v>
      </c>
      <c r="AD166" s="89" t="e">
        <f>#REF!</f>
        <v>#REF!</v>
      </c>
      <c r="AE166" s="89" t="e">
        <f>#REF!</f>
        <v>#REF!</v>
      </c>
      <c r="AF166" s="89" t="e">
        <f>#REF!</f>
        <v>#REF!</v>
      </c>
      <c r="AG166" s="89" t="e">
        <f>#REF!</f>
        <v>#REF!</v>
      </c>
      <c r="AH166" s="89" t="e">
        <f>#REF!</f>
        <v>#REF!</v>
      </c>
      <c r="AI166" s="89" t="e">
        <f>#REF!</f>
        <v>#REF!</v>
      </c>
      <c r="AJ166" s="89" t="e">
        <f>#REF!</f>
        <v>#REF!</v>
      </c>
      <c r="AK166" s="89" t="e">
        <f>#REF!</f>
        <v>#REF!</v>
      </c>
      <c r="AL166" s="89" t="e">
        <f>#REF!</f>
        <v>#REF!</v>
      </c>
      <c r="AM166" s="89" t="e">
        <f>#REF!</f>
        <v>#REF!</v>
      </c>
      <c r="AN166" s="89" t="e">
        <f>#REF!</f>
        <v>#REF!</v>
      </c>
      <c r="AO166" s="89" t="e">
        <f>#REF!</f>
        <v>#REF!</v>
      </c>
      <c r="AP166" s="89" t="e">
        <f>#REF!</f>
        <v>#REF!</v>
      </c>
      <c r="AQ166" s="89" t="e">
        <f>#REF!</f>
        <v>#REF!</v>
      </c>
      <c r="AR166" s="89" t="e">
        <f>#REF!</f>
        <v>#REF!</v>
      </c>
      <c r="AS166" s="89" t="e">
        <f>#REF!</f>
        <v>#REF!</v>
      </c>
      <c r="AT166" s="89" t="e">
        <f>#REF!</f>
        <v>#REF!</v>
      </c>
      <c r="AU166" s="89" t="e">
        <f>#REF!</f>
        <v>#REF!</v>
      </c>
      <c r="AV166" s="89" t="e">
        <f>#REF!</f>
        <v>#REF!</v>
      </c>
      <c r="AW166" s="89" t="e">
        <f>#REF!</f>
        <v>#REF!</v>
      </c>
      <c r="AX166" s="89" t="e">
        <f>#REF!</f>
        <v>#REF!</v>
      </c>
      <c r="AY166" s="89" t="e">
        <f>#REF!</f>
        <v>#REF!</v>
      </c>
      <c r="AZ166" s="89" t="e">
        <f>#REF!</f>
        <v>#REF!</v>
      </c>
      <c r="BA166" s="89" t="e">
        <f>#REF!</f>
        <v>#REF!</v>
      </c>
      <c r="BB166" s="89" t="e">
        <f>#REF!</f>
        <v>#REF!</v>
      </c>
      <c r="BC166" s="89" t="e">
        <f>#REF!</f>
        <v>#REF!</v>
      </c>
      <c r="BD166" s="89" t="e">
        <f>#REF!</f>
        <v>#REF!</v>
      </c>
      <c r="BE166" s="89" t="e">
        <f>#REF!</f>
        <v>#REF!</v>
      </c>
      <c r="BF166" s="89" t="e">
        <f>#REF!</f>
        <v>#REF!</v>
      </c>
    </row>
    <row r="167" spans="9:58" x14ac:dyDescent="0.25">
      <c r="I167" s="89">
        <f>ABCD!J216</f>
        <v>40.75</v>
      </c>
      <c r="J167" s="89">
        <f>ABCD!K216</f>
        <v>133.66</v>
      </c>
      <c r="K167" s="89">
        <f>ABCD!L216</f>
        <v>5.1292534583053957</v>
      </c>
      <c r="L167" s="89">
        <f>ABCD!M216</f>
        <v>0.97080426943647979</v>
      </c>
      <c r="M167" s="89">
        <f>ABCD!N216</f>
        <v>5.2203162709833935</v>
      </c>
      <c r="N167" s="89" t="e">
        <v>#REF!</v>
      </c>
      <c r="O167" s="89" t="e">
        <v>#REF!</v>
      </c>
      <c r="P167" s="89" t="e">
        <v>#REF!</v>
      </c>
      <c r="Q167" s="89" t="e">
        <v>#REF!</v>
      </c>
      <c r="R167" s="89" t="e">
        <v>#REF!</v>
      </c>
      <c r="S167" s="89" t="e">
        <f>#REF!</f>
        <v>#REF!</v>
      </c>
      <c r="T167" s="89" t="e">
        <f>#REF!</f>
        <v>#REF!</v>
      </c>
      <c r="U167" s="89" t="e">
        <f>#REF!</f>
        <v>#REF!</v>
      </c>
      <c r="V167" s="89" t="e">
        <f>#REF!</f>
        <v>#REF!</v>
      </c>
      <c r="W167" s="89" t="e">
        <f>#REF!</f>
        <v>#REF!</v>
      </c>
      <c r="X167" s="89" t="e">
        <f>#REF!</f>
        <v>#REF!</v>
      </c>
      <c r="Y167" s="89" t="e">
        <f>#REF!</f>
        <v>#REF!</v>
      </c>
      <c r="Z167" s="89" t="e">
        <f>#REF!</f>
        <v>#REF!</v>
      </c>
      <c r="AA167" s="89" t="e">
        <f>#REF!</f>
        <v>#REF!</v>
      </c>
      <c r="AB167" s="89" t="e">
        <f>#REF!</f>
        <v>#REF!</v>
      </c>
      <c r="AC167" s="89" t="e">
        <f>#REF!</f>
        <v>#REF!</v>
      </c>
      <c r="AD167" s="89" t="e">
        <f>#REF!</f>
        <v>#REF!</v>
      </c>
      <c r="AE167" s="89" t="e">
        <f>#REF!</f>
        <v>#REF!</v>
      </c>
      <c r="AF167" s="89" t="e">
        <f>#REF!</f>
        <v>#REF!</v>
      </c>
      <c r="AG167" s="89" t="e">
        <f>#REF!</f>
        <v>#REF!</v>
      </c>
      <c r="AH167" s="89" t="e">
        <f>#REF!</f>
        <v>#REF!</v>
      </c>
      <c r="AI167" s="89" t="e">
        <f>#REF!</f>
        <v>#REF!</v>
      </c>
      <c r="AJ167" s="89" t="e">
        <f>#REF!</f>
        <v>#REF!</v>
      </c>
      <c r="AK167" s="89" t="e">
        <f>#REF!</f>
        <v>#REF!</v>
      </c>
      <c r="AL167" s="89" t="e">
        <f>#REF!</f>
        <v>#REF!</v>
      </c>
      <c r="AM167" s="89" t="e">
        <f>#REF!</f>
        <v>#REF!</v>
      </c>
      <c r="AN167" s="89" t="e">
        <f>#REF!</f>
        <v>#REF!</v>
      </c>
      <c r="AO167" s="89" t="e">
        <f>#REF!</f>
        <v>#REF!</v>
      </c>
      <c r="AP167" s="89" t="e">
        <f>#REF!</f>
        <v>#REF!</v>
      </c>
      <c r="AQ167" s="89" t="e">
        <f>#REF!</f>
        <v>#REF!</v>
      </c>
      <c r="AR167" s="89" t="e">
        <f>#REF!</f>
        <v>#REF!</v>
      </c>
      <c r="AS167" s="89" t="e">
        <f>#REF!</f>
        <v>#REF!</v>
      </c>
      <c r="AT167" s="89" t="e">
        <f>#REF!</f>
        <v>#REF!</v>
      </c>
      <c r="AU167" s="89" t="e">
        <f>#REF!</f>
        <v>#REF!</v>
      </c>
      <c r="AV167" s="89" t="e">
        <f>#REF!</f>
        <v>#REF!</v>
      </c>
      <c r="AW167" s="89" t="e">
        <f>#REF!</f>
        <v>#REF!</v>
      </c>
      <c r="AX167" s="89" t="e">
        <f>#REF!</f>
        <v>#REF!</v>
      </c>
      <c r="AY167" s="89" t="e">
        <f>#REF!</f>
        <v>#REF!</v>
      </c>
      <c r="AZ167" s="89" t="e">
        <f>#REF!</f>
        <v>#REF!</v>
      </c>
      <c r="BA167" s="89" t="e">
        <f>#REF!</f>
        <v>#REF!</v>
      </c>
      <c r="BB167" s="89" t="e">
        <f>#REF!</f>
        <v>#REF!</v>
      </c>
      <c r="BC167" s="89" t="e">
        <f>#REF!</f>
        <v>#REF!</v>
      </c>
      <c r="BD167" s="89" t="e">
        <f>#REF!</f>
        <v>#REF!</v>
      </c>
      <c r="BE167" s="89" t="e">
        <f>#REF!</f>
        <v>#REF!</v>
      </c>
      <c r="BF167" s="89" t="e">
        <f>#REF!</f>
        <v>#REF!</v>
      </c>
    </row>
    <row r="168" spans="9:58" x14ac:dyDescent="0.25">
      <c r="I168" s="89">
        <f>ABCD!J217</f>
        <v>41</v>
      </c>
      <c r="J168" s="89">
        <f>ABCD!K217</f>
        <v>134.47999999999999</v>
      </c>
      <c r="K168" s="89">
        <f>ABCD!L217</f>
        <v>5.0648227926474396</v>
      </c>
      <c r="L168" s="89">
        <f>ABCD!M217</f>
        <v>0.95977275778898652</v>
      </c>
      <c r="M168" s="89">
        <f>ABCD!N217</f>
        <v>5.15495816350772</v>
      </c>
      <c r="N168" s="89" t="e">
        <v>#REF!</v>
      </c>
      <c r="O168" s="89" t="e">
        <v>#REF!</v>
      </c>
      <c r="P168" s="89" t="e">
        <v>#REF!</v>
      </c>
      <c r="Q168" s="89" t="e">
        <v>#REF!</v>
      </c>
      <c r="R168" s="89" t="e">
        <v>#REF!</v>
      </c>
      <c r="S168" s="89" t="e">
        <f>#REF!</f>
        <v>#REF!</v>
      </c>
      <c r="T168" s="89" t="e">
        <f>#REF!</f>
        <v>#REF!</v>
      </c>
      <c r="U168" s="89" t="e">
        <f>#REF!</f>
        <v>#REF!</v>
      </c>
      <c r="V168" s="89" t="e">
        <f>#REF!</f>
        <v>#REF!</v>
      </c>
      <c r="W168" s="89" t="e">
        <f>#REF!</f>
        <v>#REF!</v>
      </c>
      <c r="X168" s="89" t="e">
        <f>#REF!</f>
        <v>#REF!</v>
      </c>
      <c r="Y168" s="89" t="e">
        <f>#REF!</f>
        <v>#REF!</v>
      </c>
      <c r="Z168" s="89" t="e">
        <f>#REF!</f>
        <v>#REF!</v>
      </c>
      <c r="AA168" s="89" t="e">
        <f>#REF!</f>
        <v>#REF!</v>
      </c>
      <c r="AB168" s="89" t="e">
        <f>#REF!</f>
        <v>#REF!</v>
      </c>
      <c r="AC168" s="89" t="e">
        <f>#REF!</f>
        <v>#REF!</v>
      </c>
      <c r="AD168" s="89" t="e">
        <f>#REF!</f>
        <v>#REF!</v>
      </c>
      <c r="AE168" s="89" t="e">
        <f>#REF!</f>
        <v>#REF!</v>
      </c>
      <c r="AF168" s="89" t="e">
        <f>#REF!</f>
        <v>#REF!</v>
      </c>
      <c r="AG168" s="89" t="e">
        <f>#REF!</f>
        <v>#REF!</v>
      </c>
      <c r="AH168" s="89" t="e">
        <f>#REF!</f>
        <v>#REF!</v>
      </c>
      <c r="AI168" s="89" t="e">
        <f>#REF!</f>
        <v>#REF!</v>
      </c>
      <c r="AJ168" s="89" t="e">
        <f>#REF!</f>
        <v>#REF!</v>
      </c>
      <c r="AK168" s="89" t="e">
        <f>#REF!</f>
        <v>#REF!</v>
      </c>
      <c r="AL168" s="89" t="e">
        <f>#REF!</f>
        <v>#REF!</v>
      </c>
      <c r="AM168" s="89" t="e">
        <f>#REF!</f>
        <v>#REF!</v>
      </c>
      <c r="AN168" s="89" t="e">
        <f>#REF!</f>
        <v>#REF!</v>
      </c>
      <c r="AO168" s="89" t="e">
        <f>#REF!</f>
        <v>#REF!</v>
      </c>
      <c r="AP168" s="89" t="e">
        <f>#REF!</f>
        <v>#REF!</v>
      </c>
      <c r="AQ168" s="89" t="e">
        <f>#REF!</f>
        <v>#REF!</v>
      </c>
      <c r="AR168" s="89" t="e">
        <f>#REF!</f>
        <v>#REF!</v>
      </c>
      <c r="AS168" s="89" t="e">
        <f>#REF!</f>
        <v>#REF!</v>
      </c>
      <c r="AT168" s="89" t="e">
        <f>#REF!</f>
        <v>#REF!</v>
      </c>
      <c r="AU168" s="89" t="e">
        <f>#REF!</f>
        <v>#REF!</v>
      </c>
      <c r="AV168" s="89" t="e">
        <f>#REF!</f>
        <v>#REF!</v>
      </c>
      <c r="AW168" s="89" t="e">
        <f>#REF!</f>
        <v>#REF!</v>
      </c>
      <c r="AX168" s="89" t="e">
        <f>#REF!</f>
        <v>#REF!</v>
      </c>
      <c r="AY168" s="89" t="e">
        <f>#REF!</f>
        <v>#REF!</v>
      </c>
      <c r="AZ168" s="89" t="e">
        <f>#REF!</f>
        <v>#REF!</v>
      </c>
      <c r="BA168" s="89" t="e">
        <f>#REF!</f>
        <v>#REF!</v>
      </c>
      <c r="BB168" s="89" t="e">
        <f>#REF!</f>
        <v>#REF!</v>
      </c>
      <c r="BC168" s="89" t="e">
        <f>#REF!</f>
        <v>#REF!</v>
      </c>
      <c r="BD168" s="89" t="e">
        <f>#REF!</f>
        <v>#REF!</v>
      </c>
      <c r="BE168" s="89" t="e">
        <f>#REF!</f>
        <v>#REF!</v>
      </c>
      <c r="BF168" s="89" t="e">
        <f>#REF!</f>
        <v>#REF!</v>
      </c>
    </row>
    <row r="169" spans="9:58" x14ac:dyDescent="0.25">
      <c r="I169" s="89">
        <f>ABCD!J218</f>
        <v>41.25</v>
      </c>
      <c r="J169" s="89">
        <f>ABCD!K218</f>
        <v>135.29999999999998</v>
      </c>
      <c r="K169" s="89">
        <f>ABCD!L218</f>
        <v>4.9992809193607002</v>
      </c>
      <c r="L169" s="89">
        <f>ABCD!M218</f>
        <v>0.94852961505979527</v>
      </c>
      <c r="M169" s="89">
        <f>ABCD!N218</f>
        <v>5.0884691353421267</v>
      </c>
      <c r="N169" s="89" t="e">
        <v>#REF!</v>
      </c>
      <c r="O169" s="89" t="e">
        <v>#REF!</v>
      </c>
      <c r="P169" s="89" t="e">
        <v>#REF!</v>
      </c>
      <c r="Q169" s="89" t="e">
        <v>#REF!</v>
      </c>
      <c r="R169" s="89" t="e">
        <v>#REF!</v>
      </c>
      <c r="S169" s="89" t="e">
        <f>#REF!</f>
        <v>#REF!</v>
      </c>
      <c r="T169" s="89" t="e">
        <f>#REF!</f>
        <v>#REF!</v>
      </c>
      <c r="U169" s="89" t="e">
        <f>#REF!</f>
        <v>#REF!</v>
      </c>
      <c r="V169" s="89" t="e">
        <f>#REF!</f>
        <v>#REF!</v>
      </c>
      <c r="W169" s="89" t="e">
        <f>#REF!</f>
        <v>#REF!</v>
      </c>
      <c r="X169" s="89" t="e">
        <f>#REF!</f>
        <v>#REF!</v>
      </c>
      <c r="Y169" s="89" t="e">
        <f>#REF!</f>
        <v>#REF!</v>
      </c>
      <c r="Z169" s="89" t="e">
        <f>#REF!</f>
        <v>#REF!</v>
      </c>
      <c r="AA169" s="89" t="e">
        <f>#REF!</f>
        <v>#REF!</v>
      </c>
      <c r="AB169" s="89" t="e">
        <f>#REF!</f>
        <v>#REF!</v>
      </c>
      <c r="AC169" s="89" t="e">
        <f>#REF!</f>
        <v>#REF!</v>
      </c>
      <c r="AD169" s="89" t="e">
        <f>#REF!</f>
        <v>#REF!</v>
      </c>
      <c r="AE169" s="89" t="e">
        <f>#REF!</f>
        <v>#REF!</v>
      </c>
      <c r="AF169" s="89" t="e">
        <f>#REF!</f>
        <v>#REF!</v>
      </c>
      <c r="AG169" s="89" t="e">
        <f>#REF!</f>
        <v>#REF!</v>
      </c>
      <c r="AH169" s="89" t="e">
        <f>#REF!</f>
        <v>#REF!</v>
      </c>
      <c r="AI169" s="89" t="e">
        <f>#REF!</f>
        <v>#REF!</v>
      </c>
      <c r="AJ169" s="89" t="e">
        <f>#REF!</f>
        <v>#REF!</v>
      </c>
      <c r="AK169" s="89" t="e">
        <f>#REF!</f>
        <v>#REF!</v>
      </c>
      <c r="AL169" s="89" t="e">
        <f>#REF!</f>
        <v>#REF!</v>
      </c>
      <c r="AM169" s="89" t="e">
        <f>#REF!</f>
        <v>#REF!</v>
      </c>
      <c r="AN169" s="89" t="e">
        <f>#REF!</f>
        <v>#REF!</v>
      </c>
      <c r="AO169" s="89" t="e">
        <f>#REF!</f>
        <v>#REF!</v>
      </c>
      <c r="AP169" s="89" t="e">
        <f>#REF!</f>
        <v>#REF!</v>
      </c>
      <c r="AQ169" s="89" t="e">
        <f>#REF!</f>
        <v>#REF!</v>
      </c>
      <c r="AR169" s="89" t="e">
        <f>#REF!</f>
        <v>#REF!</v>
      </c>
      <c r="AS169" s="89" t="e">
        <f>#REF!</f>
        <v>#REF!</v>
      </c>
      <c r="AT169" s="89" t="e">
        <f>#REF!</f>
        <v>#REF!</v>
      </c>
      <c r="AU169" s="89" t="e">
        <f>#REF!</f>
        <v>#REF!</v>
      </c>
      <c r="AV169" s="89" t="e">
        <f>#REF!</f>
        <v>#REF!</v>
      </c>
      <c r="AW169" s="89" t="e">
        <f>#REF!</f>
        <v>#REF!</v>
      </c>
      <c r="AX169" s="89" t="e">
        <f>#REF!</f>
        <v>#REF!</v>
      </c>
      <c r="AY169" s="89" t="e">
        <f>#REF!</f>
        <v>#REF!</v>
      </c>
      <c r="AZ169" s="89" t="e">
        <f>#REF!</f>
        <v>#REF!</v>
      </c>
      <c r="BA169" s="89" t="e">
        <f>#REF!</f>
        <v>#REF!</v>
      </c>
      <c r="BB169" s="89" t="e">
        <f>#REF!</f>
        <v>#REF!</v>
      </c>
      <c r="BC169" s="89" t="e">
        <f>#REF!</f>
        <v>#REF!</v>
      </c>
      <c r="BD169" s="89" t="e">
        <f>#REF!</f>
        <v>#REF!</v>
      </c>
      <c r="BE169" s="89" t="e">
        <f>#REF!</f>
        <v>#REF!</v>
      </c>
      <c r="BF169" s="89" t="e">
        <f>#REF!</f>
        <v>#REF!</v>
      </c>
    </row>
    <row r="170" spans="9:58" x14ac:dyDescent="0.25">
      <c r="I170" s="89">
        <f>ABCD!J219</f>
        <v>41.5</v>
      </c>
      <c r="J170" s="89">
        <f>ABCD!K219</f>
        <v>136.12</v>
      </c>
      <c r="K170" s="89">
        <f>ABCD!L219</f>
        <v>4.9326439678386675</v>
      </c>
      <c r="L170" s="89">
        <f>ABCD!M219</f>
        <v>0.93707762701035402</v>
      </c>
      <c r="M170" s="89">
        <f>ABCD!N219</f>
        <v>5.0208655620817568</v>
      </c>
      <c r="N170" s="89" t="e">
        <v>#REF!</v>
      </c>
      <c r="O170" s="89" t="e">
        <v>#REF!</v>
      </c>
      <c r="P170" s="89" t="e">
        <v>#REF!</v>
      </c>
      <c r="Q170" s="89" t="e">
        <v>#REF!</v>
      </c>
      <c r="R170" s="89" t="e">
        <v>#REF!</v>
      </c>
      <c r="S170" s="89" t="e">
        <f>#REF!</f>
        <v>#REF!</v>
      </c>
      <c r="T170" s="89" t="e">
        <f>#REF!</f>
        <v>#REF!</v>
      </c>
      <c r="U170" s="89" t="e">
        <f>#REF!</f>
        <v>#REF!</v>
      </c>
      <c r="V170" s="89" t="e">
        <f>#REF!</f>
        <v>#REF!</v>
      </c>
      <c r="W170" s="89" t="e">
        <f>#REF!</f>
        <v>#REF!</v>
      </c>
      <c r="X170" s="89" t="e">
        <f>#REF!</f>
        <v>#REF!</v>
      </c>
      <c r="Y170" s="89" t="e">
        <f>#REF!</f>
        <v>#REF!</v>
      </c>
      <c r="Z170" s="89" t="e">
        <f>#REF!</f>
        <v>#REF!</v>
      </c>
      <c r="AA170" s="89" t="e">
        <f>#REF!</f>
        <v>#REF!</v>
      </c>
      <c r="AB170" s="89" t="e">
        <f>#REF!</f>
        <v>#REF!</v>
      </c>
      <c r="AC170" s="89" t="e">
        <f>#REF!</f>
        <v>#REF!</v>
      </c>
      <c r="AD170" s="89" t="e">
        <f>#REF!</f>
        <v>#REF!</v>
      </c>
      <c r="AE170" s="89" t="e">
        <f>#REF!</f>
        <v>#REF!</v>
      </c>
      <c r="AF170" s="89" t="e">
        <f>#REF!</f>
        <v>#REF!</v>
      </c>
      <c r="AG170" s="89" t="e">
        <f>#REF!</f>
        <v>#REF!</v>
      </c>
      <c r="AH170" s="89" t="e">
        <f>#REF!</f>
        <v>#REF!</v>
      </c>
      <c r="AI170" s="89" t="e">
        <f>#REF!</f>
        <v>#REF!</v>
      </c>
      <c r="AJ170" s="89" t="e">
        <f>#REF!</f>
        <v>#REF!</v>
      </c>
      <c r="AK170" s="89" t="e">
        <f>#REF!</f>
        <v>#REF!</v>
      </c>
      <c r="AL170" s="89" t="e">
        <f>#REF!</f>
        <v>#REF!</v>
      </c>
      <c r="AM170" s="89" t="e">
        <f>#REF!</f>
        <v>#REF!</v>
      </c>
      <c r="AN170" s="89" t="e">
        <f>#REF!</f>
        <v>#REF!</v>
      </c>
      <c r="AO170" s="89" t="e">
        <f>#REF!</f>
        <v>#REF!</v>
      </c>
      <c r="AP170" s="89" t="e">
        <f>#REF!</f>
        <v>#REF!</v>
      </c>
      <c r="AQ170" s="89" t="e">
        <f>#REF!</f>
        <v>#REF!</v>
      </c>
      <c r="AR170" s="89" t="e">
        <f>#REF!</f>
        <v>#REF!</v>
      </c>
      <c r="AS170" s="89" t="e">
        <f>#REF!</f>
        <v>#REF!</v>
      </c>
      <c r="AT170" s="89" t="e">
        <f>#REF!</f>
        <v>#REF!</v>
      </c>
      <c r="AU170" s="89" t="e">
        <f>#REF!</f>
        <v>#REF!</v>
      </c>
      <c r="AV170" s="89" t="e">
        <f>#REF!</f>
        <v>#REF!</v>
      </c>
      <c r="AW170" s="89" t="e">
        <f>#REF!</f>
        <v>#REF!</v>
      </c>
      <c r="AX170" s="89" t="e">
        <f>#REF!</f>
        <v>#REF!</v>
      </c>
      <c r="AY170" s="89" t="e">
        <f>#REF!</f>
        <v>#REF!</v>
      </c>
      <c r="AZ170" s="89" t="e">
        <f>#REF!</f>
        <v>#REF!</v>
      </c>
      <c r="BA170" s="89" t="e">
        <f>#REF!</f>
        <v>#REF!</v>
      </c>
      <c r="BB170" s="89" t="e">
        <f>#REF!</f>
        <v>#REF!</v>
      </c>
      <c r="BC170" s="89" t="e">
        <f>#REF!</f>
        <v>#REF!</v>
      </c>
      <c r="BD170" s="89" t="e">
        <f>#REF!</f>
        <v>#REF!</v>
      </c>
      <c r="BE170" s="89" t="e">
        <f>#REF!</f>
        <v>#REF!</v>
      </c>
      <c r="BF170" s="89" t="e">
        <f>#REF!</f>
        <v>#REF!</v>
      </c>
    </row>
    <row r="171" spans="9:58" x14ac:dyDescent="0.25">
      <c r="I171" s="89">
        <f>ABCD!J220</f>
        <v>41.75</v>
      </c>
      <c r="J171" s="89">
        <f>ABCD!K220</f>
        <v>136.94</v>
      </c>
      <c r="K171" s="89">
        <f>ABCD!L220</f>
        <v>4.8649283057539456</v>
      </c>
      <c r="L171" s="89">
        <f>ABCD!M220</f>
        <v>0.92541962510613618</v>
      </c>
      <c r="M171" s="89">
        <f>ABCD!N220</f>
        <v>4.9521640625748189</v>
      </c>
      <c r="N171" s="89" t="e">
        <v>#REF!</v>
      </c>
      <c r="O171" s="89" t="e">
        <v>#REF!</v>
      </c>
      <c r="P171" s="89" t="e">
        <v>#REF!</v>
      </c>
      <c r="Q171" s="89" t="e">
        <v>#REF!</v>
      </c>
      <c r="R171" s="89" t="e">
        <v>#REF!</v>
      </c>
      <c r="S171" s="89" t="e">
        <f>#REF!</f>
        <v>#REF!</v>
      </c>
      <c r="T171" s="89" t="e">
        <f>#REF!</f>
        <v>#REF!</v>
      </c>
      <c r="U171" s="89" t="e">
        <f>#REF!</f>
        <v>#REF!</v>
      </c>
      <c r="V171" s="89" t="e">
        <f>#REF!</f>
        <v>#REF!</v>
      </c>
      <c r="W171" s="89" t="e">
        <f>#REF!</f>
        <v>#REF!</v>
      </c>
      <c r="X171" s="89" t="e">
        <f>#REF!</f>
        <v>#REF!</v>
      </c>
      <c r="Y171" s="89" t="e">
        <f>#REF!</f>
        <v>#REF!</v>
      </c>
      <c r="Z171" s="89" t="e">
        <f>#REF!</f>
        <v>#REF!</v>
      </c>
      <c r="AA171" s="89" t="e">
        <f>#REF!</f>
        <v>#REF!</v>
      </c>
      <c r="AB171" s="89" t="e">
        <f>#REF!</f>
        <v>#REF!</v>
      </c>
      <c r="AC171" s="89" t="e">
        <f>#REF!</f>
        <v>#REF!</v>
      </c>
      <c r="AD171" s="89" t="e">
        <f>#REF!</f>
        <v>#REF!</v>
      </c>
      <c r="AE171" s="89" t="e">
        <f>#REF!</f>
        <v>#REF!</v>
      </c>
      <c r="AF171" s="89" t="e">
        <f>#REF!</f>
        <v>#REF!</v>
      </c>
      <c r="AG171" s="89" t="e">
        <f>#REF!</f>
        <v>#REF!</v>
      </c>
      <c r="AH171" s="89" t="e">
        <f>#REF!</f>
        <v>#REF!</v>
      </c>
      <c r="AI171" s="89" t="e">
        <f>#REF!</f>
        <v>#REF!</v>
      </c>
      <c r="AJ171" s="89" t="e">
        <f>#REF!</f>
        <v>#REF!</v>
      </c>
      <c r="AK171" s="89" t="e">
        <f>#REF!</f>
        <v>#REF!</v>
      </c>
      <c r="AL171" s="89" t="e">
        <f>#REF!</f>
        <v>#REF!</v>
      </c>
      <c r="AM171" s="89" t="e">
        <f>#REF!</f>
        <v>#REF!</v>
      </c>
      <c r="AN171" s="89" t="e">
        <f>#REF!</f>
        <v>#REF!</v>
      </c>
      <c r="AO171" s="89" t="e">
        <f>#REF!</f>
        <v>#REF!</v>
      </c>
      <c r="AP171" s="89" t="e">
        <f>#REF!</f>
        <v>#REF!</v>
      </c>
      <c r="AQ171" s="89" t="e">
        <f>#REF!</f>
        <v>#REF!</v>
      </c>
      <c r="AR171" s="89" t="e">
        <f>#REF!</f>
        <v>#REF!</v>
      </c>
      <c r="AS171" s="89" t="e">
        <f>#REF!</f>
        <v>#REF!</v>
      </c>
      <c r="AT171" s="89" t="e">
        <f>#REF!</f>
        <v>#REF!</v>
      </c>
      <c r="AU171" s="89" t="e">
        <f>#REF!</f>
        <v>#REF!</v>
      </c>
      <c r="AV171" s="89" t="e">
        <f>#REF!</f>
        <v>#REF!</v>
      </c>
      <c r="AW171" s="89" t="e">
        <f>#REF!</f>
        <v>#REF!</v>
      </c>
      <c r="AX171" s="89" t="e">
        <f>#REF!</f>
        <v>#REF!</v>
      </c>
      <c r="AY171" s="89" t="e">
        <f>#REF!</f>
        <v>#REF!</v>
      </c>
      <c r="AZ171" s="89" t="e">
        <f>#REF!</f>
        <v>#REF!</v>
      </c>
      <c r="BA171" s="89" t="e">
        <f>#REF!</f>
        <v>#REF!</v>
      </c>
      <c r="BB171" s="89" t="e">
        <f>#REF!</f>
        <v>#REF!</v>
      </c>
      <c r="BC171" s="89" t="e">
        <f>#REF!</f>
        <v>#REF!</v>
      </c>
      <c r="BD171" s="89" t="e">
        <f>#REF!</f>
        <v>#REF!</v>
      </c>
      <c r="BE171" s="89" t="e">
        <f>#REF!</f>
        <v>#REF!</v>
      </c>
      <c r="BF171" s="89" t="e">
        <f>#REF!</f>
        <v>#REF!</v>
      </c>
    </row>
    <row r="172" spans="9:58" x14ac:dyDescent="0.25">
      <c r="I172" s="89">
        <f>ABCD!J221</f>
        <v>42</v>
      </c>
      <c r="J172" s="89">
        <f>ABCD!K221</f>
        <v>137.76</v>
      </c>
      <c r="K172" s="89">
        <f>ABCD!L221</f>
        <v>4.7961505350655678</v>
      </c>
      <c r="L172" s="89">
        <f>ABCD!M221</f>
        <v>0.91355848582189947</v>
      </c>
      <c r="M172" s="89">
        <f>ABCD!N221</f>
        <v>4.8823814949291844</v>
      </c>
      <c r="N172" s="89" t="e">
        <v>#REF!</v>
      </c>
      <c r="O172" s="89" t="e">
        <v>#REF!</v>
      </c>
      <c r="P172" s="89" t="e">
        <v>#REF!</v>
      </c>
      <c r="Q172" s="89" t="e">
        <v>#REF!</v>
      </c>
      <c r="R172" s="89" t="e">
        <v>#REF!</v>
      </c>
      <c r="S172" s="89" t="e">
        <f>#REF!</f>
        <v>#REF!</v>
      </c>
      <c r="T172" s="89" t="e">
        <f>#REF!</f>
        <v>#REF!</v>
      </c>
      <c r="U172" s="89" t="e">
        <f>#REF!</f>
        <v>#REF!</v>
      </c>
      <c r="V172" s="89" t="e">
        <f>#REF!</f>
        <v>#REF!</v>
      </c>
      <c r="W172" s="89" t="e">
        <f>#REF!</f>
        <v>#REF!</v>
      </c>
      <c r="X172" s="89" t="e">
        <f>#REF!</f>
        <v>#REF!</v>
      </c>
      <c r="Y172" s="89" t="e">
        <f>#REF!</f>
        <v>#REF!</v>
      </c>
      <c r="Z172" s="89" t="e">
        <f>#REF!</f>
        <v>#REF!</v>
      </c>
      <c r="AA172" s="89" t="e">
        <f>#REF!</f>
        <v>#REF!</v>
      </c>
      <c r="AB172" s="89" t="e">
        <f>#REF!</f>
        <v>#REF!</v>
      </c>
      <c r="AC172" s="89" t="e">
        <f>#REF!</f>
        <v>#REF!</v>
      </c>
      <c r="AD172" s="89" t="e">
        <f>#REF!</f>
        <v>#REF!</v>
      </c>
      <c r="AE172" s="89" t="e">
        <f>#REF!</f>
        <v>#REF!</v>
      </c>
      <c r="AF172" s="89" t="e">
        <f>#REF!</f>
        <v>#REF!</v>
      </c>
      <c r="AG172" s="89" t="e">
        <f>#REF!</f>
        <v>#REF!</v>
      </c>
      <c r="AH172" s="89" t="e">
        <f>#REF!</f>
        <v>#REF!</v>
      </c>
      <c r="AI172" s="89" t="e">
        <f>#REF!</f>
        <v>#REF!</v>
      </c>
      <c r="AJ172" s="89" t="e">
        <f>#REF!</f>
        <v>#REF!</v>
      </c>
      <c r="AK172" s="89" t="e">
        <f>#REF!</f>
        <v>#REF!</v>
      </c>
      <c r="AL172" s="89" t="e">
        <f>#REF!</f>
        <v>#REF!</v>
      </c>
      <c r="AM172" s="89" t="e">
        <f>#REF!</f>
        <v>#REF!</v>
      </c>
      <c r="AN172" s="89" t="e">
        <f>#REF!</f>
        <v>#REF!</v>
      </c>
      <c r="AO172" s="89" t="e">
        <f>#REF!</f>
        <v>#REF!</v>
      </c>
      <c r="AP172" s="89" t="e">
        <f>#REF!</f>
        <v>#REF!</v>
      </c>
      <c r="AQ172" s="89" t="e">
        <f>#REF!</f>
        <v>#REF!</v>
      </c>
      <c r="AR172" s="89" t="e">
        <f>#REF!</f>
        <v>#REF!</v>
      </c>
      <c r="AS172" s="89" t="e">
        <f>#REF!</f>
        <v>#REF!</v>
      </c>
      <c r="AT172" s="89" t="e">
        <f>#REF!</f>
        <v>#REF!</v>
      </c>
      <c r="AU172" s="89" t="e">
        <f>#REF!</f>
        <v>#REF!</v>
      </c>
      <c r="AV172" s="89" t="e">
        <f>#REF!</f>
        <v>#REF!</v>
      </c>
      <c r="AW172" s="89" t="e">
        <f>#REF!</f>
        <v>#REF!</v>
      </c>
      <c r="AX172" s="89" t="e">
        <f>#REF!</f>
        <v>#REF!</v>
      </c>
      <c r="AY172" s="89" t="e">
        <f>#REF!</f>
        <v>#REF!</v>
      </c>
      <c r="AZ172" s="89" t="e">
        <f>#REF!</f>
        <v>#REF!</v>
      </c>
      <c r="BA172" s="89" t="e">
        <f>#REF!</f>
        <v>#REF!</v>
      </c>
      <c r="BB172" s="89" t="e">
        <f>#REF!</f>
        <v>#REF!</v>
      </c>
      <c r="BC172" s="89" t="e">
        <f>#REF!</f>
        <v>#REF!</v>
      </c>
      <c r="BD172" s="89" t="e">
        <f>#REF!</f>
        <v>#REF!</v>
      </c>
      <c r="BE172" s="89" t="e">
        <f>#REF!</f>
        <v>#REF!</v>
      </c>
      <c r="BF172" s="89" t="e">
        <f>#REF!</f>
        <v>#REF!</v>
      </c>
    </row>
    <row r="173" spans="9:58" x14ac:dyDescent="0.25">
      <c r="I173" s="89">
        <f>ABCD!J222</f>
        <v>42.25</v>
      </c>
      <c r="J173" s="89">
        <f>ABCD!K222</f>
        <v>138.57999999999998</v>
      </c>
      <c r="K173" s="89">
        <f>ABCD!L222</f>
        <v>4.7263274879758139</v>
      </c>
      <c r="L173" s="89">
        <f>ABCD!M222</f>
        <v>0.90149712993718278</v>
      </c>
      <c r="M173" s="89">
        <f>ABCD!N222</f>
        <v>4.8115349524741839</v>
      </c>
      <c r="N173" s="89" t="e">
        <v>#REF!</v>
      </c>
      <c r="O173" s="89" t="e">
        <v>#REF!</v>
      </c>
      <c r="P173" s="89" t="e">
        <v>#REF!</v>
      </c>
      <c r="Q173" s="89" t="e">
        <v>#REF!</v>
      </c>
      <c r="R173" s="89" t="e">
        <v>#REF!</v>
      </c>
      <c r="S173" s="89" t="e">
        <f>#REF!</f>
        <v>#REF!</v>
      </c>
      <c r="T173" s="89" t="e">
        <f>#REF!</f>
        <v>#REF!</v>
      </c>
      <c r="U173" s="89" t="e">
        <f>#REF!</f>
        <v>#REF!</v>
      </c>
      <c r="V173" s="89" t="e">
        <f>#REF!</f>
        <v>#REF!</v>
      </c>
      <c r="W173" s="89" t="e">
        <f>#REF!</f>
        <v>#REF!</v>
      </c>
      <c r="X173" s="89" t="e">
        <f>#REF!</f>
        <v>#REF!</v>
      </c>
      <c r="Y173" s="89" t="e">
        <f>#REF!</f>
        <v>#REF!</v>
      </c>
      <c r="Z173" s="89" t="e">
        <f>#REF!</f>
        <v>#REF!</v>
      </c>
      <c r="AA173" s="89" t="e">
        <f>#REF!</f>
        <v>#REF!</v>
      </c>
      <c r="AB173" s="89" t="e">
        <f>#REF!</f>
        <v>#REF!</v>
      </c>
      <c r="AC173" s="89" t="e">
        <f>#REF!</f>
        <v>#REF!</v>
      </c>
      <c r="AD173" s="89" t="e">
        <f>#REF!</f>
        <v>#REF!</v>
      </c>
      <c r="AE173" s="89" t="e">
        <f>#REF!</f>
        <v>#REF!</v>
      </c>
      <c r="AF173" s="89" t="e">
        <f>#REF!</f>
        <v>#REF!</v>
      </c>
      <c r="AG173" s="89" t="e">
        <f>#REF!</f>
        <v>#REF!</v>
      </c>
      <c r="AH173" s="89" t="e">
        <f>#REF!</f>
        <v>#REF!</v>
      </c>
      <c r="AI173" s="89" t="e">
        <f>#REF!</f>
        <v>#REF!</v>
      </c>
      <c r="AJ173" s="89" t="e">
        <f>#REF!</f>
        <v>#REF!</v>
      </c>
      <c r="AK173" s="89" t="e">
        <f>#REF!</f>
        <v>#REF!</v>
      </c>
      <c r="AL173" s="89" t="e">
        <f>#REF!</f>
        <v>#REF!</v>
      </c>
      <c r="AM173" s="89" t="e">
        <f>#REF!</f>
        <v>#REF!</v>
      </c>
      <c r="AN173" s="89" t="e">
        <f>#REF!</f>
        <v>#REF!</v>
      </c>
      <c r="AO173" s="89" t="e">
        <f>#REF!</f>
        <v>#REF!</v>
      </c>
      <c r="AP173" s="89" t="e">
        <f>#REF!</f>
        <v>#REF!</v>
      </c>
      <c r="AQ173" s="89" t="e">
        <f>#REF!</f>
        <v>#REF!</v>
      </c>
      <c r="AR173" s="89" t="e">
        <f>#REF!</f>
        <v>#REF!</v>
      </c>
      <c r="AS173" s="89" t="e">
        <f>#REF!</f>
        <v>#REF!</v>
      </c>
      <c r="AT173" s="89" t="e">
        <f>#REF!</f>
        <v>#REF!</v>
      </c>
      <c r="AU173" s="89" t="e">
        <f>#REF!</f>
        <v>#REF!</v>
      </c>
      <c r="AV173" s="89" t="e">
        <f>#REF!</f>
        <v>#REF!</v>
      </c>
      <c r="AW173" s="89" t="e">
        <f>#REF!</f>
        <v>#REF!</v>
      </c>
      <c r="AX173" s="89" t="e">
        <f>#REF!</f>
        <v>#REF!</v>
      </c>
      <c r="AY173" s="89" t="e">
        <f>#REF!</f>
        <v>#REF!</v>
      </c>
      <c r="AZ173" s="89" t="e">
        <f>#REF!</f>
        <v>#REF!</v>
      </c>
      <c r="BA173" s="89" t="e">
        <f>#REF!</f>
        <v>#REF!</v>
      </c>
      <c r="BB173" s="89" t="e">
        <f>#REF!</f>
        <v>#REF!</v>
      </c>
      <c r="BC173" s="89" t="e">
        <f>#REF!</f>
        <v>#REF!</v>
      </c>
      <c r="BD173" s="89" t="e">
        <f>#REF!</f>
        <v>#REF!</v>
      </c>
      <c r="BE173" s="89" t="e">
        <f>#REF!</f>
        <v>#REF!</v>
      </c>
      <c r="BF173" s="89" t="e">
        <f>#REF!</f>
        <v>#REF!</v>
      </c>
    </row>
    <row r="174" spans="9:58" x14ac:dyDescent="0.25">
      <c r="I174" s="89">
        <f>ABCD!J223</f>
        <v>42.5</v>
      </c>
      <c r="J174" s="89">
        <f>ABCD!K223</f>
        <v>139.4</v>
      </c>
      <c r="K174" s="89">
        <f>ABCD!L223</f>
        <v>4.655476222837529</v>
      </c>
      <c r="L174" s="89">
        <f>ABCD!M223</f>
        <v>0.8892385218222385</v>
      </c>
      <c r="M174" s="89">
        <f>ABCD!N223</f>
        <v>4.7396417596795422</v>
      </c>
      <c r="N174" s="89" t="e">
        <v>#REF!</v>
      </c>
      <c r="O174" s="89" t="e">
        <v>#REF!</v>
      </c>
      <c r="P174" s="89" t="e">
        <v>#REF!</v>
      </c>
      <c r="Q174" s="89" t="e">
        <v>#REF!</v>
      </c>
      <c r="R174" s="89" t="e">
        <v>#REF!</v>
      </c>
      <c r="S174" s="89" t="e">
        <f>#REF!</f>
        <v>#REF!</v>
      </c>
      <c r="T174" s="89" t="e">
        <f>#REF!</f>
        <v>#REF!</v>
      </c>
      <c r="U174" s="89" t="e">
        <f>#REF!</f>
        <v>#REF!</v>
      </c>
      <c r="V174" s="89" t="e">
        <f>#REF!</f>
        <v>#REF!</v>
      </c>
      <c r="W174" s="89" t="e">
        <f>#REF!</f>
        <v>#REF!</v>
      </c>
      <c r="X174" s="89" t="e">
        <f>#REF!</f>
        <v>#REF!</v>
      </c>
      <c r="Y174" s="89" t="e">
        <f>#REF!</f>
        <v>#REF!</v>
      </c>
      <c r="Z174" s="89" t="e">
        <f>#REF!</f>
        <v>#REF!</v>
      </c>
      <c r="AA174" s="89" t="e">
        <f>#REF!</f>
        <v>#REF!</v>
      </c>
      <c r="AB174" s="89" t="e">
        <f>#REF!</f>
        <v>#REF!</v>
      </c>
      <c r="AC174" s="89" t="e">
        <f>#REF!</f>
        <v>#REF!</v>
      </c>
      <c r="AD174" s="89" t="e">
        <f>#REF!</f>
        <v>#REF!</v>
      </c>
      <c r="AE174" s="89" t="e">
        <f>#REF!</f>
        <v>#REF!</v>
      </c>
      <c r="AF174" s="89" t="e">
        <f>#REF!</f>
        <v>#REF!</v>
      </c>
      <c r="AG174" s="89" t="e">
        <f>#REF!</f>
        <v>#REF!</v>
      </c>
      <c r="AH174" s="89" t="e">
        <f>#REF!</f>
        <v>#REF!</v>
      </c>
      <c r="AI174" s="89" t="e">
        <f>#REF!</f>
        <v>#REF!</v>
      </c>
      <c r="AJ174" s="89" t="e">
        <f>#REF!</f>
        <v>#REF!</v>
      </c>
      <c r="AK174" s="89" t="e">
        <f>#REF!</f>
        <v>#REF!</v>
      </c>
      <c r="AL174" s="89" t="e">
        <f>#REF!</f>
        <v>#REF!</v>
      </c>
      <c r="AM174" s="89" t="e">
        <f>#REF!</f>
        <v>#REF!</v>
      </c>
      <c r="AN174" s="89" t="e">
        <f>#REF!</f>
        <v>#REF!</v>
      </c>
      <c r="AO174" s="89" t="e">
        <f>#REF!</f>
        <v>#REF!</v>
      </c>
      <c r="AP174" s="89" t="e">
        <f>#REF!</f>
        <v>#REF!</v>
      </c>
      <c r="AQ174" s="89" t="e">
        <f>#REF!</f>
        <v>#REF!</v>
      </c>
      <c r="AR174" s="89" t="e">
        <f>#REF!</f>
        <v>#REF!</v>
      </c>
      <c r="AS174" s="89" t="e">
        <f>#REF!</f>
        <v>#REF!</v>
      </c>
      <c r="AT174" s="89" t="e">
        <f>#REF!</f>
        <v>#REF!</v>
      </c>
      <c r="AU174" s="89" t="e">
        <f>#REF!</f>
        <v>#REF!</v>
      </c>
      <c r="AV174" s="89" t="e">
        <f>#REF!</f>
        <v>#REF!</v>
      </c>
      <c r="AW174" s="89" t="e">
        <f>#REF!</f>
        <v>#REF!</v>
      </c>
      <c r="AX174" s="89" t="e">
        <f>#REF!</f>
        <v>#REF!</v>
      </c>
      <c r="AY174" s="89" t="e">
        <f>#REF!</f>
        <v>#REF!</v>
      </c>
      <c r="AZ174" s="89" t="e">
        <f>#REF!</f>
        <v>#REF!</v>
      </c>
      <c r="BA174" s="89" t="e">
        <f>#REF!</f>
        <v>#REF!</v>
      </c>
      <c r="BB174" s="89" t="e">
        <f>#REF!</f>
        <v>#REF!</v>
      </c>
      <c r="BC174" s="89" t="e">
        <f>#REF!</f>
        <v>#REF!</v>
      </c>
      <c r="BD174" s="89" t="e">
        <f>#REF!</f>
        <v>#REF!</v>
      </c>
      <c r="BE174" s="89" t="e">
        <f>#REF!</f>
        <v>#REF!</v>
      </c>
      <c r="BF174" s="89" t="e">
        <f>#REF!</f>
        <v>#REF!</v>
      </c>
    </row>
    <row r="175" spans="9:58" x14ac:dyDescent="0.25">
      <c r="I175" s="89">
        <f>ABCD!J224</f>
        <v>42.75</v>
      </c>
      <c r="J175" s="89">
        <f>ABCD!K224</f>
        <v>140.22</v>
      </c>
      <c r="K175" s="89">
        <f>ABCD!L224</f>
        <v>4.5836140200129067</v>
      </c>
      <c r="L175" s="89">
        <f>ABCD!M224</f>
        <v>0.8767856687144866</v>
      </c>
      <c r="M175" s="89">
        <f>ABCD!N224</f>
        <v>4.6667194680334054</v>
      </c>
      <c r="N175" s="89" t="e">
        <v>#REF!</v>
      </c>
      <c r="O175" s="89" t="e">
        <v>#REF!</v>
      </c>
      <c r="P175" s="89" t="e">
        <v>#REF!</v>
      </c>
      <c r="Q175" s="89" t="e">
        <v>#REF!</v>
      </c>
      <c r="R175" s="89" t="e">
        <v>#REF!</v>
      </c>
      <c r="S175" s="89" t="e">
        <f>#REF!</f>
        <v>#REF!</v>
      </c>
      <c r="T175" s="89" t="e">
        <f>#REF!</f>
        <v>#REF!</v>
      </c>
      <c r="U175" s="89" t="e">
        <f>#REF!</f>
        <v>#REF!</v>
      </c>
      <c r="V175" s="89" t="e">
        <f>#REF!</f>
        <v>#REF!</v>
      </c>
      <c r="W175" s="89" t="e">
        <f>#REF!</f>
        <v>#REF!</v>
      </c>
      <c r="X175" s="89" t="e">
        <f>#REF!</f>
        <v>#REF!</v>
      </c>
      <c r="Y175" s="89" t="e">
        <f>#REF!</f>
        <v>#REF!</v>
      </c>
      <c r="Z175" s="89" t="e">
        <f>#REF!</f>
        <v>#REF!</v>
      </c>
      <c r="AA175" s="89" t="e">
        <f>#REF!</f>
        <v>#REF!</v>
      </c>
      <c r="AB175" s="89" t="e">
        <f>#REF!</f>
        <v>#REF!</v>
      </c>
      <c r="AC175" s="89" t="e">
        <f>#REF!</f>
        <v>#REF!</v>
      </c>
      <c r="AD175" s="89" t="e">
        <f>#REF!</f>
        <v>#REF!</v>
      </c>
      <c r="AE175" s="89" t="e">
        <f>#REF!</f>
        <v>#REF!</v>
      </c>
      <c r="AF175" s="89" t="e">
        <f>#REF!</f>
        <v>#REF!</v>
      </c>
      <c r="AG175" s="89" t="e">
        <f>#REF!</f>
        <v>#REF!</v>
      </c>
      <c r="AH175" s="89" t="e">
        <f>#REF!</f>
        <v>#REF!</v>
      </c>
      <c r="AI175" s="89" t="e">
        <f>#REF!</f>
        <v>#REF!</v>
      </c>
      <c r="AJ175" s="89" t="e">
        <f>#REF!</f>
        <v>#REF!</v>
      </c>
      <c r="AK175" s="89" t="e">
        <f>#REF!</f>
        <v>#REF!</v>
      </c>
      <c r="AL175" s="89" t="e">
        <f>#REF!</f>
        <v>#REF!</v>
      </c>
      <c r="AM175" s="89" t="e">
        <f>#REF!</f>
        <v>#REF!</v>
      </c>
      <c r="AN175" s="89" t="e">
        <f>#REF!</f>
        <v>#REF!</v>
      </c>
      <c r="AO175" s="89" t="e">
        <f>#REF!</f>
        <v>#REF!</v>
      </c>
      <c r="AP175" s="89" t="e">
        <f>#REF!</f>
        <v>#REF!</v>
      </c>
      <c r="AQ175" s="89" t="e">
        <f>#REF!</f>
        <v>#REF!</v>
      </c>
      <c r="AR175" s="89" t="e">
        <f>#REF!</f>
        <v>#REF!</v>
      </c>
      <c r="AS175" s="89" t="e">
        <f>#REF!</f>
        <v>#REF!</v>
      </c>
      <c r="AT175" s="89" t="e">
        <f>#REF!</f>
        <v>#REF!</v>
      </c>
      <c r="AU175" s="89" t="e">
        <f>#REF!</f>
        <v>#REF!</v>
      </c>
      <c r="AV175" s="89" t="e">
        <f>#REF!</f>
        <v>#REF!</v>
      </c>
      <c r="AW175" s="89" t="e">
        <f>#REF!</f>
        <v>#REF!</v>
      </c>
      <c r="AX175" s="89" t="e">
        <f>#REF!</f>
        <v>#REF!</v>
      </c>
      <c r="AY175" s="89" t="e">
        <f>#REF!</f>
        <v>#REF!</v>
      </c>
      <c r="AZ175" s="89" t="e">
        <f>#REF!</f>
        <v>#REF!</v>
      </c>
      <c r="BA175" s="89" t="e">
        <f>#REF!</f>
        <v>#REF!</v>
      </c>
      <c r="BB175" s="89" t="e">
        <f>#REF!</f>
        <v>#REF!</v>
      </c>
      <c r="BC175" s="89" t="e">
        <f>#REF!</f>
        <v>#REF!</v>
      </c>
      <c r="BD175" s="89" t="e">
        <f>#REF!</f>
        <v>#REF!</v>
      </c>
      <c r="BE175" s="89" t="e">
        <f>#REF!</f>
        <v>#REF!</v>
      </c>
      <c r="BF175" s="89" t="e">
        <f>#REF!</f>
        <v>#REF!</v>
      </c>
    </row>
    <row r="176" spans="9:58" x14ac:dyDescent="0.25">
      <c r="I176" s="89">
        <f>ABCD!J225</f>
        <v>43</v>
      </c>
      <c r="J176" s="89">
        <f>ABCD!K225</f>
        <v>141.04</v>
      </c>
      <c r="K176" s="89">
        <f>ABCD!L225</f>
        <v>4.5107583776847555</v>
      </c>
      <c r="L176" s="89">
        <f>ABCD!M225</f>
        <v>0.86414161998578831</v>
      </c>
      <c r="M176" s="89">
        <f>ABCD!N225</f>
        <v>4.5927858518817173</v>
      </c>
      <c r="N176" s="89" t="e">
        <v>#REF!</v>
      </c>
      <c r="O176" s="89" t="e">
        <v>#REF!</v>
      </c>
      <c r="P176" s="89" t="e">
        <v>#REF!</v>
      </c>
      <c r="Q176" s="89" t="e">
        <v>#REF!</v>
      </c>
      <c r="R176" s="89" t="e">
        <v>#REF!</v>
      </c>
      <c r="S176" s="89" t="e">
        <f>#REF!</f>
        <v>#REF!</v>
      </c>
      <c r="T176" s="89" t="e">
        <f>#REF!</f>
        <v>#REF!</v>
      </c>
      <c r="U176" s="89" t="e">
        <f>#REF!</f>
        <v>#REF!</v>
      </c>
      <c r="V176" s="89" t="e">
        <f>#REF!</f>
        <v>#REF!</v>
      </c>
      <c r="W176" s="89" t="e">
        <f>#REF!</f>
        <v>#REF!</v>
      </c>
      <c r="X176" s="89" t="e">
        <f>#REF!</f>
        <v>#REF!</v>
      </c>
      <c r="Y176" s="89" t="e">
        <f>#REF!</f>
        <v>#REF!</v>
      </c>
      <c r="Z176" s="89" t="e">
        <f>#REF!</f>
        <v>#REF!</v>
      </c>
      <c r="AA176" s="89" t="e">
        <f>#REF!</f>
        <v>#REF!</v>
      </c>
      <c r="AB176" s="89" t="e">
        <f>#REF!</f>
        <v>#REF!</v>
      </c>
      <c r="AC176" s="89" t="e">
        <f>#REF!</f>
        <v>#REF!</v>
      </c>
      <c r="AD176" s="89" t="e">
        <f>#REF!</f>
        <v>#REF!</v>
      </c>
      <c r="AE176" s="89" t="e">
        <f>#REF!</f>
        <v>#REF!</v>
      </c>
      <c r="AF176" s="89" t="e">
        <f>#REF!</f>
        <v>#REF!</v>
      </c>
      <c r="AG176" s="89" t="e">
        <f>#REF!</f>
        <v>#REF!</v>
      </c>
      <c r="AH176" s="89" t="e">
        <f>#REF!</f>
        <v>#REF!</v>
      </c>
      <c r="AI176" s="89" t="e">
        <f>#REF!</f>
        <v>#REF!</v>
      </c>
      <c r="AJ176" s="89" t="e">
        <f>#REF!</f>
        <v>#REF!</v>
      </c>
      <c r="AK176" s="89" t="e">
        <f>#REF!</f>
        <v>#REF!</v>
      </c>
      <c r="AL176" s="89" t="e">
        <f>#REF!</f>
        <v>#REF!</v>
      </c>
      <c r="AM176" s="89" t="e">
        <f>#REF!</f>
        <v>#REF!</v>
      </c>
      <c r="AN176" s="89" t="e">
        <f>#REF!</f>
        <v>#REF!</v>
      </c>
      <c r="AO176" s="89" t="e">
        <f>#REF!</f>
        <v>#REF!</v>
      </c>
      <c r="AP176" s="89" t="e">
        <f>#REF!</f>
        <v>#REF!</v>
      </c>
      <c r="AQ176" s="89" t="e">
        <f>#REF!</f>
        <v>#REF!</v>
      </c>
      <c r="AR176" s="89" t="e">
        <f>#REF!</f>
        <v>#REF!</v>
      </c>
      <c r="AS176" s="89" t="e">
        <f>#REF!</f>
        <v>#REF!</v>
      </c>
      <c r="AT176" s="89" t="e">
        <f>#REF!</f>
        <v>#REF!</v>
      </c>
      <c r="AU176" s="89" t="e">
        <f>#REF!</f>
        <v>#REF!</v>
      </c>
      <c r="AV176" s="89" t="e">
        <f>#REF!</f>
        <v>#REF!</v>
      </c>
      <c r="AW176" s="89" t="e">
        <f>#REF!</f>
        <v>#REF!</v>
      </c>
      <c r="AX176" s="89" t="e">
        <f>#REF!</f>
        <v>#REF!</v>
      </c>
      <c r="AY176" s="89" t="e">
        <f>#REF!</f>
        <v>#REF!</v>
      </c>
      <c r="AZ176" s="89" t="e">
        <f>#REF!</f>
        <v>#REF!</v>
      </c>
      <c r="BA176" s="89" t="e">
        <f>#REF!</f>
        <v>#REF!</v>
      </c>
      <c r="BB176" s="89" t="e">
        <f>#REF!</f>
        <v>#REF!</v>
      </c>
      <c r="BC176" s="89" t="e">
        <f>#REF!</f>
        <v>#REF!</v>
      </c>
      <c r="BD176" s="89" t="e">
        <f>#REF!</f>
        <v>#REF!</v>
      </c>
      <c r="BE176" s="89" t="e">
        <f>#REF!</f>
        <v>#REF!</v>
      </c>
      <c r="BF176" s="89" t="e">
        <f>#REF!</f>
        <v>#REF!</v>
      </c>
    </row>
    <row r="177" spans="9:58" x14ac:dyDescent="0.25">
      <c r="I177" s="89">
        <f>ABCD!J226</f>
        <v>43.25</v>
      </c>
      <c r="J177" s="89">
        <f>ABCD!K226</f>
        <v>141.85999999999999</v>
      </c>
      <c r="K177" s="89">
        <f>ABCD!L226</f>
        <v>4.4369270076212484</v>
      </c>
      <c r="L177" s="89">
        <f>ABCD!M226</f>
        <v>0.85130946640059424</v>
      </c>
      <c r="M177" s="89">
        <f>ABCD!N226</f>
        <v>4.5178589042313071</v>
      </c>
      <c r="N177" s="89" t="e">
        <v>#REF!</v>
      </c>
      <c r="O177" s="89" t="e">
        <v>#REF!</v>
      </c>
      <c r="P177" s="89" t="e">
        <v>#REF!</v>
      </c>
      <c r="Q177" s="89" t="e">
        <v>#REF!</v>
      </c>
      <c r="R177" s="89" t="e">
        <v>#REF!</v>
      </c>
      <c r="S177" s="89" t="e">
        <f>#REF!</f>
        <v>#REF!</v>
      </c>
      <c r="T177" s="89" t="e">
        <f>#REF!</f>
        <v>#REF!</v>
      </c>
      <c r="U177" s="89" t="e">
        <f>#REF!</f>
        <v>#REF!</v>
      </c>
      <c r="V177" s="89" t="e">
        <f>#REF!</f>
        <v>#REF!</v>
      </c>
      <c r="W177" s="89" t="e">
        <f>#REF!</f>
        <v>#REF!</v>
      </c>
      <c r="X177" s="89" t="e">
        <f>#REF!</f>
        <v>#REF!</v>
      </c>
      <c r="Y177" s="89" t="e">
        <f>#REF!</f>
        <v>#REF!</v>
      </c>
      <c r="Z177" s="89" t="e">
        <f>#REF!</f>
        <v>#REF!</v>
      </c>
      <c r="AA177" s="89" t="e">
        <f>#REF!</f>
        <v>#REF!</v>
      </c>
      <c r="AB177" s="89" t="e">
        <f>#REF!</f>
        <v>#REF!</v>
      </c>
      <c r="AC177" s="89" t="e">
        <f>#REF!</f>
        <v>#REF!</v>
      </c>
      <c r="AD177" s="89" t="e">
        <f>#REF!</f>
        <v>#REF!</v>
      </c>
      <c r="AE177" s="89" t="e">
        <f>#REF!</f>
        <v>#REF!</v>
      </c>
      <c r="AF177" s="89" t="e">
        <f>#REF!</f>
        <v>#REF!</v>
      </c>
      <c r="AG177" s="89" t="e">
        <f>#REF!</f>
        <v>#REF!</v>
      </c>
      <c r="AH177" s="89" t="e">
        <f>#REF!</f>
        <v>#REF!</v>
      </c>
      <c r="AI177" s="89" t="e">
        <f>#REF!</f>
        <v>#REF!</v>
      </c>
      <c r="AJ177" s="89" t="e">
        <f>#REF!</f>
        <v>#REF!</v>
      </c>
      <c r="AK177" s="89" t="e">
        <f>#REF!</f>
        <v>#REF!</v>
      </c>
      <c r="AL177" s="89" t="e">
        <f>#REF!</f>
        <v>#REF!</v>
      </c>
      <c r="AM177" s="89" t="e">
        <f>#REF!</f>
        <v>#REF!</v>
      </c>
      <c r="AN177" s="89" t="e">
        <f>#REF!</f>
        <v>#REF!</v>
      </c>
      <c r="AO177" s="89" t="e">
        <f>#REF!</f>
        <v>#REF!</v>
      </c>
      <c r="AP177" s="89" t="e">
        <f>#REF!</f>
        <v>#REF!</v>
      </c>
      <c r="AQ177" s="89" t="e">
        <f>#REF!</f>
        <v>#REF!</v>
      </c>
      <c r="AR177" s="89" t="e">
        <f>#REF!</f>
        <v>#REF!</v>
      </c>
      <c r="AS177" s="89" t="e">
        <f>#REF!</f>
        <v>#REF!</v>
      </c>
      <c r="AT177" s="89" t="e">
        <f>#REF!</f>
        <v>#REF!</v>
      </c>
      <c r="AU177" s="89" t="e">
        <f>#REF!</f>
        <v>#REF!</v>
      </c>
      <c r="AV177" s="89" t="e">
        <f>#REF!</f>
        <v>#REF!</v>
      </c>
      <c r="AW177" s="89" t="e">
        <f>#REF!</f>
        <v>#REF!</v>
      </c>
      <c r="AX177" s="89" t="e">
        <f>#REF!</f>
        <v>#REF!</v>
      </c>
      <c r="AY177" s="89" t="e">
        <f>#REF!</f>
        <v>#REF!</v>
      </c>
      <c r="AZ177" s="89" t="e">
        <f>#REF!</f>
        <v>#REF!</v>
      </c>
      <c r="BA177" s="89" t="e">
        <f>#REF!</f>
        <v>#REF!</v>
      </c>
      <c r="BB177" s="89" t="e">
        <f>#REF!</f>
        <v>#REF!</v>
      </c>
      <c r="BC177" s="89" t="e">
        <f>#REF!</f>
        <v>#REF!</v>
      </c>
      <c r="BD177" s="89" t="e">
        <f>#REF!</f>
        <v>#REF!</v>
      </c>
      <c r="BE177" s="89" t="e">
        <f>#REF!</f>
        <v>#REF!</v>
      </c>
      <c r="BF177" s="89" t="e">
        <f>#REF!</f>
        <v>#REF!</v>
      </c>
    </row>
    <row r="178" spans="9:58" x14ac:dyDescent="0.25">
      <c r="I178" s="89">
        <f>ABCD!J227</f>
        <v>43.5</v>
      </c>
      <c r="J178" s="89">
        <f>ABCD!K227</f>
        <v>142.67999999999998</v>
      </c>
      <c r="K178" s="89">
        <f>ABCD!L227</f>
        <v>4.3621378308951755</v>
      </c>
      <c r="L178" s="89">
        <f>ABCD!M227</f>
        <v>0.83829233936525616</v>
      </c>
      <c r="M178" s="89">
        <f>ABCD!N227</f>
        <v>4.4419568325193497</v>
      </c>
      <c r="N178" s="89" t="e">
        <v>#REF!</v>
      </c>
      <c r="O178" s="89" t="e">
        <v>#REF!</v>
      </c>
      <c r="P178" s="89" t="e">
        <v>#REF!</v>
      </c>
      <c r="Q178" s="89" t="e">
        <v>#REF!</v>
      </c>
      <c r="R178" s="89" t="e">
        <v>#REF!</v>
      </c>
      <c r="S178" s="89" t="e">
        <f>#REF!</f>
        <v>#REF!</v>
      </c>
      <c r="T178" s="89" t="e">
        <f>#REF!</f>
        <v>#REF!</v>
      </c>
      <c r="U178" s="89" t="e">
        <f>#REF!</f>
        <v>#REF!</v>
      </c>
      <c r="V178" s="89" t="e">
        <f>#REF!</f>
        <v>#REF!</v>
      </c>
      <c r="W178" s="89" t="e">
        <f>#REF!</f>
        <v>#REF!</v>
      </c>
      <c r="X178" s="89" t="e">
        <f>#REF!</f>
        <v>#REF!</v>
      </c>
      <c r="Y178" s="89" t="e">
        <f>#REF!</f>
        <v>#REF!</v>
      </c>
      <c r="Z178" s="89" t="e">
        <f>#REF!</f>
        <v>#REF!</v>
      </c>
      <c r="AA178" s="89" t="e">
        <f>#REF!</f>
        <v>#REF!</v>
      </c>
      <c r="AB178" s="89" t="e">
        <f>#REF!</f>
        <v>#REF!</v>
      </c>
      <c r="AC178" s="89" t="e">
        <f>#REF!</f>
        <v>#REF!</v>
      </c>
      <c r="AD178" s="89" t="e">
        <f>#REF!</f>
        <v>#REF!</v>
      </c>
      <c r="AE178" s="89" t="e">
        <f>#REF!</f>
        <v>#REF!</v>
      </c>
      <c r="AF178" s="89" t="e">
        <f>#REF!</f>
        <v>#REF!</v>
      </c>
      <c r="AG178" s="89" t="e">
        <f>#REF!</f>
        <v>#REF!</v>
      </c>
      <c r="AH178" s="89" t="e">
        <f>#REF!</f>
        <v>#REF!</v>
      </c>
      <c r="AI178" s="89" t="e">
        <f>#REF!</f>
        <v>#REF!</v>
      </c>
      <c r="AJ178" s="89" t="e">
        <f>#REF!</f>
        <v>#REF!</v>
      </c>
      <c r="AK178" s="89" t="e">
        <f>#REF!</f>
        <v>#REF!</v>
      </c>
      <c r="AL178" s="89" t="e">
        <f>#REF!</f>
        <v>#REF!</v>
      </c>
      <c r="AM178" s="89" t="e">
        <f>#REF!</f>
        <v>#REF!</v>
      </c>
      <c r="AN178" s="89" t="e">
        <f>#REF!</f>
        <v>#REF!</v>
      </c>
      <c r="AO178" s="89" t="e">
        <f>#REF!</f>
        <v>#REF!</v>
      </c>
      <c r="AP178" s="89" t="e">
        <f>#REF!</f>
        <v>#REF!</v>
      </c>
      <c r="AQ178" s="89" t="e">
        <f>#REF!</f>
        <v>#REF!</v>
      </c>
      <c r="AR178" s="89" t="e">
        <f>#REF!</f>
        <v>#REF!</v>
      </c>
      <c r="AS178" s="89" t="e">
        <f>#REF!</f>
        <v>#REF!</v>
      </c>
      <c r="AT178" s="89" t="e">
        <f>#REF!</f>
        <v>#REF!</v>
      </c>
      <c r="AU178" s="89" t="e">
        <f>#REF!</f>
        <v>#REF!</v>
      </c>
      <c r="AV178" s="89" t="e">
        <f>#REF!</f>
        <v>#REF!</v>
      </c>
      <c r="AW178" s="89" t="e">
        <f>#REF!</f>
        <v>#REF!</v>
      </c>
      <c r="AX178" s="89" t="e">
        <f>#REF!</f>
        <v>#REF!</v>
      </c>
      <c r="AY178" s="89" t="e">
        <f>#REF!</f>
        <v>#REF!</v>
      </c>
      <c r="AZ178" s="89" t="e">
        <f>#REF!</f>
        <v>#REF!</v>
      </c>
      <c r="BA178" s="89" t="e">
        <f>#REF!</f>
        <v>#REF!</v>
      </c>
      <c r="BB178" s="89" t="e">
        <f>#REF!</f>
        <v>#REF!</v>
      </c>
      <c r="BC178" s="89" t="e">
        <f>#REF!</f>
        <v>#REF!</v>
      </c>
      <c r="BD178" s="89" t="e">
        <f>#REF!</f>
        <v>#REF!</v>
      </c>
      <c r="BE178" s="89" t="e">
        <f>#REF!</f>
        <v>#REF!</v>
      </c>
      <c r="BF178" s="89" t="e">
        <f>#REF!</f>
        <v>#REF!</v>
      </c>
    </row>
    <row r="179" spans="9:58" x14ac:dyDescent="0.25">
      <c r="I179" s="89">
        <f>ABCD!J228</f>
        <v>43.75</v>
      </c>
      <c r="J179" s="89">
        <f>ABCD!K228</f>
        <v>143.5</v>
      </c>
      <c r="K179" s="89">
        <f>ABCD!L228</f>
        <v>4.2864089735587321</v>
      </c>
      <c r="L179" s="89">
        <f>ABCD!M228</f>
        <v>0.8250934101685905</v>
      </c>
      <c r="M179" s="89">
        <f>ABCD!N228</f>
        <v>4.3650980543520959</v>
      </c>
      <c r="N179" s="89" t="e">
        <v>#REF!</v>
      </c>
      <c r="O179" s="89" t="e">
        <v>#REF!</v>
      </c>
      <c r="P179" s="89" t="e">
        <v>#REF!</v>
      </c>
      <c r="Q179" s="89" t="e">
        <v>#REF!</v>
      </c>
      <c r="R179" s="89" t="e">
        <v>#REF!</v>
      </c>
      <c r="S179" s="89" t="e">
        <f>#REF!</f>
        <v>#REF!</v>
      </c>
      <c r="T179" s="89" t="e">
        <f>#REF!</f>
        <v>#REF!</v>
      </c>
      <c r="U179" s="89" t="e">
        <f>#REF!</f>
        <v>#REF!</v>
      </c>
      <c r="V179" s="89" t="e">
        <f>#REF!</f>
        <v>#REF!</v>
      </c>
      <c r="W179" s="89" t="e">
        <f>#REF!</f>
        <v>#REF!</v>
      </c>
      <c r="X179" s="89" t="e">
        <f>#REF!</f>
        <v>#REF!</v>
      </c>
      <c r="Y179" s="89" t="e">
        <f>#REF!</f>
        <v>#REF!</v>
      </c>
      <c r="Z179" s="89" t="e">
        <f>#REF!</f>
        <v>#REF!</v>
      </c>
      <c r="AA179" s="89" t="e">
        <f>#REF!</f>
        <v>#REF!</v>
      </c>
      <c r="AB179" s="89" t="e">
        <f>#REF!</f>
        <v>#REF!</v>
      </c>
      <c r="AC179" s="89" t="e">
        <f>#REF!</f>
        <v>#REF!</v>
      </c>
      <c r="AD179" s="89" t="e">
        <f>#REF!</f>
        <v>#REF!</v>
      </c>
      <c r="AE179" s="89" t="e">
        <f>#REF!</f>
        <v>#REF!</v>
      </c>
      <c r="AF179" s="89" t="e">
        <f>#REF!</f>
        <v>#REF!</v>
      </c>
      <c r="AG179" s="89" t="e">
        <f>#REF!</f>
        <v>#REF!</v>
      </c>
      <c r="AH179" s="89" t="e">
        <f>#REF!</f>
        <v>#REF!</v>
      </c>
      <c r="AI179" s="89" t="e">
        <f>#REF!</f>
        <v>#REF!</v>
      </c>
      <c r="AJ179" s="89" t="e">
        <f>#REF!</f>
        <v>#REF!</v>
      </c>
      <c r="AK179" s="89" t="e">
        <f>#REF!</f>
        <v>#REF!</v>
      </c>
      <c r="AL179" s="89" t="e">
        <f>#REF!</f>
        <v>#REF!</v>
      </c>
      <c r="AM179" s="89" t="e">
        <f>#REF!</f>
        <v>#REF!</v>
      </c>
      <c r="AN179" s="89" t="e">
        <f>#REF!</f>
        <v>#REF!</v>
      </c>
      <c r="AO179" s="89" t="e">
        <f>#REF!</f>
        <v>#REF!</v>
      </c>
      <c r="AP179" s="89" t="e">
        <f>#REF!</f>
        <v>#REF!</v>
      </c>
      <c r="AQ179" s="89" t="e">
        <f>#REF!</f>
        <v>#REF!</v>
      </c>
      <c r="AR179" s="89" t="e">
        <f>#REF!</f>
        <v>#REF!</v>
      </c>
      <c r="AS179" s="89" t="e">
        <f>#REF!</f>
        <v>#REF!</v>
      </c>
      <c r="AT179" s="89" t="e">
        <f>#REF!</f>
        <v>#REF!</v>
      </c>
      <c r="AU179" s="89" t="e">
        <f>#REF!</f>
        <v>#REF!</v>
      </c>
      <c r="AV179" s="89" t="e">
        <f>#REF!</f>
        <v>#REF!</v>
      </c>
      <c r="AW179" s="89" t="e">
        <f>#REF!</f>
        <v>#REF!</v>
      </c>
      <c r="AX179" s="89" t="e">
        <f>#REF!</f>
        <v>#REF!</v>
      </c>
      <c r="AY179" s="89" t="e">
        <f>#REF!</f>
        <v>#REF!</v>
      </c>
      <c r="AZ179" s="89" t="e">
        <f>#REF!</f>
        <v>#REF!</v>
      </c>
      <c r="BA179" s="89" t="e">
        <f>#REF!</f>
        <v>#REF!</v>
      </c>
      <c r="BB179" s="89" t="e">
        <f>#REF!</f>
        <v>#REF!</v>
      </c>
      <c r="BC179" s="89" t="e">
        <f>#REF!</f>
        <v>#REF!</v>
      </c>
      <c r="BD179" s="89" t="e">
        <f>#REF!</f>
        <v>#REF!</v>
      </c>
      <c r="BE179" s="89" t="e">
        <f>#REF!</f>
        <v>#REF!</v>
      </c>
      <c r="BF179" s="89" t="e">
        <f>#REF!</f>
        <v>#REF!</v>
      </c>
    </row>
    <row r="180" spans="9:58" x14ac:dyDescent="0.25">
      <c r="I180" s="89">
        <f>ABCD!J229</f>
        <v>44</v>
      </c>
      <c r="J180" s="89">
        <f>ABCD!K229</f>
        <v>144.32</v>
      </c>
      <c r="K180" s="89">
        <f>ABCD!L229</f>
        <v>4.2097587622748982</v>
      </c>
      <c r="L180" s="89">
        <f>ABCD!M229</f>
        <v>0.81171588921394466</v>
      </c>
      <c r="M180" s="89">
        <f>ABCD!N229</f>
        <v>4.2873011932161553</v>
      </c>
      <c r="N180" s="89" t="e">
        <v>#REF!</v>
      </c>
      <c r="O180" s="89" t="e">
        <v>#REF!</v>
      </c>
      <c r="P180" s="89" t="e">
        <v>#REF!</v>
      </c>
      <c r="Q180" s="89" t="e">
        <v>#REF!</v>
      </c>
      <c r="R180" s="89" t="e">
        <v>#REF!</v>
      </c>
      <c r="S180" s="89" t="e">
        <f>#REF!</f>
        <v>#REF!</v>
      </c>
      <c r="T180" s="89" t="e">
        <f>#REF!</f>
        <v>#REF!</v>
      </c>
      <c r="U180" s="89" t="e">
        <f>#REF!</f>
        <v>#REF!</v>
      </c>
      <c r="V180" s="89" t="e">
        <f>#REF!</f>
        <v>#REF!</v>
      </c>
      <c r="W180" s="89" t="e">
        <f>#REF!</f>
        <v>#REF!</v>
      </c>
      <c r="X180" s="89" t="e">
        <f>#REF!</f>
        <v>#REF!</v>
      </c>
      <c r="Y180" s="89" t="e">
        <f>#REF!</f>
        <v>#REF!</v>
      </c>
      <c r="Z180" s="89" t="e">
        <f>#REF!</f>
        <v>#REF!</v>
      </c>
      <c r="AA180" s="89" t="e">
        <f>#REF!</f>
        <v>#REF!</v>
      </c>
      <c r="AB180" s="89" t="e">
        <f>#REF!</f>
        <v>#REF!</v>
      </c>
      <c r="AC180" s="89" t="e">
        <f>#REF!</f>
        <v>#REF!</v>
      </c>
      <c r="AD180" s="89" t="e">
        <f>#REF!</f>
        <v>#REF!</v>
      </c>
      <c r="AE180" s="89" t="e">
        <f>#REF!</f>
        <v>#REF!</v>
      </c>
      <c r="AF180" s="89" t="e">
        <f>#REF!</f>
        <v>#REF!</v>
      </c>
      <c r="AG180" s="89" t="e">
        <f>#REF!</f>
        <v>#REF!</v>
      </c>
      <c r="AH180" s="89" t="e">
        <f>#REF!</f>
        <v>#REF!</v>
      </c>
      <c r="AI180" s="89" t="e">
        <f>#REF!</f>
        <v>#REF!</v>
      </c>
      <c r="AJ180" s="89" t="e">
        <f>#REF!</f>
        <v>#REF!</v>
      </c>
      <c r="AK180" s="89" t="e">
        <f>#REF!</f>
        <v>#REF!</v>
      </c>
      <c r="AL180" s="89" t="e">
        <f>#REF!</f>
        <v>#REF!</v>
      </c>
      <c r="AM180" s="89" t="e">
        <f>#REF!</f>
        <v>#REF!</v>
      </c>
      <c r="AN180" s="89" t="e">
        <f>#REF!</f>
        <v>#REF!</v>
      </c>
      <c r="AO180" s="89" t="e">
        <f>#REF!</f>
        <v>#REF!</v>
      </c>
      <c r="AP180" s="89" t="e">
        <f>#REF!</f>
        <v>#REF!</v>
      </c>
      <c r="AQ180" s="89" t="e">
        <f>#REF!</f>
        <v>#REF!</v>
      </c>
      <c r="AR180" s="89" t="e">
        <f>#REF!</f>
        <v>#REF!</v>
      </c>
      <c r="AS180" s="89" t="e">
        <f>#REF!</f>
        <v>#REF!</v>
      </c>
      <c r="AT180" s="89" t="e">
        <f>#REF!</f>
        <v>#REF!</v>
      </c>
      <c r="AU180" s="89" t="e">
        <f>#REF!</f>
        <v>#REF!</v>
      </c>
      <c r="AV180" s="89" t="e">
        <f>#REF!</f>
        <v>#REF!</v>
      </c>
      <c r="AW180" s="89" t="e">
        <f>#REF!</f>
        <v>#REF!</v>
      </c>
      <c r="AX180" s="89" t="e">
        <f>#REF!</f>
        <v>#REF!</v>
      </c>
      <c r="AY180" s="89" t="e">
        <f>#REF!</f>
        <v>#REF!</v>
      </c>
      <c r="AZ180" s="89" t="e">
        <f>#REF!</f>
        <v>#REF!</v>
      </c>
      <c r="BA180" s="89" t="e">
        <f>#REF!</f>
        <v>#REF!</v>
      </c>
      <c r="BB180" s="89" t="e">
        <f>#REF!</f>
        <v>#REF!</v>
      </c>
      <c r="BC180" s="89" t="e">
        <f>#REF!</f>
        <v>#REF!</v>
      </c>
      <c r="BD180" s="89" t="e">
        <f>#REF!</f>
        <v>#REF!</v>
      </c>
      <c r="BE180" s="89" t="e">
        <f>#REF!</f>
        <v>#REF!</v>
      </c>
      <c r="BF180" s="89" t="e">
        <f>#REF!</f>
        <v>#REF!</v>
      </c>
    </row>
    <row r="181" spans="9:58" x14ac:dyDescent="0.25">
      <c r="I181" s="89">
        <f>ABCD!J230</f>
        <v>44.25</v>
      </c>
      <c r="J181" s="89">
        <f>ABCD!K230</f>
        <v>145.13999999999999</v>
      </c>
      <c r="K181" s="89">
        <f>ABCD!L230</f>
        <v>4.1322057199064091</v>
      </c>
      <c r="L181" s="89">
        <f>ABCD!M230</f>
        <v>0.79816302524292571</v>
      </c>
      <c r="M181" s="89">
        <f>ABCD!N230</f>
        <v>4.2085850741659225</v>
      </c>
      <c r="N181" s="89" t="e">
        <v>#REF!</v>
      </c>
      <c r="O181" s="89" t="e">
        <v>#REF!</v>
      </c>
      <c r="P181" s="89" t="e">
        <v>#REF!</v>
      </c>
      <c r="Q181" s="89" t="e">
        <v>#REF!</v>
      </c>
      <c r="R181" s="89" t="e">
        <v>#REF!</v>
      </c>
      <c r="S181" s="89" t="e">
        <f>#REF!</f>
        <v>#REF!</v>
      </c>
      <c r="T181" s="89" t="e">
        <f>#REF!</f>
        <v>#REF!</v>
      </c>
      <c r="U181" s="89" t="e">
        <f>#REF!</f>
        <v>#REF!</v>
      </c>
      <c r="V181" s="89" t="e">
        <f>#REF!</f>
        <v>#REF!</v>
      </c>
      <c r="W181" s="89" t="e">
        <f>#REF!</f>
        <v>#REF!</v>
      </c>
      <c r="X181" s="89" t="e">
        <f>#REF!</f>
        <v>#REF!</v>
      </c>
      <c r="Y181" s="89" t="e">
        <f>#REF!</f>
        <v>#REF!</v>
      </c>
      <c r="Z181" s="89" t="e">
        <f>#REF!</f>
        <v>#REF!</v>
      </c>
      <c r="AA181" s="89" t="e">
        <f>#REF!</f>
        <v>#REF!</v>
      </c>
      <c r="AB181" s="89" t="e">
        <f>#REF!</f>
        <v>#REF!</v>
      </c>
      <c r="AC181" s="89" t="e">
        <f>#REF!</f>
        <v>#REF!</v>
      </c>
      <c r="AD181" s="89" t="e">
        <f>#REF!</f>
        <v>#REF!</v>
      </c>
      <c r="AE181" s="89" t="e">
        <f>#REF!</f>
        <v>#REF!</v>
      </c>
      <c r="AF181" s="89" t="e">
        <f>#REF!</f>
        <v>#REF!</v>
      </c>
      <c r="AG181" s="89" t="e">
        <f>#REF!</f>
        <v>#REF!</v>
      </c>
      <c r="AH181" s="89" t="e">
        <f>#REF!</f>
        <v>#REF!</v>
      </c>
      <c r="AI181" s="89" t="e">
        <f>#REF!</f>
        <v>#REF!</v>
      </c>
      <c r="AJ181" s="89" t="e">
        <f>#REF!</f>
        <v>#REF!</v>
      </c>
      <c r="AK181" s="89" t="e">
        <f>#REF!</f>
        <v>#REF!</v>
      </c>
      <c r="AL181" s="89" t="e">
        <f>#REF!</f>
        <v>#REF!</v>
      </c>
      <c r="AM181" s="89" t="e">
        <f>#REF!</f>
        <v>#REF!</v>
      </c>
      <c r="AN181" s="89" t="e">
        <f>#REF!</f>
        <v>#REF!</v>
      </c>
      <c r="AO181" s="89" t="e">
        <f>#REF!</f>
        <v>#REF!</v>
      </c>
      <c r="AP181" s="89" t="e">
        <f>#REF!</f>
        <v>#REF!</v>
      </c>
      <c r="AQ181" s="89" t="e">
        <f>#REF!</f>
        <v>#REF!</v>
      </c>
      <c r="AR181" s="89" t="e">
        <f>#REF!</f>
        <v>#REF!</v>
      </c>
      <c r="AS181" s="89" t="e">
        <f>#REF!</f>
        <v>#REF!</v>
      </c>
      <c r="AT181" s="89" t="e">
        <f>#REF!</f>
        <v>#REF!</v>
      </c>
      <c r="AU181" s="89" t="e">
        <f>#REF!</f>
        <v>#REF!</v>
      </c>
      <c r="AV181" s="89" t="e">
        <f>#REF!</f>
        <v>#REF!</v>
      </c>
      <c r="AW181" s="89" t="e">
        <f>#REF!</f>
        <v>#REF!</v>
      </c>
      <c r="AX181" s="89" t="e">
        <f>#REF!</f>
        <v>#REF!</v>
      </c>
      <c r="AY181" s="89" t="e">
        <f>#REF!</f>
        <v>#REF!</v>
      </c>
      <c r="AZ181" s="89" t="e">
        <f>#REF!</f>
        <v>#REF!</v>
      </c>
      <c r="BA181" s="89" t="e">
        <f>#REF!</f>
        <v>#REF!</v>
      </c>
      <c r="BB181" s="89" t="e">
        <f>#REF!</f>
        <v>#REF!</v>
      </c>
      <c r="BC181" s="89" t="e">
        <f>#REF!</f>
        <v>#REF!</v>
      </c>
      <c r="BD181" s="89" t="e">
        <f>#REF!</f>
        <v>#REF!</v>
      </c>
      <c r="BE181" s="89" t="e">
        <f>#REF!</f>
        <v>#REF!</v>
      </c>
      <c r="BF181" s="89" t="e">
        <f>#REF!</f>
        <v>#REF!</v>
      </c>
    </row>
    <row r="182" spans="9:58" x14ac:dyDescent="0.25">
      <c r="I182" s="89">
        <f>ABCD!J231</f>
        <v>44.5</v>
      </c>
      <c r="J182" s="89">
        <f>ABCD!K231</f>
        <v>145.95999999999998</v>
      </c>
      <c r="K182" s="89">
        <f>ABCD!L231</f>
        <v>4.0537685610634213</v>
      </c>
      <c r="L182" s="89">
        <f>ABCD!M231</f>
        <v>0.78443810455094631</v>
      </c>
      <c r="M182" s="89">
        <f>ABCD!N231</f>
        <v>4.1289687194913069</v>
      </c>
      <c r="N182" s="89" t="e">
        <v>#REF!</v>
      </c>
      <c r="O182" s="89" t="e">
        <v>#REF!</v>
      </c>
      <c r="P182" s="89" t="e">
        <v>#REF!</v>
      </c>
      <c r="Q182" s="89" t="e">
        <v>#REF!</v>
      </c>
      <c r="R182" s="89" t="e">
        <v>#REF!</v>
      </c>
      <c r="S182" s="89" t="e">
        <f>#REF!</f>
        <v>#REF!</v>
      </c>
      <c r="T182" s="89" t="e">
        <f>#REF!</f>
        <v>#REF!</v>
      </c>
      <c r="U182" s="89" t="e">
        <f>#REF!</f>
        <v>#REF!</v>
      </c>
      <c r="V182" s="89" t="e">
        <f>#REF!</f>
        <v>#REF!</v>
      </c>
      <c r="W182" s="89" t="e">
        <f>#REF!</f>
        <v>#REF!</v>
      </c>
      <c r="X182" s="89" t="e">
        <f>#REF!</f>
        <v>#REF!</v>
      </c>
      <c r="Y182" s="89" t="e">
        <f>#REF!</f>
        <v>#REF!</v>
      </c>
      <c r="Z182" s="89" t="e">
        <f>#REF!</f>
        <v>#REF!</v>
      </c>
      <c r="AA182" s="89" t="e">
        <f>#REF!</f>
        <v>#REF!</v>
      </c>
      <c r="AB182" s="89" t="e">
        <f>#REF!</f>
        <v>#REF!</v>
      </c>
      <c r="AC182" s="89" t="e">
        <f>#REF!</f>
        <v>#REF!</v>
      </c>
      <c r="AD182" s="89" t="e">
        <f>#REF!</f>
        <v>#REF!</v>
      </c>
      <c r="AE182" s="89" t="e">
        <f>#REF!</f>
        <v>#REF!</v>
      </c>
      <c r="AF182" s="89" t="e">
        <f>#REF!</f>
        <v>#REF!</v>
      </c>
      <c r="AG182" s="89" t="e">
        <f>#REF!</f>
        <v>#REF!</v>
      </c>
      <c r="AH182" s="89" t="e">
        <f>#REF!</f>
        <v>#REF!</v>
      </c>
      <c r="AI182" s="89" t="e">
        <f>#REF!</f>
        <v>#REF!</v>
      </c>
      <c r="AJ182" s="89" t="e">
        <f>#REF!</f>
        <v>#REF!</v>
      </c>
      <c r="AK182" s="89" t="e">
        <f>#REF!</f>
        <v>#REF!</v>
      </c>
      <c r="AL182" s="89" t="e">
        <f>#REF!</f>
        <v>#REF!</v>
      </c>
      <c r="AM182" s="89" t="e">
        <f>#REF!</f>
        <v>#REF!</v>
      </c>
      <c r="AN182" s="89" t="e">
        <f>#REF!</f>
        <v>#REF!</v>
      </c>
      <c r="AO182" s="89" t="e">
        <f>#REF!</f>
        <v>#REF!</v>
      </c>
      <c r="AP182" s="89" t="e">
        <f>#REF!</f>
        <v>#REF!</v>
      </c>
      <c r="AQ182" s="89" t="e">
        <f>#REF!</f>
        <v>#REF!</v>
      </c>
      <c r="AR182" s="89" t="e">
        <f>#REF!</f>
        <v>#REF!</v>
      </c>
      <c r="AS182" s="89" t="e">
        <f>#REF!</f>
        <v>#REF!</v>
      </c>
      <c r="AT182" s="89" t="e">
        <f>#REF!</f>
        <v>#REF!</v>
      </c>
      <c r="AU182" s="89" t="e">
        <f>#REF!</f>
        <v>#REF!</v>
      </c>
      <c r="AV182" s="89" t="e">
        <f>#REF!</f>
        <v>#REF!</v>
      </c>
      <c r="AW182" s="89" t="e">
        <f>#REF!</f>
        <v>#REF!</v>
      </c>
      <c r="AX182" s="89" t="e">
        <f>#REF!</f>
        <v>#REF!</v>
      </c>
      <c r="AY182" s="89" t="e">
        <f>#REF!</f>
        <v>#REF!</v>
      </c>
      <c r="AZ182" s="89" t="e">
        <f>#REF!</f>
        <v>#REF!</v>
      </c>
      <c r="BA182" s="89" t="e">
        <f>#REF!</f>
        <v>#REF!</v>
      </c>
      <c r="BB182" s="89" t="e">
        <f>#REF!</f>
        <v>#REF!</v>
      </c>
      <c r="BC182" s="89" t="e">
        <f>#REF!</f>
        <v>#REF!</v>
      </c>
      <c r="BD182" s="89" t="e">
        <f>#REF!</f>
        <v>#REF!</v>
      </c>
      <c r="BE182" s="89" t="e">
        <f>#REF!</f>
        <v>#REF!</v>
      </c>
      <c r="BF182" s="89" t="e">
        <f>#REF!</f>
        <v>#REF!</v>
      </c>
    </row>
    <row r="183" spans="9:58" x14ac:dyDescent="0.25">
      <c r="I183" s="89">
        <f>ABCD!J232</f>
        <v>44.75</v>
      </c>
      <c r="J183" s="89">
        <f>ABCD!K232</f>
        <v>146.78</v>
      </c>
      <c r="K183" s="89">
        <f>ABCD!L232</f>
        <v>3.9744661876109229</v>
      </c>
      <c r="L183" s="89">
        <f>ABCD!M232</f>
        <v>0.77054445019485662</v>
      </c>
      <c r="M183" s="89">
        <f>ABCD!N232</f>
        <v>4.0484713443704399</v>
      </c>
      <c r="N183" s="89" t="e">
        <v>#REF!</v>
      </c>
      <c r="O183" s="89" t="e">
        <v>#REF!</v>
      </c>
      <c r="P183" s="89" t="e">
        <v>#REF!</v>
      </c>
      <c r="Q183" s="89" t="e">
        <v>#REF!</v>
      </c>
      <c r="R183" s="89" t="e">
        <v>#REF!</v>
      </c>
      <c r="S183" s="89" t="e">
        <f>#REF!</f>
        <v>#REF!</v>
      </c>
      <c r="T183" s="89" t="e">
        <f>#REF!</f>
        <v>#REF!</v>
      </c>
      <c r="U183" s="89" t="e">
        <f>#REF!</f>
        <v>#REF!</v>
      </c>
      <c r="V183" s="89" t="e">
        <f>#REF!</f>
        <v>#REF!</v>
      </c>
      <c r="W183" s="89" t="e">
        <f>#REF!</f>
        <v>#REF!</v>
      </c>
      <c r="X183" s="89" t="e">
        <f>#REF!</f>
        <v>#REF!</v>
      </c>
      <c r="Y183" s="89" t="e">
        <f>#REF!</f>
        <v>#REF!</v>
      </c>
      <c r="Z183" s="89" t="e">
        <f>#REF!</f>
        <v>#REF!</v>
      </c>
      <c r="AA183" s="89" t="e">
        <f>#REF!</f>
        <v>#REF!</v>
      </c>
      <c r="AB183" s="89" t="e">
        <f>#REF!</f>
        <v>#REF!</v>
      </c>
      <c r="AC183" s="89" t="e">
        <f>#REF!</f>
        <v>#REF!</v>
      </c>
      <c r="AD183" s="89" t="e">
        <f>#REF!</f>
        <v>#REF!</v>
      </c>
      <c r="AE183" s="89" t="e">
        <f>#REF!</f>
        <v>#REF!</v>
      </c>
      <c r="AF183" s="89" t="e">
        <f>#REF!</f>
        <v>#REF!</v>
      </c>
      <c r="AG183" s="89" t="e">
        <f>#REF!</f>
        <v>#REF!</v>
      </c>
      <c r="AH183" s="89" t="e">
        <f>#REF!</f>
        <v>#REF!</v>
      </c>
      <c r="AI183" s="89" t="e">
        <f>#REF!</f>
        <v>#REF!</v>
      </c>
      <c r="AJ183" s="89" t="e">
        <f>#REF!</f>
        <v>#REF!</v>
      </c>
      <c r="AK183" s="89" t="e">
        <f>#REF!</f>
        <v>#REF!</v>
      </c>
      <c r="AL183" s="89" t="e">
        <f>#REF!</f>
        <v>#REF!</v>
      </c>
      <c r="AM183" s="89" t="e">
        <f>#REF!</f>
        <v>#REF!</v>
      </c>
      <c r="AN183" s="89" t="e">
        <f>#REF!</f>
        <v>#REF!</v>
      </c>
      <c r="AO183" s="89" t="e">
        <f>#REF!</f>
        <v>#REF!</v>
      </c>
      <c r="AP183" s="89" t="e">
        <f>#REF!</f>
        <v>#REF!</v>
      </c>
      <c r="AQ183" s="89" t="e">
        <f>#REF!</f>
        <v>#REF!</v>
      </c>
      <c r="AR183" s="89" t="e">
        <f>#REF!</f>
        <v>#REF!</v>
      </c>
      <c r="AS183" s="89" t="e">
        <f>#REF!</f>
        <v>#REF!</v>
      </c>
      <c r="AT183" s="89" t="e">
        <f>#REF!</f>
        <v>#REF!</v>
      </c>
      <c r="AU183" s="89" t="e">
        <f>#REF!</f>
        <v>#REF!</v>
      </c>
      <c r="AV183" s="89" t="e">
        <f>#REF!</f>
        <v>#REF!</v>
      </c>
      <c r="AW183" s="89" t="e">
        <f>#REF!</f>
        <v>#REF!</v>
      </c>
      <c r="AX183" s="89" t="e">
        <f>#REF!</f>
        <v>#REF!</v>
      </c>
      <c r="AY183" s="89" t="e">
        <f>#REF!</f>
        <v>#REF!</v>
      </c>
      <c r="AZ183" s="89" t="e">
        <f>#REF!</f>
        <v>#REF!</v>
      </c>
      <c r="BA183" s="89" t="e">
        <f>#REF!</f>
        <v>#REF!</v>
      </c>
      <c r="BB183" s="89" t="e">
        <f>#REF!</f>
        <v>#REF!</v>
      </c>
      <c r="BC183" s="89" t="e">
        <f>#REF!</f>
        <v>#REF!</v>
      </c>
      <c r="BD183" s="89" t="e">
        <f>#REF!</f>
        <v>#REF!</v>
      </c>
      <c r="BE183" s="89" t="e">
        <f>#REF!</f>
        <v>#REF!</v>
      </c>
      <c r="BF183" s="89" t="e">
        <f>#REF!</f>
        <v>#REF!</v>
      </c>
    </row>
    <row r="184" spans="9:58" x14ac:dyDescent="0.25">
      <c r="I184" s="89">
        <f>ABCD!J233</f>
        <v>45</v>
      </c>
      <c r="J184" s="89">
        <f>ABCD!K233</f>
        <v>147.6</v>
      </c>
      <c r="K184" s="89">
        <f>ABCD!L233</f>
        <v>3.894317684136936</v>
      </c>
      <c r="L184" s="89">
        <f>ABCD!M233</f>
        <v>0.75648542119274698</v>
      </c>
      <c r="M184" s="89">
        <f>ABCD!N233</f>
        <v>3.9671123525126983</v>
      </c>
      <c r="N184" s="89" t="e">
        <v>#REF!</v>
      </c>
      <c r="O184" s="89" t="e">
        <v>#REF!</v>
      </c>
      <c r="P184" s="89" t="e">
        <v>#REF!</v>
      </c>
      <c r="Q184" s="89" t="e">
        <v>#REF!</v>
      </c>
      <c r="R184" s="89" t="e">
        <v>#REF!</v>
      </c>
      <c r="S184" s="89" t="e">
        <f>#REF!</f>
        <v>#REF!</v>
      </c>
      <c r="T184" s="89" t="e">
        <f>#REF!</f>
        <v>#REF!</v>
      </c>
      <c r="U184" s="89" t="e">
        <f>#REF!</f>
        <v>#REF!</v>
      </c>
      <c r="V184" s="89" t="e">
        <f>#REF!</f>
        <v>#REF!</v>
      </c>
      <c r="W184" s="89" t="e">
        <f>#REF!</f>
        <v>#REF!</v>
      </c>
      <c r="X184" s="89" t="e">
        <f>#REF!</f>
        <v>#REF!</v>
      </c>
      <c r="Y184" s="89" t="e">
        <f>#REF!</f>
        <v>#REF!</v>
      </c>
      <c r="Z184" s="89" t="e">
        <f>#REF!</f>
        <v>#REF!</v>
      </c>
      <c r="AA184" s="89" t="e">
        <f>#REF!</f>
        <v>#REF!</v>
      </c>
      <c r="AB184" s="89" t="e">
        <f>#REF!</f>
        <v>#REF!</v>
      </c>
      <c r="AC184" s="89" t="e">
        <f>#REF!</f>
        <v>#REF!</v>
      </c>
      <c r="AD184" s="89" t="e">
        <f>#REF!</f>
        <v>#REF!</v>
      </c>
      <c r="AE184" s="89" t="e">
        <f>#REF!</f>
        <v>#REF!</v>
      </c>
      <c r="AF184" s="89" t="e">
        <f>#REF!</f>
        <v>#REF!</v>
      </c>
      <c r="AG184" s="89" t="e">
        <f>#REF!</f>
        <v>#REF!</v>
      </c>
      <c r="AH184" s="89" t="e">
        <f>#REF!</f>
        <v>#REF!</v>
      </c>
      <c r="AI184" s="89" t="e">
        <f>#REF!</f>
        <v>#REF!</v>
      </c>
      <c r="AJ184" s="89" t="e">
        <f>#REF!</f>
        <v>#REF!</v>
      </c>
      <c r="AK184" s="89" t="e">
        <f>#REF!</f>
        <v>#REF!</v>
      </c>
      <c r="AL184" s="89" t="e">
        <f>#REF!</f>
        <v>#REF!</v>
      </c>
      <c r="AM184" s="89" t="e">
        <f>#REF!</f>
        <v>#REF!</v>
      </c>
      <c r="AN184" s="89" t="e">
        <f>#REF!</f>
        <v>#REF!</v>
      </c>
      <c r="AO184" s="89" t="e">
        <f>#REF!</f>
        <v>#REF!</v>
      </c>
      <c r="AP184" s="89" t="e">
        <f>#REF!</f>
        <v>#REF!</v>
      </c>
      <c r="AQ184" s="89" t="e">
        <f>#REF!</f>
        <v>#REF!</v>
      </c>
      <c r="AR184" s="89" t="e">
        <f>#REF!</f>
        <v>#REF!</v>
      </c>
      <c r="AS184" s="89" t="e">
        <f>#REF!</f>
        <v>#REF!</v>
      </c>
      <c r="AT184" s="89" t="e">
        <f>#REF!</f>
        <v>#REF!</v>
      </c>
      <c r="AU184" s="89" t="e">
        <f>#REF!</f>
        <v>#REF!</v>
      </c>
      <c r="AV184" s="89" t="e">
        <f>#REF!</f>
        <v>#REF!</v>
      </c>
      <c r="AW184" s="89" t="e">
        <f>#REF!</f>
        <v>#REF!</v>
      </c>
      <c r="AX184" s="89" t="e">
        <f>#REF!</f>
        <v>#REF!</v>
      </c>
      <c r="AY184" s="89" t="e">
        <f>#REF!</f>
        <v>#REF!</v>
      </c>
      <c r="AZ184" s="89" t="e">
        <f>#REF!</f>
        <v>#REF!</v>
      </c>
      <c r="BA184" s="89" t="e">
        <f>#REF!</f>
        <v>#REF!</v>
      </c>
      <c r="BB184" s="89" t="e">
        <f>#REF!</f>
        <v>#REF!</v>
      </c>
      <c r="BC184" s="89" t="e">
        <f>#REF!</f>
        <v>#REF!</v>
      </c>
      <c r="BD184" s="89" t="e">
        <f>#REF!</f>
        <v>#REF!</v>
      </c>
      <c r="BE184" s="89" t="e">
        <f>#REF!</f>
        <v>#REF!</v>
      </c>
      <c r="BF184" s="89" t="e">
        <f>#REF!</f>
        <v>#REF!</v>
      </c>
    </row>
    <row r="185" spans="9:58" x14ac:dyDescent="0.25">
      <c r="I185" s="89">
        <f>ABCD!J234</f>
        <v>45.25</v>
      </c>
      <c r="J185" s="89">
        <f>ABCD!K234</f>
        <v>148.41999999999999</v>
      </c>
      <c r="K185" s="89">
        <f>ABCD!L234</f>
        <v>3.8133423133826545</v>
      </c>
      <c r="L185" s="89">
        <f>ABCD!M234</f>
        <v>0.74226441171622071</v>
      </c>
      <c r="M185" s="89">
        <f>ABCD!N234</f>
        <v>3.884911331798321</v>
      </c>
      <c r="N185" s="89" t="e">
        <v>#REF!</v>
      </c>
      <c r="O185" s="89" t="e">
        <v>#REF!</v>
      </c>
      <c r="P185" s="89" t="e">
        <v>#REF!</v>
      </c>
      <c r="Q185" s="89" t="e">
        <v>#REF!</v>
      </c>
      <c r="R185" s="89" t="e">
        <v>#REF!</v>
      </c>
      <c r="S185" s="89" t="e">
        <f>#REF!</f>
        <v>#REF!</v>
      </c>
      <c r="T185" s="89" t="e">
        <f>#REF!</f>
        <v>#REF!</v>
      </c>
      <c r="U185" s="89" t="e">
        <f>#REF!</f>
        <v>#REF!</v>
      </c>
      <c r="V185" s="89" t="e">
        <f>#REF!</f>
        <v>#REF!</v>
      </c>
      <c r="W185" s="89" t="e">
        <f>#REF!</f>
        <v>#REF!</v>
      </c>
      <c r="X185" s="89" t="e">
        <f>#REF!</f>
        <v>#REF!</v>
      </c>
      <c r="Y185" s="89" t="e">
        <f>#REF!</f>
        <v>#REF!</v>
      </c>
      <c r="Z185" s="89" t="e">
        <f>#REF!</f>
        <v>#REF!</v>
      </c>
      <c r="AA185" s="89" t="e">
        <f>#REF!</f>
        <v>#REF!</v>
      </c>
      <c r="AB185" s="89" t="e">
        <f>#REF!</f>
        <v>#REF!</v>
      </c>
      <c r="AC185" s="89" t="e">
        <f>#REF!</f>
        <v>#REF!</v>
      </c>
      <c r="AD185" s="89" t="e">
        <f>#REF!</f>
        <v>#REF!</v>
      </c>
      <c r="AE185" s="89" t="e">
        <f>#REF!</f>
        <v>#REF!</v>
      </c>
      <c r="AF185" s="89" t="e">
        <f>#REF!</f>
        <v>#REF!</v>
      </c>
      <c r="AG185" s="89" t="e">
        <f>#REF!</f>
        <v>#REF!</v>
      </c>
      <c r="AH185" s="89" t="e">
        <f>#REF!</f>
        <v>#REF!</v>
      </c>
      <c r="AI185" s="89" t="e">
        <f>#REF!</f>
        <v>#REF!</v>
      </c>
      <c r="AJ185" s="89" t="e">
        <f>#REF!</f>
        <v>#REF!</v>
      </c>
      <c r="AK185" s="89" t="e">
        <f>#REF!</f>
        <v>#REF!</v>
      </c>
      <c r="AL185" s="89" t="e">
        <f>#REF!</f>
        <v>#REF!</v>
      </c>
      <c r="AM185" s="89" t="e">
        <f>#REF!</f>
        <v>#REF!</v>
      </c>
      <c r="AN185" s="89" t="e">
        <f>#REF!</f>
        <v>#REF!</v>
      </c>
      <c r="AO185" s="89" t="e">
        <f>#REF!</f>
        <v>#REF!</v>
      </c>
      <c r="AP185" s="89" t="e">
        <f>#REF!</f>
        <v>#REF!</v>
      </c>
      <c r="AQ185" s="89" t="e">
        <f>#REF!</f>
        <v>#REF!</v>
      </c>
      <c r="AR185" s="89" t="e">
        <f>#REF!</f>
        <v>#REF!</v>
      </c>
      <c r="AS185" s="89" t="e">
        <f>#REF!</f>
        <v>#REF!</v>
      </c>
      <c r="AT185" s="89" t="e">
        <f>#REF!</f>
        <v>#REF!</v>
      </c>
      <c r="AU185" s="89" t="e">
        <f>#REF!</f>
        <v>#REF!</v>
      </c>
      <c r="AV185" s="89" t="e">
        <f>#REF!</f>
        <v>#REF!</v>
      </c>
      <c r="AW185" s="89" t="e">
        <f>#REF!</f>
        <v>#REF!</v>
      </c>
      <c r="AX185" s="89" t="e">
        <f>#REF!</f>
        <v>#REF!</v>
      </c>
      <c r="AY185" s="89" t="e">
        <f>#REF!</f>
        <v>#REF!</v>
      </c>
      <c r="AZ185" s="89" t="e">
        <f>#REF!</f>
        <v>#REF!</v>
      </c>
      <c r="BA185" s="89" t="e">
        <f>#REF!</f>
        <v>#REF!</v>
      </c>
      <c r="BB185" s="89" t="e">
        <f>#REF!</f>
        <v>#REF!</v>
      </c>
      <c r="BC185" s="89" t="e">
        <f>#REF!</f>
        <v>#REF!</v>
      </c>
      <c r="BD185" s="89" t="e">
        <f>#REF!</f>
        <v>#REF!</v>
      </c>
      <c r="BE185" s="89" t="e">
        <f>#REF!</f>
        <v>#REF!</v>
      </c>
      <c r="BF185" s="89" t="e">
        <f>#REF!</f>
        <v>#REF!</v>
      </c>
    </row>
    <row r="186" spans="9:58" x14ac:dyDescent="0.25">
      <c r="I186" s="89">
        <f>ABCD!J235</f>
        <v>45.5</v>
      </c>
      <c r="J186" s="89">
        <f>ABCD!K235</f>
        <v>149.23999999999998</v>
      </c>
      <c r="K186" s="89">
        <f>ABCD!L235</f>
        <v>3.7315595116355311</v>
      </c>
      <c r="L186" s="89">
        <f>ABCD!M235</f>
        <v>0.72788485027524708</v>
      </c>
      <c r="M186" s="89">
        <f>ABCD!N235</f>
        <v>3.801888049921752</v>
      </c>
      <c r="N186" s="89" t="e">
        <v>#REF!</v>
      </c>
      <c r="O186" s="89" t="e">
        <v>#REF!</v>
      </c>
      <c r="P186" s="89" t="e">
        <v>#REF!</v>
      </c>
      <c r="Q186" s="89" t="e">
        <v>#REF!</v>
      </c>
      <c r="R186" s="89" t="e">
        <v>#REF!</v>
      </c>
      <c r="S186" s="89" t="e">
        <f>#REF!</f>
        <v>#REF!</v>
      </c>
      <c r="T186" s="89" t="e">
        <f>#REF!</f>
        <v>#REF!</v>
      </c>
      <c r="U186" s="89" t="e">
        <f>#REF!</f>
        <v>#REF!</v>
      </c>
      <c r="V186" s="89" t="e">
        <f>#REF!</f>
        <v>#REF!</v>
      </c>
      <c r="W186" s="89" t="e">
        <f>#REF!</f>
        <v>#REF!</v>
      </c>
      <c r="X186" s="89" t="e">
        <f>#REF!</f>
        <v>#REF!</v>
      </c>
      <c r="Y186" s="89" t="e">
        <f>#REF!</f>
        <v>#REF!</v>
      </c>
      <c r="Z186" s="89" t="e">
        <f>#REF!</f>
        <v>#REF!</v>
      </c>
      <c r="AA186" s="89" t="e">
        <f>#REF!</f>
        <v>#REF!</v>
      </c>
      <c r="AB186" s="89" t="e">
        <f>#REF!</f>
        <v>#REF!</v>
      </c>
      <c r="AC186" s="89" t="e">
        <f>#REF!</f>
        <v>#REF!</v>
      </c>
      <c r="AD186" s="89" t="e">
        <f>#REF!</f>
        <v>#REF!</v>
      </c>
      <c r="AE186" s="89" t="e">
        <f>#REF!</f>
        <v>#REF!</v>
      </c>
      <c r="AF186" s="89" t="e">
        <f>#REF!</f>
        <v>#REF!</v>
      </c>
      <c r="AG186" s="89" t="e">
        <f>#REF!</f>
        <v>#REF!</v>
      </c>
      <c r="AH186" s="89" t="e">
        <f>#REF!</f>
        <v>#REF!</v>
      </c>
      <c r="AI186" s="89" t="e">
        <f>#REF!</f>
        <v>#REF!</v>
      </c>
      <c r="AJ186" s="89" t="e">
        <f>#REF!</f>
        <v>#REF!</v>
      </c>
      <c r="AK186" s="89" t="e">
        <f>#REF!</f>
        <v>#REF!</v>
      </c>
      <c r="AL186" s="89" t="e">
        <f>#REF!</f>
        <v>#REF!</v>
      </c>
      <c r="AM186" s="89" t="e">
        <f>#REF!</f>
        <v>#REF!</v>
      </c>
      <c r="AN186" s="89" t="e">
        <f>#REF!</f>
        <v>#REF!</v>
      </c>
      <c r="AO186" s="89" t="e">
        <f>#REF!</f>
        <v>#REF!</v>
      </c>
      <c r="AP186" s="89" t="e">
        <f>#REF!</f>
        <v>#REF!</v>
      </c>
      <c r="AQ186" s="89" t="e">
        <f>#REF!</f>
        <v>#REF!</v>
      </c>
      <c r="AR186" s="89" t="e">
        <f>#REF!</f>
        <v>#REF!</v>
      </c>
      <c r="AS186" s="89" t="e">
        <f>#REF!</f>
        <v>#REF!</v>
      </c>
      <c r="AT186" s="89" t="e">
        <f>#REF!</f>
        <v>#REF!</v>
      </c>
      <c r="AU186" s="89" t="e">
        <f>#REF!</f>
        <v>#REF!</v>
      </c>
      <c r="AV186" s="89" t="e">
        <f>#REF!</f>
        <v>#REF!</v>
      </c>
      <c r="AW186" s="89" t="e">
        <f>#REF!</f>
        <v>#REF!</v>
      </c>
      <c r="AX186" s="89" t="e">
        <f>#REF!</f>
        <v>#REF!</v>
      </c>
      <c r="AY186" s="89" t="e">
        <f>#REF!</f>
        <v>#REF!</v>
      </c>
      <c r="AZ186" s="89" t="e">
        <f>#REF!</f>
        <v>#REF!</v>
      </c>
      <c r="BA186" s="89" t="e">
        <f>#REF!</f>
        <v>#REF!</v>
      </c>
      <c r="BB186" s="89" t="e">
        <f>#REF!</f>
        <v>#REF!</v>
      </c>
      <c r="BC186" s="89" t="e">
        <f>#REF!</f>
        <v>#REF!</v>
      </c>
      <c r="BD186" s="89" t="e">
        <f>#REF!</f>
        <v>#REF!</v>
      </c>
      <c r="BE186" s="89" t="e">
        <f>#REF!</f>
        <v>#REF!</v>
      </c>
      <c r="BF186" s="89" t="e">
        <f>#REF!</f>
        <v>#REF!</v>
      </c>
    </row>
    <row r="187" spans="9:58" x14ac:dyDescent="0.25">
      <c r="I187" s="89">
        <f>ABCD!J236</f>
        <v>45.75</v>
      </c>
      <c r="J187" s="89">
        <f>ABCD!K236</f>
        <v>150.06</v>
      </c>
      <c r="K187" s="89">
        <f>ABCD!L236</f>
        <v>3.648988884086473</v>
      </c>
      <c r="L187" s="89">
        <f>ABCD!M236</f>
        <v>0.71335019889582707</v>
      </c>
      <c r="M187" s="89">
        <f>ABCD!N236</f>
        <v>3.7180624500472503</v>
      </c>
      <c r="N187" s="89" t="e">
        <v>#REF!</v>
      </c>
      <c r="O187" s="89" t="e">
        <v>#REF!</v>
      </c>
      <c r="P187" s="89" t="e">
        <v>#REF!</v>
      </c>
      <c r="Q187" s="89" t="e">
        <v>#REF!</v>
      </c>
      <c r="R187" s="89" t="e">
        <v>#REF!</v>
      </c>
      <c r="S187" s="89" t="e">
        <f>#REF!</f>
        <v>#REF!</v>
      </c>
      <c r="T187" s="89" t="e">
        <f>#REF!</f>
        <v>#REF!</v>
      </c>
      <c r="U187" s="89" t="e">
        <f>#REF!</f>
        <v>#REF!</v>
      </c>
      <c r="V187" s="89" t="e">
        <f>#REF!</f>
        <v>#REF!</v>
      </c>
      <c r="W187" s="89" t="e">
        <f>#REF!</f>
        <v>#REF!</v>
      </c>
      <c r="X187" s="89" t="e">
        <f>#REF!</f>
        <v>#REF!</v>
      </c>
      <c r="Y187" s="89" t="e">
        <f>#REF!</f>
        <v>#REF!</v>
      </c>
      <c r="Z187" s="89" t="e">
        <f>#REF!</f>
        <v>#REF!</v>
      </c>
      <c r="AA187" s="89" t="e">
        <f>#REF!</f>
        <v>#REF!</v>
      </c>
      <c r="AB187" s="89" t="e">
        <f>#REF!</f>
        <v>#REF!</v>
      </c>
      <c r="AC187" s="89" t="e">
        <f>#REF!</f>
        <v>#REF!</v>
      </c>
      <c r="AD187" s="89" t="e">
        <f>#REF!</f>
        <v>#REF!</v>
      </c>
      <c r="AE187" s="89" t="e">
        <f>#REF!</f>
        <v>#REF!</v>
      </c>
      <c r="AF187" s="89" t="e">
        <f>#REF!</f>
        <v>#REF!</v>
      </c>
      <c r="AG187" s="89" t="e">
        <f>#REF!</f>
        <v>#REF!</v>
      </c>
      <c r="AH187" s="89" t="e">
        <f>#REF!</f>
        <v>#REF!</v>
      </c>
      <c r="AI187" s="89" t="e">
        <f>#REF!</f>
        <v>#REF!</v>
      </c>
      <c r="AJ187" s="89" t="e">
        <f>#REF!</f>
        <v>#REF!</v>
      </c>
      <c r="AK187" s="89" t="e">
        <f>#REF!</f>
        <v>#REF!</v>
      </c>
      <c r="AL187" s="89" t="e">
        <f>#REF!</f>
        <v>#REF!</v>
      </c>
      <c r="AM187" s="89" t="e">
        <f>#REF!</f>
        <v>#REF!</v>
      </c>
      <c r="AN187" s="89" t="e">
        <f>#REF!</f>
        <v>#REF!</v>
      </c>
      <c r="AO187" s="89" t="e">
        <f>#REF!</f>
        <v>#REF!</v>
      </c>
      <c r="AP187" s="89" t="e">
        <f>#REF!</f>
        <v>#REF!</v>
      </c>
      <c r="AQ187" s="89" t="e">
        <f>#REF!</f>
        <v>#REF!</v>
      </c>
      <c r="AR187" s="89" t="e">
        <f>#REF!</f>
        <v>#REF!</v>
      </c>
      <c r="AS187" s="89" t="e">
        <f>#REF!</f>
        <v>#REF!</v>
      </c>
      <c r="AT187" s="89" t="e">
        <f>#REF!</f>
        <v>#REF!</v>
      </c>
      <c r="AU187" s="89" t="e">
        <f>#REF!</f>
        <v>#REF!</v>
      </c>
      <c r="AV187" s="89" t="e">
        <f>#REF!</f>
        <v>#REF!</v>
      </c>
      <c r="AW187" s="89" t="e">
        <f>#REF!</f>
        <v>#REF!</v>
      </c>
      <c r="AX187" s="89" t="e">
        <f>#REF!</f>
        <v>#REF!</v>
      </c>
      <c r="AY187" s="89" t="e">
        <f>#REF!</f>
        <v>#REF!</v>
      </c>
      <c r="AZ187" s="89" t="e">
        <f>#REF!</f>
        <v>#REF!</v>
      </c>
      <c r="BA187" s="89" t="e">
        <f>#REF!</f>
        <v>#REF!</v>
      </c>
      <c r="BB187" s="89" t="e">
        <f>#REF!</f>
        <v>#REF!</v>
      </c>
      <c r="BC187" s="89" t="e">
        <f>#REF!</f>
        <v>#REF!</v>
      </c>
      <c r="BD187" s="89" t="e">
        <f>#REF!</f>
        <v>#REF!</v>
      </c>
      <c r="BE187" s="89" t="e">
        <f>#REF!</f>
        <v>#REF!</v>
      </c>
      <c r="BF187" s="89" t="e">
        <f>#REF!</f>
        <v>#REF!</v>
      </c>
    </row>
    <row r="188" spans="9:58" x14ac:dyDescent="0.25">
      <c r="I188" s="89">
        <f>ABCD!J237</f>
        <v>46</v>
      </c>
      <c r="J188" s="89">
        <f>ABCD!K237</f>
        <v>150.88</v>
      </c>
      <c r="K188" s="89">
        <f>ABCD!L237</f>
        <v>3.5656502001522066</v>
      </c>
      <c r="L188" s="89">
        <f>ABCD!M237</f>
        <v>0.69866395229067457</v>
      </c>
      <c r="M188" s="89">
        <f>ABCD!N237</f>
        <v>3.6334546464867148</v>
      </c>
      <c r="N188" s="89" t="e">
        <v>#REF!</v>
      </c>
      <c r="O188" s="89" t="e">
        <v>#REF!</v>
      </c>
      <c r="P188" s="89" t="e">
        <v>#REF!</v>
      </c>
      <c r="Q188" s="89" t="e">
        <v>#REF!</v>
      </c>
      <c r="R188" s="89" t="e">
        <v>#REF!</v>
      </c>
      <c r="S188" s="89" t="e">
        <f>#REF!</f>
        <v>#REF!</v>
      </c>
      <c r="T188" s="89" t="e">
        <f>#REF!</f>
        <v>#REF!</v>
      </c>
      <c r="U188" s="89" t="e">
        <f>#REF!</f>
        <v>#REF!</v>
      </c>
      <c r="V188" s="89" t="e">
        <f>#REF!</f>
        <v>#REF!</v>
      </c>
      <c r="W188" s="89" t="e">
        <f>#REF!</f>
        <v>#REF!</v>
      </c>
      <c r="X188" s="89" t="e">
        <f>#REF!</f>
        <v>#REF!</v>
      </c>
      <c r="Y188" s="89" t="e">
        <f>#REF!</f>
        <v>#REF!</v>
      </c>
      <c r="Z188" s="89" t="e">
        <f>#REF!</f>
        <v>#REF!</v>
      </c>
      <c r="AA188" s="89" t="e">
        <f>#REF!</f>
        <v>#REF!</v>
      </c>
      <c r="AB188" s="89" t="e">
        <f>#REF!</f>
        <v>#REF!</v>
      </c>
      <c r="AC188" s="89" t="e">
        <f>#REF!</f>
        <v>#REF!</v>
      </c>
      <c r="AD188" s="89" t="e">
        <f>#REF!</f>
        <v>#REF!</v>
      </c>
      <c r="AE188" s="89" t="e">
        <f>#REF!</f>
        <v>#REF!</v>
      </c>
      <c r="AF188" s="89" t="e">
        <f>#REF!</f>
        <v>#REF!</v>
      </c>
      <c r="AG188" s="89" t="e">
        <f>#REF!</f>
        <v>#REF!</v>
      </c>
      <c r="AH188" s="89" t="e">
        <f>#REF!</f>
        <v>#REF!</v>
      </c>
      <c r="AI188" s="89" t="e">
        <f>#REF!</f>
        <v>#REF!</v>
      </c>
      <c r="AJ188" s="89" t="e">
        <f>#REF!</f>
        <v>#REF!</v>
      </c>
      <c r="AK188" s="89" t="e">
        <f>#REF!</f>
        <v>#REF!</v>
      </c>
      <c r="AL188" s="89" t="e">
        <f>#REF!</f>
        <v>#REF!</v>
      </c>
      <c r="AM188" s="89" t="e">
        <f>#REF!</f>
        <v>#REF!</v>
      </c>
      <c r="AN188" s="89" t="e">
        <f>#REF!</f>
        <v>#REF!</v>
      </c>
      <c r="AO188" s="89" t="e">
        <f>#REF!</f>
        <v>#REF!</v>
      </c>
      <c r="AP188" s="89" t="e">
        <f>#REF!</f>
        <v>#REF!</v>
      </c>
      <c r="AQ188" s="89" t="e">
        <f>#REF!</f>
        <v>#REF!</v>
      </c>
      <c r="AR188" s="89" t="e">
        <f>#REF!</f>
        <v>#REF!</v>
      </c>
      <c r="AS188" s="89" t="e">
        <f>#REF!</f>
        <v>#REF!</v>
      </c>
      <c r="AT188" s="89" t="e">
        <f>#REF!</f>
        <v>#REF!</v>
      </c>
      <c r="AU188" s="89" t="e">
        <f>#REF!</f>
        <v>#REF!</v>
      </c>
      <c r="AV188" s="89" t="e">
        <f>#REF!</f>
        <v>#REF!</v>
      </c>
      <c r="AW188" s="89" t="e">
        <f>#REF!</f>
        <v>#REF!</v>
      </c>
      <c r="AX188" s="89" t="e">
        <f>#REF!</f>
        <v>#REF!</v>
      </c>
      <c r="AY188" s="89" t="e">
        <f>#REF!</f>
        <v>#REF!</v>
      </c>
      <c r="AZ188" s="89" t="e">
        <f>#REF!</f>
        <v>#REF!</v>
      </c>
      <c r="BA188" s="89" t="e">
        <f>#REF!</f>
        <v>#REF!</v>
      </c>
      <c r="BB188" s="89" t="e">
        <f>#REF!</f>
        <v>#REF!</v>
      </c>
      <c r="BC188" s="89" t="e">
        <f>#REF!</f>
        <v>#REF!</v>
      </c>
      <c r="BD188" s="89" t="e">
        <f>#REF!</f>
        <v>#REF!</v>
      </c>
      <c r="BE188" s="89" t="e">
        <f>#REF!</f>
        <v>#REF!</v>
      </c>
      <c r="BF188" s="89" t="e">
        <f>#REF!</f>
        <v>#REF!</v>
      </c>
    </row>
    <row r="189" spans="9:58" x14ac:dyDescent="0.25">
      <c r="I189" s="89">
        <f>ABCD!J238</f>
        <v>46.25</v>
      </c>
      <c r="J189" s="89">
        <f>ABCD!K238</f>
        <v>151.69999999999999</v>
      </c>
      <c r="K189" s="89">
        <f>ABCD!L238</f>
        <v>3.4815633887639477</v>
      </c>
      <c r="L189" s="89">
        <f>ABCD!M238</f>
        <v>0.6838296370230772</v>
      </c>
      <c r="M189" s="89">
        <f>ABCD!N238</f>
        <v>3.54808492041166</v>
      </c>
      <c r="N189" s="89" t="e">
        <v>#REF!</v>
      </c>
      <c r="O189" s="89" t="e">
        <v>#REF!</v>
      </c>
      <c r="P189" s="89" t="e">
        <v>#REF!</v>
      </c>
      <c r="Q189" s="89" t="e">
        <v>#REF!</v>
      </c>
      <c r="R189" s="89" t="e">
        <v>#REF!</v>
      </c>
      <c r="S189" s="89" t="e">
        <f>#REF!</f>
        <v>#REF!</v>
      </c>
      <c r="T189" s="89" t="e">
        <f>#REF!</f>
        <v>#REF!</v>
      </c>
      <c r="U189" s="89" t="e">
        <f>#REF!</f>
        <v>#REF!</v>
      </c>
      <c r="V189" s="89" t="e">
        <f>#REF!</f>
        <v>#REF!</v>
      </c>
      <c r="W189" s="89" t="e">
        <f>#REF!</f>
        <v>#REF!</v>
      </c>
      <c r="X189" s="89" t="e">
        <f>#REF!</f>
        <v>#REF!</v>
      </c>
      <c r="Y189" s="89" t="e">
        <f>#REF!</f>
        <v>#REF!</v>
      </c>
      <c r="Z189" s="89" t="e">
        <f>#REF!</f>
        <v>#REF!</v>
      </c>
      <c r="AA189" s="89" t="e">
        <f>#REF!</f>
        <v>#REF!</v>
      </c>
      <c r="AB189" s="89" t="e">
        <f>#REF!</f>
        <v>#REF!</v>
      </c>
      <c r="AC189" s="89" t="e">
        <f>#REF!</f>
        <v>#REF!</v>
      </c>
      <c r="AD189" s="89" t="e">
        <f>#REF!</f>
        <v>#REF!</v>
      </c>
      <c r="AE189" s="89" t="e">
        <f>#REF!</f>
        <v>#REF!</v>
      </c>
      <c r="AF189" s="89" t="e">
        <f>#REF!</f>
        <v>#REF!</v>
      </c>
      <c r="AG189" s="89" t="e">
        <f>#REF!</f>
        <v>#REF!</v>
      </c>
      <c r="AH189" s="89" t="e">
        <f>#REF!</f>
        <v>#REF!</v>
      </c>
      <c r="AI189" s="89" t="e">
        <f>#REF!</f>
        <v>#REF!</v>
      </c>
      <c r="AJ189" s="89" t="e">
        <f>#REF!</f>
        <v>#REF!</v>
      </c>
      <c r="AK189" s="89" t="e">
        <f>#REF!</f>
        <v>#REF!</v>
      </c>
      <c r="AL189" s="89" t="e">
        <f>#REF!</f>
        <v>#REF!</v>
      </c>
      <c r="AM189" s="89" t="e">
        <f>#REF!</f>
        <v>#REF!</v>
      </c>
      <c r="AN189" s="89" t="e">
        <f>#REF!</f>
        <v>#REF!</v>
      </c>
      <c r="AO189" s="89" t="e">
        <f>#REF!</f>
        <v>#REF!</v>
      </c>
      <c r="AP189" s="89" t="e">
        <f>#REF!</f>
        <v>#REF!</v>
      </c>
      <c r="AQ189" s="89" t="e">
        <f>#REF!</f>
        <v>#REF!</v>
      </c>
      <c r="AR189" s="89" t="e">
        <f>#REF!</f>
        <v>#REF!</v>
      </c>
      <c r="AS189" s="89" t="e">
        <f>#REF!</f>
        <v>#REF!</v>
      </c>
      <c r="AT189" s="89" t="e">
        <f>#REF!</f>
        <v>#REF!</v>
      </c>
      <c r="AU189" s="89" t="e">
        <f>#REF!</f>
        <v>#REF!</v>
      </c>
      <c r="AV189" s="89" t="e">
        <f>#REF!</f>
        <v>#REF!</v>
      </c>
      <c r="AW189" s="89" t="e">
        <f>#REF!</f>
        <v>#REF!</v>
      </c>
      <c r="AX189" s="89" t="e">
        <f>#REF!</f>
        <v>#REF!</v>
      </c>
      <c r="AY189" s="89" t="e">
        <f>#REF!</f>
        <v>#REF!</v>
      </c>
      <c r="AZ189" s="89" t="e">
        <f>#REF!</f>
        <v>#REF!</v>
      </c>
      <c r="BA189" s="89" t="e">
        <f>#REF!</f>
        <v>#REF!</v>
      </c>
      <c r="BB189" s="89" t="e">
        <f>#REF!</f>
        <v>#REF!</v>
      </c>
      <c r="BC189" s="89" t="e">
        <f>#REF!</f>
        <v>#REF!</v>
      </c>
      <c r="BD189" s="89" t="e">
        <f>#REF!</f>
        <v>#REF!</v>
      </c>
      <c r="BE189" s="89" t="e">
        <f>#REF!</f>
        <v>#REF!</v>
      </c>
      <c r="BF189" s="89" t="e">
        <f>#REF!</f>
        <v>#REF!</v>
      </c>
    </row>
    <row r="190" spans="9:58" x14ac:dyDescent="0.25">
      <c r="I190" s="89">
        <f>ABCD!J239</f>
        <v>46.5</v>
      </c>
      <c r="J190" s="89">
        <f>ABCD!K239</f>
        <v>152.51999999999998</v>
      </c>
      <c r="K190" s="89">
        <f>ABCD!L239</f>
        <v>3.3967485336234913</v>
      </c>
      <c r="L190" s="89">
        <f>ABCD!M239</f>
        <v>0.6688508106641744</v>
      </c>
      <c r="M190" s="89">
        <f>ABCD!N239</f>
        <v>3.4619737156136039</v>
      </c>
      <c r="N190" s="89" t="e">
        <v>#REF!</v>
      </c>
      <c r="O190" s="89" t="e">
        <v>#REF!</v>
      </c>
      <c r="P190" s="89" t="e">
        <v>#REF!</v>
      </c>
      <c r="Q190" s="89" t="e">
        <v>#REF!</v>
      </c>
      <c r="R190" s="89" t="e">
        <v>#REF!</v>
      </c>
      <c r="S190" s="89" t="e">
        <f>#REF!</f>
        <v>#REF!</v>
      </c>
      <c r="T190" s="89" t="e">
        <f>#REF!</f>
        <v>#REF!</v>
      </c>
      <c r="U190" s="89" t="e">
        <f>#REF!</f>
        <v>#REF!</v>
      </c>
      <c r="V190" s="89" t="e">
        <f>#REF!</f>
        <v>#REF!</v>
      </c>
      <c r="W190" s="89" t="e">
        <f>#REF!</f>
        <v>#REF!</v>
      </c>
      <c r="X190" s="89" t="e">
        <f>#REF!</f>
        <v>#REF!</v>
      </c>
      <c r="Y190" s="89" t="e">
        <f>#REF!</f>
        <v>#REF!</v>
      </c>
      <c r="Z190" s="89" t="e">
        <f>#REF!</f>
        <v>#REF!</v>
      </c>
      <c r="AA190" s="89" t="e">
        <f>#REF!</f>
        <v>#REF!</v>
      </c>
      <c r="AB190" s="89" t="e">
        <f>#REF!</f>
        <v>#REF!</v>
      </c>
      <c r="AC190" s="89" t="e">
        <f>#REF!</f>
        <v>#REF!</v>
      </c>
      <c r="AD190" s="89" t="e">
        <f>#REF!</f>
        <v>#REF!</v>
      </c>
      <c r="AE190" s="89" t="e">
        <f>#REF!</f>
        <v>#REF!</v>
      </c>
      <c r="AF190" s="89" t="e">
        <f>#REF!</f>
        <v>#REF!</v>
      </c>
      <c r="AG190" s="89" t="e">
        <f>#REF!</f>
        <v>#REF!</v>
      </c>
      <c r="AH190" s="89" t="e">
        <f>#REF!</f>
        <v>#REF!</v>
      </c>
      <c r="AI190" s="89" t="e">
        <f>#REF!</f>
        <v>#REF!</v>
      </c>
      <c r="AJ190" s="89" t="e">
        <f>#REF!</f>
        <v>#REF!</v>
      </c>
      <c r="AK190" s="89" t="e">
        <f>#REF!</f>
        <v>#REF!</v>
      </c>
      <c r="AL190" s="89" t="e">
        <f>#REF!</f>
        <v>#REF!</v>
      </c>
      <c r="AM190" s="89" t="e">
        <f>#REF!</f>
        <v>#REF!</v>
      </c>
      <c r="AN190" s="89" t="e">
        <f>#REF!</f>
        <v>#REF!</v>
      </c>
      <c r="AO190" s="89" t="e">
        <f>#REF!</f>
        <v>#REF!</v>
      </c>
      <c r="AP190" s="89" t="e">
        <f>#REF!</f>
        <v>#REF!</v>
      </c>
      <c r="AQ190" s="89" t="e">
        <f>#REF!</f>
        <v>#REF!</v>
      </c>
      <c r="AR190" s="89" t="e">
        <f>#REF!</f>
        <v>#REF!</v>
      </c>
      <c r="AS190" s="89" t="e">
        <f>#REF!</f>
        <v>#REF!</v>
      </c>
      <c r="AT190" s="89" t="e">
        <f>#REF!</f>
        <v>#REF!</v>
      </c>
      <c r="AU190" s="89" t="e">
        <f>#REF!</f>
        <v>#REF!</v>
      </c>
      <c r="AV190" s="89" t="e">
        <f>#REF!</f>
        <v>#REF!</v>
      </c>
      <c r="AW190" s="89" t="e">
        <f>#REF!</f>
        <v>#REF!</v>
      </c>
      <c r="AX190" s="89" t="e">
        <f>#REF!</f>
        <v>#REF!</v>
      </c>
      <c r="AY190" s="89" t="e">
        <f>#REF!</f>
        <v>#REF!</v>
      </c>
      <c r="AZ190" s="89" t="e">
        <f>#REF!</f>
        <v>#REF!</v>
      </c>
      <c r="BA190" s="89" t="e">
        <f>#REF!</f>
        <v>#REF!</v>
      </c>
      <c r="BB190" s="89" t="e">
        <f>#REF!</f>
        <v>#REF!</v>
      </c>
      <c r="BC190" s="89" t="e">
        <f>#REF!</f>
        <v>#REF!</v>
      </c>
      <c r="BD190" s="89" t="e">
        <f>#REF!</f>
        <v>#REF!</v>
      </c>
      <c r="BE190" s="89" t="e">
        <f>#REF!</f>
        <v>#REF!</v>
      </c>
      <c r="BF190" s="89" t="e">
        <f>#REF!</f>
        <v>#REF!</v>
      </c>
    </row>
    <row r="191" spans="9:58" x14ac:dyDescent="0.25">
      <c r="I191" s="89">
        <f>ABCD!J240</f>
        <v>46.75</v>
      </c>
      <c r="J191" s="89">
        <f>ABCD!K240</f>
        <v>153.34</v>
      </c>
      <c r="K191" s="89">
        <f>ABCD!L240</f>
        <v>3.3112258684278331</v>
      </c>
      <c r="L191" s="89">
        <f>ABCD!M240</f>
        <v>0.65373106094382516</v>
      </c>
      <c r="M191" s="89">
        <f>ABCD!N240</f>
        <v>3.3751416343300908</v>
      </c>
      <c r="N191" s="89" t="e">
        <v>#REF!</v>
      </c>
      <c r="O191" s="89" t="e">
        <v>#REF!</v>
      </c>
      <c r="P191" s="89" t="e">
        <v>#REF!</v>
      </c>
      <c r="Q191" s="89" t="e">
        <v>#REF!</v>
      </c>
      <c r="R191" s="89" t="e">
        <v>#REF!</v>
      </c>
      <c r="S191" s="89" t="e">
        <f>#REF!</f>
        <v>#REF!</v>
      </c>
      <c r="T191" s="89" t="e">
        <f>#REF!</f>
        <v>#REF!</v>
      </c>
      <c r="U191" s="89" t="e">
        <f>#REF!</f>
        <v>#REF!</v>
      </c>
      <c r="V191" s="89" t="e">
        <f>#REF!</f>
        <v>#REF!</v>
      </c>
      <c r="W191" s="89" t="e">
        <f>#REF!</f>
        <v>#REF!</v>
      </c>
      <c r="X191" s="89" t="e">
        <f>#REF!</f>
        <v>#REF!</v>
      </c>
      <c r="Y191" s="89" t="e">
        <f>#REF!</f>
        <v>#REF!</v>
      </c>
      <c r="Z191" s="89" t="e">
        <f>#REF!</f>
        <v>#REF!</v>
      </c>
      <c r="AA191" s="89" t="e">
        <f>#REF!</f>
        <v>#REF!</v>
      </c>
      <c r="AB191" s="89" t="e">
        <f>#REF!</f>
        <v>#REF!</v>
      </c>
      <c r="AC191" s="89" t="e">
        <f>#REF!</f>
        <v>#REF!</v>
      </c>
      <c r="AD191" s="89" t="e">
        <f>#REF!</f>
        <v>#REF!</v>
      </c>
      <c r="AE191" s="89" t="e">
        <f>#REF!</f>
        <v>#REF!</v>
      </c>
      <c r="AF191" s="89" t="e">
        <f>#REF!</f>
        <v>#REF!</v>
      </c>
      <c r="AG191" s="89" t="e">
        <f>#REF!</f>
        <v>#REF!</v>
      </c>
      <c r="AH191" s="89" t="e">
        <f>#REF!</f>
        <v>#REF!</v>
      </c>
      <c r="AI191" s="89" t="e">
        <f>#REF!</f>
        <v>#REF!</v>
      </c>
      <c r="AJ191" s="89" t="e">
        <f>#REF!</f>
        <v>#REF!</v>
      </c>
      <c r="AK191" s="89" t="e">
        <f>#REF!</f>
        <v>#REF!</v>
      </c>
      <c r="AL191" s="89" t="e">
        <f>#REF!</f>
        <v>#REF!</v>
      </c>
      <c r="AM191" s="89" t="e">
        <f>#REF!</f>
        <v>#REF!</v>
      </c>
      <c r="AN191" s="89" t="e">
        <f>#REF!</f>
        <v>#REF!</v>
      </c>
      <c r="AO191" s="89" t="e">
        <f>#REF!</f>
        <v>#REF!</v>
      </c>
      <c r="AP191" s="89" t="e">
        <f>#REF!</f>
        <v>#REF!</v>
      </c>
      <c r="AQ191" s="89" t="e">
        <f>#REF!</f>
        <v>#REF!</v>
      </c>
      <c r="AR191" s="89" t="e">
        <f>#REF!</f>
        <v>#REF!</v>
      </c>
      <c r="AS191" s="89" t="e">
        <f>#REF!</f>
        <v>#REF!</v>
      </c>
      <c r="AT191" s="89" t="e">
        <f>#REF!</f>
        <v>#REF!</v>
      </c>
      <c r="AU191" s="89" t="e">
        <f>#REF!</f>
        <v>#REF!</v>
      </c>
      <c r="AV191" s="89" t="e">
        <f>#REF!</f>
        <v>#REF!</v>
      </c>
      <c r="AW191" s="89" t="e">
        <f>#REF!</f>
        <v>#REF!</v>
      </c>
      <c r="AX191" s="89" t="e">
        <f>#REF!</f>
        <v>#REF!</v>
      </c>
      <c r="AY191" s="89" t="e">
        <f>#REF!</f>
        <v>#REF!</v>
      </c>
      <c r="AZ191" s="89" t="e">
        <f>#REF!</f>
        <v>#REF!</v>
      </c>
      <c r="BA191" s="89" t="e">
        <f>#REF!</f>
        <v>#REF!</v>
      </c>
      <c r="BB191" s="89" t="e">
        <f>#REF!</f>
        <v>#REF!</v>
      </c>
      <c r="BC191" s="89" t="e">
        <f>#REF!</f>
        <v>#REF!</v>
      </c>
      <c r="BD191" s="89" t="e">
        <f>#REF!</f>
        <v>#REF!</v>
      </c>
      <c r="BE191" s="89" t="e">
        <f>#REF!</f>
        <v>#REF!</v>
      </c>
      <c r="BF191" s="89" t="e">
        <f>#REF!</f>
        <v>#REF!</v>
      </c>
    </row>
    <row r="192" spans="9:58" x14ac:dyDescent="0.25">
      <c r="I192" s="89">
        <f>ABCD!J241</f>
        <v>47</v>
      </c>
      <c r="J192" s="89">
        <f>ABCD!K241</f>
        <v>154.16</v>
      </c>
      <c r="K192" s="89">
        <f>ABCD!L241</f>
        <v>3.2250157720634727</v>
      </c>
      <c r="L192" s="89">
        <f>ABCD!M241</f>
        <v>0.63847400489528727</v>
      </c>
      <c r="M192" s="89">
        <f>ABCD!N241</f>
        <v>3.2876094331573489</v>
      </c>
      <c r="N192" s="89" t="e">
        <v>#REF!</v>
      </c>
      <c r="O192" s="89" t="e">
        <v>#REF!</v>
      </c>
      <c r="P192" s="89" t="e">
        <v>#REF!</v>
      </c>
      <c r="Q192" s="89" t="e">
        <v>#REF!</v>
      </c>
      <c r="R192" s="89" t="e">
        <v>#REF!</v>
      </c>
      <c r="S192" s="89" t="e">
        <f>#REF!</f>
        <v>#REF!</v>
      </c>
      <c r="T192" s="89" t="e">
        <f>#REF!</f>
        <v>#REF!</v>
      </c>
      <c r="U192" s="89" t="e">
        <f>#REF!</f>
        <v>#REF!</v>
      </c>
      <c r="V192" s="89" t="e">
        <f>#REF!</f>
        <v>#REF!</v>
      </c>
      <c r="W192" s="89" t="e">
        <f>#REF!</f>
        <v>#REF!</v>
      </c>
      <c r="X192" s="89" t="e">
        <f>#REF!</f>
        <v>#REF!</v>
      </c>
      <c r="Y192" s="89" t="e">
        <f>#REF!</f>
        <v>#REF!</v>
      </c>
      <c r="Z192" s="89" t="e">
        <f>#REF!</f>
        <v>#REF!</v>
      </c>
      <c r="AA192" s="89" t="e">
        <f>#REF!</f>
        <v>#REF!</v>
      </c>
      <c r="AB192" s="89" t="e">
        <f>#REF!</f>
        <v>#REF!</v>
      </c>
      <c r="AC192" s="89" t="e">
        <f>#REF!</f>
        <v>#REF!</v>
      </c>
      <c r="AD192" s="89" t="e">
        <f>#REF!</f>
        <v>#REF!</v>
      </c>
      <c r="AE192" s="89" t="e">
        <f>#REF!</f>
        <v>#REF!</v>
      </c>
      <c r="AF192" s="89" t="e">
        <f>#REF!</f>
        <v>#REF!</v>
      </c>
      <c r="AG192" s="89" t="e">
        <f>#REF!</f>
        <v>#REF!</v>
      </c>
      <c r="AH192" s="89" t="e">
        <f>#REF!</f>
        <v>#REF!</v>
      </c>
      <c r="AI192" s="89" t="e">
        <f>#REF!</f>
        <v>#REF!</v>
      </c>
      <c r="AJ192" s="89" t="e">
        <f>#REF!</f>
        <v>#REF!</v>
      </c>
      <c r="AK192" s="89" t="e">
        <f>#REF!</f>
        <v>#REF!</v>
      </c>
      <c r="AL192" s="89" t="e">
        <f>#REF!</f>
        <v>#REF!</v>
      </c>
      <c r="AM192" s="89" t="e">
        <f>#REF!</f>
        <v>#REF!</v>
      </c>
      <c r="AN192" s="89" t="e">
        <f>#REF!</f>
        <v>#REF!</v>
      </c>
      <c r="AO192" s="89" t="e">
        <f>#REF!</f>
        <v>#REF!</v>
      </c>
      <c r="AP192" s="89" t="e">
        <f>#REF!</f>
        <v>#REF!</v>
      </c>
      <c r="AQ192" s="89" t="e">
        <f>#REF!</f>
        <v>#REF!</v>
      </c>
      <c r="AR192" s="89" t="e">
        <f>#REF!</f>
        <v>#REF!</v>
      </c>
      <c r="AS192" s="89" t="e">
        <f>#REF!</f>
        <v>#REF!</v>
      </c>
      <c r="AT192" s="89" t="e">
        <f>#REF!</f>
        <v>#REF!</v>
      </c>
      <c r="AU192" s="89" t="e">
        <f>#REF!</f>
        <v>#REF!</v>
      </c>
      <c r="AV192" s="89" t="e">
        <f>#REF!</f>
        <v>#REF!</v>
      </c>
      <c r="AW192" s="89" t="e">
        <f>#REF!</f>
        <v>#REF!</v>
      </c>
      <c r="AX192" s="89" t="e">
        <f>#REF!</f>
        <v>#REF!</v>
      </c>
      <c r="AY192" s="89" t="e">
        <f>#REF!</f>
        <v>#REF!</v>
      </c>
      <c r="AZ192" s="89" t="e">
        <f>#REF!</f>
        <v>#REF!</v>
      </c>
      <c r="BA192" s="89" t="e">
        <f>#REF!</f>
        <v>#REF!</v>
      </c>
      <c r="BB192" s="89" t="e">
        <f>#REF!</f>
        <v>#REF!</v>
      </c>
      <c r="BC192" s="89" t="e">
        <f>#REF!</f>
        <v>#REF!</v>
      </c>
      <c r="BD192" s="89" t="e">
        <f>#REF!</f>
        <v>#REF!</v>
      </c>
      <c r="BE192" s="89" t="e">
        <f>#REF!</f>
        <v>#REF!</v>
      </c>
      <c r="BF192" s="89" t="e">
        <f>#REF!</f>
        <v>#REF!</v>
      </c>
    </row>
    <row r="193" spans="9:58" x14ac:dyDescent="0.25">
      <c r="I193" s="89">
        <f>ABCD!J242</f>
        <v>47.25</v>
      </c>
      <c r="J193" s="89">
        <f>ABCD!K242</f>
        <v>154.97999999999999</v>
      </c>
      <c r="K193" s="89">
        <f>ABCD!L242</f>
        <v>3.1381387637715057</v>
      </c>
      <c r="L193" s="89">
        <f>ABCD!M242</f>
        <v>0.62308328799389345</v>
      </c>
      <c r="M193" s="89">
        <f>ABCD!N242</f>
        <v>3.1993980190752502</v>
      </c>
      <c r="N193" s="89" t="e">
        <v>#REF!</v>
      </c>
      <c r="O193" s="89" t="e">
        <v>#REF!</v>
      </c>
      <c r="P193" s="89" t="e">
        <v>#REF!</v>
      </c>
      <c r="Q193" s="89" t="e">
        <v>#REF!</v>
      </c>
      <c r="R193" s="89" t="e">
        <v>#REF!</v>
      </c>
      <c r="S193" s="89" t="e">
        <f>#REF!</f>
        <v>#REF!</v>
      </c>
      <c r="T193" s="89" t="e">
        <f>#REF!</f>
        <v>#REF!</v>
      </c>
      <c r="U193" s="89" t="e">
        <f>#REF!</f>
        <v>#REF!</v>
      </c>
      <c r="V193" s="89" t="e">
        <f>#REF!</f>
        <v>#REF!</v>
      </c>
      <c r="W193" s="89" t="e">
        <f>#REF!</f>
        <v>#REF!</v>
      </c>
      <c r="X193" s="89" t="e">
        <f>#REF!</f>
        <v>#REF!</v>
      </c>
      <c r="Y193" s="89" t="e">
        <f>#REF!</f>
        <v>#REF!</v>
      </c>
      <c r="Z193" s="89" t="e">
        <f>#REF!</f>
        <v>#REF!</v>
      </c>
      <c r="AA193" s="89" t="e">
        <f>#REF!</f>
        <v>#REF!</v>
      </c>
      <c r="AB193" s="89" t="e">
        <f>#REF!</f>
        <v>#REF!</v>
      </c>
      <c r="AC193" s="89" t="e">
        <f>#REF!</f>
        <v>#REF!</v>
      </c>
      <c r="AD193" s="89" t="e">
        <f>#REF!</f>
        <v>#REF!</v>
      </c>
      <c r="AE193" s="89" t="e">
        <f>#REF!</f>
        <v>#REF!</v>
      </c>
      <c r="AF193" s="89" t="e">
        <f>#REF!</f>
        <v>#REF!</v>
      </c>
      <c r="AG193" s="89" t="e">
        <f>#REF!</f>
        <v>#REF!</v>
      </c>
      <c r="AH193" s="89" t="e">
        <f>#REF!</f>
        <v>#REF!</v>
      </c>
      <c r="AI193" s="89" t="e">
        <f>#REF!</f>
        <v>#REF!</v>
      </c>
      <c r="AJ193" s="89" t="e">
        <f>#REF!</f>
        <v>#REF!</v>
      </c>
      <c r="AK193" s="89" t="e">
        <f>#REF!</f>
        <v>#REF!</v>
      </c>
      <c r="AL193" s="89" t="e">
        <f>#REF!</f>
        <v>#REF!</v>
      </c>
      <c r="AM193" s="89" t="e">
        <f>#REF!</f>
        <v>#REF!</v>
      </c>
      <c r="AN193" s="89" t="e">
        <f>#REF!</f>
        <v>#REF!</v>
      </c>
      <c r="AO193" s="89" t="e">
        <f>#REF!</f>
        <v>#REF!</v>
      </c>
      <c r="AP193" s="89" t="e">
        <f>#REF!</f>
        <v>#REF!</v>
      </c>
      <c r="AQ193" s="89" t="e">
        <f>#REF!</f>
        <v>#REF!</v>
      </c>
      <c r="AR193" s="89" t="e">
        <f>#REF!</f>
        <v>#REF!</v>
      </c>
      <c r="AS193" s="89" t="e">
        <f>#REF!</f>
        <v>#REF!</v>
      </c>
      <c r="AT193" s="89" t="e">
        <f>#REF!</f>
        <v>#REF!</v>
      </c>
      <c r="AU193" s="89" t="e">
        <f>#REF!</f>
        <v>#REF!</v>
      </c>
      <c r="AV193" s="89" t="e">
        <f>#REF!</f>
        <v>#REF!</v>
      </c>
      <c r="AW193" s="89" t="e">
        <f>#REF!</f>
        <v>#REF!</v>
      </c>
      <c r="AX193" s="89" t="e">
        <f>#REF!</f>
        <v>#REF!</v>
      </c>
      <c r="AY193" s="89" t="e">
        <f>#REF!</f>
        <v>#REF!</v>
      </c>
      <c r="AZ193" s="89" t="e">
        <f>#REF!</f>
        <v>#REF!</v>
      </c>
      <c r="BA193" s="89" t="e">
        <f>#REF!</f>
        <v>#REF!</v>
      </c>
      <c r="BB193" s="89" t="e">
        <f>#REF!</f>
        <v>#REF!</v>
      </c>
      <c r="BC193" s="89" t="e">
        <f>#REF!</f>
        <v>#REF!</v>
      </c>
      <c r="BD193" s="89" t="e">
        <f>#REF!</f>
        <v>#REF!</v>
      </c>
      <c r="BE193" s="89" t="e">
        <f>#REF!</f>
        <v>#REF!</v>
      </c>
      <c r="BF193" s="89" t="e">
        <f>#REF!</f>
        <v>#REF!</v>
      </c>
    </row>
    <row r="194" spans="9:58" x14ac:dyDescent="0.25">
      <c r="I194" s="89">
        <f>ABCD!J243</f>
        <v>47.5</v>
      </c>
      <c r="J194" s="89">
        <f>ABCD!K243</f>
        <v>155.79999999999998</v>
      </c>
      <c r="K194" s="89">
        <f>ABCD!L243</f>
        <v>3.0506154982846914</v>
      </c>
      <c r="L194" s="89">
        <f>ABCD!M243</f>
        <v>0.60756258328993828</v>
      </c>
      <c r="M194" s="89">
        <f>ABCD!N243</f>
        <v>3.1105284456163873</v>
      </c>
      <c r="N194" s="89" t="e">
        <v>#REF!</v>
      </c>
      <c r="O194" s="89" t="e">
        <v>#REF!</v>
      </c>
      <c r="P194" s="89" t="e">
        <v>#REF!</v>
      </c>
      <c r="Q194" s="89" t="e">
        <v>#REF!</v>
      </c>
      <c r="R194" s="89" t="e">
        <v>#REF!</v>
      </c>
      <c r="S194" s="89" t="e">
        <f>#REF!</f>
        <v>#REF!</v>
      </c>
      <c r="T194" s="89" t="e">
        <f>#REF!</f>
        <v>#REF!</v>
      </c>
      <c r="U194" s="89" t="e">
        <f>#REF!</f>
        <v>#REF!</v>
      </c>
      <c r="V194" s="89" t="e">
        <f>#REF!</f>
        <v>#REF!</v>
      </c>
      <c r="W194" s="89" t="e">
        <f>#REF!</f>
        <v>#REF!</v>
      </c>
      <c r="X194" s="89" t="e">
        <f>#REF!</f>
        <v>#REF!</v>
      </c>
      <c r="Y194" s="89" t="e">
        <f>#REF!</f>
        <v>#REF!</v>
      </c>
      <c r="Z194" s="89" t="e">
        <f>#REF!</f>
        <v>#REF!</v>
      </c>
      <c r="AA194" s="89" t="e">
        <f>#REF!</f>
        <v>#REF!</v>
      </c>
      <c r="AB194" s="89" t="e">
        <f>#REF!</f>
        <v>#REF!</v>
      </c>
      <c r="AC194" s="89" t="e">
        <f>#REF!</f>
        <v>#REF!</v>
      </c>
      <c r="AD194" s="89" t="e">
        <f>#REF!</f>
        <v>#REF!</v>
      </c>
      <c r="AE194" s="89" t="e">
        <f>#REF!</f>
        <v>#REF!</v>
      </c>
      <c r="AF194" s="89" t="e">
        <f>#REF!</f>
        <v>#REF!</v>
      </c>
      <c r="AG194" s="89" t="e">
        <f>#REF!</f>
        <v>#REF!</v>
      </c>
      <c r="AH194" s="89" t="e">
        <f>#REF!</f>
        <v>#REF!</v>
      </c>
      <c r="AI194" s="89" t="e">
        <f>#REF!</f>
        <v>#REF!</v>
      </c>
      <c r="AJ194" s="89" t="e">
        <f>#REF!</f>
        <v>#REF!</v>
      </c>
      <c r="AK194" s="89" t="e">
        <f>#REF!</f>
        <v>#REF!</v>
      </c>
      <c r="AL194" s="89" t="e">
        <f>#REF!</f>
        <v>#REF!</v>
      </c>
      <c r="AM194" s="89" t="e">
        <f>#REF!</f>
        <v>#REF!</v>
      </c>
      <c r="AN194" s="89" t="e">
        <f>#REF!</f>
        <v>#REF!</v>
      </c>
      <c r="AO194" s="89" t="e">
        <f>#REF!</f>
        <v>#REF!</v>
      </c>
      <c r="AP194" s="89" t="e">
        <f>#REF!</f>
        <v>#REF!</v>
      </c>
      <c r="AQ194" s="89" t="e">
        <f>#REF!</f>
        <v>#REF!</v>
      </c>
      <c r="AR194" s="89" t="e">
        <f>#REF!</f>
        <v>#REF!</v>
      </c>
      <c r="AS194" s="89" t="e">
        <f>#REF!</f>
        <v>#REF!</v>
      </c>
      <c r="AT194" s="89" t="e">
        <f>#REF!</f>
        <v>#REF!</v>
      </c>
      <c r="AU194" s="89" t="e">
        <f>#REF!</f>
        <v>#REF!</v>
      </c>
      <c r="AV194" s="89" t="e">
        <f>#REF!</f>
        <v>#REF!</v>
      </c>
      <c r="AW194" s="89" t="e">
        <f>#REF!</f>
        <v>#REF!</v>
      </c>
      <c r="AX194" s="89" t="e">
        <f>#REF!</f>
        <v>#REF!</v>
      </c>
      <c r="AY194" s="89" t="e">
        <f>#REF!</f>
        <v>#REF!</v>
      </c>
      <c r="AZ194" s="89" t="e">
        <f>#REF!</f>
        <v>#REF!</v>
      </c>
      <c r="BA194" s="89" t="e">
        <f>#REF!</f>
        <v>#REF!</v>
      </c>
      <c r="BB194" s="89" t="e">
        <f>#REF!</f>
        <v>#REF!</v>
      </c>
      <c r="BC194" s="89" t="e">
        <f>#REF!</f>
        <v>#REF!</v>
      </c>
      <c r="BD194" s="89" t="e">
        <f>#REF!</f>
        <v>#REF!</v>
      </c>
      <c r="BE194" s="89" t="e">
        <f>#REF!</f>
        <v>#REF!</v>
      </c>
      <c r="BF194" s="89" t="e">
        <f>#REF!</f>
        <v>#REF!</v>
      </c>
    </row>
    <row r="195" spans="9:58" x14ac:dyDescent="0.25">
      <c r="I195" s="89">
        <f>ABCD!J244</f>
        <v>47.75</v>
      </c>
      <c r="J195" s="89">
        <f>ABCD!K244</f>
        <v>156.62</v>
      </c>
      <c r="K195" s="89">
        <f>ABCD!L244</f>
        <v>2.9624667609375943</v>
      </c>
      <c r="L195" s="89">
        <f>ABCD!M244</f>
        <v>0.5919155905359812</v>
      </c>
      <c r="M195" s="89">
        <f>ABCD!N244</f>
        <v>3.02102190921874</v>
      </c>
      <c r="N195" s="89" t="e">
        <v>#REF!</v>
      </c>
      <c r="O195" s="89" t="e">
        <v>#REF!</v>
      </c>
      <c r="P195" s="89" t="e">
        <v>#REF!</v>
      </c>
      <c r="Q195" s="89" t="e">
        <v>#REF!</v>
      </c>
      <c r="R195" s="89" t="e">
        <v>#REF!</v>
      </c>
      <c r="S195" s="89" t="e">
        <f>#REF!</f>
        <v>#REF!</v>
      </c>
      <c r="T195" s="89" t="e">
        <f>#REF!</f>
        <v>#REF!</v>
      </c>
      <c r="U195" s="89" t="e">
        <f>#REF!</f>
        <v>#REF!</v>
      </c>
      <c r="V195" s="89" t="e">
        <f>#REF!</f>
        <v>#REF!</v>
      </c>
      <c r="W195" s="89" t="e">
        <f>#REF!</f>
        <v>#REF!</v>
      </c>
      <c r="X195" s="89" t="e">
        <f>#REF!</f>
        <v>#REF!</v>
      </c>
      <c r="Y195" s="89" t="e">
        <f>#REF!</f>
        <v>#REF!</v>
      </c>
      <c r="Z195" s="89" t="e">
        <f>#REF!</f>
        <v>#REF!</v>
      </c>
      <c r="AA195" s="89" t="e">
        <f>#REF!</f>
        <v>#REF!</v>
      </c>
      <c r="AB195" s="89" t="e">
        <f>#REF!</f>
        <v>#REF!</v>
      </c>
      <c r="AC195" s="89" t="e">
        <f>#REF!</f>
        <v>#REF!</v>
      </c>
      <c r="AD195" s="89" t="e">
        <f>#REF!</f>
        <v>#REF!</v>
      </c>
      <c r="AE195" s="89" t="e">
        <f>#REF!</f>
        <v>#REF!</v>
      </c>
      <c r="AF195" s="89" t="e">
        <f>#REF!</f>
        <v>#REF!</v>
      </c>
      <c r="AG195" s="89" t="e">
        <f>#REF!</f>
        <v>#REF!</v>
      </c>
      <c r="AH195" s="89" t="e">
        <f>#REF!</f>
        <v>#REF!</v>
      </c>
      <c r="AI195" s="89" t="e">
        <f>#REF!</f>
        <v>#REF!</v>
      </c>
      <c r="AJ195" s="89" t="e">
        <f>#REF!</f>
        <v>#REF!</v>
      </c>
      <c r="AK195" s="89" t="e">
        <f>#REF!</f>
        <v>#REF!</v>
      </c>
      <c r="AL195" s="89" t="e">
        <f>#REF!</f>
        <v>#REF!</v>
      </c>
      <c r="AM195" s="89" t="e">
        <f>#REF!</f>
        <v>#REF!</v>
      </c>
      <c r="AN195" s="89" t="e">
        <f>#REF!</f>
        <v>#REF!</v>
      </c>
      <c r="AO195" s="89" t="e">
        <f>#REF!</f>
        <v>#REF!</v>
      </c>
      <c r="AP195" s="89" t="e">
        <f>#REF!</f>
        <v>#REF!</v>
      </c>
      <c r="AQ195" s="89" t="e">
        <f>#REF!</f>
        <v>#REF!</v>
      </c>
      <c r="AR195" s="89" t="e">
        <f>#REF!</f>
        <v>#REF!</v>
      </c>
      <c r="AS195" s="89" t="e">
        <f>#REF!</f>
        <v>#REF!</v>
      </c>
      <c r="AT195" s="89" t="e">
        <f>#REF!</f>
        <v>#REF!</v>
      </c>
      <c r="AU195" s="89" t="e">
        <f>#REF!</f>
        <v>#REF!</v>
      </c>
      <c r="AV195" s="89" t="e">
        <f>#REF!</f>
        <v>#REF!</v>
      </c>
      <c r="AW195" s="89" t="e">
        <f>#REF!</f>
        <v>#REF!</v>
      </c>
      <c r="AX195" s="89" t="e">
        <f>#REF!</f>
        <v>#REF!</v>
      </c>
      <c r="AY195" s="89" t="e">
        <f>#REF!</f>
        <v>#REF!</v>
      </c>
      <c r="AZ195" s="89" t="e">
        <f>#REF!</f>
        <v>#REF!</v>
      </c>
      <c r="BA195" s="89" t="e">
        <f>#REF!</f>
        <v>#REF!</v>
      </c>
      <c r="BB195" s="89" t="e">
        <f>#REF!</f>
        <v>#REF!</v>
      </c>
      <c r="BC195" s="89" t="e">
        <f>#REF!</f>
        <v>#REF!</v>
      </c>
      <c r="BD195" s="89" t="e">
        <f>#REF!</f>
        <v>#REF!</v>
      </c>
      <c r="BE195" s="89" t="e">
        <f>#REF!</f>
        <v>#REF!</v>
      </c>
      <c r="BF195" s="89" t="e">
        <f>#REF!</f>
        <v>#REF!</v>
      </c>
    </row>
    <row r="196" spans="9:58" x14ac:dyDescent="0.25">
      <c r="I196" s="89">
        <f>ABCD!J245</f>
        <v>48</v>
      </c>
      <c r="J196" s="89">
        <f>ABCD!K245</f>
        <v>157.44</v>
      </c>
      <c r="K196" s="89">
        <f>ABCD!L245</f>
        <v>2.8737134627509988</v>
      </c>
      <c r="L196" s="89">
        <f>ABCD!M245</f>
        <v>0.57614603530877906</v>
      </c>
      <c r="M196" s="89">
        <f>ABCD!N245</f>
        <v>2.9308997458115758</v>
      </c>
      <c r="N196" s="89" t="e">
        <v>#REF!</v>
      </c>
      <c r="O196" s="89" t="e">
        <v>#REF!</v>
      </c>
      <c r="P196" s="89" t="e">
        <v>#REF!</v>
      </c>
      <c r="Q196" s="89" t="e">
        <v>#REF!</v>
      </c>
      <c r="R196" s="89" t="e">
        <v>#REF!</v>
      </c>
      <c r="S196" s="89" t="e">
        <f>#REF!</f>
        <v>#REF!</v>
      </c>
      <c r="T196" s="89" t="e">
        <f>#REF!</f>
        <v>#REF!</v>
      </c>
      <c r="U196" s="89" t="e">
        <f>#REF!</f>
        <v>#REF!</v>
      </c>
      <c r="V196" s="89" t="e">
        <f>#REF!</f>
        <v>#REF!</v>
      </c>
      <c r="W196" s="89" t="e">
        <f>#REF!</f>
        <v>#REF!</v>
      </c>
      <c r="X196" s="89" t="e">
        <f>#REF!</f>
        <v>#REF!</v>
      </c>
      <c r="Y196" s="89" t="e">
        <f>#REF!</f>
        <v>#REF!</v>
      </c>
      <c r="Z196" s="89" t="e">
        <f>#REF!</f>
        <v>#REF!</v>
      </c>
      <c r="AA196" s="89" t="e">
        <f>#REF!</f>
        <v>#REF!</v>
      </c>
      <c r="AB196" s="89" t="e">
        <f>#REF!</f>
        <v>#REF!</v>
      </c>
      <c r="AC196" s="89" t="e">
        <f>#REF!</f>
        <v>#REF!</v>
      </c>
      <c r="AD196" s="89" t="e">
        <f>#REF!</f>
        <v>#REF!</v>
      </c>
      <c r="AE196" s="89" t="e">
        <f>#REF!</f>
        <v>#REF!</v>
      </c>
      <c r="AF196" s="89" t="e">
        <f>#REF!</f>
        <v>#REF!</v>
      </c>
      <c r="AG196" s="89" t="e">
        <f>#REF!</f>
        <v>#REF!</v>
      </c>
      <c r="AH196" s="89" t="e">
        <f>#REF!</f>
        <v>#REF!</v>
      </c>
      <c r="AI196" s="89" t="e">
        <f>#REF!</f>
        <v>#REF!</v>
      </c>
      <c r="AJ196" s="89" t="e">
        <f>#REF!</f>
        <v>#REF!</v>
      </c>
      <c r="AK196" s="89" t="e">
        <f>#REF!</f>
        <v>#REF!</v>
      </c>
      <c r="AL196" s="89" t="e">
        <f>#REF!</f>
        <v>#REF!</v>
      </c>
      <c r="AM196" s="89" t="e">
        <f>#REF!</f>
        <v>#REF!</v>
      </c>
      <c r="AN196" s="89" t="e">
        <f>#REF!</f>
        <v>#REF!</v>
      </c>
      <c r="AO196" s="89" t="e">
        <f>#REF!</f>
        <v>#REF!</v>
      </c>
      <c r="AP196" s="89" t="e">
        <f>#REF!</f>
        <v>#REF!</v>
      </c>
      <c r="AQ196" s="89" t="e">
        <f>#REF!</f>
        <v>#REF!</v>
      </c>
      <c r="AR196" s="89" t="e">
        <f>#REF!</f>
        <v>#REF!</v>
      </c>
      <c r="AS196" s="89" t="e">
        <f>#REF!</f>
        <v>#REF!</v>
      </c>
      <c r="AT196" s="89" t="e">
        <f>#REF!</f>
        <v>#REF!</v>
      </c>
      <c r="AU196" s="89" t="e">
        <f>#REF!</f>
        <v>#REF!</v>
      </c>
      <c r="AV196" s="89" t="e">
        <f>#REF!</f>
        <v>#REF!</v>
      </c>
      <c r="AW196" s="89" t="e">
        <f>#REF!</f>
        <v>#REF!</v>
      </c>
      <c r="AX196" s="89" t="e">
        <f>#REF!</f>
        <v>#REF!</v>
      </c>
      <c r="AY196" s="89" t="e">
        <f>#REF!</f>
        <v>#REF!</v>
      </c>
      <c r="AZ196" s="89" t="e">
        <f>#REF!</f>
        <v>#REF!</v>
      </c>
      <c r="BA196" s="89" t="e">
        <f>#REF!</f>
        <v>#REF!</v>
      </c>
      <c r="BB196" s="89" t="e">
        <f>#REF!</f>
        <v>#REF!</v>
      </c>
      <c r="BC196" s="89" t="e">
        <f>#REF!</f>
        <v>#REF!</v>
      </c>
      <c r="BD196" s="89" t="e">
        <f>#REF!</f>
        <v>#REF!</v>
      </c>
      <c r="BE196" s="89" t="e">
        <f>#REF!</f>
        <v>#REF!</v>
      </c>
      <c r="BF196" s="89" t="e">
        <f>#REF!</f>
        <v>#REF!</v>
      </c>
    </row>
    <row r="197" spans="9:58" x14ac:dyDescent="0.25">
      <c r="I197" s="89">
        <f>ABCD!J246</f>
        <v>48.25</v>
      </c>
      <c r="J197" s="89">
        <f>ABCD!K246</f>
        <v>158.26</v>
      </c>
      <c r="K197" s="89">
        <f>ABCD!L246</f>
        <v>2.7843766354916943</v>
      </c>
      <c r="L197" s="89">
        <f>ABCD!M246</f>
        <v>0.56025766812601985</v>
      </c>
      <c r="M197" s="89">
        <f>ABCD!N246</f>
        <v>2.8401834276972417</v>
      </c>
      <c r="N197" s="89" t="e">
        <v>#REF!</v>
      </c>
      <c r="O197" s="89" t="e">
        <v>#REF!</v>
      </c>
      <c r="P197" s="89" t="e">
        <v>#REF!</v>
      </c>
      <c r="Q197" s="89" t="e">
        <v>#REF!</v>
      </c>
      <c r="R197" s="89" t="e">
        <v>#REF!</v>
      </c>
      <c r="S197" s="89" t="e">
        <f>#REF!</f>
        <v>#REF!</v>
      </c>
      <c r="T197" s="89" t="e">
        <f>#REF!</f>
        <v>#REF!</v>
      </c>
      <c r="U197" s="89" t="e">
        <f>#REF!</f>
        <v>#REF!</v>
      </c>
      <c r="V197" s="89" t="e">
        <f>#REF!</f>
        <v>#REF!</v>
      </c>
      <c r="W197" s="89" t="e">
        <f>#REF!</f>
        <v>#REF!</v>
      </c>
      <c r="X197" s="89" t="e">
        <f>#REF!</f>
        <v>#REF!</v>
      </c>
      <c r="Y197" s="89" t="e">
        <f>#REF!</f>
        <v>#REF!</v>
      </c>
      <c r="Z197" s="89" t="e">
        <f>#REF!</f>
        <v>#REF!</v>
      </c>
      <c r="AA197" s="89" t="e">
        <f>#REF!</f>
        <v>#REF!</v>
      </c>
      <c r="AB197" s="89" t="e">
        <f>#REF!</f>
        <v>#REF!</v>
      </c>
      <c r="AC197" s="89" t="e">
        <f>#REF!</f>
        <v>#REF!</v>
      </c>
      <c r="AD197" s="89" t="e">
        <f>#REF!</f>
        <v>#REF!</v>
      </c>
      <c r="AE197" s="89" t="e">
        <f>#REF!</f>
        <v>#REF!</v>
      </c>
      <c r="AF197" s="89" t="e">
        <f>#REF!</f>
        <v>#REF!</v>
      </c>
      <c r="AG197" s="89" t="e">
        <f>#REF!</f>
        <v>#REF!</v>
      </c>
      <c r="AH197" s="89" t="e">
        <f>#REF!</f>
        <v>#REF!</v>
      </c>
      <c r="AI197" s="89" t="e">
        <f>#REF!</f>
        <v>#REF!</v>
      </c>
      <c r="AJ197" s="89" t="e">
        <f>#REF!</f>
        <v>#REF!</v>
      </c>
      <c r="AK197" s="89" t="e">
        <f>#REF!</f>
        <v>#REF!</v>
      </c>
      <c r="AL197" s="89" t="e">
        <f>#REF!</f>
        <v>#REF!</v>
      </c>
      <c r="AM197" s="89" t="e">
        <f>#REF!</f>
        <v>#REF!</v>
      </c>
      <c r="AN197" s="89" t="e">
        <f>#REF!</f>
        <v>#REF!</v>
      </c>
      <c r="AO197" s="89" t="e">
        <f>#REF!</f>
        <v>#REF!</v>
      </c>
      <c r="AP197" s="89" t="e">
        <f>#REF!</f>
        <v>#REF!</v>
      </c>
      <c r="AQ197" s="89" t="e">
        <f>#REF!</f>
        <v>#REF!</v>
      </c>
      <c r="AR197" s="89" t="e">
        <f>#REF!</f>
        <v>#REF!</v>
      </c>
      <c r="AS197" s="89" t="e">
        <f>#REF!</f>
        <v>#REF!</v>
      </c>
      <c r="AT197" s="89" t="e">
        <f>#REF!</f>
        <v>#REF!</v>
      </c>
      <c r="AU197" s="89" t="e">
        <f>#REF!</f>
        <v>#REF!</v>
      </c>
      <c r="AV197" s="89" t="e">
        <f>#REF!</f>
        <v>#REF!</v>
      </c>
      <c r="AW197" s="89" t="e">
        <f>#REF!</f>
        <v>#REF!</v>
      </c>
      <c r="AX197" s="89" t="e">
        <f>#REF!</f>
        <v>#REF!</v>
      </c>
      <c r="AY197" s="89" t="e">
        <f>#REF!</f>
        <v>#REF!</v>
      </c>
      <c r="AZ197" s="89" t="e">
        <f>#REF!</f>
        <v>#REF!</v>
      </c>
      <c r="BA197" s="89" t="e">
        <f>#REF!</f>
        <v>#REF!</v>
      </c>
      <c r="BB197" s="89" t="e">
        <f>#REF!</f>
        <v>#REF!</v>
      </c>
      <c r="BC197" s="89" t="e">
        <f>#REF!</f>
        <v>#REF!</v>
      </c>
      <c r="BD197" s="89" t="e">
        <f>#REF!</f>
        <v>#REF!</v>
      </c>
      <c r="BE197" s="89" t="e">
        <f>#REF!</f>
        <v>#REF!</v>
      </c>
      <c r="BF197" s="89" t="e">
        <f>#REF!</f>
        <v>#REF!</v>
      </c>
    </row>
    <row r="198" spans="9:58" x14ac:dyDescent="0.25">
      <c r="I198" s="89">
        <f>ABCD!J247</f>
        <v>48.5</v>
      </c>
      <c r="J198" s="89">
        <f>ABCD!K247</f>
        <v>159.07999999999998</v>
      </c>
      <c r="K198" s="89">
        <f>ABCD!L247</f>
        <v>2.6944774267088976</v>
      </c>
      <c r="L198" s="89">
        <f>ABCD!M247</f>
        <v>0.54425426355813356</v>
      </c>
      <c r="M198" s="89">
        <f>ABCD!N247</f>
        <v>2.7488945608089459</v>
      </c>
      <c r="N198" s="89" t="e">
        <v>#REF!</v>
      </c>
      <c r="O198" s="89" t="e">
        <v>#REF!</v>
      </c>
      <c r="P198" s="89" t="e">
        <v>#REF!</v>
      </c>
      <c r="Q198" s="89" t="e">
        <v>#REF!</v>
      </c>
      <c r="R198" s="89" t="e">
        <v>#REF!</v>
      </c>
      <c r="S198" s="89" t="e">
        <f>#REF!</f>
        <v>#REF!</v>
      </c>
      <c r="T198" s="89" t="e">
        <f>#REF!</f>
        <v>#REF!</v>
      </c>
      <c r="U198" s="89" t="e">
        <f>#REF!</f>
        <v>#REF!</v>
      </c>
      <c r="V198" s="89" t="e">
        <f>#REF!</f>
        <v>#REF!</v>
      </c>
      <c r="W198" s="89" t="e">
        <f>#REF!</f>
        <v>#REF!</v>
      </c>
      <c r="X198" s="89" t="e">
        <f>#REF!</f>
        <v>#REF!</v>
      </c>
      <c r="Y198" s="89" t="e">
        <f>#REF!</f>
        <v>#REF!</v>
      </c>
      <c r="Z198" s="89" t="e">
        <f>#REF!</f>
        <v>#REF!</v>
      </c>
      <c r="AA198" s="89" t="e">
        <f>#REF!</f>
        <v>#REF!</v>
      </c>
      <c r="AB198" s="89" t="e">
        <f>#REF!</f>
        <v>#REF!</v>
      </c>
      <c r="AC198" s="89" t="e">
        <f>#REF!</f>
        <v>#REF!</v>
      </c>
      <c r="AD198" s="89" t="e">
        <f>#REF!</f>
        <v>#REF!</v>
      </c>
      <c r="AE198" s="89" t="e">
        <f>#REF!</f>
        <v>#REF!</v>
      </c>
      <c r="AF198" s="89" t="e">
        <f>#REF!</f>
        <v>#REF!</v>
      </c>
      <c r="AG198" s="89" t="e">
        <f>#REF!</f>
        <v>#REF!</v>
      </c>
      <c r="AH198" s="89" t="e">
        <f>#REF!</f>
        <v>#REF!</v>
      </c>
      <c r="AI198" s="89" t="e">
        <f>#REF!</f>
        <v>#REF!</v>
      </c>
      <c r="AJ198" s="89" t="e">
        <f>#REF!</f>
        <v>#REF!</v>
      </c>
      <c r="AK198" s="89" t="e">
        <f>#REF!</f>
        <v>#REF!</v>
      </c>
      <c r="AL198" s="89" t="e">
        <f>#REF!</f>
        <v>#REF!</v>
      </c>
      <c r="AM198" s="89" t="e">
        <f>#REF!</f>
        <v>#REF!</v>
      </c>
      <c r="AN198" s="89" t="e">
        <f>#REF!</f>
        <v>#REF!</v>
      </c>
      <c r="AO198" s="89" t="e">
        <f>#REF!</f>
        <v>#REF!</v>
      </c>
      <c r="AP198" s="89" t="e">
        <f>#REF!</f>
        <v>#REF!</v>
      </c>
      <c r="AQ198" s="89" t="e">
        <f>#REF!</f>
        <v>#REF!</v>
      </c>
      <c r="AR198" s="89" t="e">
        <f>#REF!</f>
        <v>#REF!</v>
      </c>
      <c r="AS198" s="89" t="e">
        <f>#REF!</f>
        <v>#REF!</v>
      </c>
      <c r="AT198" s="89" t="e">
        <f>#REF!</f>
        <v>#REF!</v>
      </c>
      <c r="AU198" s="89" t="e">
        <f>#REF!</f>
        <v>#REF!</v>
      </c>
      <c r="AV198" s="89" t="e">
        <f>#REF!</f>
        <v>#REF!</v>
      </c>
      <c r="AW198" s="89" t="e">
        <f>#REF!</f>
        <v>#REF!</v>
      </c>
      <c r="AX198" s="89" t="e">
        <f>#REF!</f>
        <v>#REF!</v>
      </c>
      <c r="AY198" s="89" t="e">
        <f>#REF!</f>
        <v>#REF!</v>
      </c>
      <c r="AZ198" s="89" t="e">
        <f>#REF!</f>
        <v>#REF!</v>
      </c>
      <c r="BA198" s="89" t="e">
        <f>#REF!</f>
        <v>#REF!</v>
      </c>
      <c r="BB198" s="89" t="e">
        <f>#REF!</f>
        <v>#REF!</v>
      </c>
      <c r="BC198" s="89" t="e">
        <f>#REF!</f>
        <v>#REF!</v>
      </c>
      <c r="BD198" s="89" t="e">
        <f>#REF!</f>
        <v>#REF!</v>
      </c>
      <c r="BE198" s="89" t="e">
        <f>#REF!</f>
        <v>#REF!</v>
      </c>
      <c r="BF198" s="89" t="e">
        <f>#REF!</f>
        <v>#REF!</v>
      </c>
    </row>
    <row r="199" spans="9:58" x14ac:dyDescent="0.25">
      <c r="I199" s="89">
        <f>ABCD!J248</f>
        <v>48.75</v>
      </c>
      <c r="J199" s="89">
        <f>ABCD!K248</f>
        <v>159.89999999999998</v>
      </c>
      <c r="K199" s="89">
        <f>ABCD!L248</f>
        <v>2.6040370947483256</v>
      </c>
      <c r="L199" s="89">
        <f>ABCD!M248</f>
        <v>0.52813961933531184</v>
      </c>
      <c r="M199" s="89">
        <f>ABCD!N248</f>
        <v>2.6570548824472837</v>
      </c>
      <c r="N199" s="89" t="e">
        <v>#REF!</v>
      </c>
      <c r="O199" s="89" t="e">
        <v>#REF!</v>
      </c>
      <c r="P199" s="89" t="e">
        <v>#REF!</v>
      </c>
      <c r="Q199" s="89" t="e">
        <v>#REF!</v>
      </c>
      <c r="R199" s="89" t="e">
        <v>#REF!</v>
      </c>
      <c r="S199" s="89" t="e">
        <f>#REF!</f>
        <v>#REF!</v>
      </c>
      <c r="T199" s="89" t="e">
        <f>#REF!</f>
        <v>#REF!</v>
      </c>
      <c r="U199" s="89" t="e">
        <f>#REF!</f>
        <v>#REF!</v>
      </c>
      <c r="V199" s="89" t="e">
        <f>#REF!</f>
        <v>#REF!</v>
      </c>
      <c r="W199" s="89" t="e">
        <f>#REF!</f>
        <v>#REF!</v>
      </c>
      <c r="X199" s="89" t="e">
        <f>#REF!</f>
        <v>#REF!</v>
      </c>
      <c r="Y199" s="89" t="e">
        <f>#REF!</f>
        <v>#REF!</v>
      </c>
      <c r="Z199" s="89" t="e">
        <f>#REF!</f>
        <v>#REF!</v>
      </c>
      <c r="AA199" s="89" t="e">
        <f>#REF!</f>
        <v>#REF!</v>
      </c>
      <c r="AB199" s="89" t="e">
        <f>#REF!</f>
        <v>#REF!</v>
      </c>
      <c r="AC199" s="89" t="e">
        <f>#REF!</f>
        <v>#REF!</v>
      </c>
      <c r="AD199" s="89" t="e">
        <f>#REF!</f>
        <v>#REF!</v>
      </c>
      <c r="AE199" s="89" t="e">
        <f>#REF!</f>
        <v>#REF!</v>
      </c>
      <c r="AF199" s="89" t="e">
        <f>#REF!</f>
        <v>#REF!</v>
      </c>
      <c r="AG199" s="89" t="e">
        <f>#REF!</f>
        <v>#REF!</v>
      </c>
      <c r="AH199" s="89" t="e">
        <f>#REF!</f>
        <v>#REF!</v>
      </c>
      <c r="AI199" s="89" t="e">
        <f>#REF!</f>
        <v>#REF!</v>
      </c>
      <c r="AJ199" s="89" t="e">
        <f>#REF!</f>
        <v>#REF!</v>
      </c>
      <c r="AK199" s="89" t="e">
        <f>#REF!</f>
        <v>#REF!</v>
      </c>
      <c r="AL199" s="89" t="e">
        <f>#REF!</f>
        <v>#REF!</v>
      </c>
      <c r="AM199" s="89" t="e">
        <f>#REF!</f>
        <v>#REF!</v>
      </c>
      <c r="AN199" s="89" t="e">
        <f>#REF!</f>
        <v>#REF!</v>
      </c>
      <c r="AO199" s="89" t="e">
        <f>#REF!</f>
        <v>#REF!</v>
      </c>
      <c r="AP199" s="89" t="e">
        <f>#REF!</f>
        <v>#REF!</v>
      </c>
      <c r="AQ199" s="89" t="e">
        <f>#REF!</f>
        <v>#REF!</v>
      </c>
      <c r="AR199" s="89" t="e">
        <f>#REF!</f>
        <v>#REF!</v>
      </c>
      <c r="AS199" s="89" t="e">
        <f>#REF!</f>
        <v>#REF!</v>
      </c>
      <c r="AT199" s="89" t="e">
        <f>#REF!</f>
        <v>#REF!</v>
      </c>
      <c r="AU199" s="89" t="e">
        <f>#REF!</f>
        <v>#REF!</v>
      </c>
      <c r="AV199" s="89" t="e">
        <f>#REF!</f>
        <v>#REF!</v>
      </c>
      <c r="AW199" s="89" t="e">
        <f>#REF!</f>
        <v>#REF!</v>
      </c>
      <c r="AX199" s="89" t="e">
        <f>#REF!</f>
        <v>#REF!</v>
      </c>
      <c r="AY199" s="89" t="e">
        <f>#REF!</f>
        <v>#REF!</v>
      </c>
      <c r="AZ199" s="89" t="e">
        <f>#REF!</f>
        <v>#REF!</v>
      </c>
      <c r="BA199" s="89" t="e">
        <f>#REF!</f>
        <v>#REF!</v>
      </c>
      <c r="BB199" s="89" t="e">
        <f>#REF!</f>
        <v>#REF!</v>
      </c>
      <c r="BC199" s="89" t="e">
        <f>#REF!</f>
        <v>#REF!</v>
      </c>
      <c r="BD199" s="89" t="e">
        <f>#REF!</f>
        <v>#REF!</v>
      </c>
      <c r="BE199" s="89" t="e">
        <f>#REF!</f>
        <v>#REF!</v>
      </c>
      <c r="BF199" s="89" t="e">
        <f>#REF!</f>
        <v>#REF!</v>
      </c>
    </row>
    <row r="200" spans="9:58" x14ac:dyDescent="0.25">
      <c r="I200" s="89">
        <f>ABCD!J249</f>
        <v>49</v>
      </c>
      <c r="J200" s="89">
        <f>ABCD!K249</f>
        <v>160.72</v>
      </c>
      <c r="K200" s="89">
        <f>ABCD!L249</f>
        <v>2.513077003745261</v>
      </c>
      <c r="L200" s="89">
        <f>ABCD!M249</f>
        <v>0.5119175554500095</v>
      </c>
      <c r="M200" s="89">
        <f>ABCD!N249</f>
        <v>2.5646862596292692</v>
      </c>
      <c r="N200" s="89" t="e">
        <v>#REF!</v>
      </c>
      <c r="O200" s="89" t="e">
        <v>#REF!</v>
      </c>
      <c r="P200" s="89" t="e">
        <v>#REF!</v>
      </c>
      <c r="Q200" s="89" t="e">
        <v>#REF!</v>
      </c>
      <c r="R200" s="89" t="e">
        <v>#REF!</v>
      </c>
      <c r="S200" s="89" t="e">
        <f>#REF!</f>
        <v>#REF!</v>
      </c>
      <c r="T200" s="89" t="e">
        <f>#REF!</f>
        <v>#REF!</v>
      </c>
      <c r="U200" s="89" t="e">
        <f>#REF!</f>
        <v>#REF!</v>
      </c>
      <c r="V200" s="89" t="e">
        <f>#REF!</f>
        <v>#REF!</v>
      </c>
      <c r="W200" s="89" t="e">
        <f>#REF!</f>
        <v>#REF!</v>
      </c>
      <c r="X200" s="89" t="e">
        <f>#REF!</f>
        <v>#REF!</v>
      </c>
      <c r="Y200" s="89" t="e">
        <f>#REF!</f>
        <v>#REF!</v>
      </c>
      <c r="Z200" s="89" t="e">
        <f>#REF!</f>
        <v>#REF!</v>
      </c>
      <c r="AA200" s="89" t="e">
        <f>#REF!</f>
        <v>#REF!</v>
      </c>
      <c r="AB200" s="89" t="e">
        <f>#REF!</f>
        <v>#REF!</v>
      </c>
      <c r="AC200" s="89" t="e">
        <f>#REF!</f>
        <v>#REF!</v>
      </c>
      <c r="AD200" s="89" t="e">
        <f>#REF!</f>
        <v>#REF!</v>
      </c>
      <c r="AE200" s="89" t="e">
        <f>#REF!</f>
        <v>#REF!</v>
      </c>
      <c r="AF200" s="89" t="e">
        <f>#REF!</f>
        <v>#REF!</v>
      </c>
      <c r="AG200" s="89" t="e">
        <f>#REF!</f>
        <v>#REF!</v>
      </c>
      <c r="AH200" s="89" t="e">
        <f>#REF!</f>
        <v>#REF!</v>
      </c>
      <c r="AI200" s="89" t="e">
        <f>#REF!</f>
        <v>#REF!</v>
      </c>
      <c r="AJ200" s="89" t="e">
        <f>#REF!</f>
        <v>#REF!</v>
      </c>
      <c r="AK200" s="89" t="e">
        <f>#REF!</f>
        <v>#REF!</v>
      </c>
      <c r="AL200" s="89" t="e">
        <f>#REF!</f>
        <v>#REF!</v>
      </c>
      <c r="AM200" s="89" t="e">
        <f>#REF!</f>
        <v>#REF!</v>
      </c>
      <c r="AN200" s="89" t="e">
        <f>#REF!</f>
        <v>#REF!</v>
      </c>
      <c r="AO200" s="89" t="e">
        <f>#REF!</f>
        <v>#REF!</v>
      </c>
      <c r="AP200" s="89" t="e">
        <f>#REF!</f>
        <v>#REF!</v>
      </c>
      <c r="AQ200" s="89" t="e">
        <f>#REF!</f>
        <v>#REF!</v>
      </c>
      <c r="AR200" s="89" t="e">
        <f>#REF!</f>
        <v>#REF!</v>
      </c>
      <c r="AS200" s="89" t="e">
        <f>#REF!</f>
        <v>#REF!</v>
      </c>
      <c r="AT200" s="89" t="e">
        <f>#REF!</f>
        <v>#REF!</v>
      </c>
      <c r="AU200" s="89" t="e">
        <f>#REF!</f>
        <v>#REF!</v>
      </c>
      <c r="AV200" s="89" t="e">
        <f>#REF!</f>
        <v>#REF!</v>
      </c>
      <c r="AW200" s="89" t="e">
        <f>#REF!</f>
        <v>#REF!</v>
      </c>
      <c r="AX200" s="89" t="e">
        <f>#REF!</f>
        <v>#REF!</v>
      </c>
      <c r="AY200" s="89" t="e">
        <f>#REF!</f>
        <v>#REF!</v>
      </c>
      <c r="AZ200" s="89" t="e">
        <f>#REF!</f>
        <v>#REF!</v>
      </c>
      <c r="BA200" s="89" t="e">
        <f>#REF!</f>
        <v>#REF!</v>
      </c>
      <c r="BB200" s="89" t="e">
        <f>#REF!</f>
        <v>#REF!</v>
      </c>
      <c r="BC200" s="89" t="e">
        <f>#REF!</f>
        <v>#REF!</v>
      </c>
      <c r="BD200" s="89" t="e">
        <f>#REF!</f>
        <v>#REF!</v>
      </c>
      <c r="BE200" s="89" t="e">
        <f>#REF!</f>
        <v>#REF!</v>
      </c>
      <c r="BF200" s="89" t="e">
        <f>#REF!</f>
        <v>#REF!</v>
      </c>
    </row>
    <row r="201" spans="9:58" x14ac:dyDescent="0.25">
      <c r="I201" s="89">
        <f>ABCD!J250</f>
        <v>49.25</v>
      </c>
      <c r="J201" s="89">
        <f>ABCD!K250</f>
        <v>161.54</v>
      </c>
      <c r="K201" s="89">
        <f>ABCD!L250</f>
        <v>2.4216186185976536</v>
      </c>
      <c r="L201" s="89">
        <f>ABCD!M250</f>
        <v>0.49559191325511209</v>
      </c>
      <c r="M201" s="89">
        <f>ABCD!N250</f>
        <v>2.4718106882248629</v>
      </c>
      <c r="N201" s="89" t="e">
        <v>#REF!</v>
      </c>
      <c r="O201" s="89" t="e">
        <v>#REF!</v>
      </c>
      <c r="P201" s="89" t="e">
        <v>#REF!</v>
      </c>
      <c r="Q201" s="89" t="e">
        <v>#REF!</v>
      </c>
      <c r="R201" s="89" t="e">
        <v>#REF!</v>
      </c>
      <c r="S201" s="89" t="e">
        <f>#REF!</f>
        <v>#REF!</v>
      </c>
      <c r="T201" s="89" t="e">
        <f>#REF!</f>
        <v>#REF!</v>
      </c>
      <c r="U201" s="89" t="e">
        <f>#REF!</f>
        <v>#REF!</v>
      </c>
      <c r="V201" s="89" t="e">
        <f>#REF!</f>
        <v>#REF!</v>
      </c>
      <c r="W201" s="89" t="e">
        <f>#REF!</f>
        <v>#REF!</v>
      </c>
      <c r="X201" s="89" t="e">
        <f>#REF!</f>
        <v>#REF!</v>
      </c>
      <c r="Y201" s="89" t="e">
        <f>#REF!</f>
        <v>#REF!</v>
      </c>
      <c r="Z201" s="89" t="e">
        <f>#REF!</f>
        <v>#REF!</v>
      </c>
      <c r="AA201" s="89" t="e">
        <f>#REF!</f>
        <v>#REF!</v>
      </c>
      <c r="AB201" s="89" t="e">
        <f>#REF!</f>
        <v>#REF!</v>
      </c>
      <c r="AC201" s="89" t="e">
        <f>#REF!</f>
        <v>#REF!</v>
      </c>
      <c r="AD201" s="89" t="e">
        <f>#REF!</f>
        <v>#REF!</v>
      </c>
      <c r="AE201" s="89" t="e">
        <f>#REF!</f>
        <v>#REF!</v>
      </c>
      <c r="AF201" s="89" t="e">
        <f>#REF!</f>
        <v>#REF!</v>
      </c>
      <c r="AG201" s="89" t="e">
        <f>#REF!</f>
        <v>#REF!</v>
      </c>
      <c r="AH201" s="89" t="e">
        <f>#REF!</f>
        <v>#REF!</v>
      </c>
      <c r="AI201" s="89" t="e">
        <f>#REF!</f>
        <v>#REF!</v>
      </c>
      <c r="AJ201" s="89" t="e">
        <f>#REF!</f>
        <v>#REF!</v>
      </c>
      <c r="AK201" s="89" t="e">
        <f>#REF!</f>
        <v>#REF!</v>
      </c>
      <c r="AL201" s="89" t="e">
        <f>#REF!</f>
        <v>#REF!</v>
      </c>
      <c r="AM201" s="89" t="e">
        <f>#REF!</f>
        <v>#REF!</v>
      </c>
      <c r="AN201" s="89" t="e">
        <f>#REF!</f>
        <v>#REF!</v>
      </c>
      <c r="AO201" s="89" t="e">
        <f>#REF!</f>
        <v>#REF!</v>
      </c>
      <c r="AP201" s="89" t="e">
        <f>#REF!</f>
        <v>#REF!</v>
      </c>
      <c r="AQ201" s="89" t="e">
        <f>#REF!</f>
        <v>#REF!</v>
      </c>
      <c r="AR201" s="89" t="e">
        <f>#REF!</f>
        <v>#REF!</v>
      </c>
      <c r="AS201" s="89" t="e">
        <f>#REF!</f>
        <v>#REF!</v>
      </c>
      <c r="AT201" s="89" t="e">
        <f>#REF!</f>
        <v>#REF!</v>
      </c>
      <c r="AU201" s="89" t="e">
        <f>#REF!</f>
        <v>#REF!</v>
      </c>
      <c r="AV201" s="89" t="e">
        <f>#REF!</f>
        <v>#REF!</v>
      </c>
      <c r="AW201" s="89" t="e">
        <f>#REF!</f>
        <v>#REF!</v>
      </c>
      <c r="AX201" s="89" t="e">
        <f>#REF!</f>
        <v>#REF!</v>
      </c>
      <c r="AY201" s="89" t="e">
        <f>#REF!</f>
        <v>#REF!</v>
      </c>
      <c r="AZ201" s="89" t="e">
        <f>#REF!</f>
        <v>#REF!</v>
      </c>
      <c r="BA201" s="89" t="e">
        <f>#REF!</f>
        <v>#REF!</v>
      </c>
      <c r="BB201" s="89" t="e">
        <f>#REF!</f>
        <v>#REF!</v>
      </c>
      <c r="BC201" s="89" t="e">
        <f>#REF!</f>
        <v>#REF!</v>
      </c>
      <c r="BD201" s="89" t="e">
        <f>#REF!</f>
        <v>#REF!</v>
      </c>
      <c r="BE201" s="89" t="e">
        <f>#REF!</f>
        <v>#REF!</v>
      </c>
      <c r="BF201" s="89" t="e">
        <f>#REF!</f>
        <v>#REF!</v>
      </c>
    </row>
    <row r="202" spans="9:58" x14ac:dyDescent="0.25">
      <c r="I202" s="89">
        <f>ABCD!J251</f>
        <v>49.5</v>
      </c>
      <c r="J202" s="89">
        <f>ABCD!K251</f>
        <v>162.35999999999999</v>
      </c>
      <c r="K202" s="89">
        <f>ABCD!L251</f>
        <v>2.3296834999204785</v>
      </c>
      <c r="L202" s="89">
        <f>ABCD!M251</f>
        <v>0.47916655455796198</v>
      </c>
      <c r="M202" s="89">
        <f>ABCD!N251</f>
        <v>2.3784502931128659</v>
      </c>
      <c r="N202" s="89" t="e">
        <v>#REF!</v>
      </c>
      <c r="O202" s="89" t="e">
        <v>#REF!</v>
      </c>
      <c r="P202" s="89" t="e">
        <v>#REF!</v>
      </c>
      <c r="Q202" s="89" t="e">
        <v>#REF!</v>
      </c>
      <c r="R202" s="89" t="e">
        <v>#REF!</v>
      </c>
      <c r="S202" s="89" t="e">
        <f>#REF!</f>
        <v>#REF!</v>
      </c>
      <c r="T202" s="89" t="e">
        <f>#REF!</f>
        <v>#REF!</v>
      </c>
      <c r="U202" s="89" t="e">
        <f>#REF!</f>
        <v>#REF!</v>
      </c>
      <c r="V202" s="89" t="e">
        <f>#REF!</f>
        <v>#REF!</v>
      </c>
      <c r="W202" s="89" t="e">
        <f>#REF!</f>
        <v>#REF!</v>
      </c>
      <c r="X202" s="89" t="e">
        <f>#REF!</f>
        <v>#REF!</v>
      </c>
      <c r="Y202" s="89" t="e">
        <f>#REF!</f>
        <v>#REF!</v>
      </c>
      <c r="Z202" s="89" t="e">
        <f>#REF!</f>
        <v>#REF!</v>
      </c>
      <c r="AA202" s="89" t="e">
        <f>#REF!</f>
        <v>#REF!</v>
      </c>
      <c r="AB202" s="89" t="e">
        <f>#REF!</f>
        <v>#REF!</v>
      </c>
      <c r="AC202" s="89" t="e">
        <f>#REF!</f>
        <v>#REF!</v>
      </c>
      <c r="AD202" s="89" t="e">
        <f>#REF!</f>
        <v>#REF!</v>
      </c>
      <c r="AE202" s="89" t="e">
        <f>#REF!</f>
        <v>#REF!</v>
      </c>
      <c r="AF202" s="89" t="e">
        <f>#REF!</f>
        <v>#REF!</v>
      </c>
      <c r="AG202" s="89" t="e">
        <f>#REF!</f>
        <v>#REF!</v>
      </c>
      <c r="AH202" s="89" t="e">
        <f>#REF!</f>
        <v>#REF!</v>
      </c>
      <c r="AI202" s="89" t="e">
        <f>#REF!</f>
        <v>#REF!</v>
      </c>
      <c r="AJ202" s="89" t="e">
        <f>#REF!</f>
        <v>#REF!</v>
      </c>
      <c r="AK202" s="89" t="e">
        <f>#REF!</f>
        <v>#REF!</v>
      </c>
      <c r="AL202" s="89" t="e">
        <f>#REF!</f>
        <v>#REF!</v>
      </c>
      <c r="AM202" s="89" t="e">
        <f>#REF!</f>
        <v>#REF!</v>
      </c>
      <c r="AN202" s="89" t="e">
        <f>#REF!</f>
        <v>#REF!</v>
      </c>
      <c r="AO202" s="89" t="e">
        <f>#REF!</f>
        <v>#REF!</v>
      </c>
      <c r="AP202" s="89" t="e">
        <f>#REF!</f>
        <v>#REF!</v>
      </c>
      <c r="AQ202" s="89" t="e">
        <f>#REF!</f>
        <v>#REF!</v>
      </c>
      <c r="AR202" s="89" t="e">
        <f>#REF!</f>
        <v>#REF!</v>
      </c>
      <c r="AS202" s="89" t="e">
        <f>#REF!</f>
        <v>#REF!</v>
      </c>
      <c r="AT202" s="89" t="e">
        <f>#REF!</f>
        <v>#REF!</v>
      </c>
      <c r="AU202" s="89" t="e">
        <f>#REF!</f>
        <v>#REF!</v>
      </c>
      <c r="AV202" s="89" t="e">
        <f>#REF!</f>
        <v>#REF!</v>
      </c>
      <c r="AW202" s="89" t="e">
        <f>#REF!</f>
        <v>#REF!</v>
      </c>
      <c r="AX202" s="89" t="e">
        <f>#REF!</f>
        <v>#REF!</v>
      </c>
      <c r="AY202" s="89" t="e">
        <f>#REF!</f>
        <v>#REF!</v>
      </c>
      <c r="AZ202" s="89" t="e">
        <f>#REF!</f>
        <v>#REF!</v>
      </c>
      <c r="BA202" s="89" t="e">
        <f>#REF!</f>
        <v>#REF!</v>
      </c>
      <c r="BB202" s="89" t="e">
        <f>#REF!</f>
        <v>#REF!</v>
      </c>
      <c r="BC202" s="89" t="e">
        <f>#REF!</f>
        <v>#REF!</v>
      </c>
      <c r="BD202" s="89" t="e">
        <f>#REF!</f>
        <v>#REF!</v>
      </c>
      <c r="BE202" s="89" t="e">
        <f>#REF!</f>
        <v>#REF!</v>
      </c>
      <c r="BF202" s="89" t="e">
        <f>#REF!</f>
        <v>#REF!</v>
      </c>
    </row>
    <row r="203" spans="9:58" x14ac:dyDescent="0.25">
      <c r="I203" s="89">
        <f>ABCD!J252</f>
        <v>49.75</v>
      </c>
      <c r="J203" s="89">
        <f>ABCD!K252</f>
        <v>163.17999999999998</v>
      </c>
      <c r="K203" s="89">
        <f>ABCD!L252</f>
        <v>2.2372932989825869</v>
      </c>
      <c r="L203" s="89">
        <f>ABCD!M252</f>
        <v>0.46264536071051188</v>
      </c>
      <c r="M203" s="89">
        <f>ABCD!N252</f>
        <v>2.2846273296665576</v>
      </c>
      <c r="N203" s="89" t="e">
        <v>#REF!</v>
      </c>
      <c r="O203" s="89" t="e">
        <v>#REF!</v>
      </c>
      <c r="P203" s="89" t="e">
        <v>#REF!</v>
      </c>
      <c r="Q203" s="89" t="e">
        <v>#REF!</v>
      </c>
      <c r="R203" s="89" t="e">
        <v>#REF!</v>
      </c>
      <c r="S203" s="89" t="e">
        <f>#REF!</f>
        <v>#REF!</v>
      </c>
      <c r="T203" s="89" t="e">
        <f>#REF!</f>
        <v>#REF!</v>
      </c>
      <c r="U203" s="89" t="e">
        <f>#REF!</f>
        <v>#REF!</v>
      </c>
      <c r="V203" s="89" t="e">
        <f>#REF!</f>
        <v>#REF!</v>
      </c>
      <c r="W203" s="89" t="e">
        <f>#REF!</f>
        <v>#REF!</v>
      </c>
      <c r="X203" s="89" t="e">
        <f>#REF!</f>
        <v>#REF!</v>
      </c>
      <c r="Y203" s="89" t="e">
        <f>#REF!</f>
        <v>#REF!</v>
      </c>
      <c r="Z203" s="89" t="e">
        <f>#REF!</f>
        <v>#REF!</v>
      </c>
      <c r="AA203" s="89" t="e">
        <f>#REF!</f>
        <v>#REF!</v>
      </c>
      <c r="AB203" s="89" t="e">
        <f>#REF!</f>
        <v>#REF!</v>
      </c>
      <c r="AC203" s="89" t="e">
        <f>#REF!</f>
        <v>#REF!</v>
      </c>
      <c r="AD203" s="89" t="e">
        <f>#REF!</f>
        <v>#REF!</v>
      </c>
      <c r="AE203" s="89" t="e">
        <f>#REF!</f>
        <v>#REF!</v>
      </c>
      <c r="AF203" s="89" t="e">
        <f>#REF!</f>
        <v>#REF!</v>
      </c>
      <c r="AG203" s="89" t="e">
        <f>#REF!</f>
        <v>#REF!</v>
      </c>
      <c r="AH203" s="89" t="e">
        <f>#REF!</f>
        <v>#REF!</v>
      </c>
      <c r="AI203" s="89" t="e">
        <f>#REF!</f>
        <v>#REF!</v>
      </c>
      <c r="AJ203" s="89" t="e">
        <f>#REF!</f>
        <v>#REF!</v>
      </c>
      <c r="AK203" s="89" t="e">
        <f>#REF!</f>
        <v>#REF!</v>
      </c>
      <c r="AL203" s="89" t="e">
        <f>#REF!</f>
        <v>#REF!</v>
      </c>
      <c r="AM203" s="89" t="e">
        <f>#REF!</f>
        <v>#REF!</v>
      </c>
      <c r="AN203" s="89" t="e">
        <f>#REF!</f>
        <v>#REF!</v>
      </c>
      <c r="AO203" s="89" t="e">
        <f>#REF!</f>
        <v>#REF!</v>
      </c>
      <c r="AP203" s="89" t="e">
        <f>#REF!</f>
        <v>#REF!</v>
      </c>
      <c r="AQ203" s="89" t="e">
        <f>#REF!</f>
        <v>#REF!</v>
      </c>
      <c r="AR203" s="89" t="e">
        <f>#REF!</f>
        <v>#REF!</v>
      </c>
      <c r="AS203" s="89" t="e">
        <f>#REF!</f>
        <v>#REF!</v>
      </c>
      <c r="AT203" s="89" t="e">
        <f>#REF!</f>
        <v>#REF!</v>
      </c>
      <c r="AU203" s="89" t="e">
        <f>#REF!</f>
        <v>#REF!</v>
      </c>
      <c r="AV203" s="89" t="e">
        <f>#REF!</f>
        <v>#REF!</v>
      </c>
      <c r="AW203" s="89" t="e">
        <f>#REF!</f>
        <v>#REF!</v>
      </c>
      <c r="AX203" s="89" t="e">
        <f>#REF!</f>
        <v>#REF!</v>
      </c>
      <c r="AY203" s="89" t="e">
        <f>#REF!</f>
        <v>#REF!</v>
      </c>
      <c r="AZ203" s="89" t="e">
        <f>#REF!</f>
        <v>#REF!</v>
      </c>
      <c r="BA203" s="89" t="e">
        <f>#REF!</f>
        <v>#REF!</v>
      </c>
      <c r="BB203" s="89" t="e">
        <f>#REF!</f>
        <v>#REF!</v>
      </c>
      <c r="BC203" s="89" t="e">
        <f>#REF!</f>
        <v>#REF!</v>
      </c>
      <c r="BD203" s="89" t="e">
        <f>#REF!</f>
        <v>#REF!</v>
      </c>
      <c r="BE203" s="89" t="e">
        <f>#REF!</f>
        <v>#REF!</v>
      </c>
      <c r="BF203" s="89" t="e">
        <f>#REF!</f>
        <v>#REF!</v>
      </c>
    </row>
    <row r="204" spans="9:58" x14ac:dyDescent="0.25">
      <c r="I204" s="89">
        <f>ABCD!J253</f>
        <v>50</v>
      </c>
      <c r="J204" s="89">
        <f>ABCD!K253</f>
        <v>164</v>
      </c>
      <c r="K204" s="89">
        <f>ABCD!L253</f>
        <v>2.1444697526271126</v>
      </c>
      <c r="L204" s="89">
        <f>ABCD!M253</f>
        <v>0.44603223169574813</v>
      </c>
      <c r="M204" s="89">
        <f>ABCD!N253</f>
        <v>2.1903641869890218</v>
      </c>
      <c r="N204" s="89" t="e">
        <v>#REF!</v>
      </c>
      <c r="O204" s="89" t="e">
        <v>#REF!</v>
      </c>
      <c r="P204" s="89" t="e">
        <v>#REF!</v>
      </c>
      <c r="Q204" s="89" t="e">
        <v>#REF!</v>
      </c>
      <c r="R204" s="89" t="e">
        <v>#REF!</v>
      </c>
      <c r="S204" s="89" t="e">
        <f>#REF!</f>
        <v>#REF!</v>
      </c>
      <c r="T204" s="89" t="e">
        <f>#REF!</f>
        <v>#REF!</v>
      </c>
      <c r="U204" s="89" t="e">
        <f>#REF!</f>
        <v>#REF!</v>
      </c>
      <c r="V204" s="89" t="e">
        <f>#REF!</f>
        <v>#REF!</v>
      </c>
      <c r="W204" s="89" t="e">
        <f>#REF!</f>
        <v>#REF!</v>
      </c>
      <c r="X204" s="89" t="e">
        <f>#REF!</f>
        <v>#REF!</v>
      </c>
      <c r="Y204" s="89" t="e">
        <f>#REF!</f>
        <v>#REF!</v>
      </c>
      <c r="Z204" s="89" t="e">
        <f>#REF!</f>
        <v>#REF!</v>
      </c>
      <c r="AA204" s="89" t="e">
        <f>#REF!</f>
        <v>#REF!</v>
      </c>
      <c r="AB204" s="89" t="e">
        <f>#REF!</f>
        <v>#REF!</v>
      </c>
      <c r="AC204" s="89" t="e">
        <f>#REF!</f>
        <v>#REF!</v>
      </c>
      <c r="AD204" s="89" t="e">
        <f>#REF!</f>
        <v>#REF!</v>
      </c>
      <c r="AE204" s="89" t="e">
        <f>#REF!</f>
        <v>#REF!</v>
      </c>
      <c r="AF204" s="89" t="e">
        <f>#REF!</f>
        <v>#REF!</v>
      </c>
      <c r="AG204" s="89" t="e">
        <f>#REF!</f>
        <v>#REF!</v>
      </c>
      <c r="AH204" s="89" t="e">
        <f>#REF!</f>
        <v>#REF!</v>
      </c>
      <c r="AI204" s="89" t="e">
        <f>#REF!</f>
        <v>#REF!</v>
      </c>
      <c r="AJ204" s="89" t="e">
        <f>#REF!</f>
        <v>#REF!</v>
      </c>
      <c r="AK204" s="89" t="e">
        <f>#REF!</f>
        <v>#REF!</v>
      </c>
      <c r="AL204" s="89" t="e">
        <f>#REF!</f>
        <v>#REF!</v>
      </c>
      <c r="AM204" s="89" t="e">
        <f>#REF!</f>
        <v>#REF!</v>
      </c>
      <c r="AN204" s="89" t="e">
        <f>#REF!</f>
        <v>#REF!</v>
      </c>
      <c r="AO204" s="89" t="e">
        <f>#REF!</f>
        <v>#REF!</v>
      </c>
      <c r="AP204" s="89" t="e">
        <f>#REF!</f>
        <v>#REF!</v>
      </c>
      <c r="AQ204" s="89" t="e">
        <f>#REF!</f>
        <v>#REF!</v>
      </c>
      <c r="AR204" s="89" t="e">
        <f>#REF!</f>
        <v>#REF!</v>
      </c>
      <c r="AS204" s="89" t="e">
        <f>#REF!</f>
        <v>#REF!</v>
      </c>
      <c r="AT204" s="89" t="e">
        <f>#REF!</f>
        <v>#REF!</v>
      </c>
      <c r="AU204" s="89" t="e">
        <f>#REF!</f>
        <v>#REF!</v>
      </c>
      <c r="AV204" s="89" t="e">
        <f>#REF!</f>
        <v>#REF!</v>
      </c>
      <c r="AW204" s="89" t="e">
        <f>#REF!</f>
        <v>#REF!</v>
      </c>
      <c r="AX204" s="89" t="e">
        <f>#REF!</f>
        <v>#REF!</v>
      </c>
      <c r="AY204" s="89" t="e">
        <f>#REF!</f>
        <v>#REF!</v>
      </c>
      <c r="AZ204" s="89" t="e">
        <f>#REF!</f>
        <v>#REF!</v>
      </c>
      <c r="BA204" s="89" t="e">
        <f>#REF!</f>
        <v>#REF!</v>
      </c>
      <c r="BB204" s="89" t="e">
        <f>#REF!</f>
        <v>#REF!</v>
      </c>
      <c r="BC204" s="89" t="e">
        <f>#REF!</f>
        <v>#REF!</v>
      </c>
      <c r="BD204" s="89" t="e">
        <f>#REF!</f>
        <v>#REF!</v>
      </c>
      <c r="BE204" s="89" t="e">
        <f>#REF!</f>
        <v>#REF!</v>
      </c>
      <c r="BF204" s="89" t="e">
        <f>#REF!</f>
        <v>#REF!</v>
      </c>
    </row>
    <row r="205" spans="9:58" x14ac:dyDescent="0.25">
      <c r="I205" s="89">
        <f>ABCD!J254</f>
        <v>50.25</v>
      </c>
      <c r="J205" s="89">
        <f>ABCD!K254</f>
        <v>164.82</v>
      </c>
      <c r="K205" s="89">
        <f>ABCD!L254</f>
        <v>2.0512346781767663</v>
      </c>
      <c r="L205" s="89">
        <f>ABCD!M254</f>
        <v>0.42933108521067398</v>
      </c>
      <c r="M205" s="89">
        <f>ABCD!N254</f>
        <v>2.0956833934740993</v>
      </c>
      <c r="N205" s="89" t="e">
        <v>#REF!</v>
      </c>
      <c r="O205" s="89" t="e">
        <v>#REF!</v>
      </c>
      <c r="P205" s="89" t="e">
        <v>#REF!</v>
      </c>
      <c r="Q205" s="89" t="e">
        <v>#REF!</v>
      </c>
      <c r="R205" s="89" t="e">
        <v>#REF!</v>
      </c>
      <c r="S205" s="89" t="e">
        <f>#REF!</f>
        <v>#REF!</v>
      </c>
      <c r="T205" s="89" t="e">
        <f>#REF!</f>
        <v>#REF!</v>
      </c>
      <c r="U205" s="89" t="e">
        <f>#REF!</f>
        <v>#REF!</v>
      </c>
      <c r="V205" s="89" t="e">
        <f>#REF!</f>
        <v>#REF!</v>
      </c>
      <c r="W205" s="89" t="e">
        <f>#REF!</f>
        <v>#REF!</v>
      </c>
      <c r="X205" s="89" t="e">
        <f>#REF!</f>
        <v>#REF!</v>
      </c>
      <c r="Y205" s="89" t="e">
        <f>#REF!</f>
        <v>#REF!</v>
      </c>
      <c r="Z205" s="89" t="e">
        <f>#REF!</f>
        <v>#REF!</v>
      </c>
      <c r="AA205" s="89" t="e">
        <f>#REF!</f>
        <v>#REF!</v>
      </c>
      <c r="AB205" s="89" t="e">
        <f>#REF!</f>
        <v>#REF!</v>
      </c>
      <c r="AC205" s="89" t="e">
        <f>#REF!</f>
        <v>#REF!</v>
      </c>
      <c r="AD205" s="89" t="e">
        <f>#REF!</f>
        <v>#REF!</v>
      </c>
      <c r="AE205" s="89" t="e">
        <f>#REF!</f>
        <v>#REF!</v>
      </c>
      <c r="AF205" s="89" t="e">
        <f>#REF!</f>
        <v>#REF!</v>
      </c>
      <c r="AG205" s="89" t="e">
        <f>#REF!</f>
        <v>#REF!</v>
      </c>
      <c r="AH205" s="89" t="e">
        <f>#REF!</f>
        <v>#REF!</v>
      </c>
      <c r="AI205" s="89" t="e">
        <f>#REF!</f>
        <v>#REF!</v>
      </c>
      <c r="AJ205" s="89" t="e">
        <f>#REF!</f>
        <v>#REF!</v>
      </c>
      <c r="AK205" s="89" t="e">
        <f>#REF!</f>
        <v>#REF!</v>
      </c>
      <c r="AL205" s="89" t="e">
        <f>#REF!</f>
        <v>#REF!</v>
      </c>
      <c r="AM205" s="89" t="e">
        <f>#REF!</f>
        <v>#REF!</v>
      </c>
      <c r="AN205" s="89" t="e">
        <f>#REF!</f>
        <v>#REF!</v>
      </c>
      <c r="AO205" s="89" t="e">
        <f>#REF!</f>
        <v>#REF!</v>
      </c>
      <c r="AP205" s="89" t="e">
        <f>#REF!</f>
        <v>#REF!</v>
      </c>
      <c r="AQ205" s="89" t="e">
        <f>#REF!</f>
        <v>#REF!</v>
      </c>
      <c r="AR205" s="89" t="e">
        <f>#REF!</f>
        <v>#REF!</v>
      </c>
      <c r="AS205" s="89" t="e">
        <f>#REF!</f>
        <v>#REF!</v>
      </c>
      <c r="AT205" s="89" t="e">
        <f>#REF!</f>
        <v>#REF!</v>
      </c>
      <c r="AU205" s="89" t="e">
        <f>#REF!</f>
        <v>#REF!</v>
      </c>
      <c r="AV205" s="89" t="e">
        <f>#REF!</f>
        <v>#REF!</v>
      </c>
      <c r="AW205" s="89" t="e">
        <f>#REF!</f>
        <v>#REF!</v>
      </c>
      <c r="AX205" s="89" t="e">
        <f>#REF!</f>
        <v>#REF!</v>
      </c>
      <c r="AY205" s="89" t="e">
        <f>#REF!</f>
        <v>#REF!</v>
      </c>
      <c r="AZ205" s="89" t="e">
        <f>#REF!</f>
        <v>#REF!</v>
      </c>
      <c r="BA205" s="89" t="e">
        <f>#REF!</f>
        <v>#REF!</v>
      </c>
      <c r="BB205" s="89" t="e">
        <f>#REF!</f>
        <v>#REF!</v>
      </c>
      <c r="BC205" s="89" t="e">
        <f>#REF!</f>
        <v>#REF!</v>
      </c>
      <c r="BD205" s="89" t="e">
        <f>#REF!</f>
        <v>#REF!</v>
      </c>
      <c r="BE205" s="89" t="e">
        <f>#REF!</f>
        <v>#REF!</v>
      </c>
      <c r="BF205" s="89" t="e">
        <f>#REF!</f>
        <v>#REF!</v>
      </c>
    </row>
    <row r="206" spans="9:58" x14ac:dyDescent="0.25">
      <c r="I206" s="89">
        <f>ABCD!J255</f>
        <v>50.5</v>
      </c>
      <c r="J206" s="89">
        <f>ABCD!K255</f>
        <v>165.64</v>
      </c>
      <c r="K206" s="89">
        <f>ABCD!L255</f>
        <v>1.9576099683250852</v>
      </c>
      <c r="L206" s="89">
        <f>ABCD!M255</f>
        <v>0.41254585574599201</v>
      </c>
      <c r="M206" s="89">
        <f>ABCD!N255</f>
        <v>2.0006076254925484</v>
      </c>
      <c r="N206" s="89" t="e">
        <v>#REF!</v>
      </c>
      <c r="O206" s="89" t="e">
        <v>#REF!</v>
      </c>
      <c r="P206" s="89" t="e">
        <v>#REF!</v>
      </c>
      <c r="Q206" s="89" t="e">
        <v>#REF!</v>
      </c>
      <c r="R206" s="89" t="e">
        <v>#REF!</v>
      </c>
      <c r="S206" s="89" t="e">
        <f>#REF!</f>
        <v>#REF!</v>
      </c>
      <c r="T206" s="89" t="e">
        <f>#REF!</f>
        <v>#REF!</v>
      </c>
      <c r="U206" s="89" t="e">
        <f>#REF!</f>
        <v>#REF!</v>
      </c>
      <c r="V206" s="89" t="e">
        <f>#REF!</f>
        <v>#REF!</v>
      </c>
      <c r="W206" s="89" t="e">
        <f>#REF!</f>
        <v>#REF!</v>
      </c>
      <c r="X206" s="89" t="e">
        <f>#REF!</f>
        <v>#REF!</v>
      </c>
      <c r="Y206" s="89" t="e">
        <f>#REF!</f>
        <v>#REF!</v>
      </c>
      <c r="Z206" s="89" t="e">
        <f>#REF!</f>
        <v>#REF!</v>
      </c>
      <c r="AA206" s="89" t="e">
        <f>#REF!</f>
        <v>#REF!</v>
      </c>
      <c r="AB206" s="89" t="e">
        <f>#REF!</f>
        <v>#REF!</v>
      </c>
      <c r="AC206" s="89" t="e">
        <f>#REF!</f>
        <v>#REF!</v>
      </c>
      <c r="AD206" s="89" t="e">
        <f>#REF!</f>
        <v>#REF!</v>
      </c>
      <c r="AE206" s="89" t="e">
        <f>#REF!</f>
        <v>#REF!</v>
      </c>
      <c r="AF206" s="89" t="e">
        <f>#REF!</f>
        <v>#REF!</v>
      </c>
      <c r="AG206" s="89" t="e">
        <f>#REF!</f>
        <v>#REF!</v>
      </c>
      <c r="AH206" s="89" t="e">
        <f>#REF!</f>
        <v>#REF!</v>
      </c>
      <c r="AI206" s="89" t="e">
        <f>#REF!</f>
        <v>#REF!</v>
      </c>
      <c r="AJ206" s="89" t="e">
        <f>#REF!</f>
        <v>#REF!</v>
      </c>
      <c r="AK206" s="89" t="e">
        <f>#REF!</f>
        <v>#REF!</v>
      </c>
      <c r="AL206" s="89" t="e">
        <f>#REF!</f>
        <v>#REF!</v>
      </c>
      <c r="AM206" s="89" t="e">
        <f>#REF!</f>
        <v>#REF!</v>
      </c>
      <c r="AN206" s="89" t="e">
        <f>#REF!</f>
        <v>#REF!</v>
      </c>
      <c r="AO206" s="89" t="e">
        <f>#REF!</f>
        <v>#REF!</v>
      </c>
      <c r="AP206" s="89" t="e">
        <f>#REF!</f>
        <v>#REF!</v>
      </c>
      <c r="AQ206" s="89" t="e">
        <f>#REF!</f>
        <v>#REF!</v>
      </c>
      <c r="AR206" s="89" t="e">
        <f>#REF!</f>
        <v>#REF!</v>
      </c>
      <c r="AS206" s="89" t="e">
        <f>#REF!</f>
        <v>#REF!</v>
      </c>
      <c r="AT206" s="89" t="e">
        <f>#REF!</f>
        <v>#REF!</v>
      </c>
      <c r="AU206" s="89" t="e">
        <f>#REF!</f>
        <v>#REF!</v>
      </c>
      <c r="AV206" s="89" t="e">
        <f>#REF!</f>
        <v>#REF!</v>
      </c>
      <c r="AW206" s="89" t="e">
        <f>#REF!</f>
        <v>#REF!</v>
      </c>
      <c r="AX206" s="89" t="e">
        <f>#REF!</f>
        <v>#REF!</v>
      </c>
      <c r="AY206" s="89" t="e">
        <f>#REF!</f>
        <v>#REF!</v>
      </c>
      <c r="AZ206" s="89" t="e">
        <f>#REF!</f>
        <v>#REF!</v>
      </c>
      <c r="BA206" s="89" t="e">
        <f>#REF!</f>
        <v>#REF!</v>
      </c>
      <c r="BB206" s="89" t="e">
        <f>#REF!</f>
        <v>#REF!</v>
      </c>
      <c r="BC206" s="89" t="e">
        <f>#REF!</f>
        <v>#REF!</v>
      </c>
      <c r="BD206" s="89" t="e">
        <f>#REF!</f>
        <v>#REF!</v>
      </c>
      <c r="BE206" s="89" t="e">
        <f>#REF!</f>
        <v>#REF!</v>
      </c>
      <c r="BF206" s="89" t="e">
        <f>#REF!</f>
        <v>#REF!</v>
      </c>
    </row>
    <row r="207" spans="9:58" x14ac:dyDescent="0.25">
      <c r="I207" s="89">
        <f>ABCD!J256</f>
        <v>50.75</v>
      </c>
      <c r="J207" s="89">
        <f>ABCD!K256</f>
        <v>166.45999999999998</v>
      </c>
      <c r="K207" s="89">
        <f>ABCD!L256</f>
        <v>1.8636175860148994</v>
      </c>
      <c r="L207" s="89">
        <f>ABCD!M256</f>
        <v>0.39568049366276625</v>
      </c>
      <c r="M207" s="89">
        <f>ABCD!N256</f>
        <v>1.9051597203303483</v>
      </c>
      <c r="N207" s="89" t="e">
        <v>#REF!</v>
      </c>
      <c r="O207" s="89" t="e">
        <v>#REF!</v>
      </c>
      <c r="P207" s="89" t="e">
        <v>#REF!</v>
      </c>
      <c r="Q207" s="89" t="e">
        <v>#REF!</v>
      </c>
      <c r="R207" s="89" t="e">
        <v>#REF!</v>
      </c>
      <c r="S207" s="89" t="e">
        <f>#REF!</f>
        <v>#REF!</v>
      </c>
      <c r="T207" s="89" t="e">
        <f>#REF!</f>
        <v>#REF!</v>
      </c>
      <c r="U207" s="89" t="e">
        <f>#REF!</f>
        <v>#REF!</v>
      </c>
      <c r="V207" s="89" t="e">
        <f>#REF!</f>
        <v>#REF!</v>
      </c>
      <c r="W207" s="89" t="e">
        <f>#REF!</f>
        <v>#REF!</v>
      </c>
      <c r="X207" s="89" t="e">
        <f>#REF!</f>
        <v>#REF!</v>
      </c>
      <c r="Y207" s="89" t="e">
        <f>#REF!</f>
        <v>#REF!</v>
      </c>
      <c r="Z207" s="89" t="e">
        <f>#REF!</f>
        <v>#REF!</v>
      </c>
      <c r="AA207" s="89" t="e">
        <f>#REF!</f>
        <v>#REF!</v>
      </c>
      <c r="AB207" s="89" t="e">
        <f>#REF!</f>
        <v>#REF!</v>
      </c>
      <c r="AC207" s="89" t="e">
        <f>#REF!</f>
        <v>#REF!</v>
      </c>
      <c r="AD207" s="89" t="e">
        <f>#REF!</f>
        <v>#REF!</v>
      </c>
      <c r="AE207" s="89" t="e">
        <f>#REF!</f>
        <v>#REF!</v>
      </c>
      <c r="AF207" s="89" t="e">
        <f>#REF!</f>
        <v>#REF!</v>
      </c>
      <c r="AG207" s="89" t="e">
        <f>#REF!</f>
        <v>#REF!</v>
      </c>
      <c r="AH207" s="89" t="e">
        <f>#REF!</f>
        <v>#REF!</v>
      </c>
      <c r="AI207" s="89" t="e">
        <f>#REF!</f>
        <v>#REF!</v>
      </c>
      <c r="AJ207" s="89" t="e">
        <f>#REF!</f>
        <v>#REF!</v>
      </c>
      <c r="AK207" s="89" t="e">
        <f>#REF!</f>
        <v>#REF!</v>
      </c>
      <c r="AL207" s="89" t="e">
        <f>#REF!</f>
        <v>#REF!</v>
      </c>
      <c r="AM207" s="89" t="e">
        <f>#REF!</f>
        <v>#REF!</v>
      </c>
      <c r="AN207" s="89" t="e">
        <f>#REF!</f>
        <v>#REF!</v>
      </c>
      <c r="AO207" s="89" t="e">
        <f>#REF!</f>
        <v>#REF!</v>
      </c>
      <c r="AP207" s="89" t="e">
        <f>#REF!</f>
        <v>#REF!</v>
      </c>
      <c r="AQ207" s="89" t="e">
        <f>#REF!</f>
        <v>#REF!</v>
      </c>
      <c r="AR207" s="89" t="e">
        <f>#REF!</f>
        <v>#REF!</v>
      </c>
      <c r="AS207" s="89" t="e">
        <f>#REF!</f>
        <v>#REF!</v>
      </c>
      <c r="AT207" s="89" t="e">
        <f>#REF!</f>
        <v>#REF!</v>
      </c>
      <c r="AU207" s="89" t="e">
        <f>#REF!</f>
        <v>#REF!</v>
      </c>
      <c r="AV207" s="89" t="e">
        <f>#REF!</f>
        <v>#REF!</v>
      </c>
      <c r="AW207" s="89" t="e">
        <f>#REF!</f>
        <v>#REF!</v>
      </c>
      <c r="AX207" s="89" t="e">
        <f>#REF!</f>
        <v>#REF!</v>
      </c>
      <c r="AY207" s="89" t="e">
        <f>#REF!</f>
        <v>#REF!</v>
      </c>
      <c r="AZ207" s="89" t="e">
        <f>#REF!</f>
        <v>#REF!</v>
      </c>
      <c r="BA207" s="89" t="e">
        <f>#REF!</f>
        <v>#REF!</v>
      </c>
      <c r="BB207" s="89" t="e">
        <f>#REF!</f>
        <v>#REF!</v>
      </c>
      <c r="BC207" s="89" t="e">
        <f>#REF!</f>
        <v>#REF!</v>
      </c>
      <c r="BD207" s="89" t="e">
        <f>#REF!</f>
        <v>#REF!</v>
      </c>
      <c r="BE207" s="89" t="e">
        <f>#REF!</f>
        <v>#REF!</v>
      </c>
      <c r="BF207" s="89" t="e">
        <f>#REF!</f>
        <v>#REF!</v>
      </c>
    </row>
    <row r="208" spans="9:58" x14ac:dyDescent="0.25">
      <c r="I208" s="89">
        <f>ABCD!J257</f>
        <v>51</v>
      </c>
      <c r="J208" s="89">
        <f>ABCD!K257</f>
        <v>167.28</v>
      </c>
      <c r="K208" s="89">
        <f>ABCD!L257</f>
        <v>1.7692795593051982</v>
      </c>
      <c r="L208" s="89">
        <f>ABCD!M257</f>
        <v>0.37873896426623332</v>
      </c>
      <c r="M208" s="89">
        <f>ABCD!N257</f>
        <v>1.8093626949919841</v>
      </c>
      <c r="N208" s="89" t="e">
        <v>#REF!</v>
      </c>
      <c r="O208" s="89" t="e">
        <v>#REF!</v>
      </c>
      <c r="P208" s="89" t="e">
        <v>#REF!</v>
      </c>
      <c r="Q208" s="89" t="e">
        <v>#REF!</v>
      </c>
      <c r="R208" s="89" t="e">
        <v>#REF!</v>
      </c>
      <c r="S208" s="89" t="e">
        <f>#REF!</f>
        <v>#REF!</v>
      </c>
      <c r="T208" s="89" t="e">
        <f>#REF!</f>
        <v>#REF!</v>
      </c>
      <c r="U208" s="89" t="e">
        <f>#REF!</f>
        <v>#REF!</v>
      </c>
      <c r="V208" s="89" t="e">
        <f>#REF!</f>
        <v>#REF!</v>
      </c>
      <c r="W208" s="89" t="e">
        <f>#REF!</f>
        <v>#REF!</v>
      </c>
      <c r="X208" s="89" t="e">
        <f>#REF!</f>
        <v>#REF!</v>
      </c>
      <c r="Y208" s="89" t="e">
        <f>#REF!</f>
        <v>#REF!</v>
      </c>
      <c r="Z208" s="89" t="e">
        <f>#REF!</f>
        <v>#REF!</v>
      </c>
      <c r="AA208" s="89" t="e">
        <f>#REF!</f>
        <v>#REF!</v>
      </c>
      <c r="AB208" s="89" t="e">
        <f>#REF!</f>
        <v>#REF!</v>
      </c>
      <c r="AC208" s="89" t="e">
        <f>#REF!</f>
        <v>#REF!</v>
      </c>
      <c r="AD208" s="89" t="e">
        <f>#REF!</f>
        <v>#REF!</v>
      </c>
      <c r="AE208" s="89" t="e">
        <f>#REF!</f>
        <v>#REF!</v>
      </c>
      <c r="AF208" s="89" t="e">
        <f>#REF!</f>
        <v>#REF!</v>
      </c>
      <c r="AG208" s="89" t="e">
        <f>#REF!</f>
        <v>#REF!</v>
      </c>
      <c r="AH208" s="89" t="e">
        <f>#REF!</f>
        <v>#REF!</v>
      </c>
      <c r="AI208" s="89" t="e">
        <f>#REF!</f>
        <v>#REF!</v>
      </c>
      <c r="AJ208" s="89" t="e">
        <f>#REF!</f>
        <v>#REF!</v>
      </c>
      <c r="AK208" s="89" t="e">
        <f>#REF!</f>
        <v>#REF!</v>
      </c>
      <c r="AL208" s="89" t="e">
        <f>#REF!</f>
        <v>#REF!</v>
      </c>
      <c r="AM208" s="89" t="e">
        <f>#REF!</f>
        <v>#REF!</v>
      </c>
      <c r="AN208" s="89" t="e">
        <f>#REF!</f>
        <v>#REF!</v>
      </c>
      <c r="AO208" s="89" t="e">
        <f>#REF!</f>
        <v>#REF!</v>
      </c>
      <c r="AP208" s="89" t="e">
        <f>#REF!</f>
        <v>#REF!</v>
      </c>
      <c r="AQ208" s="89" t="e">
        <f>#REF!</f>
        <v>#REF!</v>
      </c>
      <c r="AR208" s="89" t="e">
        <f>#REF!</f>
        <v>#REF!</v>
      </c>
      <c r="AS208" s="89" t="e">
        <f>#REF!</f>
        <v>#REF!</v>
      </c>
      <c r="AT208" s="89" t="e">
        <f>#REF!</f>
        <v>#REF!</v>
      </c>
      <c r="AU208" s="89" t="e">
        <f>#REF!</f>
        <v>#REF!</v>
      </c>
      <c r="AV208" s="89" t="e">
        <f>#REF!</f>
        <v>#REF!</v>
      </c>
      <c r="AW208" s="89" t="e">
        <f>#REF!</f>
        <v>#REF!</v>
      </c>
      <c r="AX208" s="89" t="e">
        <f>#REF!</f>
        <v>#REF!</v>
      </c>
      <c r="AY208" s="89" t="e">
        <f>#REF!</f>
        <v>#REF!</v>
      </c>
      <c r="AZ208" s="89" t="e">
        <f>#REF!</f>
        <v>#REF!</v>
      </c>
      <c r="BA208" s="89" t="e">
        <f>#REF!</f>
        <v>#REF!</v>
      </c>
      <c r="BB208" s="89" t="e">
        <f>#REF!</f>
        <v>#REF!</v>
      </c>
      <c r="BC208" s="89" t="e">
        <f>#REF!</f>
        <v>#REF!</v>
      </c>
      <c r="BD208" s="89" t="e">
        <f>#REF!</f>
        <v>#REF!</v>
      </c>
      <c r="BE208" s="89" t="e">
        <f>#REF!</f>
        <v>#REF!</v>
      </c>
      <c r="BF208" s="89" t="e">
        <f>#REF!</f>
        <v>#REF!</v>
      </c>
    </row>
    <row r="209" spans="9:58" x14ac:dyDescent="0.25">
      <c r="I209" s="89">
        <f>ABCD!J258</f>
        <v>51.25</v>
      </c>
      <c r="J209" s="89">
        <f>ABCD!K258</f>
        <v>168.1</v>
      </c>
      <c r="K209" s="89">
        <f>ABCD!L258</f>
        <v>1.674617976227547</v>
      </c>
      <c r="L209" s="89">
        <f>ABCD!M258</f>
        <v>0.36172524687700491</v>
      </c>
      <c r="M209" s="89">
        <f>ABCD!N258</f>
        <v>1.713239773217011</v>
      </c>
      <c r="N209" s="89" t="e">
        <v>#REF!</v>
      </c>
      <c r="O209" s="89" t="e">
        <v>#REF!</v>
      </c>
      <c r="P209" s="89" t="e">
        <v>#REF!</v>
      </c>
      <c r="Q209" s="89" t="e">
        <v>#REF!</v>
      </c>
      <c r="R209" s="89" t="e">
        <v>#REF!</v>
      </c>
      <c r="S209" s="89" t="e">
        <f>#REF!</f>
        <v>#REF!</v>
      </c>
      <c r="T209" s="89" t="e">
        <f>#REF!</f>
        <v>#REF!</v>
      </c>
      <c r="U209" s="89" t="e">
        <f>#REF!</f>
        <v>#REF!</v>
      </c>
      <c r="V209" s="89" t="e">
        <f>#REF!</f>
        <v>#REF!</v>
      </c>
      <c r="W209" s="89" t="e">
        <f>#REF!</f>
        <v>#REF!</v>
      </c>
      <c r="X209" s="89" t="e">
        <f>#REF!</f>
        <v>#REF!</v>
      </c>
      <c r="Y209" s="89" t="e">
        <f>#REF!</f>
        <v>#REF!</v>
      </c>
      <c r="Z209" s="89" t="e">
        <f>#REF!</f>
        <v>#REF!</v>
      </c>
      <c r="AA209" s="89" t="e">
        <f>#REF!</f>
        <v>#REF!</v>
      </c>
      <c r="AB209" s="89" t="e">
        <f>#REF!</f>
        <v>#REF!</v>
      </c>
      <c r="AC209" s="89" t="e">
        <f>#REF!</f>
        <v>#REF!</v>
      </c>
      <c r="AD209" s="89" t="e">
        <f>#REF!</f>
        <v>#REF!</v>
      </c>
      <c r="AE209" s="89" t="e">
        <f>#REF!</f>
        <v>#REF!</v>
      </c>
      <c r="AF209" s="89" t="e">
        <f>#REF!</f>
        <v>#REF!</v>
      </c>
      <c r="AG209" s="89" t="e">
        <f>#REF!</f>
        <v>#REF!</v>
      </c>
      <c r="AH209" s="89" t="e">
        <f>#REF!</f>
        <v>#REF!</v>
      </c>
      <c r="AI209" s="89" t="e">
        <f>#REF!</f>
        <v>#REF!</v>
      </c>
      <c r="AJ209" s="89" t="e">
        <f>#REF!</f>
        <v>#REF!</v>
      </c>
      <c r="AK209" s="89" t="e">
        <f>#REF!</f>
        <v>#REF!</v>
      </c>
      <c r="AL209" s="89" t="e">
        <f>#REF!</f>
        <v>#REF!</v>
      </c>
      <c r="AM209" s="89" t="e">
        <f>#REF!</f>
        <v>#REF!</v>
      </c>
      <c r="AN209" s="89" t="e">
        <f>#REF!</f>
        <v>#REF!</v>
      </c>
      <c r="AO209" s="89" t="e">
        <f>#REF!</f>
        <v>#REF!</v>
      </c>
      <c r="AP209" s="89" t="e">
        <f>#REF!</f>
        <v>#REF!</v>
      </c>
      <c r="AQ209" s="89" t="e">
        <f>#REF!</f>
        <v>#REF!</v>
      </c>
      <c r="AR209" s="89" t="e">
        <f>#REF!</f>
        <v>#REF!</v>
      </c>
      <c r="AS209" s="89" t="e">
        <f>#REF!</f>
        <v>#REF!</v>
      </c>
      <c r="AT209" s="89" t="e">
        <f>#REF!</f>
        <v>#REF!</v>
      </c>
      <c r="AU209" s="89" t="e">
        <f>#REF!</f>
        <v>#REF!</v>
      </c>
      <c r="AV209" s="89" t="e">
        <f>#REF!</f>
        <v>#REF!</v>
      </c>
      <c r="AW209" s="89" t="e">
        <f>#REF!</f>
        <v>#REF!</v>
      </c>
      <c r="AX209" s="89" t="e">
        <f>#REF!</f>
        <v>#REF!</v>
      </c>
      <c r="AY209" s="89" t="e">
        <f>#REF!</f>
        <v>#REF!</v>
      </c>
      <c r="AZ209" s="89" t="e">
        <f>#REF!</f>
        <v>#REF!</v>
      </c>
      <c r="BA209" s="89" t="e">
        <f>#REF!</f>
        <v>#REF!</v>
      </c>
      <c r="BB209" s="89" t="e">
        <f>#REF!</f>
        <v>#REF!</v>
      </c>
      <c r="BC209" s="89" t="e">
        <f>#REF!</f>
        <v>#REF!</v>
      </c>
      <c r="BD209" s="89" t="e">
        <f>#REF!</f>
        <v>#REF!</v>
      </c>
      <c r="BE209" s="89" t="e">
        <f>#REF!</f>
        <v>#REF!</v>
      </c>
      <c r="BF209" s="89" t="e">
        <f>#REF!</f>
        <v>#REF!</v>
      </c>
    </row>
    <row r="210" spans="9:58" x14ac:dyDescent="0.25">
      <c r="I210" s="89">
        <f>ABCD!J259</f>
        <v>51.5</v>
      </c>
      <c r="J210" s="89">
        <f>ABCD!K259</f>
        <v>168.92</v>
      </c>
      <c r="K210" s="89">
        <f>ABCD!L259</f>
        <v>1.5796549796333448</v>
      </c>
      <c r="L210" s="89">
        <f>ABCD!M259</f>
        <v>0.34464333389987178</v>
      </c>
      <c r="M210" s="89">
        <f>ABCD!N259</f>
        <v>1.6168144241940823</v>
      </c>
      <c r="N210" s="89" t="e">
        <v>#REF!</v>
      </c>
      <c r="O210" s="89" t="e">
        <v>#REF!</v>
      </c>
      <c r="P210" s="89" t="e">
        <v>#REF!</v>
      </c>
      <c r="Q210" s="89" t="e">
        <v>#REF!</v>
      </c>
      <c r="R210" s="89" t="e">
        <v>#REF!</v>
      </c>
      <c r="S210" s="89" t="e">
        <f>#REF!</f>
        <v>#REF!</v>
      </c>
      <c r="T210" s="89" t="e">
        <f>#REF!</f>
        <v>#REF!</v>
      </c>
      <c r="U210" s="89" t="e">
        <f>#REF!</f>
        <v>#REF!</v>
      </c>
      <c r="V210" s="89" t="e">
        <f>#REF!</f>
        <v>#REF!</v>
      </c>
      <c r="W210" s="89" t="e">
        <f>#REF!</f>
        <v>#REF!</v>
      </c>
      <c r="X210" s="89" t="e">
        <f>#REF!</f>
        <v>#REF!</v>
      </c>
      <c r="Y210" s="89" t="e">
        <f>#REF!</f>
        <v>#REF!</v>
      </c>
      <c r="Z210" s="89" t="e">
        <f>#REF!</f>
        <v>#REF!</v>
      </c>
      <c r="AA210" s="89" t="e">
        <f>#REF!</f>
        <v>#REF!</v>
      </c>
      <c r="AB210" s="89" t="e">
        <f>#REF!</f>
        <v>#REF!</v>
      </c>
      <c r="AC210" s="89" t="e">
        <f>#REF!</f>
        <v>#REF!</v>
      </c>
      <c r="AD210" s="89" t="e">
        <f>#REF!</f>
        <v>#REF!</v>
      </c>
      <c r="AE210" s="89" t="e">
        <f>#REF!</f>
        <v>#REF!</v>
      </c>
      <c r="AF210" s="89" t="e">
        <f>#REF!</f>
        <v>#REF!</v>
      </c>
      <c r="AG210" s="89" t="e">
        <f>#REF!</f>
        <v>#REF!</v>
      </c>
      <c r="AH210" s="89" t="e">
        <f>#REF!</f>
        <v>#REF!</v>
      </c>
      <c r="AI210" s="89" t="e">
        <f>#REF!</f>
        <v>#REF!</v>
      </c>
      <c r="AJ210" s="89" t="e">
        <f>#REF!</f>
        <v>#REF!</v>
      </c>
      <c r="AK210" s="89" t="e">
        <f>#REF!</f>
        <v>#REF!</v>
      </c>
      <c r="AL210" s="89" t="e">
        <f>#REF!</f>
        <v>#REF!</v>
      </c>
      <c r="AM210" s="89" t="e">
        <f>#REF!</f>
        <v>#REF!</v>
      </c>
      <c r="AN210" s="89" t="e">
        <f>#REF!</f>
        <v>#REF!</v>
      </c>
      <c r="AO210" s="89" t="e">
        <f>#REF!</f>
        <v>#REF!</v>
      </c>
      <c r="AP210" s="89" t="e">
        <f>#REF!</f>
        <v>#REF!</v>
      </c>
      <c r="AQ210" s="89" t="e">
        <f>#REF!</f>
        <v>#REF!</v>
      </c>
      <c r="AR210" s="89" t="e">
        <f>#REF!</f>
        <v>#REF!</v>
      </c>
      <c r="AS210" s="89" t="e">
        <f>#REF!</f>
        <v>#REF!</v>
      </c>
      <c r="AT210" s="89" t="e">
        <f>#REF!</f>
        <v>#REF!</v>
      </c>
      <c r="AU210" s="89" t="e">
        <f>#REF!</f>
        <v>#REF!</v>
      </c>
      <c r="AV210" s="89" t="e">
        <f>#REF!</f>
        <v>#REF!</v>
      </c>
      <c r="AW210" s="89" t="e">
        <f>#REF!</f>
        <v>#REF!</v>
      </c>
      <c r="AX210" s="89" t="e">
        <f>#REF!</f>
        <v>#REF!</v>
      </c>
      <c r="AY210" s="89" t="e">
        <f>#REF!</f>
        <v>#REF!</v>
      </c>
      <c r="AZ210" s="89" t="e">
        <f>#REF!</f>
        <v>#REF!</v>
      </c>
      <c r="BA210" s="89" t="e">
        <f>#REF!</f>
        <v>#REF!</v>
      </c>
      <c r="BB210" s="89" t="e">
        <f>#REF!</f>
        <v>#REF!</v>
      </c>
      <c r="BC210" s="89" t="e">
        <f>#REF!</f>
        <v>#REF!</v>
      </c>
      <c r="BD210" s="89" t="e">
        <f>#REF!</f>
        <v>#REF!</v>
      </c>
      <c r="BE210" s="89" t="e">
        <f>#REF!</f>
        <v>#REF!</v>
      </c>
      <c r="BF210" s="89" t="e">
        <f>#REF!</f>
        <v>#REF!</v>
      </c>
    </row>
    <row r="211" spans="9:58" x14ac:dyDescent="0.25">
      <c r="I211" s="89">
        <f>ABCD!J260</f>
        <v>51.75</v>
      </c>
      <c r="J211" s="89">
        <f>ABCD!K260</f>
        <v>169.73999999999998</v>
      </c>
      <c r="K211" s="89">
        <f>ABCD!L260</f>
        <v>1.4844127620329912</v>
      </c>
      <c r="L211" s="89">
        <f>ABCD!M260</f>
        <v>0.32749722989041574</v>
      </c>
      <c r="M211" s="89">
        <f>ABCD!N260</f>
        <v>1.5201104182500393</v>
      </c>
      <c r="N211" s="89" t="e">
        <v>#REF!</v>
      </c>
      <c r="O211" s="89" t="e">
        <v>#REF!</v>
      </c>
      <c r="P211" s="89" t="e">
        <v>#REF!</v>
      </c>
      <c r="Q211" s="89" t="e">
        <v>#REF!</v>
      </c>
      <c r="R211" s="89" t="e">
        <v>#REF!</v>
      </c>
      <c r="S211" s="89" t="e">
        <f>#REF!</f>
        <v>#REF!</v>
      </c>
      <c r="T211" s="89" t="e">
        <f>#REF!</f>
        <v>#REF!</v>
      </c>
      <c r="U211" s="89" t="e">
        <f>#REF!</f>
        <v>#REF!</v>
      </c>
      <c r="V211" s="89" t="e">
        <f>#REF!</f>
        <v>#REF!</v>
      </c>
      <c r="W211" s="89" t="e">
        <f>#REF!</f>
        <v>#REF!</v>
      </c>
      <c r="X211" s="89" t="e">
        <f>#REF!</f>
        <v>#REF!</v>
      </c>
      <c r="Y211" s="89" t="e">
        <f>#REF!</f>
        <v>#REF!</v>
      </c>
      <c r="Z211" s="89" t="e">
        <f>#REF!</f>
        <v>#REF!</v>
      </c>
      <c r="AA211" s="89" t="e">
        <f>#REF!</f>
        <v>#REF!</v>
      </c>
      <c r="AB211" s="89" t="e">
        <f>#REF!</f>
        <v>#REF!</v>
      </c>
      <c r="AC211" s="89" t="e">
        <f>#REF!</f>
        <v>#REF!</v>
      </c>
      <c r="AD211" s="89" t="e">
        <f>#REF!</f>
        <v>#REF!</v>
      </c>
      <c r="AE211" s="89" t="e">
        <f>#REF!</f>
        <v>#REF!</v>
      </c>
      <c r="AF211" s="89" t="e">
        <f>#REF!</f>
        <v>#REF!</v>
      </c>
      <c r="AG211" s="89" t="e">
        <f>#REF!</f>
        <v>#REF!</v>
      </c>
      <c r="AH211" s="89" t="e">
        <f>#REF!</f>
        <v>#REF!</v>
      </c>
      <c r="AI211" s="89" t="e">
        <f>#REF!</f>
        <v>#REF!</v>
      </c>
      <c r="AJ211" s="89" t="e">
        <f>#REF!</f>
        <v>#REF!</v>
      </c>
      <c r="AK211" s="89" t="e">
        <f>#REF!</f>
        <v>#REF!</v>
      </c>
      <c r="AL211" s="89" t="e">
        <f>#REF!</f>
        <v>#REF!</v>
      </c>
      <c r="AM211" s="89" t="e">
        <f>#REF!</f>
        <v>#REF!</v>
      </c>
      <c r="AN211" s="89" t="e">
        <f>#REF!</f>
        <v>#REF!</v>
      </c>
      <c r="AO211" s="89" t="e">
        <f>#REF!</f>
        <v>#REF!</v>
      </c>
      <c r="AP211" s="89" t="e">
        <f>#REF!</f>
        <v>#REF!</v>
      </c>
      <c r="AQ211" s="89" t="e">
        <f>#REF!</f>
        <v>#REF!</v>
      </c>
      <c r="AR211" s="89" t="e">
        <f>#REF!</f>
        <v>#REF!</v>
      </c>
      <c r="AS211" s="89" t="e">
        <f>#REF!</f>
        <v>#REF!</v>
      </c>
      <c r="AT211" s="89" t="e">
        <f>#REF!</f>
        <v>#REF!</v>
      </c>
      <c r="AU211" s="89" t="e">
        <f>#REF!</f>
        <v>#REF!</v>
      </c>
      <c r="AV211" s="89" t="e">
        <f>#REF!</f>
        <v>#REF!</v>
      </c>
      <c r="AW211" s="89" t="e">
        <f>#REF!</f>
        <v>#REF!</v>
      </c>
      <c r="AX211" s="89" t="e">
        <f>#REF!</f>
        <v>#REF!</v>
      </c>
      <c r="AY211" s="89" t="e">
        <f>#REF!</f>
        <v>#REF!</v>
      </c>
      <c r="AZ211" s="89" t="e">
        <f>#REF!</f>
        <v>#REF!</v>
      </c>
      <c r="BA211" s="89" t="e">
        <f>#REF!</f>
        <v>#REF!</v>
      </c>
      <c r="BB211" s="89" t="e">
        <f>#REF!</f>
        <v>#REF!</v>
      </c>
      <c r="BC211" s="89" t="e">
        <f>#REF!</f>
        <v>#REF!</v>
      </c>
      <c r="BD211" s="89" t="e">
        <f>#REF!</f>
        <v>#REF!</v>
      </c>
      <c r="BE211" s="89" t="e">
        <f>#REF!</f>
        <v>#REF!</v>
      </c>
      <c r="BF211" s="89" t="e">
        <f>#REF!</f>
        <v>#REF!</v>
      </c>
    </row>
    <row r="212" spans="9:58" x14ac:dyDescent="0.25">
      <c r="I212" s="89">
        <f>ABCD!J261</f>
        <v>52</v>
      </c>
      <c r="J212" s="89">
        <f>ABCD!K261</f>
        <v>170.56</v>
      </c>
      <c r="K212" s="89">
        <f>ABCD!L261</f>
        <v>1.3889135604282903</v>
      </c>
      <c r="L212" s="89">
        <f>ABCD!M261</f>
        <v>0.31029095061966538</v>
      </c>
      <c r="M212" s="89">
        <f>ABCD!N261</f>
        <v>1.4231519076957475</v>
      </c>
      <c r="N212" s="89" t="e">
        <v>#REF!</v>
      </c>
      <c r="O212" s="89" t="e">
        <v>#REF!</v>
      </c>
      <c r="P212" s="89" t="e">
        <v>#REF!</v>
      </c>
      <c r="Q212" s="89" t="e">
        <v>#REF!</v>
      </c>
      <c r="R212" s="89" t="e">
        <v>#REF!</v>
      </c>
      <c r="S212" s="89" t="e">
        <f>#REF!</f>
        <v>#REF!</v>
      </c>
      <c r="T212" s="89" t="e">
        <f>#REF!</f>
        <v>#REF!</v>
      </c>
      <c r="U212" s="89" t="e">
        <f>#REF!</f>
        <v>#REF!</v>
      </c>
      <c r="V212" s="89" t="e">
        <f>#REF!</f>
        <v>#REF!</v>
      </c>
      <c r="W212" s="89" t="e">
        <f>#REF!</f>
        <v>#REF!</v>
      </c>
      <c r="X212" s="89" t="e">
        <f>#REF!</f>
        <v>#REF!</v>
      </c>
      <c r="Y212" s="89" t="e">
        <f>#REF!</f>
        <v>#REF!</v>
      </c>
      <c r="Z212" s="89" t="e">
        <f>#REF!</f>
        <v>#REF!</v>
      </c>
      <c r="AA212" s="89" t="e">
        <f>#REF!</f>
        <v>#REF!</v>
      </c>
      <c r="AB212" s="89" t="e">
        <f>#REF!</f>
        <v>#REF!</v>
      </c>
      <c r="AC212" s="89" t="e">
        <f>#REF!</f>
        <v>#REF!</v>
      </c>
      <c r="AD212" s="89" t="e">
        <f>#REF!</f>
        <v>#REF!</v>
      </c>
      <c r="AE212" s="89" t="e">
        <f>#REF!</f>
        <v>#REF!</v>
      </c>
      <c r="AF212" s="89" t="e">
        <f>#REF!</f>
        <v>#REF!</v>
      </c>
      <c r="AG212" s="89" t="e">
        <f>#REF!</f>
        <v>#REF!</v>
      </c>
      <c r="AH212" s="89" t="e">
        <f>#REF!</f>
        <v>#REF!</v>
      </c>
      <c r="AI212" s="89" t="e">
        <f>#REF!</f>
        <v>#REF!</v>
      </c>
      <c r="AJ212" s="89" t="e">
        <f>#REF!</f>
        <v>#REF!</v>
      </c>
      <c r="AK212" s="89" t="e">
        <f>#REF!</f>
        <v>#REF!</v>
      </c>
      <c r="AL212" s="89" t="e">
        <f>#REF!</f>
        <v>#REF!</v>
      </c>
      <c r="AM212" s="89" t="e">
        <f>#REF!</f>
        <v>#REF!</v>
      </c>
      <c r="AN212" s="89" t="e">
        <f>#REF!</f>
        <v>#REF!</v>
      </c>
      <c r="AO212" s="89" t="e">
        <f>#REF!</f>
        <v>#REF!</v>
      </c>
      <c r="AP212" s="89" t="e">
        <f>#REF!</f>
        <v>#REF!</v>
      </c>
      <c r="AQ212" s="89" t="e">
        <f>#REF!</f>
        <v>#REF!</v>
      </c>
      <c r="AR212" s="89" t="e">
        <f>#REF!</f>
        <v>#REF!</v>
      </c>
      <c r="AS212" s="89" t="e">
        <f>#REF!</f>
        <v>#REF!</v>
      </c>
      <c r="AT212" s="89" t="e">
        <f>#REF!</f>
        <v>#REF!</v>
      </c>
      <c r="AU212" s="89" t="e">
        <f>#REF!</f>
        <v>#REF!</v>
      </c>
      <c r="AV212" s="89" t="e">
        <f>#REF!</f>
        <v>#REF!</v>
      </c>
      <c r="AW212" s="89" t="e">
        <f>#REF!</f>
        <v>#REF!</v>
      </c>
      <c r="AX212" s="89" t="e">
        <f>#REF!</f>
        <v>#REF!</v>
      </c>
      <c r="AY212" s="89" t="e">
        <f>#REF!</f>
        <v>#REF!</v>
      </c>
      <c r="AZ212" s="89" t="e">
        <f>#REF!</f>
        <v>#REF!</v>
      </c>
      <c r="BA212" s="89" t="e">
        <f>#REF!</f>
        <v>#REF!</v>
      </c>
      <c r="BB212" s="89" t="e">
        <f>#REF!</f>
        <v>#REF!</v>
      </c>
      <c r="BC212" s="89" t="e">
        <f>#REF!</f>
        <v>#REF!</v>
      </c>
      <c r="BD212" s="89" t="e">
        <f>#REF!</f>
        <v>#REF!</v>
      </c>
      <c r="BE212" s="89" t="e">
        <f>#REF!</f>
        <v>#REF!</v>
      </c>
      <c r="BF212" s="89" t="e">
        <f>#REF!</f>
        <v>#REF!</v>
      </c>
    </row>
    <row r="213" spans="9:58" x14ac:dyDescent="0.25">
      <c r="I213" s="89">
        <f>ABCD!J262</f>
        <v>52.25</v>
      </c>
      <c r="J213" s="89">
        <f>ABCD!K262</f>
        <v>171.38</v>
      </c>
      <c r="K213" s="89">
        <f>ABCD!L262</f>
        <v>1.2931796511392286</v>
      </c>
      <c r="L213" s="89">
        <f>ABCD!M262</f>
        <v>0.29302852213701103</v>
      </c>
      <c r="M213" s="89">
        <f>ABCD!N262</f>
        <v>1.3259635458436925</v>
      </c>
      <c r="N213" s="89" t="e">
        <v>#REF!</v>
      </c>
      <c r="O213" s="89" t="e">
        <v>#REF!</v>
      </c>
      <c r="P213" s="89" t="e">
        <v>#REF!</v>
      </c>
      <c r="Q213" s="89" t="e">
        <v>#REF!</v>
      </c>
      <c r="R213" s="89" t="e">
        <v>#REF!</v>
      </c>
      <c r="S213" s="89" t="e">
        <f>#REF!</f>
        <v>#REF!</v>
      </c>
      <c r="T213" s="89" t="e">
        <f>#REF!</f>
        <v>#REF!</v>
      </c>
      <c r="U213" s="89" t="e">
        <f>#REF!</f>
        <v>#REF!</v>
      </c>
      <c r="V213" s="89" t="e">
        <f>#REF!</f>
        <v>#REF!</v>
      </c>
      <c r="W213" s="89" t="e">
        <f>#REF!</f>
        <v>#REF!</v>
      </c>
      <c r="X213" s="89" t="e">
        <f>#REF!</f>
        <v>#REF!</v>
      </c>
      <c r="Y213" s="89" t="e">
        <f>#REF!</f>
        <v>#REF!</v>
      </c>
      <c r="Z213" s="89" t="e">
        <f>#REF!</f>
        <v>#REF!</v>
      </c>
      <c r="AA213" s="89" t="e">
        <f>#REF!</f>
        <v>#REF!</v>
      </c>
      <c r="AB213" s="89" t="e">
        <f>#REF!</f>
        <v>#REF!</v>
      </c>
      <c r="AC213" s="89" t="e">
        <f>#REF!</f>
        <v>#REF!</v>
      </c>
      <c r="AD213" s="89" t="e">
        <f>#REF!</f>
        <v>#REF!</v>
      </c>
      <c r="AE213" s="89" t="e">
        <f>#REF!</f>
        <v>#REF!</v>
      </c>
      <c r="AF213" s="89" t="e">
        <f>#REF!</f>
        <v>#REF!</v>
      </c>
      <c r="AG213" s="89" t="e">
        <f>#REF!</f>
        <v>#REF!</v>
      </c>
      <c r="AH213" s="89" t="e">
        <f>#REF!</f>
        <v>#REF!</v>
      </c>
      <c r="AI213" s="89" t="e">
        <f>#REF!</f>
        <v>#REF!</v>
      </c>
      <c r="AJ213" s="89" t="e">
        <f>#REF!</f>
        <v>#REF!</v>
      </c>
      <c r="AK213" s="89" t="e">
        <f>#REF!</f>
        <v>#REF!</v>
      </c>
      <c r="AL213" s="89" t="e">
        <f>#REF!</f>
        <v>#REF!</v>
      </c>
      <c r="AM213" s="89" t="e">
        <f>#REF!</f>
        <v>#REF!</v>
      </c>
      <c r="AN213" s="89" t="e">
        <f>#REF!</f>
        <v>#REF!</v>
      </c>
      <c r="AO213" s="89" t="e">
        <f>#REF!</f>
        <v>#REF!</v>
      </c>
      <c r="AP213" s="89" t="e">
        <f>#REF!</f>
        <v>#REF!</v>
      </c>
      <c r="AQ213" s="89" t="e">
        <f>#REF!</f>
        <v>#REF!</v>
      </c>
      <c r="AR213" s="89" t="e">
        <f>#REF!</f>
        <v>#REF!</v>
      </c>
      <c r="AS213" s="89" t="e">
        <f>#REF!</f>
        <v>#REF!</v>
      </c>
      <c r="AT213" s="89" t="e">
        <f>#REF!</f>
        <v>#REF!</v>
      </c>
      <c r="AU213" s="89" t="e">
        <f>#REF!</f>
        <v>#REF!</v>
      </c>
      <c r="AV213" s="89" t="e">
        <f>#REF!</f>
        <v>#REF!</v>
      </c>
      <c r="AW213" s="89" t="e">
        <f>#REF!</f>
        <v>#REF!</v>
      </c>
      <c r="AX213" s="89" t="e">
        <f>#REF!</f>
        <v>#REF!</v>
      </c>
      <c r="AY213" s="89" t="e">
        <f>#REF!</f>
        <v>#REF!</v>
      </c>
      <c r="AZ213" s="89" t="e">
        <f>#REF!</f>
        <v>#REF!</v>
      </c>
      <c r="BA213" s="89" t="e">
        <f>#REF!</f>
        <v>#REF!</v>
      </c>
      <c r="BB213" s="89" t="e">
        <f>#REF!</f>
        <v>#REF!</v>
      </c>
      <c r="BC213" s="89" t="e">
        <f>#REF!</f>
        <v>#REF!</v>
      </c>
      <c r="BD213" s="89" t="e">
        <f>#REF!</f>
        <v>#REF!</v>
      </c>
      <c r="BE213" s="89" t="e">
        <f>#REF!</f>
        <v>#REF!</v>
      </c>
      <c r="BF213" s="89" t="e">
        <f>#REF!</f>
        <v>#REF!</v>
      </c>
    </row>
    <row r="214" spans="9:58" x14ac:dyDescent="0.25">
      <c r="I214" s="89">
        <f>ABCD!J263</f>
        <v>52.5</v>
      </c>
      <c r="J214" s="89">
        <f>ABCD!K263</f>
        <v>172.2</v>
      </c>
      <c r="K214" s="89">
        <f>ABCD!L263</f>
        <v>1.1972333446262815</v>
      </c>
      <c r="L214" s="89">
        <f>ABCD!M263</f>
        <v>0.27571397983156665</v>
      </c>
      <c r="M214" s="89">
        <f>ABCD!N263</f>
        <v>1.2285706655132191</v>
      </c>
      <c r="N214" s="89" t="e">
        <v>#REF!</v>
      </c>
      <c r="O214" s="89" t="e">
        <v>#REF!</v>
      </c>
      <c r="P214" s="89" t="e">
        <v>#REF!</v>
      </c>
      <c r="Q214" s="89" t="e">
        <v>#REF!</v>
      </c>
      <c r="R214" s="89" t="e">
        <v>#REF!</v>
      </c>
      <c r="S214" s="89" t="e">
        <f>#REF!</f>
        <v>#REF!</v>
      </c>
      <c r="T214" s="89" t="e">
        <f>#REF!</f>
        <v>#REF!</v>
      </c>
      <c r="U214" s="89" t="e">
        <f>#REF!</f>
        <v>#REF!</v>
      </c>
      <c r="V214" s="89" t="e">
        <f>#REF!</f>
        <v>#REF!</v>
      </c>
      <c r="W214" s="89" t="e">
        <f>#REF!</f>
        <v>#REF!</v>
      </c>
      <c r="X214" s="89" t="e">
        <f>#REF!</f>
        <v>#REF!</v>
      </c>
      <c r="Y214" s="89" t="e">
        <f>#REF!</f>
        <v>#REF!</v>
      </c>
      <c r="Z214" s="89" t="e">
        <f>#REF!</f>
        <v>#REF!</v>
      </c>
      <c r="AA214" s="89" t="e">
        <f>#REF!</f>
        <v>#REF!</v>
      </c>
      <c r="AB214" s="89" t="e">
        <f>#REF!</f>
        <v>#REF!</v>
      </c>
      <c r="AC214" s="89" t="e">
        <f>#REF!</f>
        <v>#REF!</v>
      </c>
      <c r="AD214" s="89" t="e">
        <f>#REF!</f>
        <v>#REF!</v>
      </c>
      <c r="AE214" s="89" t="e">
        <f>#REF!</f>
        <v>#REF!</v>
      </c>
      <c r="AF214" s="89" t="e">
        <f>#REF!</f>
        <v>#REF!</v>
      </c>
      <c r="AG214" s="89" t="e">
        <f>#REF!</f>
        <v>#REF!</v>
      </c>
      <c r="AH214" s="89" t="e">
        <f>#REF!</f>
        <v>#REF!</v>
      </c>
      <c r="AI214" s="89" t="e">
        <f>#REF!</f>
        <v>#REF!</v>
      </c>
      <c r="AJ214" s="89" t="e">
        <f>#REF!</f>
        <v>#REF!</v>
      </c>
      <c r="AK214" s="89" t="e">
        <f>#REF!</f>
        <v>#REF!</v>
      </c>
      <c r="AL214" s="89" t="e">
        <f>#REF!</f>
        <v>#REF!</v>
      </c>
      <c r="AM214" s="89" t="e">
        <f>#REF!</f>
        <v>#REF!</v>
      </c>
      <c r="AN214" s="89" t="e">
        <f>#REF!</f>
        <v>#REF!</v>
      </c>
      <c r="AO214" s="89" t="e">
        <f>#REF!</f>
        <v>#REF!</v>
      </c>
      <c r="AP214" s="89" t="e">
        <f>#REF!</f>
        <v>#REF!</v>
      </c>
      <c r="AQ214" s="89" t="e">
        <f>#REF!</f>
        <v>#REF!</v>
      </c>
      <c r="AR214" s="89" t="e">
        <f>#REF!</f>
        <v>#REF!</v>
      </c>
      <c r="AS214" s="89" t="e">
        <f>#REF!</f>
        <v>#REF!</v>
      </c>
      <c r="AT214" s="89" t="e">
        <f>#REF!</f>
        <v>#REF!</v>
      </c>
      <c r="AU214" s="89" t="e">
        <f>#REF!</f>
        <v>#REF!</v>
      </c>
      <c r="AV214" s="89" t="e">
        <f>#REF!</f>
        <v>#REF!</v>
      </c>
      <c r="AW214" s="89" t="e">
        <f>#REF!</f>
        <v>#REF!</v>
      </c>
      <c r="AX214" s="89" t="e">
        <f>#REF!</f>
        <v>#REF!</v>
      </c>
      <c r="AY214" s="89" t="e">
        <f>#REF!</f>
        <v>#REF!</v>
      </c>
      <c r="AZ214" s="89" t="e">
        <f>#REF!</f>
        <v>#REF!</v>
      </c>
      <c r="BA214" s="89" t="e">
        <f>#REF!</f>
        <v>#REF!</v>
      </c>
      <c r="BB214" s="89" t="e">
        <f>#REF!</f>
        <v>#REF!</v>
      </c>
      <c r="BC214" s="89" t="e">
        <f>#REF!</f>
        <v>#REF!</v>
      </c>
      <c r="BD214" s="89" t="e">
        <f>#REF!</f>
        <v>#REF!</v>
      </c>
      <c r="BE214" s="89" t="e">
        <f>#REF!</f>
        <v>#REF!</v>
      </c>
      <c r="BF214" s="89" t="e">
        <f>#REF!</f>
        <v>#REF!</v>
      </c>
    </row>
    <row r="215" spans="9:58" x14ac:dyDescent="0.25">
      <c r="I215" s="89">
        <f>ABCD!J264</f>
        <v>52.75</v>
      </c>
      <c r="J215" s="89">
        <f>ABCD!K264</f>
        <v>173.01999999999998</v>
      </c>
      <c r="K215" s="89">
        <f>ABCD!L264</f>
        <v>1.1010969803095543</v>
      </c>
      <c r="L215" s="89">
        <f>ABCD!M264</f>
        <v>0.25835136749224219</v>
      </c>
      <c r="M215" s="89">
        <f>ABCD!N264</f>
        <v>1.1309995531086343</v>
      </c>
      <c r="N215" s="89" t="e">
        <v>#REF!</v>
      </c>
      <c r="O215" s="89" t="e">
        <v>#REF!</v>
      </c>
      <c r="P215" s="89" t="e">
        <v>#REF!</v>
      </c>
      <c r="Q215" s="89" t="e">
        <v>#REF!</v>
      </c>
      <c r="R215" s="89" t="e">
        <v>#REF!</v>
      </c>
      <c r="S215" s="89" t="e">
        <f>#REF!</f>
        <v>#REF!</v>
      </c>
      <c r="T215" s="89" t="e">
        <f>#REF!</f>
        <v>#REF!</v>
      </c>
      <c r="U215" s="89" t="e">
        <f>#REF!</f>
        <v>#REF!</v>
      </c>
      <c r="V215" s="89" t="e">
        <f>#REF!</f>
        <v>#REF!</v>
      </c>
      <c r="W215" s="89" t="e">
        <f>#REF!</f>
        <v>#REF!</v>
      </c>
      <c r="X215" s="89" t="e">
        <f>#REF!</f>
        <v>#REF!</v>
      </c>
      <c r="Y215" s="89" t="e">
        <f>#REF!</f>
        <v>#REF!</v>
      </c>
      <c r="Z215" s="89" t="e">
        <f>#REF!</f>
        <v>#REF!</v>
      </c>
      <c r="AA215" s="89" t="e">
        <f>#REF!</f>
        <v>#REF!</v>
      </c>
      <c r="AB215" s="89" t="e">
        <f>#REF!</f>
        <v>#REF!</v>
      </c>
      <c r="AC215" s="89" t="e">
        <f>#REF!</f>
        <v>#REF!</v>
      </c>
      <c r="AD215" s="89" t="e">
        <f>#REF!</f>
        <v>#REF!</v>
      </c>
      <c r="AE215" s="89" t="e">
        <f>#REF!</f>
        <v>#REF!</v>
      </c>
      <c r="AF215" s="89" t="e">
        <f>#REF!</f>
        <v>#REF!</v>
      </c>
      <c r="AG215" s="89" t="e">
        <f>#REF!</f>
        <v>#REF!</v>
      </c>
      <c r="AH215" s="89" t="e">
        <f>#REF!</f>
        <v>#REF!</v>
      </c>
      <c r="AI215" s="89" t="e">
        <f>#REF!</f>
        <v>#REF!</v>
      </c>
      <c r="AJ215" s="89" t="e">
        <f>#REF!</f>
        <v>#REF!</v>
      </c>
      <c r="AK215" s="89" t="e">
        <f>#REF!</f>
        <v>#REF!</v>
      </c>
      <c r="AL215" s="89" t="e">
        <f>#REF!</f>
        <v>#REF!</v>
      </c>
      <c r="AM215" s="89" t="e">
        <f>#REF!</f>
        <v>#REF!</v>
      </c>
      <c r="AN215" s="89" t="e">
        <f>#REF!</f>
        <v>#REF!</v>
      </c>
      <c r="AO215" s="89" t="e">
        <f>#REF!</f>
        <v>#REF!</v>
      </c>
      <c r="AP215" s="89" t="e">
        <f>#REF!</f>
        <v>#REF!</v>
      </c>
      <c r="AQ215" s="89" t="e">
        <f>#REF!</f>
        <v>#REF!</v>
      </c>
      <c r="AR215" s="89" t="e">
        <f>#REF!</f>
        <v>#REF!</v>
      </c>
      <c r="AS215" s="89" t="e">
        <f>#REF!</f>
        <v>#REF!</v>
      </c>
      <c r="AT215" s="89" t="e">
        <f>#REF!</f>
        <v>#REF!</v>
      </c>
      <c r="AU215" s="89" t="e">
        <f>#REF!</f>
        <v>#REF!</v>
      </c>
      <c r="AV215" s="89" t="e">
        <f>#REF!</f>
        <v>#REF!</v>
      </c>
      <c r="AW215" s="89" t="e">
        <f>#REF!</f>
        <v>#REF!</v>
      </c>
      <c r="AX215" s="89" t="e">
        <f>#REF!</f>
        <v>#REF!</v>
      </c>
      <c r="AY215" s="89" t="e">
        <f>#REF!</f>
        <v>#REF!</v>
      </c>
      <c r="AZ215" s="89" t="e">
        <f>#REF!</f>
        <v>#REF!</v>
      </c>
      <c r="BA215" s="89" t="e">
        <f>#REF!</f>
        <v>#REF!</v>
      </c>
      <c r="BB215" s="89" t="e">
        <f>#REF!</f>
        <v>#REF!</v>
      </c>
      <c r="BC215" s="89" t="e">
        <f>#REF!</f>
        <v>#REF!</v>
      </c>
      <c r="BD215" s="89" t="e">
        <f>#REF!</f>
        <v>#REF!</v>
      </c>
      <c r="BE215" s="89" t="e">
        <f>#REF!</f>
        <v>#REF!</v>
      </c>
      <c r="BF215" s="89" t="e">
        <f>#REF!</f>
        <v>#REF!</v>
      </c>
    </row>
    <row r="216" spans="9:58" x14ac:dyDescent="0.25">
      <c r="I216" s="89">
        <f>ABCD!J265</f>
        <v>53</v>
      </c>
      <c r="J216" s="89">
        <f>ABCD!K265</f>
        <v>173.84</v>
      </c>
      <c r="K216" s="89">
        <f>ABCD!L265</f>
        <v>1.0047929213858702</v>
      </c>
      <c r="L216" s="89">
        <f>ABCD!M265</f>
        <v>0.24094473636671587</v>
      </c>
      <c r="M216" s="89">
        <f>ABCD!N265</f>
        <v>1.0332778817191326</v>
      </c>
      <c r="N216" s="89" t="e">
        <v>#REF!</v>
      </c>
      <c r="O216" s="89" t="e">
        <v>#REF!</v>
      </c>
      <c r="P216" s="89" t="e">
        <v>#REF!</v>
      </c>
      <c r="Q216" s="89" t="e">
        <v>#REF!</v>
      </c>
      <c r="R216" s="89" t="e">
        <v>#REF!</v>
      </c>
      <c r="S216" s="89" t="e">
        <f>#REF!</f>
        <v>#REF!</v>
      </c>
      <c r="T216" s="89" t="e">
        <f>#REF!</f>
        <v>#REF!</v>
      </c>
      <c r="U216" s="89" t="e">
        <f>#REF!</f>
        <v>#REF!</v>
      </c>
      <c r="V216" s="89" t="e">
        <f>#REF!</f>
        <v>#REF!</v>
      </c>
      <c r="W216" s="89" t="e">
        <f>#REF!</f>
        <v>#REF!</v>
      </c>
      <c r="X216" s="89" t="e">
        <f>#REF!</f>
        <v>#REF!</v>
      </c>
      <c r="Y216" s="89" t="e">
        <f>#REF!</f>
        <v>#REF!</v>
      </c>
      <c r="Z216" s="89" t="e">
        <f>#REF!</f>
        <v>#REF!</v>
      </c>
      <c r="AA216" s="89" t="e">
        <f>#REF!</f>
        <v>#REF!</v>
      </c>
      <c r="AB216" s="89" t="e">
        <f>#REF!</f>
        <v>#REF!</v>
      </c>
      <c r="AC216" s="89" t="e">
        <f>#REF!</f>
        <v>#REF!</v>
      </c>
      <c r="AD216" s="89" t="e">
        <f>#REF!</f>
        <v>#REF!</v>
      </c>
      <c r="AE216" s="89" t="e">
        <f>#REF!</f>
        <v>#REF!</v>
      </c>
      <c r="AF216" s="89" t="e">
        <f>#REF!</f>
        <v>#REF!</v>
      </c>
      <c r="AG216" s="89" t="e">
        <f>#REF!</f>
        <v>#REF!</v>
      </c>
      <c r="AH216" s="89" t="e">
        <f>#REF!</f>
        <v>#REF!</v>
      </c>
      <c r="AI216" s="89" t="e">
        <f>#REF!</f>
        <v>#REF!</v>
      </c>
      <c r="AJ216" s="89" t="e">
        <f>#REF!</f>
        <v>#REF!</v>
      </c>
      <c r="AK216" s="89" t="e">
        <f>#REF!</f>
        <v>#REF!</v>
      </c>
      <c r="AL216" s="89" t="e">
        <f>#REF!</f>
        <v>#REF!</v>
      </c>
      <c r="AM216" s="89" t="e">
        <f>#REF!</f>
        <v>#REF!</v>
      </c>
      <c r="AN216" s="89" t="e">
        <f>#REF!</f>
        <v>#REF!</v>
      </c>
      <c r="AO216" s="89" t="e">
        <f>#REF!</f>
        <v>#REF!</v>
      </c>
      <c r="AP216" s="89" t="e">
        <f>#REF!</f>
        <v>#REF!</v>
      </c>
      <c r="AQ216" s="89" t="e">
        <f>#REF!</f>
        <v>#REF!</v>
      </c>
      <c r="AR216" s="89" t="e">
        <f>#REF!</f>
        <v>#REF!</v>
      </c>
      <c r="AS216" s="89" t="e">
        <f>#REF!</f>
        <v>#REF!</v>
      </c>
      <c r="AT216" s="89" t="e">
        <f>#REF!</f>
        <v>#REF!</v>
      </c>
      <c r="AU216" s="89" t="e">
        <f>#REF!</f>
        <v>#REF!</v>
      </c>
      <c r="AV216" s="89" t="e">
        <f>#REF!</f>
        <v>#REF!</v>
      </c>
      <c r="AW216" s="89" t="e">
        <f>#REF!</f>
        <v>#REF!</v>
      </c>
      <c r="AX216" s="89" t="e">
        <f>#REF!</f>
        <v>#REF!</v>
      </c>
      <c r="AY216" s="89" t="e">
        <f>#REF!</f>
        <v>#REF!</v>
      </c>
      <c r="AZ216" s="89" t="e">
        <f>#REF!</f>
        <v>#REF!</v>
      </c>
      <c r="BA216" s="89" t="e">
        <f>#REF!</f>
        <v>#REF!</v>
      </c>
      <c r="BB216" s="89" t="e">
        <f>#REF!</f>
        <v>#REF!</v>
      </c>
      <c r="BC216" s="89" t="e">
        <f>#REF!</f>
        <v>#REF!</v>
      </c>
      <c r="BD216" s="89" t="e">
        <f>#REF!</f>
        <v>#REF!</v>
      </c>
      <c r="BE216" s="89" t="e">
        <f>#REF!</f>
        <v>#REF!</v>
      </c>
      <c r="BF216" s="89" t="e">
        <f>#REF!</f>
        <v>#REF!</v>
      </c>
    </row>
    <row r="217" spans="9:58" x14ac:dyDescent="0.25">
      <c r="I217" s="89">
        <f>ABCD!J266</f>
        <v>53.25</v>
      </c>
      <c r="J217" s="89">
        <f>ABCD!K266</f>
        <v>174.66</v>
      </c>
      <c r="K217" s="89">
        <f>ABCD!L266</f>
        <v>0.90834354964501707</v>
      </c>
      <c r="L217" s="89">
        <f>ABCD!M266</f>
        <v>0.22349814421952185</v>
      </c>
      <c r="M217" s="89">
        <f>ABCD!N266</f>
        <v>0.93543541981864242</v>
      </c>
      <c r="N217" s="89" t="e">
        <v>#REF!</v>
      </c>
      <c r="O217" s="89" t="e">
        <v>#REF!</v>
      </c>
      <c r="P217" s="89" t="e">
        <v>#REF!</v>
      </c>
      <c r="Q217" s="89" t="e">
        <v>#REF!</v>
      </c>
      <c r="R217" s="89" t="e">
        <v>#REF!</v>
      </c>
      <c r="S217" s="89" t="e">
        <f>#REF!</f>
        <v>#REF!</v>
      </c>
      <c r="T217" s="89" t="e">
        <f>#REF!</f>
        <v>#REF!</v>
      </c>
      <c r="U217" s="89" t="e">
        <f>#REF!</f>
        <v>#REF!</v>
      </c>
      <c r="V217" s="89" t="e">
        <f>#REF!</f>
        <v>#REF!</v>
      </c>
      <c r="W217" s="89" t="e">
        <f>#REF!</f>
        <v>#REF!</v>
      </c>
      <c r="X217" s="89" t="e">
        <f>#REF!</f>
        <v>#REF!</v>
      </c>
      <c r="Y217" s="89" t="e">
        <f>#REF!</f>
        <v>#REF!</v>
      </c>
      <c r="Z217" s="89" t="e">
        <f>#REF!</f>
        <v>#REF!</v>
      </c>
      <c r="AA217" s="89" t="e">
        <f>#REF!</f>
        <v>#REF!</v>
      </c>
      <c r="AB217" s="89" t="e">
        <f>#REF!</f>
        <v>#REF!</v>
      </c>
      <c r="AC217" s="89" t="e">
        <f>#REF!</f>
        <v>#REF!</v>
      </c>
      <c r="AD217" s="89" t="e">
        <f>#REF!</f>
        <v>#REF!</v>
      </c>
      <c r="AE217" s="89" t="e">
        <f>#REF!</f>
        <v>#REF!</v>
      </c>
      <c r="AF217" s="89" t="e">
        <f>#REF!</f>
        <v>#REF!</v>
      </c>
      <c r="AG217" s="89" t="e">
        <f>#REF!</f>
        <v>#REF!</v>
      </c>
      <c r="AH217" s="89" t="e">
        <f>#REF!</f>
        <v>#REF!</v>
      </c>
      <c r="AI217" s="89" t="e">
        <f>#REF!</f>
        <v>#REF!</v>
      </c>
      <c r="AJ217" s="89" t="e">
        <f>#REF!</f>
        <v>#REF!</v>
      </c>
      <c r="AK217" s="89" t="e">
        <f>#REF!</f>
        <v>#REF!</v>
      </c>
      <c r="AL217" s="89" t="e">
        <f>#REF!</f>
        <v>#REF!</v>
      </c>
      <c r="AM217" s="89" t="e">
        <f>#REF!</f>
        <v>#REF!</v>
      </c>
      <c r="AN217" s="89" t="e">
        <f>#REF!</f>
        <v>#REF!</v>
      </c>
      <c r="AO217" s="89" t="e">
        <f>#REF!</f>
        <v>#REF!</v>
      </c>
      <c r="AP217" s="89" t="e">
        <f>#REF!</f>
        <v>#REF!</v>
      </c>
      <c r="AQ217" s="89" t="e">
        <f>#REF!</f>
        <v>#REF!</v>
      </c>
      <c r="AR217" s="89" t="e">
        <f>#REF!</f>
        <v>#REF!</v>
      </c>
      <c r="AS217" s="89" t="e">
        <f>#REF!</f>
        <v>#REF!</v>
      </c>
      <c r="AT217" s="89" t="e">
        <f>#REF!</f>
        <v>#REF!</v>
      </c>
      <c r="AU217" s="89" t="e">
        <f>#REF!</f>
        <v>#REF!</v>
      </c>
      <c r="AV217" s="89" t="e">
        <f>#REF!</f>
        <v>#REF!</v>
      </c>
      <c r="AW217" s="89" t="e">
        <f>#REF!</f>
        <v>#REF!</v>
      </c>
      <c r="AX217" s="89" t="e">
        <f>#REF!</f>
        <v>#REF!</v>
      </c>
      <c r="AY217" s="89" t="e">
        <f>#REF!</f>
        <v>#REF!</v>
      </c>
      <c r="AZ217" s="89" t="e">
        <f>#REF!</f>
        <v>#REF!</v>
      </c>
      <c r="BA217" s="89" t="e">
        <f>#REF!</f>
        <v>#REF!</v>
      </c>
      <c r="BB217" s="89" t="e">
        <f>#REF!</f>
        <v>#REF!</v>
      </c>
      <c r="BC217" s="89" t="e">
        <f>#REF!</f>
        <v>#REF!</v>
      </c>
      <c r="BD217" s="89" t="e">
        <f>#REF!</f>
        <v>#REF!</v>
      </c>
      <c r="BE217" s="89" t="e">
        <f>#REF!</f>
        <v>#REF!</v>
      </c>
      <c r="BF217" s="89" t="e">
        <f>#REF!</f>
        <v>#REF!</v>
      </c>
    </row>
    <row r="218" spans="9:58" x14ac:dyDescent="0.25">
      <c r="I218" s="89">
        <f>ABCD!J267</f>
        <v>53.5</v>
      </c>
      <c r="J218" s="89">
        <f>ABCD!K267</f>
        <v>175.48</v>
      </c>
      <c r="K218" s="89">
        <f>ABCD!L267</f>
        <v>0.81177126028642455</v>
      </c>
      <c r="L218" s="89">
        <f>ABCD!M267</f>
        <v>0.2060156543895002</v>
      </c>
      <c r="M218" s="89">
        <f>ABCD!N267</f>
        <v>0.8375052411063133</v>
      </c>
      <c r="N218" s="89" t="e">
        <v>#REF!</v>
      </c>
      <c r="O218" s="89" t="e">
        <v>#REF!</v>
      </c>
      <c r="P218" s="89" t="e">
        <v>#REF!</v>
      </c>
      <c r="Q218" s="89" t="e">
        <v>#REF!</v>
      </c>
      <c r="R218" s="89" t="e">
        <v>#REF!</v>
      </c>
      <c r="S218" s="89" t="e">
        <f>#REF!</f>
        <v>#REF!</v>
      </c>
      <c r="T218" s="89" t="e">
        <f>#REF!</f>
        <v>#REF!</v>
      </c>
      <c r="U218" s="89" t="e">
        <f>#REF!</f>
        <v>#REF!</v>
      </c>
      <c r="V218" s="89" t="e">
        <f>#REF!</f>
        <v>#REF!</v>
      </c>
      <c r="W218" s="89" t="e">
        <f>#REF!</f>
        <v>#REF!</v>
      </c>
      <c r="X218" s="89" t="e">
        <f>#REF!</f>
        <v>#REF!</v>
      </c>
      <c r="Y218" s="89" t="e">
        <f>#REF!</f>
        <v>#REF!</v>
      </c>
      <c r="Z218" s="89" t="e">
        <f>#REF!</f>
        <v>#REF!</v>
      </c>
      <c r="AA218" s="89" t="e">
        <f>#REF!</f>
        <v>#REF!</v>
      </c>
      <c r="AB218" s="89" t="e">
        <f>#REF!</f>
        <v>#REF!</v>
      </c>
      <c r="AC218" s="89" t="e">
        <f>#REF!</f>
        <v>#REF!</v>
      </c>
      <c r="AD218" s="89" t="e">
        <f>#REF!</f>
        <v>#REF!</v>
      </c>
      <c r="AE218" s="89" t="e">
        <f>#REF!</f>
        <v>#REF!</v>
      </c>
      <c r="AF218" s="89" t="e">
        <f>#REF!</f>
        <v>#REF!</v>
      </c>
      <c r="AG218" s="89" t="e">
        <f>#REF!</f>
        <v>#REF!</v>
      </c>
      <c r="AH218" s="89" t="e">
        <f>#REF!</f>
        <v>#REF!</v>
      </c>
      <c r="AI218" s="89" t="e">
        <f>#REF!</f>
        <v>#REF!</v>
      </c>
      <c r="AJ218" s="89" t="e">
        <f>#REF!</f>
        <v>#REF!</v>
      </c>
      <c r="AK218" s="89" t="e">
        <f>#REF!</f>
        <v>#REF!</v>
      </c>
      <c r="AL218" s="89" t="e">
        <f>#REF!</f>
        <v>#REF!</v>
      </c>
      <c r="AM218" s="89" t="e">
        <f>#REF!</f>
        <v>#REF!</v>
      </c>
      <c r="AN218" s="89" t="e">
        <f>#REF!</f>
        <v>#REF!</v>
      </c>
      <c r="AO218" s="89" t="e">
        <f>#REF!</f>
        <v>#REF!</v>
      </c>
      <c r="AP218" s="89" t="e">
        <f>#REF!</f>
        <v>#REF!</v>
      </c>
      <c r="AQ218" s="89" t="e">
        <f>#REF!</f>
        <v>#REF!</v>
      </c>
      <c r="AR218" s="89" t="e">
        <f>#REF!</f>
        <v>#REF!</v>
      </c>
      <c r="AS218" s="89" t="e">
        <f>#REF!</f>
        <v>#REF!</v>
      </c>
      <c r="AT218" s="89" t="e">
        <f>#REF!</f>
        <v>#REF!</v>
      </c>
      <c r="AU218" s="89" t="e">
        <f>#REF!</f>
        <v>#REF!</v>
      </c>
      <c r="AV218" s="89" t="e">
        <f>#REF!</f>
        <v>#REF!</v>
      </c>
      <c r="AW218" s="89" t="e">
        <f>#REF!</f>
        <v>#REF!</v>
      </c>
      <c r="AX218" s="89" t="e">
        <f>#REF!</f>
        <v>#REF!</v>
      </c>
      <c r="AY218" s="89" t="e">
        <f>#REF!</f>
        <v>#REF!</v>
      </c>
      <c r="AZ218" s="89" t="e">
        <f>#REF!</f>
        <v>#REF!</v>
      </c>
      <c r="BA218" s="89" t="e">
        <f>#REF!</f>
        <v>#REF!</v>
      </c>
      <c r="BB218" s="89" t="e">
        <f>#REF!</f>
        <v>#REF!</v>
      </c>
      <c r="BC218" s="89" t="e">
        <f>#REF!</f>
        <v>#REF!</v>
      </c>
      <c r="BD218" s="89" t="e">
        <f>#REF!</f>
        <v>#REF!</v>
      </c>
      <c r="BE218" s="89" t="e">
        <f>#REF!</f>
        <v>#REF!</v>
      </c>
      <c r="BF218" s="89" t="e">
        <f>#REF!</f>
        <v>#REF!</v>
      </c>
    </row>
    <row r="219" spans="9:58" x14ac:dyDescent="0.25">
      <c r="I219" s="89">
        <f>ABCD!J268</f>
        <v>53.75</v>
      </c>
      <c r="J219" s="89">
        <f>ABCD!K268</f>
        <v>176.29999999999998</v>
      </c>
      <c r="K219" s="89">
        <f>ABCD!L268</f>
        <v>0.71509845673732197</v>
      </c>
      <c r="L219" s="89">
        <f>ABCD!M268</f>
        <v>0.18850133484678633</v>
      </c>
      <c r="M219" s="89">
        <f>ABCD!N268</f>
        <v>0.73952589952422887</v>
      </c>
      <c r="N219" s="89" t="e">
        <v>#REF!</v>
      </c>
      <c r="O219" s="89" t="e">
        <v>#REF!</v>
      </c>
      <c r="P219" s="89" t="e">
        <v>#REF!</v>
      </c>
      <c r="Q219" s="89" t="e">
        <v>#REF!</v>
      </c>
      <c r="R219" s="89" t="e">
        <v>#REF!</v>
      </c>
      <c r="S219" s="89" t="e">
        <f>#REF!</f>
        <v>#REF!</v>
      </c>
      <c r="T219" s="89" t="e">
        <f>#REF!</f>
        <v>#REF!</v>
      </c>
      <c r="U219" s="89" t="e">
        <f>#REF!</f>
        <v>#REF!</v>
      </c>
      <c r="V219" s="89" t="e">
        <f>#REF!</f>
        <v>#REF!</v>
      </c>
      <c r="W219" s="89" t="e">
        <f>#REF!</f>
        <v>#REF!</v>
      </c>
      <c r="X219" s="89" t="e">
        <f>#REF!</f>
        <v>#REF!</v>
      </c>
      <c r="Y219" s="89" t="e">
        <f>#REF!</f>
        <v>#REF!</v>
      </c>
      <c r="Z219" s="89" t="e">
        <f>#REF!</f>
        <v>#REF!</v>
      </c>
      <c r="AA219" s="89" t="e">
        <f>#REF!</f>
        <v>#REF!</v>
      </c>
      <c r="AB219" s="89" t="e">
        <f>#REF!</f>
        <v>#REF!</v>
      </c>
      <c r="AC219" s="89" t="e">
        <f>#REF!</f>
        <v>#REF!</v>
      </c>
      <c r="AD219" s="89" t="e">
        <f>#REF!</f>
        <v>#REF!</v>
      </c>
      <c r="AE219" s="89" t="e">
        <f>#REF!</f>
        <v>#REF!</v>
      </c>
      <c r="AF219" s="89" t="e">
        <f>#REF!</f>
        <v>#REF!</v>
      </c>
      <c r="AG219" s="89" t="e">
        <f>#REF!</f>
        <v>#REF!</v>
      </c>
      <c r="AH219" s="89" t="e">
        <f>#REF!</f>
        <v>#REF!</v>
      </c>
      <c r="AI219" s="89" t="e">
        <f>#REF!</f>
        <v>#REF!</v>
      </c>
      <c r="AJ219" s="89" t="e">
        <f>#REF!</f>
        <v>#REF!</v>
      </c>
      <c r="AK219" s="89" t="e">
        <f>#REF!</f>
        <v>#REF!</v>
      </c>
      <c r="AL219" s="89" t="e">
        <f>#REF!</f>
        <v>#REF!</v>
      </c>
      <c r="AM219" s="89" t="e">
        <f>#REF!</f>
        <v>#REF!</v>
      </c>
      <c r="AN219" s="89" t="e">
        <f>#REF!</f>
        <v>#REF!</v>
      </c>
      <c r="AO219" s="89" t="e">
        <f>#REF!</f>
        <v>#REF!</v>
      </c>
      <c r="AP219" s="89" t="e">
        <f>#REF!</f>
        <v>#REF!</v>
      </c>
      <c r="AQ219" s="89" t="e">
        <f>#REF!</f>
        <v>#REF!</v>
      </c>
      <c r="AR219" s="89" t="e">
        <f>#REF!</f>
        <v>#REF!</v>
      </c>
      <c r="AS219" s="89" t="e">
        <f>#REF!</f>
        <v>#REF!</v>
      </c>
      <c r="AT219" s="89" t="e">
        <f>#REF!</f>
        <v>#REF!</v>
      </c>
      <c r="AU219" s="89" t="e">
        <f>#REF!</f>
        <v>#REF!</v>
      </c>
      <c r="AV219" s="89" t="e">
        <f>#REF!</f>
        <v>#REF!</v>
      </c>
      <c r="AW219" s="89" t="e">
        <f>#REF!</f>
        <v>#REF!</v>
      </c>
      <c r="AX219" s="89" t="e">
        <f>#REF!</f>
        <v>#REF!</v>
      </c>
      <c r="AY219" s="89" t="e">
        <f>#REF!</f>
        <v>#REF!</v>
      </c>
      <c r="AZ219" s="89" t="e">
        <f>#REF!</f>
        <v>#REF!</v>
      </c>
      <c r="BA219" s="89" t="e">
        <f>#REF!</f>
        <v>#REF!</v>
      </c>
      <c r="BB219" s="89" t="e">
        <f>#REF!</f>
        <v>#REF!</v>
      </c>
      <c r="BC219" s="89" t="e">
        <f>#REF!</f>
        <v>#REF!</v>
      </c>
      <c r="BD219" s="89" t="e">
        <f>#REF!</f>
        <v>#REF!</v>
      </c>
      <c r="BE219" s="89" t="e">
        <f>#REF!</f>
        <v>#REF!</v>
      </c>
      <c r="BF219" s="89" t="e">
        <f>#REF!</f>
        <v>#REF!</v>
      </c>
    </row>
    <row r="220" spans="9:58" x14ac:dyDescent="0.25">
      <c r="I220" s="89">
        <f>ABCD!J269</f>
        <v>54</v>
      </c>
      <c r="J220" s="89">
        <f>ABCD!K269</f>
        <v>177.11999999999998</v>
      </c>
      <c r="K220" s="89">
        <f>ABCD!L269</f>
        <v>0.61834754547374304</v>
      </c>
      <c r="L220" s="89">
        <f>ABCD!M269</f>
        <v>0.1709592572495966</v>
      </c>
      <c r="M220" s="89">
        <f>ABCD!N269</f>
        <v>0.64154559824905388</v>
      </c>
      <c r="N220" s="89" t="e">
        <v>#REF!</v>
      </c>
      <c r="O220" s="89" t="e">
        <v>#REF!</v>
      </c>
      <c r="P220" s="89" t="e">
        <v>#REF!</v>
      </c>
      <c r="Q220" s="89" t="e">
        <v>#REF!</v>
      </c>
      <c r="R220" s="89" t="e">
        <v>#REF!</v>
      </c>
      <c r="S220" s="89" t="e">
        <f>#REF!</f>
        <v>#REF!</v>
      </c>
      <c r="T220" s="89" t="e">
        <f>#REF!</f>
        <v>#REF!</v>
      </c>
      <c r="U220" s="89" t="e">
        <f>#REF!</f>
        <v>#REF!</v>
      </c>
      <c r="V220" s="89" t="e">
        <f>#REF!</f>
        <v>#REF!</v>
      </c>
      <c r="W220" s="89" t="e">
        <f>#REF!</f>
        <v>#REF!</v>
      </c>
      <c r="X220" s="89" t="e">
        <f>#REF!</f>
        <v>#REF!</v>
      </c>
      <c r="Y220" s="89" t="e">
        <f>#REF!</f>
        <v>#REF!</v>
      </c>
      <c r="Z220" s="89" t="e">
        <f>#REF!</f>
        <v>#REF!</v>
      </c>
      <c r="AA220" s="89" t="e">
        <f>#REF!</f>
        <v>#REF!</v>
      </c>
      <c r="AB220" s="89" t="e">
        <f>#REF!</f>
        <v>#REF!</v>
      </c>
      <c r="AC220" s="89" t="e">
        <f>#REF!</f>
        <v>#REF!</v>
      </c>
      <c r="AD220" s="89" t="e">
        <f>#REF!</f>
        <v>#REF!</v>
      </c>
      <c r="AE220" s="89" t="e">
        <f>#REF!</f>
        <v>#REF!</v>
      </c>
      <c r="AF220" s="89" t="e">
        <f>#REF!</f>
        <v>#REF!</v>
      </c>
      <c r="AG220" s="89" t="e">
        <f>#REF!</f>
        <v>#REF!</v>
      </c>
      <c r="AH220" s="89" t="e">
        <f>#REF!</f>
        <v>#REF!</v>
      </c>
      <c r="AI220" s="89" t="e">
        <f>#REF!</f>
        <v>#REF!</v>
      </c>
      <c r="AJ220" s="89" t="e">
        <f>#REF!</f>
        <v>#REF!</v>
      </c>
      <c r="AK220" s="89" t="e">
        <f>#REF!</f>
        <v>#REF!</v>
      </c>
      <c r="AL220" s="89" t="e">
        <f>#REF!</f>
        <v>#REF!</v>
      </c>
      <c r="AM220" s="89" t="e">
        <f>#REF!</f>
        <v>#REF!</v>
      </c>
      <c r="AN220" s="89" t="e">
        <f>#REF!</f>
        <v>#REF!</v>
      </c>
      <c r="AO220" s="89" t="e">
        <f>#REF!</f>
        <v>#REF!</v>
      </c>
      <c r="AP220" s="89" t="e">
        <f>#REF!</f>
        <v>#REF!</v>
      </c>
      <c r="AQ220" s="89" t="e">
        <f>#REF!</f>
        <v>#REF!</v>
      </c>
      <c r="AR220" s="89" t="e">
        <f>#REF!</f>
        <v>#REF!</v>
      </c>
      <c r="AS220" s="89" t="e">
        <f>#REF!</f>
        <v>#REF!</v>
      </c>
      <c r="AT220" s="89" t="e">
        <f>#REF!</f>
        <v>#REF!</v>
      </c>
      <c r="AU220" s="89" t="e">
        <f>#REF!</f>
        <v>#REF!</v>
      </c>
      <c r="AV220" s="89" t="e">
        <f>#REF!</f>
        <v>#REF!</v>
      </c>
      <c r="AW220" s="89" t="e">
        <f>#REF!</f>
        <v>#REF!</v>
      </c>
      <c r="AX220" s="89" t="e">
        <f>#REF!</f>
        <v>#REF!</v>
      </c>
      <c r="AY220" s="89" t="e">
        <f>#REF!</f>
        <v>#REF!</v>
      </c>
      <c r="AZ220" s="89" t="e">
        <f>#REF!</f>
        <v>#REF!</v>
      </c>
      <c r="BA220" s="89" t="e">
        <f>#REF!</f>
        <v>#REF!</v>
      </c>
      <c r="BB220" s="89" t="e">
        <f>#REF!</f>
        <v>#REF!</v>
      </c>
      <c r="BC220" s="89" t="e">
        <f>#REF!</f>
        <v>#REF!</v>
      </c>
      <c r="BD220" s="89" t="e">
        <f>#REF!</f>
        <v>#REF!</v>
      </c>
      <c r="BE220" s="89" t="e">
        <f>#REF!</f>
        <v>#REF!</v>
      </c>
      <c r="BF220" s="89" t="e">
        <f>#REF!</f>
        <v>#REF!</v>
      </c>
    </row>
    <row r="221" spans="9:58" x14ac:dyDescent="0.25">
      <c r="I221" s="89">
        <f>ABCD!J270</f>
        <v>54.25</v>
      </c>
      <c r="J221" s="89">
        <f>ABCD!K270</f>
        <v>177.94</v>
      </c>
      <c r="K221" s="89">
        <f>ABCD!L270</f>
        <v>0.52154093084543218</v>
      </c>
      <c r="L221" s="89">
        <f>ABCD!M270</f>
        <v>0.15339349600100372</v>
      </c>
      <c r="M221" s="89">
        <f>ABCD!N270</f>
        <v>0.54363085560196989</v>
      </c>
      <c r="N221" s="89" t="e">
        <v>#REF!</v>
      </c>
      <c r="O221" s="89" t="e">
        <v>#REF!</v>
      </c>
      <c r="P221" s="89" t="e">
        <v>#REF!</v>
      </c>
      <c r="Q221" s="89" t="e">
        <v>#REF!</v>
      </c>
      <c r="R221" s="89" t="e">
        <v>#REF!</v>
      </c>
      <c r="S221" s="89" t="e">
        <f>#REF!</f>
        <v>#REF!</v>
      </c>
      <c r="T221" s="89" t="e">
        <f>#REF!</f>
        <v>#REF!</v>
      </c>
      <c r="U221" s="89" t="e">
        <f>#REF!</f>
        <v>#REF!</v>
      </c>
      <c r="V221" s="89" t="e">
        <f>#REF!</f>
        <v>#REF!</v>
      </c>
      <c r="W221" s="89" t="e">
        <f>#REF!</f>
        <v>#REF!</v>
      </c>
      <c r="X221" s="89" t="e">
        <f>#REF!</f>
        <v>#REF!</v>
      </c>
      <c r="Y221" s="89" t="e">
        <f>#REF!</f>
        <v>#REF!</v>
      </c>
      <c r="Z221" s="89" t="e">
        <f>#REF!</f>
        <v>#REF!</v>
      </c>
      <c r="AA221" s="89" t="e">
        <f>#REF!</f>
        <v>#REF!</v>
      </c>
      <c r="AB221" s="89" t="e">
        <f>#REF!</f>
        <v>#REF!</v>
      </c>
      <c r="AC221" s="89" t="e">
        <f>#REF!</f>
        <v>#REF!</v>
      </c>
      <c r="AD221" s="89" t="e">
        <f>#REF!</f>
        <v>#REF!</v>
      </c>
      <c r="AE221" s="89" t="e">
        <f>#REF!</f>
        <v>#REF!</v>
      </c>
      <c r="AF221" s="89" t="e">
        <f>#REF!</f>
        <v>#REF!</v>
      </c>
      <c r="AG221" s="89" t="e">
        <f>#REF!</f>
        <v>#REF!</v>
      </c>
      <c r="AH221" s="89" t="e">
        <f>#REF!</f>
        <v>#REF!</v>
      </c>
      <c r="AI221" s="89" t="e">
        <f>#REF!</f>
        <v>#REF!</v>
      </c>
      <c r="AJ221" s="89" t="e">
        <f>#REF!</f>
        <v>#REF!</v>
      </c>
      <c r="AK221" s="89" t="e">
        <f>#REF!</f>
        <v>#REF!</v>
      </c>
      <c r="AL221" s="89" t="e">
        <f>#REF!</f>
        <v>#REF!</v>
      </c>
      <c r="AM221" s="89" t="e">
        <f>#REF!</f>
        <v>#REF!</v>
      </c>
      <c r="AN221" s="89" t="e">
        <f>#REF!</f>
        <v>#REF!</v>
      </c>
      <c r="AO221" s="89" t="e">
        <f>#REF!</f>
        <v>#REF!</v>
      </c>
      <c r="AP221" s="89" t="e">
        <f>#REF!</f>
        <v>#REF!</v>
      </c>
      <c r="AQ221" s="89" t="e">
        <f>#REF!</f>
        <v>#REF!</v>
      </c>
      <c r="AR221" s="89" t="e">
        <f>#REF!</f>
        <v>#REF!</v>
      </c>
      <c r="AS221" s="89" t="e">
        <f>#REF!</f>
        <v>#REF!</v>
      </c>
      <c r="AT221" s="89" t="e">
        <f>#REF!</f>
        <v>#REF!</v>
      </c>
      <c r="AU221" s="89" t="e">
        <f>#REF!</f>
        <v>#REF!</v>
      </c>
      <c r="AV221" s="89" t="e">
        <f>#REF!</f>
        <v>#REF!</v>
      </c>
      <c r="AW221" s="89" t="e">
        <f>#REF!</f>
        <v>#REF!</v>
      </c>
      <c r="AX221" s="89" t="e">
        <f>#REF!</f>
        <v>#REF!</v>
      </c>
      <c r="AY221" s="89" t="e">
        <f>#REF!</f>
        <v>#REF!</v>
      </c>
      <c r="AZ221" s="89" t="e">
        <f>#REF!</f>
        <v>#REF!</v>
      </c>
      <c r="BA221" s="89" t="e">
        <f>#REF!</f>
        <v>#REF!</v>
      </c>
      <c r="BB221" s="89" t="e">
        <f>#REF!</f>
        <v>#REF!</v>
      </c>
      <c r="BC221" s="89" t="e">
        <f>#REF!</f>
        <v>#REF!</v>
      </c>
      <c r="BD221" s="89" t="e">
        <f>#REF!</f>
        <v>#REF!</v>
      </c>
      <c r="BE221" s="89" t="e">
        <f>#REF!</f>
        <v>#REF!</v>
      </c>
      <c r="BF221" s="89" t="e">
        <f>#REF!</f>
        <v>#REF!</v>
      </c>
    </row>
    <row r="222" spans="9:58" x14ac:dyDescent="0.25">
      <c r="I222" s="89">
        <f>ABCD!J271</f>
        <v>54.5</v>
      </c>
      <c r="J222" s="89">
        <f>ABCD!K271</f>
        <v>178.76</v>
      </c>
      <c r="K222" s="89">
        <f>ABCD!L271</f>
        <v>0.4247010099059077</v>
      </c>
      <c r="L222" s="89">
        <f>ABCD!M271</f>
        <v>0.13580812730592351</v>
      </c>
      <c r="M222" s="89">
        <f>ABCD!N271</f>
        <v>0.44588652733340106</v>
      </c>
      <c r="N222" s="89" t="e">
        <v>#REF!</v>
      </c>
      <c r="O222" s="89" t="e">
        <v>#REF!</v>
      </c>
      <c r="P222" s="89" t="e">
        <v>#REF!</v>
      </c>
      <c r="Q222" s="89" t="e">
        <v>#REF!</v>
      </c>
      <c r="R222" s="89" t="e">
        <v>#REF!</v>
      </c>
      <c r="S222" s="89" t="e">
        <f>#REF!</f>
        <v>#REF!</v>
      </c>
      <c r="T222" s="89" t="e">
        <f>#REF!</f>
        <v>#REF!</v>
      </c>
      <c r="U222" s="89" t="e">
        <f>#REF!</f>
        <v>#REF!</v>
      </c>
      <c r="V222" s="89" t="e">
        <f>#REF!</f>
        <v>#REF!</v>
      </c>
      <c r="W222" s="89" t="e">
        <f>#REF!</f>
        <v>#REF!</v>
      </c>
      <c r="X222" s="89" t="e">
        <f>#REF!</f>
        <v>#REF!</v>
      </c>
      <c r="Y222" s="89" t="e">
        <f>#REF!</f>
        <v>#REF!</v>
      </c>
      <c r="Z222" s="89" t="e">
        <f>#REF!</f>
        <v>#REF!</v>
      </c>
      <c r="AA222" s="89" t="e">
        <f>#REF!</f>
        <v>#REF!</v>
      </c>
      <c r="AB222" s="89" t="e">
        <f>#REF!</f>
        <v>#REF!</v>
      </c>
      <c r="AC222" s="89" t="e">
        <f>#REF!</f>
        <v>#REF!</v>
      </c>
      <c r="AD222" s="89" t="e">
        <f>#REF!</f>
        <v>#REF!</v>
      </c>
      <c r="AE222" s="89" t="e">
        <f>#REF!</f>
        <v>#REF!</v>
      </c>
      <c r="AF222" s="89" t="e">
        <f>#REF!</f>
        <v>#REF!</v>
      </c>
      <c r="AG222" s="89" t="e">
        <f>#REF!</f>
        <v>#REF!</v>
      </c>
      <c r="AH222" s="89" t="e">
        <f>#REF!</f>
        <v>#REF!</v>
      </c>
      <c r="AI222" s="89" t="e">
        <f>#REF!</f>
        <v>#REF!</v>
      </c>
      <c r="AJ222" s="89" t="e">
        <f>#REF!</f>
        <v>#REF!</v>
      </c>
      <c r="AK222" s="89" t="e">
        <f>#REF!</f>
        <v>#REF!</v>
      </c>
      <c r="AL222" s="89" t="e">
        <f>#REF!</f>
        <v>#REF!</v>
      </c>
      <c r="AM222" s="89" t="e">
        <f>#REF!</f>
        <v>#REF!</v>
      </c>
      <c r="AN222" s="89" t="e">
        <f>#REF!</f>
        <v>#REF!</v>
      </c>
      <c r="AO222" s="89" t="e">
        <f>#REF!</f>
        <v>#REF!</v>
      </c>
      <c r="AP222" s="89" t="e">
        <f>#REF!</f>
        <v>#REF!</v>
      </c>
      <c r="AQ222" s="89" t="e">
        <f>#REF!</f>
        <v>#REF!</v>
      </c>
      <c r="AR222" s="89" t="e">
        <f>#REF!</f>
        <v>#REF!</v>
      </c>
      <c r="AS222" s="89" t="e">
        <f>#REF!</f>
        <v>#REF!</v>
      </c>
      <c r="AT222" s="89" t="e">
        <f>#REF!</f>
        <v>#REF!</v>
      </c>
      <c r="AU222" s="89" t="e">
        <f>#REF!</f>
        <v>#REF!</v>
      </c>
      <c r="AV222" s="89" t="e">
        <f>#REF!</f>
        <v>#REF!</v>
      </c>
      <c r="AW222" s="89" t="e">
        <f>#REF!</f>
        <v>#REF!</v>
      </c>
      <c r="AX222" s="89" t="e">
        <f>#REF!</f>
        <v>#REF!</v>
      </c>
      <c r="AY222" s="89" t="e">
        <f>#REF!</f>
        <v>#REF!</v>
      </c>
      <c r="AZ222" s="89" t="e">
        <f>#REF!</f>
        <v>#REF!</v>
      </c>
      <c r="BA222" s="89" t="e">
        <f>#REF!</f>
        <v>#REF!</v>
      </c>
      <c r="BB222" s="89" t="e">
        <f>#REF!</f>
        <v>#REF!</v>
      </c>
      <c r="BC222" s="89" t="e">
        <f>#REF!</f>
        <v>#REF!</v>
      </c>
      <c r="BD222" s="89" t="e">
        <f>#REF!</f>
        <v>#REF!</v>
      </c>
      <c r="BE222" s="89" t="e">
        <f>#REF!</f>
        <v>#REF!</v>
      </c>
      <c r="BF222" s="89" t="e">
        <f>#REF!</f>
        <v>#REF!</v>
      </c>
    </row>
    <row r="223" spans="9:58" x14ac:dyDescent="0.25">
      <c r="I223" s="89">
        <f>ABCD!J272</f>
        <v>54.75</v>
      </c>
      <c r="J223" s="89">
        <f>ABCD!K272</f>
        <v>179.57999999999998</v>
      </c>
      <c r="K223" s="89">
        <f>ABCD!L272</f>
        <v>0.3278501672488866</v>
      </c>
      <c r="L223" s="89">
        <f>ABCD!M272</f>
        <v>0.11820722822854757</v>
      </c>
      <c r="M223" s="89">
        <f>ABCD!N272</f>
        <v>0.34850922652147798</v>
      </c>
      <c r="N223" s="89" t="e">
        <v>#REF!</v>
      </c>
      <c r="O223" s="89" t="e">
        <v>#REF!</v>
      </c>
      <c r="P223" s="89" t="e">
        <v>#REF!</v>
      </c>
      <c r="Q223" s="89" t="e">
        <v>#REF!</v>
      </c>
      <c r="R223" s="89" t="e">
        <v>#REF!</v>
      </c>
      <c r="S223" s="89" t="e">
        <f>#REF!</f>
        <v>#REF!</v>
      </c>
      <c r="T223" s="89" t="e">
        <f>#REF!</f>
        <v>#REF!</v>
      </c>
      <c r="U223" s="89" t="e">
        <f>#REF!</f>
        <v>#REF!</v>
      </c>
      <c r="V223" s="89" t="e">
        <f>#REF!</f>
        <v>#REF!</v>
      </c>
      <c r="W223" s="89" t="e">
        <f>#REF!</f>
        <v>#REF!</v>
      </c>
      <c r="X223" s="89" t="e">
        <f>#REF!</f>
        <v>#REF!</v>
      </c>
      <c r="Y223" s="89" t="e">
        <f>#REF!</f>
        <v>#REF!</v>
      </c>
      <c r="Z223" s="89" t="e">
        <f>#REF!</f>
        <v>#REF!</v>
      </c>
      <c r="AA223" s="89" t="e">
        <f>#REF!</f>
        <v>#REF!</v>
      </c>
      <c r="AB223" s="89" t="e">
        <f>#REF!</f>
        <v>#REF!</v>
      </c>
      <c r="AC223" s="89" t="e">
        <f>#REF!</f>
        <v>#REF!</v>
      </c>
      <c r="AD223" s="89" t="e">
        <f>#REF!</f>
        <v>#REF!</v>
      </c>
      <c r="AE223" s="89" t="e">
        <f>#REF!</f>
        <v>#REF!</v>
      </c>
      <c r="AF223" s="89" t="e">
        <f>#REF!</f>
        <v>#REF!</v>
      </c>
      <c r="AG223" s="89" t="e">
        <f>#REF!</f>
        <v>#REF!</v>
      </c>
      <c r="AH223" s="89" t="e">
        <f>#REF!</f>
        <v>#REF!</v>
      </c>
      <c r="AI223" s="89" t="e">
        <f>#REF!</f>
        <v>#REF!</v>
      </c>
      <c r="AJ223" s="89" t="e">
        <f>#REF!</f>
        <v>#REF!</v>
      </c>
      <c r="AK223" s="89" t="e">
        <f>#REF!</f>
        <v>#REF!</v>
      </c>
      <c r="AL223" s="89" t="e">
        <f>#REF!</f>
        <v>#REF!</v>
      </c>
      <c r="AM223" s="89" t="e">
        <f>#REF!</f>
        <v>#REF!</v>
      </c>
      <c r="AN223" s="89" t="e">
        <f>#REF!</f>
        <v>#REF!</v>
      </c>
      <c r="AO223" s="89" t="e">
        <f>#REF!</f>
        <v>#REF!</v>
      </c>
      <c r="AP223" s="89" t="e">
        <f>#REF!</f>
        <v>#REF!</v>
      </c>
      <c r="AQ223" s="89" t="e">
        <f>#REF!</f>
        <v>#REF!</v>
      </c>
      <c r="AR223" s="89" t="e">
        <f>#REF!</f>
        <v>#REF!</v>
      </c>
      <c r="AS223" s="89" t="e">
        <f>#REF!</f>
        <v>#REF!</v>
      </c>
      <c r="AT223" s="89" t="e">
        <f>#REF!</f>
        <v>#REF!</v>
      </c>
      <c r="AU223" s="89" t="e">
        <f>#REF!</f>
        <v>#REF!</v>
      </c>
      <c r="AV223" s="89" t="e">
        <f>#REF!</f>
        <v>#REF!</v>
      </c>
      <c r="AW223" s="89" t="e">
        <f>#REF!</f>
        <v>#REF!</v>
      </c>
      <c r="AX223" s="89" t="e">
        <f>#REF!</f>
        <v>#REF!</v>
      </c>
      <c r="AY223" s="89" t="e">
        <f>#REF!</f>
        <v>#REF!</v>
      </c>
      <c r="AZ223" s="89" t="e">
        <f>#REF!</f>
        <v>#REF!</v>
      </c>
      <c r="BA223" s="89" t="e">
        <f>#REF!</f>
        <v>#REF!</v>
      </c>
      <c r="BB223" s="89" t="e">
        <f>#REF!</f>
        <v>#REF!</v>
      </c>
      <c r="BC223" s="89" t="e">
        <f>#REF!</f>
        <v>#REF!</v>
      </c>
      <c r="BD223" s="89" t="e">
        <f>#REF!</f>
        <v>#REF!</v>
      </c>
      <c r="BE223" s="89" t="e">
        <f>#REF!</f>
        <v>#REF!</v>
      </c>
      <c r="BF223" s="89" t="e">
        <f>#REF!</f>
        <v>#REF!</v>
      </c>
    </row>
    <row r="224" spans="9:58" x14ac:dyDescent="0.25">
      <c r="I224" s="89">
        <f>ABCD!J273</f>
        <v>55</v>
      </c>
      <c r="J224" s="89">
        <f>ABCD!K273</f>
        <v>180.39999999999998</v>
      </c>
      <c r="K224" s="89">
        <f>ABCD!L273</f>
        <v>0.23101076985217589</v>
      </c>
      <c r="L224" s="89">
        <f>ABCD!M273</f>
        <v>0.10059487575040427</v>
      </c>
      <c r="M224" s="89">
        <f>ABCD!N273</f>
        <v>0.25196290364840268</v>
      </c>
      <c r="N224" s="89" t="e">
        <v>#REF!</v>
      </c>
      <c r="O224" s="89" t="e">
        <v>#REF!</v>
      </c>
      <c r="P224" s="89" t="e">
        <v>#REF!</v>
      </c>
      <c r="Q224" s="89" t="e">
        <v>#REF!</v>
      </c>
      <c r="R224" s="89" t="e">
        <v>#REF!</v>
      </c>
      <c r="S224" s="89" t="e">
        <f>#REF!</f>
        <v>#REF!</v>
      </c>
      <c r="T224" s="89" t="e">
        <f>#REF!</f>
        <v>#REF!</v>
      </c>
      <c r="U224" s="89" t="e">
        <f>#REF!</f>
        <v>#REF!</v>
      </c>
      <c r="V224" s="89" t="e">
        <f>#REF!</f>
        <v>#REF!</v>
      </c>
      <c r="W224" s="89" t="e">
        <f>#REF!</f>
        <v>#REF!</v>
      </c>
      <c r="X224" s="89" t="e">
        <f>#REF!</f>
        <v>#REF!</v>
      </c>
      <c r="Y224" s="89" t="e">
        <f>#REF!</f>
        <v>#REF!</v>
      </c>
      <c r="Z224" s="89" t="e">
        <f>#REF!</f>
        <v>#REF!</v>
      </c>
      <c r="AA224" s="89" t="e">
        <f>#REF!</f>
        <v>#REF!</v>
      </c>
      <c r="AB224" s="89" t="e">
        <f>#REF!</f>
        <v>#REF!</v>
      </c>
      <c r="AC224" s="89" t="e">
        <f>#REF!</f>
        <v>#REF!</v>
      </c>
      <c r="AD224" s="89" t="e">
        <f>#REF!</f>
        <v>#REF!</v>
      </c>
      <c r="AE224" s="89" t="e">
        <f>#REF!</f>
        <v>#REF!</v>
      </c>
      <c r="AF224" s="89" t="e">
        <f>#REF!</f>
        <v>#REF!</v>
      </c>
      <c r="AG224" s="89" t="e">
        <f>#REF!</f>
        <v>#REF!</v>
      </c>
      <c r="AH224" s="89" t="e">
        <f>#REF!</f>
        <v>#REF!</v>
      </c>
      <c r="AI224" s="89" t="e">
        <f>#REF!</f>
        <v>#REF!</v>
      </c>
      <c r="AJ224" s="89" t="e">
        <f>#REF!</f>
        <v>#REF!</v>
      </c>
      <c r="AK224" s="89" t="e">
        <f>#REF!</f>
        <v>#REF!</v>
      </c>
      <c r="AL224" s="89" t="e">
        <f>#REF!</f>
        <v>#REF!</v>
      </c>
      <c r="AM224" s="89" t="e">
        <f>#REF!</f>
        <v>#REF!</v>
      </c>
      <c r="AN224" s="89" t="e">
        <f>#REF!</f>
        <v>#REF!</v>
      </c>
      <c r="AO224" s="89" t="e">
        <f>#REF!</f>
        <v>#REF!</v>
      </c>
      <c r="AP224" s="89" t="e">
        <f>#REF!</f>
        <v>#REF!</v>
      </c>
      <c r="AQ224" s="89" t="e">
        <f>#REF!</f>
        <v>#REF!</v>
      </c>
      <c r="AR224" s="89" t="e">
        <f>#REF!</f>
        <v>#REF!</v>
      </c>
      <c r="AS224" s="89" t="e">
        <f>#REF!</f>
        <v>#REF!</v>
      </c>
      <c r="AT224" s="89" t="e">
        <f>#REF!</f>
        <v>#REF!</v>
      </c>
      <c r="AU224" s="89" t="e">
        <f>#REF!</f>
        <v>#REF!</v>
      </c>
      <c r="AV224" s="89" t="e">
        <f>#REF!</f>
        <v>#REF!</v>
      </c>
      <c r="AW224" s="89" t="e">
        <f>#REF!</f>
        <v>#REF!</v>
      </c>
      <c r="AX224" s="89" t="e">
        <f>#REF!</f>
        <v>#REF!</v>
      </c>
      <c r="AY224" s="89" t="e">
        <f>#REF!</f>
        <v>#REF!</v>
      </c>
      <c r="AZ224" s="89" t="e">
        <f>#REF!</f>
        <v>#REF!</v>
      </c>
      <c r="BA224" s="89" t="e">
        <f>#REF!</f>
        <v>#REF!</v>
      </c>
      <c r="BB224" s="89" t="e">
        <f>#REF!</f>
        <v>#REF!</v>
      </c>
      <c r="BC224" s="89" t="e">
        <f>#REF!</f>
        <v>#REF!</v>
      </c>
      <c r="BD224" s="89" t="e">
        <f>#REF!</f>
        <v>#REF!</v>
      </c>
      <c r="BE224" s="89" t="e">
        <f>#REF!</f>
        <v>#REF!</v>
      </c>
      <c r="BF224" s="89" t="e">
        <f>#REF!</f>
        <v>#REF!</v>
      </c>
    </row>
    <row r="225" spans="9:58" x14ac:dyDescent="0.25">
      <c r="I225" s="89">
        <f>ABCD!J274</f>
        <v>55.25</v>
      </c>
      <c r="J225" s="89">
        <f>ABCD!K274</f>
        <v>181.22</v>
      </c>
      <c r="K225" s="89">
        <f>ABCD!L274</f>
        <v>0.13420516193033949</v>
      </c>
      <c r="L225" s="89">
        <f>ABCD!M274</f>
        <v>8.2975145829306651E-2</v>
      </c>
      <c r="M225" s="89">
        <f>ABCD!N274</f>
        <v>0.1577843474941141</v>
      </c>
      <c r="N225" s="89" t="e">
        <v>#REF!</v>
      </c>
      <c r="O225" s="89" t="e">
        <v>#REF!</v>
      </c>
      <c r="P225" s="89" t="e">
        <v>#REF!</v>
      </c>
      <c r="Q225" s="89" t="e">
        <v>#REF!</v>
      </c>
      <c r="R225" s="89" t="e">
        <v>#REF!</v>
      </c>
      <c r="S225" s="89" t="e">
        <f>#REF!</f>
        <v>#REF!</v>
      </c>
      <c r="T225" s="89" t="e">
        <f>#REF!</f>
        <v>#REF!</v>
      </c>
      <c r="U225" s="89" t="e">
        <f>#REF!</f>
        <v>#REF!</v>
      </c>
      <c r="V225" s="89" t="e">
        <f>#REF!</f>
        <v>#REF!</v>
      </c>
      <c r="W225" s="89" t="e">
        <f>#REF!</f>
        <v>#REF!</v>
      </c>
      <c r="X225" s="89" t="e">
        <f>#REF!</f>
        <v>#REF!</v>
      </c>
      <c r="Y225" s="89" t="e">
        <f>#REF!</f>
        <v>#REF!</v>
      </c>
      <c r="Z225" s="89" t="e">
        <f>#REF!</f>
        <v>#REF!</v>
      </c>
      <c r="AA225" s="89" t="e">
        <f>#REF!</f>
        <v>#REF!</v>
      </c>
      <c r="AB225" s="89" t="e">
        <f>#REF!</f>
        <v>#REF!</v>
      </c>
      <c r="AC225" s="89" t="e">
        <f>#REF!</f>
        <v>#REF!</v>
      </c>
      <c r="AD225" s="89" t="e">
        <f>#REF!</f>
        <v>#REF!</v>
      </c>
      <c r="AE225" s="89" t="e">
        <f>#REF!</f>
        <v>#REF!</v>
      </c>
      <c r="AF225" s="89" t="e">
        <f>#REF!</f>
        <v>#REF!</v>
      </c>
      <c r="AG225" s="89" t="e">
        <f>#REF!</f>
        <v>#REF!</v>
      </c>
      <c r="AH225" s="89" t="e">
        <f>#REF!</f>
        <v>#REF!</v>
      </c>
      <c r="AI225" s="89" t="e">
        <f>#REF!</f>
        <v>#REF!</v>
      </c>
      <c r="AJ225" s="89" t="e">
        <f>#REF!</f>
        <v>#REF!</v>
      </c>
      <c r="AK225" s="89" t="e">
        <f>#REF!</f>
        <v>#REF!</v>
      </c>
      <c r="AL225" s="89" t="e">
        <f>#REF!</f>
        <v>#REF!</v>
      </c>
      <c r="AM225" s="89" t="e">
        <f>#REF!</f>
        <v>#REF!</v>
      </c>
      <c r="AN225" s="89" t="e">
        <f>#REF!</f>
        <v>#REF!</v>
      </c>
      <c r="AO225" s="89" t="e">
        <f>#REF!</f>
        <v>#REF!</v>
      </c>
      <c r="AP225" s="89" t="e">
        <f>#REF!</f>
        <v>#REF!</v>
      </c>
      <c r="AQ225" s="89" t="e">
        <f>#REF!</f>
        <v>#REF!</v>
      </c>
      <c r="AR225" s="89" t="e">
        <f>#REF!</f>
        <v>#REF!</v>
      </c>
      <c r="AS225" s="89" t="e">
        <f>#REF!</f>
        <v>#REF!</v>
      </c>
      <c r="AT225" s="89" t="e">
        <f>#REF!</f>
        <v>#REF!</v>
      </c>
      <c r="AU225" s="89" t="e">
        <f>#REF!</f>
        <v>#REF!</v>
      </c>
      <c r="AV225" s="89" t="e">
        <f>#REF!</f>
        <v>#REF!</v>
      </c>
      <c r="AW225" s="89" t="e">
        <f>#REF!</f>
        <v>#REF!</v>
      </c>
      <c r="AX225" s="89" t="e">
        <f>#REF!</f>
        <v>#REF!</v>
      </c>
      <c r="AY225" s="89" t="e">
        <f>#REF!</f>
        <v>#REF!</v>
      </c>
      <c r="AZ225" s="89" t="e">
        <f>#REF!</f>
        <v>#REF!</v>
      </c>
      <c r="BA225" s="89" t="e">
        <f>#REF!</f>
        <v>#REF!</v>
      </c>
      <c r="BB225" s="89" t="e">
        <f>#REF!</f>
        <v>#REF!</v>
      </c>
      <c r="BC225" s="89" t="e">
        <f>#REF!</f>
        <v>#REF!</v>
      </c>
      <c r="BD225" s="89" t="e">
        <f>#REF!</f>
        <v>#REF!</v>
      </c>
      <c r="BE225" s="89" t="e">
        <f>#REF!</f>
        <v>#REF!</v>
      </c>
      <c r="BF225" s="89" t="e">
        <f>#REF!</f>
        <v>#REF!</v>
      </c>
    </row>
    <row r="226" spans="9:58" x14ac:dyDescent="0.25">
      <c r="I226" s="89">
        <f>ABCD!J275</f>
        <v>55.5</v>
      </c>
      <c r="J226" s="89">
        <f>ABCD!K275</f>
        <v>182.04</v>
      </c>
      <c r="K226" s="89">
        <f>ABCD!L275</f>
        <v>3.7455659797185903E-2</v>
      </c>
      <c r="L226" s="89">
        <f>ABCD!M275</f>
        <v>6.5352112459375888E-2</v>
      </c>
      <c r="M226" s="89">
        <f>ABCD!N275</f>
        <v>7.5324797070721941E-2</v>
      </c>
      <c r="N226" s="89" t="e">
        <v>#REF!</v>
      </c>
      <c r="O226" s="89" t="e">
        <v>#REF!</v>
      </c>
      <c r="P226" s="89" t="e">
        <v>#REF!</v>
      </c>
      <c r="Q226" s="89" t="e">
        <v>#REF!</v>
      </c>
      <c r="R226" s="89" t="e">
        <v>#REF!</v>
      </c>
      <c r="S226" s="89" t="e">
        <f>#REF!</f>
        <v>#REF!</v>
      </c>
      <c r="T226" s="89" t="e">
        <f>#REF!</f>
        <v>#REF!</v>
      </c>
      <c r="U226" s="89" t="e">
        <f>#REF!</f>
        <v>#REF!</v>
      </c>
      <c r="V226" s="89" t="e">
        <f>#REF!</f>
        <v>#REF!</v>
      </c>
      <c r="W226" s="89" t="e">
        <f>#REF!</f>
        <v>#REF!</v>
      </c>
      <c r="X226" s="89" t="e">
        <f>#REF!</f>
        <v>#REF!</v>
      </c>
      <c r="Y226" s="89" t="e">
        <f>#REF!</f>
        <v>#REF!</v>
      </c>
      <c r="Z226" s="89" t="e">
        <f>#REF!</f>
        <v>#REF!</v>
      </c>
      <c r="AA226" s="89" t="e">
        <f>#REF!</f>
        <v>#REF!</v>
      </c>
      <c r="AB226" s="89" t="e">
        <f>#REF!</f>
        <v>#REF!</v>
      </c>
      <c r="AC226" s="89" t="e">
        <f>#REF!</f>
        <v>#REF!</v>
      </c>
      <c r="AD226" s="89" t="e">
        <f>#REF!</f>
        <v>#REF!</v>
      </c>
      <c r="AE226" s="89" t="e">
        <f>#REF!</f>
        <v>#REF!</v>
      </c>
      <c r="AF226" s="89" t="e">
        <f>#REF!</f>
        <v>#REF!</v>
      </c>
      <c r="AG226" s="89" t="e">
        <f>#REF!</f>
        <v>#REF!</v>
      </c>
      <c r="AH226" s="89" t="e">
        <f>#REF!</f>
        <v>#REF!</v>
      </c>
      <c r="AI226" s="89" t="e">
        <f>#REF!</f>
        <v>#REF!</v>
      </c>
      <c r="AJ226" s="89" t="e">
        <f>#REF!</f>
        <v>#REF!</v>
      </c>
      <c r="AK226" s="89" t="e">
        <f>#REF!</f>
        <v>#REF!</v>
      </c>
      <c r="AL226" s="89" t="e">
        <f>#REF!</f>
        <v>#REF!</v>
      </c>
      <c r="AM226" s="89" t="e">
        <f>#REF!</f>
        <v>#REF!</v>
      </c>
      <c r="AN226" s="89" t="e">
        <f>#REF!</f>
        <v>#REF!</v>
      </c>
      <c r="AO226" s="89" t="e">
        <f>#REF!</f>
        <v>#REF!</v>
      </c>
      <c r="AP226" s="89" t="e">
        <f>#REF!</f>
        <v>#REF!</v>
      </c>
      <c r="AQ226" s="89" t="e">
        <f>#REF!</f>
        <v>#REF!</v>
      </c>
      <c r="AR226" s="89" t="e">
        <f>#REF!</f>
        <v>#REF!</v>
      </c>
      <c r="AS226" s="89" t="e">
        <f>#REF!</f>
        <v>#REF!</v>
      </c>
      <c r="AT226" s="89" t="e">
        <f>#REF!</f>
        <v>#REF!</v>
      </c>
      <c r="AU226" s="89" t="e">
        <f>#REF!</f>
        <v>#REF!</v>
      </c>
      <c r="AV226" s="89" t="e">
        <f>#REF!</f>
        <v>#REF!</v>
      </c>
      <c r="AW226" s="89" t="e">
        <f>#REF!</f>
        <v>#REF!</v>
      </c>
      <c r="AX226" s="89" t="e">
        <f>#REF!</f>
        <v>#REF!</v>
      </c>
      <c r="AY226" s="89" t="e">
        <f>#REF!</f>
        <v>#REF!</v>
      </c>
      <c r="AZ226" s="89" t="e">
        <f>#REF!</f>
        <v>#REF!</v>
      </c>
      <c r="BA226" s="89" t="e">
        <f>#REF!</f>
        <v>#REF!</v>
      </c>
      <c r="BB226" s="89" t="e">
        <f>#REF!</f>
        <v>#REF!</v>
      </c>
      <c r="BC226" s="89" t="e">
        <f>#REF!</f>
        <v>#REF!</v>
      </c>
      <c r="BD226" s="89" t="e">
        <f>#REF!</f>
        <v>#REF!</v>
      </c>
      <c r="BE226" s="89" t="e">
        <f>#REF!</f>
        <v>#REF!</v>
      </c>
      <c r="BF226" s="89" t="e">
        <f>#REF!</f>
        <v>#REF!</v>
      </c>
    </row>
    <row r="227" spans="9:58" x14ac:dyDescent="0.25">
      <c r="I227" s="89">
        <f>ABCD!J276</f>
        <v>55.75</v>
      </c>
      <c r="J227" s="89">
        <f>ABCD!K276</f>
        <v>182.85999999999999</v>
      </c>
      <c r="K227" s="89">
        <f>ABCD!L276</f>
        <v>-5.9215453260642814E-2</v>
      </c>
      <c r="L227" s="89">
        <f>ABCD!M276</f>
        <v>4.7729846732355252E-2</v>
      </c>
      <c r="M227" s="89">
        <f>ABCD!N276</f>
        <v>7.6056611638683311E-2</v>
      </c>
      <c r="N227" s="89" t="e">
        <v>#REF!</v>
      </c>
      <c r="O227" s="89" t="e">
        <v>#REF!</v>
      </c>
      <c r="P227" s="89" t="e">
        <v>#REF!</v>
      </c>
      <c r="Q227" s="89" t="e">
        <v>#REF!</v>
      </c>
      <c r="R227" s="89" t="e">
        <v>#REF!</v>
      </c>
      <c r="S227" s="89" t="e">
        <f>#REF!</f>
        <v>#REF!</v>
      </c>
      <c r="T227" s="89" t="e">
        <f>#REF!</f>
        <v>#REF!</v>
      </c>
      <c r="U227" s="89" t="e">
        <f>#REF!</f>
        <v>#REF!</v>
      </c>
      <c r="V227" s="89" t="e">
        <f>#REF!</f>
        <v>#REF!</v>
      </c>
      <c r="W227" s="89" t="e">
        <f>#REF!</f>
        <v>#REF!</v>
      </c>
      <c r="X227" s="89" t="e">
        <f>#REF!</f>
        <v>#REF!</v>
      </c>
      <c r="Y227" s="89" t="e">
        <f>#REF!</f>
        <v>#REF!</v>
      </c>
      <c r="Z227" s="89" t="e">
        <f>#REF!</f>
        <v>#REF!</v>
      </c>
      <c r="AA227" s="89" t="e">
        <f>#REF!</f>
        <v>#REF!</v>
      </c>
      <c r="AB227" s="89" t="e">
        <f>#REF!</f>
        <v>#REF!</v>
      </c>
      <c r="AC227" s="89" t="e">
        <f>#REF!</f>
        <v>#REF!</v>
      </c>
      <c r="AD227" s="89" t="e">
        <f>#REF!</f>
        <v>#REF!</v>
      </c>
      <c r="AE227" s="89" t="e">
        <f>#REF!</f>
        <v>#REF!</v>
      </c>
      <c r="AF227" s="89" t="e">
        <f>#REF!</f>
        <v>#REF!</v>
      </c>
      <c r="AG227" s="89" t="e">
        <f>#REF!</f>
        <v>#REF!</v>
      </c>
      <c r="AH227" s="89" t="e">
        <f>#REF!</f>
        <v>#REF!</v>
      </c>
      <c r="AI227" s="89" t="e">
        <f>#REF!</f>
        <v>#REF!</v>
      </c>
      <c r="AJ227" s="89" t="e">
        <f>#REF!</f>
        <v>#REF!</v>
      </c>
      <c r="AK227" s="89" t="e">
        <f>#REF!</f>
        <v>#REF!</v>
      </c>
      <c r="AL227" s="89" t="e">
        <f>#REF!</f>
        <v>#REF!</v>
      </c>
      <c r="AM227" s="89" t="e">
        <f>#REF!</f>
        <v>#REF!</v>
      </c>
      <c r="AN227" s="89" t="e">
        <f>#REF!</f>
        <v>#REF!</v>
      </c>
      <c r="AO227" s="89" t="e">
        <f>#REF!</f>
        <v>#REF!</v>
      </c>
      <c r="AP227" s="89" t="e">
        <f>#REF!</f>
        <v>#REF!</v>
      </c>
      <c r="AQ227" s="89" t="e">
        <f>#REF!</f>
        <v>#REF!</v>
      </c>
      <c r="AR227" s="89" t="e">
        <f>#REF!</f>
        <v>#REF!</v>
      </c>
      <c r="AS227" s="89" t="e">
        <f>#REF!</f>
        <v>#REF!</v>
      </c>
      <c r="AT227" s="89" t="e">
        <f>#REF!</f>
        <v>#REF!</v>
      </c>
      <c r="AU227" s="89" t="e">
        <f>#REF!</f>
        <v>#REF!</v>
      </c>
      <c r="AV227" s="89" t="e">
        <f>#REF!</f>
        <v>#REF!</v>
      </c>
      <c r="AW227" s="89" t="e">
        <f>#REF!</f>
        <v>#REF!</v>
      </c>
      <c r="AX227" s="89" t="e">
        <f>#REF!</f>
        <v>#REF!</v>
      </c>
      <c r="AY227" s="89" t="e">
        <f>#REF!</f>
        <v>#REF!</v>
      </c>
      <c r="AZ227" s="89" t="e">
        <f>#REF!</f>
        <v>#REF!</v>
      </c>
      <c r="BA227" s="89" t="e">
        <f>#REF!</f>
        <v>#REF!</v>
      </c>
      <c r="BB227" s="89" t="e">
        <f>#REF!</f>
        <v>#REF!</v>
      </c>
      <c r="BC227" s="89" t="e">
        <f>#REF!</f>
        <v>#REF!</v>
      </c>
      <c r="BD227" s="89" t="e">
        <f>#REF!</f>
        <v>#REF!</v>
      </c>
      <c r="BE227" s="89" t="e">
        <f>#REF!</f>
        <v>#REF!</v>
      </c>
      <c r="BF227" s="89" t="e">
        <f>#REF!</f>
        <v>#REF!</v>
      </c>
    </row>
    <row r="228" spans="9:58" x14ac:dyDescent="0.25">
      <c r="I228" s="89">
        <f>ABCD!J277</f>
        <v>56</v>
      </c>
      <c r="J228" s="89">
        <f>ABCD!K277</f>
        <v>183.67999999999998</v>
      </c>
      <c r="K228" s="89">
        <f>ABCD!L277</f>
        <v>-0.15578593209784986</v>
      </c>
      <c r="L228" s="89">
        <f>ABCD!M277</f>
        <v>3.0112415900453104E-2</v>
      </c>
      <c r="M228" s="89">
        <f>ABCD!N277</f>
        <v>0.15866951260704668</v>
      </c>
      <c r="N228" s="89" t="e">
        <v>#REF!</v>
      </c>
      <c r="O228" s="89" t="e">
        <v>#REF!</v>
      </c>
      <c r="P228" s="89" t="e">
        <v>#REF!</v>
      </c>
      <c r="Q228" s="89" t="e">
        <v>#REF!</v>
      </c>
      <c r="R228" s="89" t="e">
        <v>#REF!</v>
      </c>
      <c r="S228" s="89" t="e">
        <f>#REF!</f>
        <v>#REF!</v>
      </c>
      <c r="T228" s="89" t="e">
        <f>#REF!</f>
        <v>#REF!</v>
      </c>
      <c r="U228" s="89" t="e">
        <f>#REF!</f>
        <v>#REF!</v>
      </c>
      <c r="V228" s="89" t="e">
        <f>#REF!</f>
        <v>#REF!</v>
      </c>
      <c r="W228" s="89" t="e">
        <f>#REF!</f>
        <v>#REF!</v>
      </c>
      <c r="X228" s="89" t="e">
        <f>#REF!</f>
        <v>#REF!</v>
      </c>
      <c r="Y228" s="89" t="e">
        <f>#REF!</f>
        <v>#REF!</v>
      </c>
      <c r="Z228" s="89" t="e">
        <f>#REF!</f>
        <v>#REF!</v>
      </c>
      <c r="AA228" s="89" t="e">
        <f>#REF!</f>
        <v>#REF!</v>
      </c>
      <c r="AB228" s="89" t="e">
        <f>#REF!</f>
        <v>#REF!</v>
      </c>
      <c r="AC228" s="89" t="e">
        <f>#REF!</f>
        <v>#REF!</v>
      </c>
      <c r="AD228" s="89" t="e">
        <f>#REF!</f>
        <v>#REF!</v>
      </c>
      <c r="AE228" s="89" t="e">
        <f>#REF!</f>
        <v>#REF!</v>
      </c>
      <c r="AF228" s="89" t="e">
        <f>#REF!</f>
        <v>#REF!</v>
      </c>
      <c r="AG228" s="89" t="e">
        <f>#REF!</f>
        <v>#REF!</v>
      </c>
      <c r="AH228" s="89" t="e">
        <f>#REF!</f>
        <v>#REF!</v>
      </c>
      <c r="AI228" s="89" t="e">
        <f>#REF!</f>
        <v>#REF!</v>
      </c>
      <c r="AJ228" s="89" t="e">
        <f>#REF!</f>
        <v>#REF!</v>
      </c>
      <c r="AK228" s="89" t="e">
        <f>#REF!</f>
        <v>#REF!</v>
      </c>
      <c r="AL228" s="89" t="e">
        <f>#REF!</f>
        <v>#REF!</v>
      </c>
      <c r="AM228" s="89" t="e">
        <f>#REF!</f>
        <v>#REF!</v>
      </c>
      <c r="AN228" s="89" t="e">
        <f>#REF!</f>
        <v>#REF!</v>
      </c>
      <c r="AO228" s="89" t="e">
        <f>#REF!</f>
        <v>#REF!</v>
      </c>
      <c r="AP228" s="89" t="e">
        <f>#REF!</f>
        <v>#REF!</v>
      </c>
      <c r="AQ228" s="89" t="e">
        <f>#REF!</f>
        <v>#REF!</v>
      </c>
      <c r="AR228" s="89" t="e">
        <f>#REF!</f>
        <v>#REF!</v>
      </c>
      <c r="AS228" s="89" t="e">
        <f>#REF!</f>
        <v>#REF!</v>
      </c>
      <c r="AT228" s="89" t="e">
        <f>#REF!</f>
        <v>#REF!</v>
      </c>
      <c r="AU228" s="89" t="e">
        <f>#REF!</f>
        <v>#REF!</v>
      </c>
      <c r="AV228" s="89" t="e">
        <f>#REF!</f>
        <v>#REF!</v>
      </c>
      <c r="AW228" s="89" t="e">
        <f>#REF!</f>
        <v>#REF!</v>
      </c>
      <c r="AX228" s="89" t="e">
        <f>#REF!</f>
        <v>#REF!</v>
      </c>
      <c r="AY228" s="89" t="e">
        <f>#REF!</f>
        <v>#REF!</v>
      </c>
      <c r="AZ228" s="89" t="e">
        <f>#REF!</f>
        <v>#REF!</v>
      </c>
      <c r="BA228" s="89" t="e">
        <f>#REF!</f>
        <v>#REF!</v>
      </c>
      <c r="BB228" s="89" t="e">
        <f>#REF!</f>
        <v>#REF!</v>
      </c>
      <c r="BC228" s="89" t="e">
        <f>#REF!</f>
        <v>#REF!</v>
      </c>
      <c r="BD228" s="89" t="e">
        <f>#REF!</f>
        <v>#REF!</v>
      </c>
      <c r="BE228" s="89" t="e">
        <f>#REF!</f>
        <v>#REF!</v>
      </c>
      <c r="BF228" s="89" t="e">
        <f>#REF!</f>
        <v>#REF!</v>
      </c>
    </row>
    <row r="229" spans="9:58" x14ac:dyDescent="0.25">
      <c r="I229" s="89">
        <f>ABCD!J278</f>
        <v>56.25</v>
      </c>
      <c r="J229" s="89">
        <f>ABCD!K278</f>
        <v>184.5</v>
      </c>
      <c r="K229" s="89">
        <f>ABCD!L278</f>
        <v>-0.25223357481128889</v>
      </c>
      <c r="L229" s="89">
        <f>ABCD!M278</f>
        <v>1.2503882440904945E-2</v>
      </c>
      <c r="M229" s="89">
        <f>ABCD!N278</f>
        <v>0.25254330982660783</v>
      </c>
      <c r="N229" s="89" t="e">
        <v>#REF!</v>
      </c>
      <c r="O229" s="89" t="e">
        <v>#REF!</v>
      </c>
      <c r="P229" s="89" t="e">
        <v>#REF!</v>
      </c>
      <c r="Q229" s="89" t="e">
        <v>#REF!</v>
      </c>
      <c r="R229" s="89" t="e">
        <v>#REF!</v>
      </c>
      <c r="S229" s="89" t="e">
        <f>#REF!</f>
        <v>#REF!</v>
      </c>
      <c r="T229" s="89" t="e">
        <f>#REF!</f>
        <v>#REF!</v>
      </c>
      <c r="U229" s="89" t="e">
        <f>#REF!</f>
        <v>#REF!</v>
      </c>
      <c r="V229" s="89" t="e">
        <f>#REF!</f>
        <v>#REF!</v>
      </c>
      <c r="W229" s="89" t="e">
        <f>#REF!</f>
        <v>#REF!</v>
      </c>
      <c r="X229" s="89" t="e">
        <f>#REF!</f>
        <v>#REF!</v>
      </c>
      <c r="Y229" s="89" t="e">
        <f>#REF!</f>
        <v>#REF!</v>
      </c>
      <c r="Z229" s="89" t="e">
        <f>#REF!</f>
        <v>#REF!</v>
      </c>
      <c r="AA229" s="89" t="e">
        <f>#REF!</f>
        <v>#REF!</v>
      </c>
      <c r="AB229" s="89" t="e">
        <f>#REF!</f>
        <v>#REF!</v>
      </c>
      <c r="AC229" s="89" t="e">
        <f>#REF!</f>
        <v>#REF!</v>
      </c>
      <c r="AD229" s="89" t="e">
        <f>#REF!</f>
        <v>#REF!</v>
      </c>
      <c r="AE229" s="89" t="e">
        <f>#REF!</f>
        <v>#REF!</v>
      </c>
      <c r="AF229" s="89" t="e">
        <f>#REF!</f>
        <v>#REF!</v>
      </c>
      <c r="AG229" s="89" t="e">
        <f>#REF!</f>
        <v>#REF!</v>
      </c>
      <c r="AH229" s="89" t="e">
        <f>#REF!</f>
        <v>#REF!</v>
      </c>
      <c r="AI229" s="89" t="e">
        <f>#REF!</f>
        <v>#REF!</v>
      </c>
      <c r="AJ229" s="89" t="e">
        <f>#REF!</f>
        <v>#REF!</v>
      </c>
      <c r="AK229" s="89" t="e">
        <f>#REF!</f>
        <v>#REF!</v>
      </c>
      <c r="AL229" s="89" t="e">
        <f>#REF!</f>
        <v>#REF!</v>
      </c>
      <c r="AM229" s="89" t="e">
        <f>#REF!</f>
        <v>#REF!</v>
      </c>
      <c r="AN229" s="89" t="e">
        <f>#REF!</f>
        <v>#REF!</v>
      </c>
      <c r="AO229" s="89" t="e">
        <f>#REF!</f>
        <v>#REF!</v>
      </c>
      <c r="AP229" s="89" t="e">
        <f>#REF!</f>
        <v>#REF!</v>
      </c>
      <c r="AQ229" s="89" t="e">
        <f>#REF!</f>
        <v>#REF!</v>
      </c>
      <c r="AR229" s="89" t="e">
        <f>#REF!</f>
        <v>#REF!</v>
      </c>
      <c r="AS229" s="89" t="e">
        <f>#REF!</f>
        <v>#REF!</v>
      </c>
      <c r="AT229" s="89" t="e">
        <f>#REF!</f>
        <v>#REF!</v>
      </c>
      <c r="AU229" s="89" t="e">
        <f>#REF!</f>
        <v>#REF!</v>
      </c>
      <c r="AV229" s="89" t="e">
        <f>#REF!</f>
        <v>#REF!</v>
      </c>
      <c r="AW229" s="89" t="e">
        <f>#REF!</f>
        <v>#REF!</v>
      </c>
      <c r="AX229" s="89" t="e">
        <f>#REF!</f>
        <v>#REF!</v>
      </c>
      <c r="AY229" s="89" t="e">
        <f>#REF!</f>
        <v>#REF!</v>
      </c>
      <c r="AZ229" s="89" t="e">
        <f>#REF!</f>
        <v>#REF!</v>
      </c>
      <c r="BA229" s="89" t="e">
        <f>#REF!</f>
        <v>#REF!</v>
      </c>
      <c r="BB229" s="89" t="e">
        <f>#REF!</f>
        <v>#REF!</v>
      </c>
      <c r="BC229" s="89" t="e">
        <f>#REF!</f>
        <v>#REF!</v>
      </c>
      <c r="BD229" s="89" t="e">
        <f>#REF!</f>
        <v>#REF!</v>
      </c>
      <c r="BE229" s="89" t="e">
        <f>#REF!</f>
        <v>#REF!</v>
      </c>
      <c r="BF229" s="89" t="e">
        <f>#REF!</f>
        <v>#REF!</v>
      </c>
    </row>
    <row r="230" spans="9:58" x14ac:dyDescent="0.25">
      <c r="I230" s="89">
        <f>ABCD!J279</f>
        <v>56.5</v>
      </c>
      <c r="J230" s="89">
        <f>ABCD!K279</f>
        <v>185.32</v>
      </c>
      <c r="K230" s="89">
        <f>ABCD!L279</f>
        <v>-0.34853622782614058</v>
      </c>
      <c r="L230" s="89">
        <f>ABCD!M279</f>
        <v>-5.0916968775189808E-3</v>
      </c>
      <c r="M230" s="89">
        <f>ABCD!N279</f>
        <v>0.34857341763876359</v>
      </c>
      <c r="N230" s="89" t="e">
        <v>#REF!</v>
      </c>
      <c r="O230" s="89" t="e">
        <v>#REF!</v>
      </c>
      <c r="P230" s="89" t="e">
        <v>#REF!</v>
      </c>
      <c r="Q230" s="89" t="e">
        <v>#REF!</v>
      </c>
      <c r="R230" s="89" t="e">
        <v>#REF!</v>
      </c>
      <c r="S230" s="89" t="e">
        <f>#REF!</f>
        <v>#REF!</v>
      </c>
      <c r="T230" s="89" t="e">
        <f>#REF!</f>
        <v>#REF!</v>
      </c>
      <c r="U230" s="89" t="e">
        <f>#REF!</f>
        <v>#REF!</v>
      </c>
      <c r="V230" s="89" t="e">
        <f>#REF!</f>
        <v>#REF!</v>
      </c>
      <c r="W230" s="89" t="e">
        <f>#REF!</f>
        <v>#REF!</v>
      </c>
      <c r="X230" s="89" t="e">
        <f>#REF!</f>
        <v>#REF!</v>
      </c>
      <c r="Y230" s="89" t="e">
        <f>#REF!</f>
        <v>#REF!</v>
      </c>
      <c r="Z230" s="89" t="e">
        <f>#REF!</f>
        <v>#REF!</v>
      </c>
      <c r="AA230" s="89" t="e">
        <f>#REF!</f>
        <v>#REF!</v>
      </c>
      <c r="AB230" s="89" t="e">
        <f>#REF!</f>
        <v>#REF!</v>
      </c>
      <c r="AC230" s="89" t="e">
        <f>#REF!</f>
        <v>#REF!</v>
      </c>
      <c r="AD230" s="89" t="e">
        <f>#REF!</f>
        <v>#REF!</v>
      </c>
      <c r="AE230" s="89" t="e">
        <f>#REF!</f>
        <v>#REF!</v>
      </c>
      <c r="AF230" s="89" t="e">
        <f>#REF!</f>
        <v>#REF!</v>
      </c>
      <c r="AG230" s="89" t="e">
        <f>#REF!</f>
        <v>#REF!</v>
      </c>
      <c r="AH230" s="89" t="e">
        <f>#REF!</f>
        <v>#REF!</v>
      </c>
      <c r="AI230" s="89" t="e">
        <f>#REF!</f>
        <v>#REF!</v>
      </c>
      <c r="AJ230" s="89" t="e">
        <f>#REF!</f>
        <v>#REF!</v>
      </c>
      <c r="AK230" s="89" t="e">
        <f>#REF!</f>
        <v>#REF!</v>
      </c>
      <c r="AL230" s="89" t="e">
        <f>#REF!</f>
        <v>#REF!</v>
      </c>
      <c r="AM230" s="89" t="e">
        <f>#REF!</f>
        <v>#REF!</v>
      </c>
      <c r="AN230" s="89" t="e">
        <f>#REF!</f>
        <v>#REF!</v>
      </c>
      <c r="AO230" s="89" t="e">
        <f>#REF!</f>
        <v>#REF!</v>
      </c>
      <c r="AP230" s="89" t="e">
        <f>#REF!</f>
        <v>#REF!</v>
      </c>
      <c r="AQ230" s="89" t="e">
        <f>#REF!</f>
        <v>#REF!</v>
      </c>
      <c r="AR230" s="89" t="e">
        <f>#REF!</f>
        <v>#REF!</v>
      </c>
      <c r="AS230" s="89" t="e">
        <f>#REF!</f>
        <v>#REF!</v>
      </c>
      <c r="AT230" s="89" t="e">
        <f>#REF!</f>
        <v>#REF!</v>
      </c>
      <c r="AU230" s="89" t="e">
        <f>#REF!</f>
        <v>#REF!</v>
      </c>
      <c r="AV230" s="89" t="e">
        <f>#REF!</f>
        <v>#REF!</v>
      </c>
      <c r="AW230" s="89" t="e">
        <f>#REF!</f>
        <v>#REF!</v>
      </c>
      <c r="AX230" s="89" t="e">
        <f>#REF!</f>
        <v>#REF!</v>
      </c>
      <c r="AY230" s="89" t="e">
        <f>#REF!</f>
        <v>#REF!</v>
      </c>
      <c r="AZ230" s="89" t="e">
        <f>#REF!</f>
        <v>#REF!</v>
      </c>
      <c r="BA230" s="89" t="e">
        <f>#REF!</f>
        <v>#REF!</v>
      </c>
      <c r="BB230" s="89" t="e">
        <f>#REF!</f>
        <v>#REF!</v>
      </c>
      <c r="BC230" s="89" t="e">
        <f>#REF!</f>
        <v>#REF!</v>
      </c>
      <c r="BD230" s="89" t="e">
        <f>#REF!</f>
        <v>#REF!</v>
      </c>
      <c r="BE230" s="89" t="e">
        <f>#REF!</f>
        <v>#REF!</v>
      </c>
      <c r="BF230" s="89" t="e">
        <f>#REF!</f>
        <v>#REF!</v>
      </c>
    </row>
    <row r="231" spans="9:58" x14ac:dyDescent="0.25">
      <c r="I231" s="89">
        <f>ABCD!J280</f>
        <v>56.75</v>
      </c>
      <c r="J231" s="89">
        <f>ABCD!K280</f>
        <v>186.14</v>
      </c>
      <c r="K231" s="89">
        <f>ABCD!L280</f>
        <v>-0.44467179096643183</v>
      </c>
      <c r="L231" s="89">
        <f>ABCD!M280</f>
        <v>-2.2670271925844254E-2</v>
      </c>
      <c r="M231" s="89">
        <f>ABCD!N280</f>
        <v>0.44524930422234882</v>
      </c>
      <c r="N231" s="89" t="e">
        <v>#REF!</v>
      </c>
      <c r="O231" s="89" t="e">
        <v>#REF!</v>
      </c>
      <c r="P231" s="89" t="e">
        <v>#REF!</v>
      </c>
      <c r="Q231" s="89" t="e">
        <v>#REF!</v>
      </c>
      <c r="R231" s="89" t="e">
        <v>#REF!</v>
      </c>
      <c r="S231" s="89" t="e">
        <f>#REF!</f>
        <v>#REF!</v>
      </c>
      <c r="T231" s="89" t="e">
        <f>#REF!</f>
        <v>#REF!</v>
      </c>
      <c r="U231" s="89" t="e">
        <f>#REF!</f>
        <v>#REF!</v>
      </c>
      <c r="V231" s="89" t="e">
        <f>#REF!</f>
        <v>#REF!</v>
      </c>
      <c r="W231" s="89" t="e">
        <f>#REF!</f>
        <v>#REF!</v>
      </c>
      <c r="X231" s="89" t="e">
        <f>#REF!</f>
        <v>#REF!</v>
      </c>
      <c r="Y231" s="89" t="e">
        <f>#REF!</f>
        <v>#REF!</v>
      </c>
      <c r="Z231" s="89" t="e">
        <f>#REF!</f>
        <v>#REF!</v>
      </c>
      <c r="AA231" s="89" t="e">
        <f>#REF!</f>
        <v>#REF!</v>
      </c>
      <c r="AB231" s="89" t="e">
        <f>#REF!</f>
        <v>#REF!</v>
      </c>
      <c r="AC231" s="89" t="e">
        <f>#REF!</f>
        <v>#REF!</v>
      </c>
      <c r="AD231" s="89" t="e">
        <f>#REF!</f>
        <v>#REF!</v>
      </c>
      <c r="AE231" s="89" t="e">
        <f>#REF!</f>
        <v>#REF!</v>
      </c>
      <c r="AF231" s="89" t="e">
        <f>#REF!</f>
        <v>#REF!</v>
      </c>
      <c r="AG231" s="89" t="e">
        <f>#REF!</f>
        <v>#REF!</v>
      </c>
      <c r="AH231" s="89" t="e">
        <f>#REF!</f>
        <v>#REF!</v>
      </c>
      <c r="AI231" s="89" t="e">
        <f>#REF!</f>
        <v>#REF!</v>
      </c>
      <c r="AJ231" s="89" t="e">
        <f>#REF!</f>
        <v>#REF!</v>
      </c>
      <c r="AK231" s="89" t="e">
        <f>#REF!</f>
        <v>#REF!</v>
      </c>
      <c r="AL231" s="89" t="e">
        <f>#REF!</f>
        <v>#REF!</v>
      </c>
      <c r="AM231" s="89" t="e">
        <f>#REF!</f>
        <v>#REF!</v>
      </c>
      <c r="AN231" s="89" t="e">
        <f>#REF!</f>
        <v>#REF!</v>
      </c>
      <c r="AO231" s="89" t="e">
        <f>#REF!</f>
        <v>#REF!</v>
      </c>
      <c r="AP231" s="89" t="e">
        <f>#REF!</f>
        <v>#REF!</v>
      </c>
      <c r="AQ231" s="89" t="e">
        <f>#REF!</f>
        <v>#REF!</v>
      </c>
      <c r="AR231" s="89" t="e">
        <f>#REF!</f>
        <v>#REF!</v>
      </c>
      <c r="AS231" s="89" t="e">
        <f>#REF!</f>
        <v>#REF!</v>
      </c>
      <c r="AT231" s="89" t="e">
        <f>#REF!</f>
        <v>#REF!</v>
      </c>
      <c r="AU231" s="89" t="e">
        <f>#REF!</f>
        <v>#REF!</v>
      </c>
      <c r="AV231" s="89" t="e">
        <f>#REF!</f>
        <v>#REF!</v>
      </c>
      <c r="AW231" s="89" t="e">
        <f>#REF!</f>
        <v>#REF!</v>
      </c>
      <c r="AX231" s="89" t="e">
        <f>#REF!</f>
        <v>#REF!</v>
      </c>
      <c r="AY231" s="89" t="e">
        <f>#REF!</f>
        <v>#REF!</v>
      </c>
      <c r="AZ231" s="89" t="e">
        <f>#REF!</f>
        <v>#REF!</v>
      </c>
      <c r="BA231" s="89" t="e">
        <f>#REF!</f>
        <v>#REF!</v>
      </c>
      <c r="BB231" s="89" t="e">
        <f>#REF!</f>
        <v>#REF!</v>
      </c>
      <c r="BC231" s="89" t="e">
        <f>#REF!</f>
        <v>#REF!</v>
      </c>
      <c r="BD231" s="89" t="e">
        <f>#REF!</f>
        <v>#REF!</v>
      </c>
      <c r="BE231" s="89" t="e">
        <f>#REF!</f>
        <v>#REF!</v>
      </c>
      <c r="BF231" s="89" t="e">
        <f>#REF!</f>
        <v>#REF!</v>
      </c>
    </row>
    <row r="232" spans="9:58" x14ac:dyDescent="0.25">
      <c r="I232" s="89">
        <f>ABCD!J281</f>
        <v>57</v>
      </c>
      <c r="J232" s="89">
        <f>ABCD!K281</f>
        <v>186.95999999999998</v>
      </c>
      <c r="K232" s="89">
        <f>ABCD!L281</f>
        <v>-0.54061822250860447</v>
      </c>
      <c r="L232" s="89">
        <f>ABCD!M281</f>
        <v>-4.0227800143858961E-2</v>
      </c>
      <c r="M232" s="89">
        <f>ABCD!N281</f>
        <v>0.54211284656681691</v>
      </c>
      <c r="N232" s="89" t="e">
        <v>#REF!</v>
      </c>
      <c r="O232" s="89" t="e">
        <v>#REF!</v>
      </c>
      <c r="P232" s="89" t="e">
        <v>#REF!</v>
      </c>
      <c r="Q232" s="89" t="e">
        <v>#REF!</v>
      </c>
      <c r="R232" s="89" t="e">
        <v>#REF!</v>
      </c>
      <c r="S232" s="89" t="e">
        <f>#REF!</f>
        <v>#REF!</v>
      </c>
      <c r="T232" s="89" t="e">
        <f>#REF!</f>
        <v>#REF!</v>
      </c>
      <c r="U232" s="89" t="e">
        <f>#REF!</f>
        <v>#REF!</v>
      </c>
      <c r="V232" s="89" t="e">
        <f>#REF!</f>
        <v>#REF!</v>
      </c>
      <c r="W232" s="89" t="e">
        <f>#REF!</f>
        <v>#REF!</v>
      </c>
      <c r="X232" s="89" t="e">
        <f>#REF!</f>
        <v>#REF!</v>
      </c>
      <c r="Y232" s="89" t="e">
        <f>#REF!</f>
        <v>#REF!</v>
      </c>
      <c r="Z232" s="89" t="e">
        <f>#REF!</f>
        <v>#REF!</v>
      </c>
      <c r="AA232" s="89" t="e">
        <f>#REF!</f>
        <v>#REF!</v>
      </c>
      <c r="AB232" s="89" t="e">
        <f>#REF!</f>
        <v>#REF!</v>
      </c>
      <c r="AC232" s="89" t="e">
        <f>#REF!</f>
        <v>#REF!</v>
      </c>
      <c r="AD232" s="89" t="e">
        <f>#REF!</f>
        <v>#REF!</v>
      </c>
      <c r="AE232" s="89" t="e">
        <f>#REF!</f>
        <v>#REF!</v>
      </c>
      <c r="AF232" s="89" t="e">
        <f>#REF!</f>
        <v>#REF!</v>
      </c>
      <c r="AG232" s="89" t="e">
        <f>#REF!</f>
        <v>#REF!</v>
      </c>
      <c r="AH232" s="89" t="e">
        <f>#REF!</f>
        <v>#REF!</v>
      </c>
      <c r="AI232" s="89" t="e">
        <f>#REF!</f>
        <v>#REF!</v>
      </c>
      <c r="AJ232" s="89" t="e">
        <f>#REF!</f>
        <v>#REF!</v>
      </c>
      <c r="AK232" s="89" t="e">
        <f>#REF!</f>
        <v>#REF!</v>
      </c>
      <c r="AL232" s="89" t="e">
        <f>#REF!</f>
        <v>#REF!</v>
      </c>
      <c r="AM232" s="89" t="e">
        <f>#REF!</f>
        <v>#REF!</v>
      </c>
      <c r="AN232" s="89" t="e">
        <f>#REF!</f>
        <v>#REF!</v>
      </c>
      <c r="AO232" s="89" t="e">
        <f>#REF!</f>
        <v>#REF!</v>
      </c>
      <c r="AP232" s="89" t="e">
        <f>#REF!</f>
        <v>#REF!</v>
      </c>
      <c r="AQ232" s="89" t="e">
        <f>#REF!</f>
        <v>#REF!</v>
      </c>
      <c r="AR232" s="89" t="e">
        <f>#REF!</f>
        <v>#REF!</v>
      </c>
      <c r="AS232" s="89" t="e">
        <f>#REF!</f>
        <v>#REF!</v>
      </c>
      <c r="AT232" s="89" t="e">
        <f>#REF!</f>
        <v>#REF!</v>
      </c>
      <c r="AU232" s="89" t="e">
        <f>#REF!</f>
        <v>#REF!</v>
      </c>
      <c r="AV232" s="89" t="e">
        <f>#REF!</f>
        <v>#REF!</v>
      </c>
      <c r="AW232" s="89" t="e">
        <f>#REF!</f>
        <v>#REF!</v>
      </c>
      <c r="AX232" s="89" t="e">
        <f>#REF!</f>
        <v>#REF!</v>
      </c>
      <c r="AY232" s="89" t="e">
        <f>#REF!</f>
        <v>#REF!</v>
      </c>
      <c r="AZ232" s="89" t="e">
        <f>#REF!</f>
        <v>#REF!</v>
      </c>
      <c r="BA232" s="89" t="e">
        <f>#REF!</f>
        <v>#REF!</v>
      </c>
      <c r="BB232" s="89" t="e">
        <f>#REF!</f>
        <v>#REF!</v>
      </c>
      <c r="BC232" s="89" t="e">
        <f>#REF!</f>
        <v>#REF!</v>
      </c>
      <c r="BD232" s="89" t="e">
        <f>#REF!</f>
        <v>#REF!</v>
      </c>
      <c r="BE232" s="89" t="e">
        <f>#REF!</f>
        <v>#REF!</v>
      </c>
      <c r="BF232" s="89" t="e">
        <f>#REF!</f>
        <v>#REF!</v>
      </c>
    </row>
    <row r="233" spans="9:58" x14ac:dyDescent="0.25">
      <c r="I233" s="89">
        <f>ABCD!J282</f>
        <v>57.25</v>
      </c>
      <c r="J233" s="89">
        <f>ABCD!K282</f>
        <v>187.78</v>
      </c>
      <c r="K233" s="89">
        <f>ABCD!L282</f>
        <v>-0.63635354421705026</v>
      </c>
      <c r="L233" s="89">
        <f>ABCD!M282</f>
        <v>-5.7760247466487336E-2</v>
      </c>
      <c r="M233" s="89">
        <f>ABCD!N282</f>
        <v>0.63896954499020631</v>
      </c>
      <c r="N233" s="89" t="e">
        <v>#REF!</v>
      </c>
      <c r="O233" s="89" t="e">
        <v>#REF!</v>
      </c>
      <c r="P233" s="89" t="e">
        <v>#REF!</v>
      </c>
      <c r="Q233" s="89" t="e">
        <v>#REF!</v>
      </c>
      <c r="R233" s="89" t="e">
        <v>#REF!</v>
      </c>
      <c r="S233" s="89" t="e">
        <f>#REF!</f>
        <v>#REF!</v>
      </c>
      <c r="T233" s="89" t="e">
        <f>#REF!</f>
        <v>#REF!</v>
      </c>
      <c r="U233" s="89" t="e">
        <f>#REF!</f>
        <v>#REF!</v>
      </c>
      <c r="V233" s="89" t="e">
        <f>#REF!</f>
        <v>#REF!</v>
      </c>
      <c r="W233" s="89" t="e">
        <f>#REF!</f>
        <v>#REF!</v>
      </c>
      <c r="X233" s="89" t="e">
        <f>#REF!</f>
        <v>#REF!</v>
      </c>
      <c r="Y233" s="89" t="e">
        <f>#REF!</f>
        <v>#REF!</v>
      </c>
      <c r="Z233" s="89" t="e">
        <f>#REF!</f>
        <v>#REF!</v>
      </c>
      <c r="AA233" s="89" t="e">
        <f>#REF!</f>
        <v>#REF!</v>
      </c>
      <c r="AB233" s="89" t="e">
        <f>#REF!</f>
        <v>#REF!</v>
      </c>
      <c r="AC233" s="89" t="e">
        <f>#REF!</f>
        <v>#REF!</v>
      </c>
      <c r="AD233" s="89" t="e">
        <f>#REF!</f>
        <v>#REF!</v>
      </c>
      <c r="AE233" s="89" t="e">
        <f>#REF!</f>
        <v>#REF!</v>
      </c>
      <c r="AF233" s="89" t="e">
        <f>#REF!</f>
        <v>#REF!</v>
      </c>
      <c r="AG233" s="89" t="e">
        <f>#REF!</f>
        <v>#REF!</v>
      </c>
      <c r="AH233" s="89" t="e">
        <f>#REF!</f>
        <v>#REF!</v>
      </c>
      <c r="AI233" s="89" t="e">
        <f>#REF!</f>
        <v>#REF!</v>
      </c>
      <c r="AJ233" s="89" t="e">
        <f>#REF!</f>
        <v>#REF!</v>
      </c>
      <c r="AK233" s="89" t="e">
        <f>#REF!</f>
        <v>#REF!</v>
      </c>
      <c r="AL233" s="89" t="e">
        <f>#REF!</f>
        <v>#REF!</v>
      </c>
      <c r="AM233" s="89" t="e">
        <f>#REF!</f>
        <v>#REF!</v>
      </c>
      <c r="AN233" s="89" t="e">
        <f>#REF!</f>
        <v>#REF!</v>
      </c>
      <c r="AO233" s="89" t="e">
        <f>#REF!</f>
        <v>#REF!</v>
      </c>
      <c r="AP233" s="89" t="e">
        <f>#REF!</f>
        <v>#REF!</v>
      </c>
      <c r="AQ233" s="89" t="e">
        <f>#REF!</f>
        <v>#REF!</v>
      </c>
      <c r="AR233" s="89" t="e">
        <f>#REF!</f>
        <v>#REF!</v>
      </c>
      <c r="AS233" s="89" t="e">
        <f>#REF!</f>
        <v>#REF!</v>
      </c>
      <c r="AT233" s="89" t="e">
        <f>#REF!</f>
        <v>#REF!</v>
      </c>
      <c r="AU233" s="89" t="e">
        <f>#REF!</f>
        <v>#REF!</v>
      </c>
      <c r="AV233" s="89" t="e">
        <f>#REF!</f>
        <v>#REF!</v>
      </c>
      <c r="AW233" s="89" t="e">
        <f>#REF!</f>
        <v>#REF!</v>
      </c>
      <c r="AX233" s="89" t="e">
        <f>#REF!</f>
        <v>#REF!</v>
      </c>
      <c r="AY233" s="89" t="e">
        <f>#REF!</f>
        <v>#REF!</v>
      </c>
      <c r="AZ233" s="89" t="e">
        <f>#REF!</f>
        <v>#REF!</v>
      </c>
      <c r="BA233" s="89" t="e">
        <f>#REF!</f>
        <v>#REF!</v>
      </c>
      <c r="BB233" s="89" t="e">
        <f>#REF!</f>
        <v>#REF!</v>
      </c>
      <c r="BC233" s="89" t="e">
        <f>#REF!</f>
        <v>#REF!</v>
      </c>
      <c r="BD233" s="89" t="e">
        <f>#REF!</f>
        <v>#REF!</v>
      </c>
      <c r="BE233" s="89" t="e">
        <f>#REF!</f>
        <v>#REF!</v>
      </c>
      <c r="BF233" s="89" t="e">
        <f>#REF!</f>
        <v>#REF!</v>
      </c>
    </row>
    <row r="234" spans="9:58" x14ac:dyDescent="0.25">
      <c r="I234" s="89">
        <f>ABCD!J283</f>
        <v>57.5</v>
      </c>
      <c r="J234" s="89">
        <f>ABCD!K283</f>
        <v>188.6</v>
      </c>
      <c r="K234" s="89">
        <f>ABCD!L283</f>
        <v>-0.73185584636051737</v>
      </c>
      <c r="L234" s="89">
        <f>ABCD!M283</f>
        <v>-7.5263589247384299E-2</v>
      </c>
      <c r="M234" s="89">
        <f>ABCD!N283</f>
        <v>0.73571569761591216</v>
      </c>
      <c r="N234" s="89" t="e">
        <v>#REF!</v>
      </c>
      <c r="O234" s="89" t="e">
        <v>#REF!</v>
      </c>
      <c r="P234" s="89" t="e">
        <v>#REF!</v>
      </c>
      <c r="Q234" s="89" t="e">
        <v>#REF!</v>
      </c>
      <c r="R234" s="89" t="e">
        <v>#REF!</v>
      </c>
      <c r="S234" s="89" t="e">
        <f>#REF!</f>
        <v>#REF!</v>
      </c>
      <c r="T234" s="89" t="e">
        <f>#REF!</f>
        <v>#REF!</v>
      </c>
      <c r="U234" s="89" t="e">
        <f>#REF!</f>
        <v>#REF!</v>
      </c>
      <c r="V234" s="89" t="e">
        <f>#REF!</f>
        <v>#REF!</v>
      </c>
      <c r="W234" s="89" t="e">
        <f>#REF!</f>
        <v>#REF!</v>
      </c>
      <c r="X234" s="89" t="e">
        <f>#REF!</f>
        <v>#REF!</v>
      </c>
      <c r="Y234" s="89" t="e">
        <f>#REF!</f>
        <v>#REF!</v>
      </c>
      <c r="Z234" s="89" t="e">
        <f>#REF!</f>
        <v>#REF!</v>
      </c>
      <c r="AA234" s="89" t="e">
        <f>#REF!</f>
        <v>#REF!</v>
      </c>
      <c r="AB234" s="89" t="e">
        <f>#REF!</f>
        <v>#REF!</v>
      </c>
      <c r="AC234" s="89" t="e">
        <f>#REF!</f>
        <v>#REF!</v>
      </c>
      <c r="AD234" s="89" t="e">
        <f>#REF!</f>
        <v>#REF!</v>
      </c>
      <c r="AE234" s="89" t="e">
        <f>#REF!</f>
        <v>#REF!</v>
      </c>
      <c r="AF234" s="89" t="e">
        <f>#REF!</f>
        <v>#REF!</v>
      </c>
      <c r="AG234" s="89" t="e">
        <f>#REF!</f>
        <v>#REF!</v>
      </c>
      <c r="AH234" s="89" t="e">
        <f>#REF!</f>
        <v>#REF!</v>
      </c>
      <c r="AI234" s="89" t="e">
        <f>#REF!</f>
        <v>#REF!</v>
      </c>
      <c r="AJ234" s="89" t="e">
        <f>#REF!</f>
        <v>#REF!</v>
      </c>
      <c r="AK234" s="89" t="e">
        <f>#REF!</f>
        <v>#REF!</v>
      </c>
      <c r="AL234" s="89" t="e">
        <f>#REF!</f>
        <v>#REF!</v>
      </c>
      <c r="AM234" s="89" t="e">
        <f>#REF!</f>
        <v>#REF!</v>
      </c>
      <c r="AN234" s="89" t="e">
        <f>#REF!</f>
        <v>#REF!</v>
      </c>
      <c r="AO234" s="89" t="e">
        <f>#REF!</f>
        <v>#REF!</v>
      </c>
      <c r="AP234" s="89" t="e">
        <f>#REF!</f>
        <v>#REF!</v>
      </c>
      <c r="AQ234" s="89" t="e">
        <f>#REF!</f>
        <v>#REF!</v>
      </c>
      <c r="AR234" s="89" t="e">
        <f>#REF!</f>
        <v>#REF!</v>
      </c>
      <c r="AS234" s="89" t="e">
        <f>#REF!</f>
        <v>#REF!</v>
      </c>
      <c r="AT234" s="89" t="e">
        <f>#REF!</f>
        <v>#REF!</v>
      </c>
      <c r="AU234" s="89" t="e">
        <f>#REF!</f>
        <v>#REF!</v>
      </c>
      <c r="AV234" s="89" t="e">
        <f>#REF!</f>
        <v>#REF!</v>
      </c>
      <c r="AW234" s="89" t="e">
        <f>#REF!</f>
        <v>#REF!</v>
      </c>
      <c r="AX234" s="89" t="e">
        <f>#REF!</f>
        <v>#REF!</v>
      </c>
      <c r="AY234" s="89" t="e">
        <f>#REF!</f>
        <v>#REF!</v>
      </c>
      <c r="AZ234" s="89" t="e">
        <f>#REF!</f>
        <v>#REF!</v>
      </c>
      <c r="BA234" s="89" t="e">
        <f>#REF!</f>
        <v>#REF!</v>
      </c>
      <c r="BB234" s="89" t="e">
        <f>#REF!</f>
        <v>#REF!</v>
      </c>
      <c r="BC234" s="89" t="e">
        <f>#REF!</f>
        <v>#REF!</v>
      </c>
      <c r="BD234" s="89" t="e">
        <f>#REF!</f>
        <v>#REF!</v>
      </c>
      <c r="BE234" s="89" t="e">
        <f>#REF!</f>
        <v>#REF!</v>
      </c>
      <c r="BF234" s="89" t="e">
        <f>#REF!</f>
        <v>#REF!</v>
      </c>
    </row>
    <row r="235" spans="9:58" x14ac:dyDescent="0.25">
      <c r="I235" s="89">
        <f>ABCD!J284</f>
        <v>57.75</v>
      </c>
      <c r="J235" s="89">
        <f>ABCD!K284</f>
        <v>189.42</v>
      </c>
      <c r="K235" s="89">
        <f>ABCD!L284</f>
        <v>-0.82710329270810912</v>
      </c>
      <c r="L235" s="89">
        <f>ABCD!M284</f>
        <v>-9.2733811179507963E-2</v>
      </c>
      <c r="M235" s="89">
        <f>ABCD!N284</f>
        <v>0.83228565801921195</v>
      </c>
      <c r="N235" s="89" t="e">
        <v>#REF!</v>
      </c>
      <c r="O235" s="89" t="e">
        <v>#REF!</v>
      </c>
      <c r="P235" s="89" t="e">
        <v>#REF!</v>
      </c>
      <c r="Q235" s="89" t="e">
        <v>#REF!</v>
      </c>
      <c r="R235" s="89" t="e">
        <v>#REF!</v>
      </c>
      <c r="S235" s="89" t="e">
        <f>#REF!</f>
        <v>#REF!</v>
      </c>
      <c r="T235" s="89" t="e">
        <f>#REF!</f>
        <v>#REF!</v>
      </c>
      <c r="U235" s="89" t="e">
        <f>#REF!</f>
        <v>#REF!</v>
      </c>
      <c r="V235" s="89" t="e">
        <f>#REF!</f>
        <v>#REF!</v>
      </c>
      <c r="W235" s="89" t="e">
        <f>#REF!</f>
        <v>#REF!</v>
      </c>
      <c r="X235" s="89" t="e">
        <f>#REF!</f>
        <v>#REF!</v>
      </c>
      <c r="Y235" s="89" t="e">
        <f>#REF!</f>
        <v>#REF!</v>
      </c>
      <c r="Z235" s="89" t="e">
        <f>#REF!</f>
        <v>#REF!</v>
      </c>
      <c r="AA235" s="89" t="e">
        <f>#REF!</f>
        <v>#REF!</v>
      </c>
      <c r="AB235" s="89" t="e">
        <f>#REF!</f>
        <v>#REF!</v>
      </c>
      <c r="AC235" s="89" t="e">
        <f>#REF!</f>
        <v>#REF!</v>
      </c>
      <c r="AD235" s="89" t="e">
        <f>#REF!</f>
        <v>#REF!</v>
      </c>
      <c r="AE235" s="89" t="e">
        <f>#REF!</f>
        <v>#REF!</v>
      </c>
      <c r="AF235" s="89" t="e">
        <f>#REF!</f>
        <v>#REF!</v>
      </c>
      <c r="AG235" s="89" t="e">
        <f>#REF!</f>
        <v>#REF!</v>
      </c>
      <c r="AH235" s="89" t="e">
        <f>#REF!</f>
        <v>#REF!</v>
      </c>
      <c r="AI235" s="89" t="e">
        <f>#REF!</f>
        <v>#REF!</v>
      </c>
      <c r="AJ235" s="89" t="e">
        <f>#REF!</f>
        <v>#REF!</v>
      </c>
      <c r="AK235" s="89" t="e">
        <f>#REF!</f>
        <v>#REF!</v>
      </c>
      <c r="AL235" s="89" t="e">
        <f>#REF!</f>
        <v>#REF!</v>
      </c>
      <c r="AM235" s="89" t="e">
        <f>#REF!</f>
        <v>#REF!</v>
      </c>
      <c r="AN235" s="89" t="e">
        <f>#REF!</f>
        <v>#REF!</v>
      </c>
      <c r="AO235" s="89" t="e">
        <f>#REF!</f>
        <v>#REF!</v>
      </c>
      <c r="AP235" s="89" t="e">
        <f>#REF!</f>
        <v>#REF!</v>
      </c>
      <c r="AQ235" s="89" t="e">
        <f>#REF!</f>
        <v>#REF!</v>
      </c>
      <c r="AR235" s="89" t="e">
        <f>#REF!</f>
        <v>#REF!</v>
      </c>
      <c r="AS235" s="89" t="e">
        <f>#REF!</f>
        <v>#REF!</v>
      </c>
      <c r="AT235" s="89" t="e">
        <f>#REF!</f>
        <v>#REF!</v>
      </c>
      <c r="AU235" s="89" t="e">
        <f>#REF!</f>
        <v>#REF!</v>
      </c>
      <c r="AV235" s="89" t="e">
        <f>#REF!</f>
        <v>#REF!</v>
      </c>
      <c r="AW235" s="89" t="e">
        <f>#REF!</f>
        <v>#REF!</v>
      </c>
      <c r="AX235" s="89" t="e">
        <f>#REF!</f>
        <v>#REF!</v>
      </c>
      <c r="AY235" s="89" t="e">
        <f>#REF!</f>
        <v>#REF!</v>
      </c>
      <c r="AZ235" s="89" t="e">
        <f>#REF!</f>
        <v>#REF!</v>
      </c>
      <c r="BA235" s="89" t="e">
        <f>#REF!</f>
        <v>#REF!</v>
      </c>
      <c r="BB235" s="89" t="e">
        <f>#REF!</f>
        <v>#REF!</v>
      </c>
      <c r="BC235" s="89" t="e">
        <f>#REF!</f>
        <v>#REF!</v>
      </c>
      <c r="BD235" s="89" t="e">
        <f>#REF!</f>
        <v>#REF!</v>
      </c>
      <c r="BE235" s="89" t="e">
        <f>#REF!</f>
        <v>#REF!</v>
      </c>
      <c r="BF235" s="89" t="e">
        <f>#REF!</f>
        <v>#REF!</v>
      </c>
    </row>
    <row r="236" spans="9:58" x14ac:dyDescent="0.25">
      <c r="I236" s="89">
        <f>ABCD!J285</f>
        <v>58</v>
      </c>
      <c r="J236" s="89">
        <f>ABCD!K285</f>
        <v>190.23999999999998</v>
      </c>
      <c r="K236" s="89">
        <f>ABCD!L285</f>
        <v>-0.92207412550389389</v>
      </c>
      <c r="L236" s="89">
        <f>ABCD!M285</f>
        <v>-0.11016691021249159</v>
      </c>
      <c r="M236" s="89">
        <f>ABCD!N285</f>
        <v>0.92863202670893163</v>
      </c>
      <c r="N236" s="89" t="e">
        <v>#REF!</v>
      </c>
      <c r="O236" s="89" t="e">
        <v>#REF!</v>
      </c>
      <c r="P236" s="89" t="e">
        <v>#REF!</v>
      </c>
      <c r="Q236" s="89" t="e">
        <v>#REF!</v>
      </c>
      <c r="R236" s="89" t="e">
        <v>#REF!</v>
      </c>
      <c r="S236" s="89" t="e">
        <f>#REF!</f>
        <v>#REF!</v>
      </c>
      <c r="T236" s="89" t="e">
        <f>#REF!</f>
        <v>#REF!</v>
      </c>
      <c r="U236" s="89" t="e">
        <f>#REF!</f>
        <v>#REF!</v>
      </c>
      <c r="V236" s="89" t="e">
        <f>#REF!</f>
        <v>#REF!</v>
      </c>
      <c r="W236" s="89" t="e">
        <f>#REF!</f>
        <v>#REF!</v>
      </c>
      <c r="X236" s="89" t="e">
        <f>#REF!</f>
        <v>#REF!</v>
      </c>
      <c r="Y236" s="89" t="e">
        <f>#REF!</f>
        <v>#REF!</v>
      </c>
      <c r="Z236" s="89" t="e">
        <f>#REF!</f>
        <v>#REF!</v>
      </c>
      <c r="AA236" s="89" t="e">
        <f>#REF!</f>
        <v>#REF!</v>
      </c>
      <c r="AB236" s="89" t="e">
        <f>#REF!</f>
        <v>#REF!</v>
      </c>
      <c r="AC236" s="89" t="e">
        <f>#REF!</f>
        <v>#REF!</v>
      </c>
      <c r="AD236" s="89" t="e">
        <f>#REF!</f>
        <v>#REF!</v>
      </c>
      <c r="AE236" s="89" t="e">
        <f>#REF!</f>
        <v>#REF!</v>
      </c>
      <c r="AF236" s="89" t="e">
        <f>#REF!</f>
        <v>#REF!</v>
      </c>
      <c r="AG236" s="89" t="e">
        <f>#REF!</f>
        <v>#REF!</v>
      </c>
      <c r="AH236" s="89" t="e">
        <f>#REF!</f>
        <v>#REF!</v>
      </c>
      <c r="AI236" s="89" t="e">
        <f>#REF!</f>
        <v>#REF!</v>
      </c>
      <c r="AJ236" s="89" t="e">
        <f>#REF!</f>
        <v>#REF!</v>
      </c>
      <c r="AK236" s="89" t="e">
        <f>#REF!</f>
        <v>#REF!</v>
      </c>
      <c r="AL236" s="89" t="e">
        <f>#REF!</f>
        <v>#REF!</v>
      </c>
      <c r="AM236" s="89" t="e">
        <f>#REF!</f>
        <v>#REF!</v>
      </c>
      <c r="AN236" s="89" t="e">
        <f>#REF!</f>
        <v>#REF!</v>
      </c>
      <c r="AO236" s="89" t="e">
        <f>#REF!</f>
        <v>#REF!</v>
      </c>
      <c r="AP236" s="89" t="e">
        <f>#REF!</f>
        <v>#REF!</v>
      </c>
      <c r="AQ236" s="89" t="e">
        <f>#REF!</f>
        <v>#REF!</v>
      </c>
      <c r="AR236" s="89" t="e">
        <f>#REF!</f>
        <v>#REF!</v>
      </c>
      <c r="AS236" s="89" t="e">
        <f>#REF!</f>
        <v>#REF!</v>
      </c>
      <c r="AT236" s="89" t="e">
        <f>#REF!</f>
        <v>#REF!</v>
      </c>
      <c r="AU236" s="89" t="e">
        <f>#REF!</f>
        <v>#REF!</v>
      </c>
      <c r="AV236" s="89" t="e">
        <f>#REF!</f>
        <v>#REF!</v>
      </c>
      <c r="AW236" s="89" t="e">
        <f>#REF!</f>
        <v>#REF!</v>
      </c>
      <c r="AX236" s="89" t="e">
        <f>#REF!</f>
        <v>#REF!</v>
      </c>
      <c r="AY236" s="89" t="e">
        <f>#REF!</f>
        <v>#REF!</v>
      </c>
      <c r="AZ236" s="89" t="e">
        <f>#REF!</f>
        <v>#REF!</v>
      </c>
      <c r="BA236" s="89" t="e">
        <f>#REF!</f>
        <v>#REF!</v>
      </c>
      <c r="BB236" s="89" t="e">
        <f>#REF!</f>
        <v>#REF!</v>
      </c>
      <c r="BC236" s="89" t="e">
        <f>#REF!</f>
        <v>#REF!</v>
      </c>
      <c r="BD236" s="89" t="e">
        <f>#REF!</f>
        <v>#REF!</v>
      </c>
      <c r="BE236" s="89" t="e">
        <f>#REF!</f>
        <v>#REF!</v>
      </c>
      <c r="BF236" s="89" t="e">
        <f>#REF!</f>
        <v>#REF!</v>
      </c>
    </row>
    <row r="237" spans="9:58" x14ac:dyDescent="0.25">
      <c r="I237" s="89">
        <f>ABCD!J286</f>
        <v>58.25</v>
      </c>
      <c r="J237" s="89">
        <f>ABCD!K286</f>
        <v>191.06</v>
      </c>
      <c r="K237" s="89">
        <f>ABCD!L286</f>
        <v>-1.016746670418887</v>
      </c>
      <c r="L237" s="89">
        <f>ABCD!M286</f>
        <v>-0.12755889546658317</v>
      </c>
      <c r="M237" s="89">
        <f>ABCD!N286</f>
        <v>1.0247170651553275</v>
      </c>
      <c r="N237" s="89" t="e">
        <v>#REF!</v>
      </c>
      <c r="O237" s="89" t="e">
        <v>#REF!</v>
      </c>
      <c r="P237" s="89" t="e">
        <v>#REF!</v>
      </c>
      <c r="Q237" s="89" t="e">
        <v>#REF!</v>
      </c>
      <c r="R237" s="89" t="e">
        <v>#REF!</v>
      </c>
      <c r="S237" s="89" t="e">
        <f>#REF!</f>
        <v>#REF!</v>
      </c>
      <c r="T237" s="89" t="e">
        <f>#REF!</f>
        <v>#REF!</v>
      </c>
      <c r="U237" s="89" t="e">
        <f>#REF!</f>
        <v>#REF!</v>
      </c>
      <c r="V237" s="89" t="e">
        <f>#REF!</f>
        <v>#REF!</v>
      </c>
      <c r="W237" s="89" t="e">
        <f>#REF!</f>
        <v>#REF!</v>
      </c>
      <c r="X237" s="89" t="e">
        <f>#REF!</f>
        <v>#REF!</v>
      </c>
      <c r="Y237" s="89" t="e">
        <f>#REF!</f>
        <v>#REF!</v>
      </c>
      <c r="Z237" s="89" t="e">
        <f>#REF!</f>
        <v>#REF!</v>
      </c>
      <c r="AA237" s="89" t="e">
        <f>#REF!</f>
        <v>#REF!</v>
      </c>
      <c r="AB237" s="89" t="e">
        <f>#REF!</f>
        <v>#REF!</v>
      </c>
      <c r="AC237" s="89" t="e">
        <f>#REF!</f>
        <v>#REF!</v>
      </c>
      <c r="AD237" s="89" t="e">
        <f>#REF!</f>
        <v>#REF!</v>
      </c>
      <c r="AE237" s="89" t="e">
        <f>#REF!</f>
        <v>#REF!</v>
      </c>
      <c r="AF237" s="89" t="e">
        <f>#REF!</f>
        <v>#REF!</v>
      </c>
      <c r="AG237" s="89" t="e">
        <f>#REF!</f>
        <v>#REF!</v>
      </c>
      <c r="AH237" s="89" t="e">
        <f>#REF!</f>
        <v>#REF!</v>
      </c>
      <c r="AI237" s="89" t="e">
        <f>#REF!</f>
        <v>#REF!</v>
      </c>
      <c r="AJ237" s="89" t="e">
        <f>#REF!</f>
        <v>#REF!</v>
      </c>
      <c r="AK237" s="89" t="e">
        <f>#REF!</f>
        <v>#REF!</v>
      </c>
      <c r="AL237" s="89" t="e">
        <f>#REF!</f>
        <v>#REF!</v>
      </c>
      <c r="AM237" s="89" t="e">
        <f>#REF!</f>
        <v>#REF!</v>
      </c>
      <c r="AN237" s="89" t="e">
        <f>#REF!</f>
        <v>#REF!</v>
      </c>
      <c r="AO237" s="89" t="e">
        <f>#REF!</f>
        <v>#REF!</v>
      </c>
      <c r="AP237" s="89" t="e">
        <f>#REF!</f>
        <v>#REF!</v>
      </c>
      <c r="AQ237" s="89" t="e">
        <f>#REF!</f>
        <v>#REF!</v>
      </c>
      <c r="AR237" s="89" t="e">
        <f>#REF!</f>
        <v>#REF!</v>
      </c>
      <c r="AS237" s="89" t="e">
        <f>#REF!</f>
        <v>#REF!</v>
      </c>
      <c r="AT237" s="89" t="e">
        <f>#REF!</f>
        <v>#REF!</v>
      </c>
      <c r="AU237" s="89" t="e">
        <f>#REF!</f>
        <v>#REF!</v>
      </c>
      <c r="AV237" s="89" t="e">
        <f>#REF!</f>
        <v>#REF!</v>
      </c>
      <c r="AW237" s="89" t="e">
        <f>#REF!</f>
        <v>#REF!</v>
      </c>
      <c r="AX237" s="89" t="e">
        <f>#REF!</f>
        <v>#REF!</v>
      </c>
      <c r="AY237" s="89" t="e">
        <f>#REF!</f>
        <v>#REF!</v>
      </c>
      <c r="AZ237" s="89" t="e">
        <f>#REF!</f>
        <v>#REF!</v>
      </c>
      <c r="BA237" s="89" t="e">
        <f>#REF!</f>
        <v>#REF!</v>
      </c>
      <c r="BB237" s="89" t="e">
        <f>#REF!</f>
        <v>#REF!</v>
      </c>
      <c r="BC237" s="89" t="e">
        <f>#REF!</f>
        <v>#REF!</v>
      </c>
      <c r="BD237" s="89" t="e">
        <f>#REF!</f>
        <v>#REF!</v>
      </c>
      <c r="BE237" s="89" t="e">
        <f>#REF!</f>
        <v>#REF!</v>
      </c>
      <c r="BF237" s="89" t="e">
        <f>#REF!</f>
        <v>#REF!</v>
      </c>
    </row>
    <row r="238" spans="9:58" x14ac:dyDescent="0.25">
      <c r="I238" s="89">
        <f>ABCD!J287</f>
        <v>58.5</v>
      </c>
      <c r="J238" s="89">
        <f>ABCD!K287</f>
        <v>191.88</v>
      </c>
      <c r="K238" s="89">
        <f>ABCD!L287</f>
        <v>-1.1110993414792967</v>
      </c>
      <c r="L238" s="89">
        <f>ABCD!M287</f>
        <v>-0.14490578914295149</v>
      </c>
      <c r="M238" s="89">
        <f>ABCD!N287</f>
        <v>1.1205085605932996</v>
      </c>
      <c r="N238" s="89" t="e">
        <v>#REF!</v>
      </c>
      <c r="O238" s="89" t="e">
        <v>#REF!</v>
      </c>
      <c r="P238" s="89" t="e">
        <v>#REF!</v>
      </c>
      <c r="Q238" s="89" t="e">
        <v>#REF!</v>
      </c>
      <c r="R238" s="89" t="e">
        <v>#REF!</v>
      </c>
      <c r="S238" s="89" t="e">
        <f>#REF!</f>
        <v>#REF!</v>
      </c>
      <c r="T238" s="89" t="e">
        <f>#REF!</f>
        <v>#REF!</v>
      </c>
      <c r="U238" s="89" t="e">
        <f>#REF!</f>
        <v>#REF!</v>
      </c>
      <c r="V238" s="89" t="e">
        <f>#REF!</f>
        <v>#REF!</v>
      </c>
      <c r="W238" s="89" t="e">
        <f>#REF!</f>
        <v>#REF!</v>
      </c>
      <c r="X238" s="89" t="e">
        <f>#REF!</f>
        <v>#REF!</v>
      </c>
      <c r="Y238" s="89" t="e">
        <f>#REF!</f>
        <v>#REF!</v>
      </c>
      <c r="Z238" s="89" t="e">
        <f>#REF!</f>
        <v>#REF!</v>
      </c>
      <c r="AA238" s="89" t="e">
        <f>#REF!</f>
        <v>#REF!</v>
      </c>
      <c r="AB238" s="89" t="e">
        <f>#REF!</f>
        <v>#REF!</v>
      </c>
      <c r="AC238" s="89" t="e">
        <f>#REF!</f>
        <v>#REF!</v>
      </c>
      <c r="AD238" s="89" t="e">
        <f>#REF!</f>
        <v>#REF!</v>
      </c>
      <c r="AE238" s="89" t="e">
        <f>#REF!</f>
        <v>#REF!</v>
      </c>
      <c r="AF238" s="89" t="e">
        <f>#REF!</f>
        <v>#REF!</v>
      </c>
      <c r="AG238" s="89" t="e">
        <f>#REF!</f>
        <v>#REF!</v>
      </c>
      <c r="AH238" s="89" t="e">
        <f>#REF!</f>
        <v>#REF!</v>
      </c>
      <c r="AI238" s="89" t="e">
        <f>#REF!</f>
        <v>#REF!</v>
      </c>
      <c r="AJ238" s="89" t="e">
        <f>#REF!</f>
        <v>#REF!</v>
      </c>
      <c r="AK238" s="89" t="e">
        <f>#REF!</f>
        <v>#REF!</v>
      </c>
      <c r="AL238" s="89" t="e">
        <f>#REF!</f>
        <v>#REF!</v>
      </c>
      <c r="AM238" s="89" t="e">
        <f>#REF!</f>
        <v>#REF!</v>
      </c>
      <c r="AN238" s="89" t="e">
        <f>#REF!</f>
        <v>#REF!</v>
      </c>
      <c r="AO238" s="89" t="e">
        <f>#REF!</f>
        <v>#REF!</v>
      </c>
      <c r="AP238" s="89" t="e">
        <f>#REF!</f>
        <v>#REF!</v>
      </c>
      <c r="AQ238" s="89" t="e">
        <f>#REF!</f>
        <v>#REF!</v>
      </c>
      <c r="AR238" s="89" t="e">
        <f>#REF!</f>
        <v>#REF!</v>
      </c>
      <c r="AS238" s="89" t="e">
        <f>#REF!</f>
        <v>#REF!</v>
      </c>
      <c r="AT238" s="89" t="e">
        <f>#REF!</f>
        <v>#REF!</v>
      </c>
      <c r="AU238" s="89" t="e">
        <f>#REF!</f>
        <v>#REF!</v>
      </c>
      <c r="AV238" s="89" t="e">
        <f>#REF!</f>
        <v>#REF!</v>
      </c>
      <c r="AW238" s="89" t="e">
        <f>#REF!</f>
        <v>#REF!</v>
      </c>
      <c r="AX238" s="89" t="e">
        <f>#REF!</f>
        <v>#REF!</v>
      </c>
      <c r="AY238" s="89" t="e">
        <f>#REF!</f>
        <v>#REF!</v>
      </c>
      <c r="AZ238" s="89" t="e">
        <f>#REF!</f>
        <v>#REF!</v>
      </c>
      <c r="BA238" s="89" t="e">
        <f>#REF!</f>
        <v>#REF!</v>
      </c>
      <c r="BB238" s="89" t="e">
        <f>#REF!</f>
        <v>#REF!</v>
      </c>
      <c r="BC238" s="89" t="e">
        <f>#REF!</f>
        <v>#REF!</v>
      </c>
      <c r="BD238" s="89" t="e">
        <f>#REF!</f>
        <v>#REF!</v>
      </c>
      <c r="BE238" s="89" t="e">
        <f>#REF!</f>
        <v>#REF!</v>
      </c>
      <c r="BF238" s="89" t="e">
        <f>#REF!</f>
        <v>#REF!</v>
      </c>
    </row>
    <row r="239" spans="9:58" x14ac:dyDescent="0.25">
      <c r="I239" s="89">
        <f>ABCD!J288</f>
        <v>58.75</v>
      </c>
      <c r="J239" s="89">
        <f>ABCD!K288</f>
        <v>192.7</v>
      </c>
      <c r="K239" s="89">
        <f>ABCD!L288</f>
        <v>-1.2051106459700194</v>
      </c>
      <c r="L239" s="89">
        <f>ABCD!M288</f>
        <v>-0.16220362743016681</v>
      </c>
      <c r="M239" s="89">
        <f>ABCD!N288</f>
        <v>1.2159776666459716</v>
      </c>
      <c r="N239" s="89" t="e">
        <v>#REF!</v>
      </c>
      <c r="O239" s="89" t="e">
        <v>#REF!</v>
      </c>
      <c r="P239" s="89" t="e">
        <v>#REF!</v>
      </c>
      <c r="Q239" s="89" t="e">
        <v>#REF!</v>
      </c>
      <c r="R239" s="89" t="e">
        <v>#REF!</v>
      </c>
      <c r="S239" s="89" t="e">
        <f>#REF!</f>
        <v>#REF!</v>
      </c>
      <c r="T239" s="89" t="e">
        <f>#REF!</f>
        <v>#REF!</v>
      </c>
      <c r="U239" s="89" t="e">
        <f>#REF!</f>
        <v>#REF!</v>
      </c>
      <c r="V239" s="89" t="e">
        <f>#REF!</f>
        <v>#REF!</v>
      </c>
      <c r="W239" s="89" t="e">
        <f>#REF!</f>
        <v>#REF!</v>
      </c>
      <c r="X239" s="89" t="e">
        <f>#REF!</f>
        <v>#REF!</v>
      </c>
      <c r="Y239" s="89" t="e">
        <f>#REF!</f>
        <v>#REF!</v>
      </c>
      <c r="Z239" s="89" t="e">
        <f>#REF!</f>
        <v>#REF!</v>
      </c>
      <c r="AA239" s="89" t="e">
        <f>#REF!</f>
        <v>#REF!</v>
      </c>
      <c r="AB239" s="89" t="e">
        <f>#REF!</f>
        <v>#REF!</v>
      </c>
      <c r="AC239" s="89" t="e">
        <f>#REF!</f>
        <v>#REF!</v>
      </c>
      <c r="AD239" s="89" t="e">
        <f>#REF!</f>
        <v>#REF!</v>
      </c>
      <c r="AE239" s="89" t="e">
        <f>#REF!</f>
        <v>#REF!</v>
      </c>
      <c r="AF239" s="89" t="e">
        <f>#REF!</f>
        <v>#REF!</v>
      </c>
      <c r="AG239" s="89" t="e">
        <f>#REF!</f>
        <v>#REF!</v>
      </c>
      <c r="AH239" s="89" t="e">
        <f>#REF!</f>
        <v>#REF!</v>
      </c>
      <c r="AI239" s="89" t="e">
        <f>#REF!</f>
        <v>#REF!</v>
      </c>
      <c r="AJ239" s="89" t="e">
        <f>#REF!</f>
        <v>#REF!</v>
      </c>
      <c r="AK239" s="89" t="e">
        <f>#REF!</f>
        <v>#REF!</v>
      </c>
      <c r="AL239" s="89" t="e">
        <f>#REF!</f>
        <v>#REF!</v>
      </c>
      <c r="AM239" s="89" t="e">
        <f>#REF!</f>
        <v>#REF!</v>
      </c>
      <c r="AN239" s="89" t="e">
        <f>#REF!</f>
        <v>#REF!</v>
      </c>
      <c r="AO239" s="89" t="e">
        <f>#REF!</f>
        <v>#REF!</v>
      </c>
      <c r="AP239" s="89" t="e">
        <f>#REF!</f>
        <v>#REF!</v>
      </c>
      <c r="AQ239" s="89" t="e">
        <f>#REF!</f>
        <v>#REF!</v>
      </c>
      <c r="AR239" s="89" t="e">
        <f>#REF!</f>
        <v>#REF!</v>
      </c>
      <c r="AS239" s="89" t="e">
        <f>#REF!</f>
        <v>#REF!</v>
      </c>
      <c r="AT239" s="89" t="e">
        <f>#REF!</f>
        <v>#REF!</v>
      </c>
      <c r="AU239" s="89" t="e">
        <f>#REF!</f>
        <v>#REF!</v>
      </c>
      <c r="AV239" s="89" t="e">
        <f>#REF!</f>
        <v>#REF!</v>
      </c>
      <c r="AW239" s="89" t="e">
        <f>#REF!</f>
        <v>#REF!</v>
      </c>
      <c r="AX239" s="89" t="e">
        <f>#REF!</f>
        <v>#REF!</v>
      </c>
      <c r="AY239" s="89" t="e">
        <f>#REF!</f>
        <v>#REF!</v>
      </c>
      <c r="AZ239" s="89" t="e">
        <f>#REF!</f>
        <v>#REF!</v>
      </c>
      <c r="BA239" s="89" t="e">
        <f>#REF!</f>
        <v>#REF!</v>
      </c>
      <c r="BB239" s="89" t="e">
        <f>#REF!</f>
        <v>#REF!</v>
      </c>
      <c r="BC239" s="89" t="e">
        <f>#REF!</f>
        <v>#REF!</v>
      </c>
      <c r="BD239" s="89" t="e">
        <f>#REF!</f>
        <v>#REF!</v>
      </c>
      <c r="BE239" s="89" t="e">
        <f>#REF!</f>
        <v>#REF!</v>
      </c>
      <c r="BF239" s="89" t="e">
        <f>#REF!</f>
        <v>#REF!</v>
      </c>
    </row>
    <row r="240" spans="9:58" x14ac:dyDescent="0.25">
      <c r="I240" s="89">
        <f>ABCD!J289</f>
        <v>59</v>
      </c>
      <c r="J240" s="89">
        <f>ABCD!K289</f>
        <v>193.51999999999998</v>
      </c>
      <c r="K240" s="89">
        <f>ABCD!L289</f>
        <v>-1.2987591893121022</v>
      </c>
      <c r="L240" s="89">
        <f>ABCD!M289</f>
        <v>-0.17944846140662074</v>
      </c>
      <c r="M240" s="89">
        <f>ABCD!N289</f>
        <v>1.3110977012121685</v>
      </c>
      <c r="N240" s="89" t="e">
        <v>#REF!</v>
      </c>
      <c r="O240" s="89" t="e">
        <v>#REF!</v>
      </c>
      <c r="P240" s="89" t="e">
        <v>#REF!</v>
      </c>
      <c r="Q240" s="89" t="e">
        <v>#REF!</v>
      </c>
      <c r="R240" s="89" t="e">
        <v>#REF!</v>
      </c>
      <c r="S240" s="89" t="e">
        <f>#REF!</f>
        <v>#REF!</v>
      </c>
      <c r="T240" s="89" t="e">
        <f>#REF!</f>
        <v>#REF!</v>
      </c>
      <c r="U240" s="89" t="e">
        <f>#REF!</f>
        <v>#REF!</v>
      </c>
      <c r="V240" s="89" t="e">
        <f>#REF!</f>
        <v>#REF!</v>
      </c>
      <c r="W240" s="89" t="e">
        <f>#REF!</f>
        <v>#REF!</v>
      </c>
      <c r="X240" s="89" t="e">
        <f>#REF!</f>
        <v>#REF!</v>
      </c>
      <c r="Y240" s="89" t="e">
        <f>#REF!</f>
        <v>#REF!</v>
      </c>
      <c r="Z240" s="89" t="e">
        <f>#REF!</f>
        <v>#REF!</v>
      </c>
      <c r="AA240" s="89" t="e">
        <f>#REF!</f>
        <v>#REF!</v>
      </c>
      <c r="AB240" s="89" t="e">
        <f>#REF!</f>
        <v>#REF!</v>
      </c>
      <c r="AC240" s="89" t="e">
        <f>#REF!</f>
        <v>#REF!</v>
      </c>
      <c r="AD240" s="89" t="e">
        <f>#REF!</f>
        <v>#REF!</v>
      </c>
      <c r="AE240" s="89" t="e">
        <f>#REF!</f>
        <v>#REF!</v>
      </c>
      <c r="AF240" s="89" t="e">
        <f>#REF!</f>
        <v>#REF!</v>
      </c>
      <c r="AG240" s="89" t="e">
        <f>#REF!</f>
        <v>#REF!</v>
      </c>
      <c r="AH240" s="89" t="e">
        <f>#REF!</f>
        <v>#REF!</v>
      </c>
      <c r="AI240" s="89" t="e">
        <f>#REF!</f>
        <v>#REF!</v>
      </c>
      <c r="AJ240" s="89" t="e">
        <f>#REF!</f>
        <v>#REF!</v>
      </c>
      <c r="AK240" s="89" t="e">
        <f>#REF!</f>
        <v>#REF!</v>
      </c>
      <c r="AL240" s="89" t="e">
        <f>#REF!</f>
        <v>#REF!</v>
      </c>
      <c r="AM240" s="89" t="e">
        <f>#REF!</f>
        <v>#REF!</v>
      </c>
      <c r="AN240" s="89" t="e">
        <f>#REF!</f>
        <v>#REF!</v>
      </c>
      <c r="AO240" s="89" t="e">
        <f>#REF!</f>
        <v>#REF!</v>
      </c>
      <c r="AP240" s="89" t="e">
        <f>#REF!</f>
        <v>#REF!</v>
      </c>
      <c r="AQ240" s="89" t="e">
        <f>#REF!</f>
        <v>#REF!</v>
      </c>
      <c r="AR240" s="89" t="e">
        <f>#REF!</f>
        <v>#REF!</v>
      </c>
      <c r="AS240" s="89" t="e">
        <f>#REF!</f>
        <v>#REF!</v>
      </c>
      <c r="AT240" s="89" t="e">
        <f>#REF!</f>
        <v>#REF!</v>
      </c>
      <c r="AU240" s="89" t="e">
        <f>#REF!</f>
        <v>#REF!</v>
      </c>
      <c r="AV240" s="89" t="e">
        <f>#REF!</f>
        <v>#REF!</v>
      </c>
      <c r="AW240" s="89" t="e">
        <f>#REF!</f>
        <v>#REF!</v>
      </c>
      <c r="AX240" s="89" t="e">
        <f>#REF!</f>
        <v>#REF!</v>
      </c>
      <c r="AY240" s="89" t="e">
        <f>#REF!</f>
        <v>#REF!</v>
      </c>
      <c r="AZ240" s="89" t="e">
        <f>#REF!</f>
        <v>#REF!</v>
      </c>
      <c r="BA240" s="89" t="e">
        <f>#REF!</f>
        <v>#REF!</v>
      </c>
      <c r="BB240" s="89" t="e">
        <f>#REF!</f>
        <v>#REF!</v>
      </c>
      <c r="BC240" s="89" t="e">
        <f>#REF!</f>
        <v>#REF!</v>
      </c>
      <c r="BD240" s="89" t="e">
        <f>#REF!</f>
        <v>#REF!</v>
      </c>
      <c r="BE240" s="89" t="e">
        <f>#REF!</f>
        <v>#REF!</v>
      </c>
      <c r="BF240" s="89" t="e">
        <f>#REF!</f>
        <v>#REF!</v>
      </c>
    </row>
    <row r="241" spans="9:58" x14ac:dyDescent="0.25">
      <c r="I241" s="89">
        <f>ABCD!J290</f>
        <v>59.25</v>
      </c>
      <c r="J241" s="89">
        <f>ABCD!K290</f>
        <v>194.33999999999997</v>
      </c>
      <c r="K241" s="89">
        <f>ABCD!L290</f>
        <v>-1.3920236799132266</v>
      </c>
      <c r="L241" s="89">
        <f>ABCD!M290</f>
        <v>-0.19663635793871048</v>
      </c>
      <c r="M241" s="89">
        <f>ABCD!N290</f>
        <v>1.4058434417468262</v>
      </c>
      <c r="N241" s="89" t="e">
        <v>#REF!</v>
      </c>
      <c r="O241" s="89" t="e">
        <v>#REF!</v>
      </c>
      <c r="P241" s="89" t="e">
        <v>#REF!</v>
      </c>
      <c r="Q241" s="89" t="e">
        <v>#REF!</v>
      </c>
      <c r="R241" s="89" t="e">
        <v>#REF!</v>
      </c>
      <c r="S241" s="89" t="e">
        <f>#REF!</f>
        <v>#REF!</v>
      </c>
      <c r="T241" s="89" t="e">
        <f>#REF!</f>
        <v>#REF!</v>
      </c>
      <c r="U241" s="89" t="e">
        <f>#REF!</f>
        <v>#REF!</v>
      </c>
      <c r="V241" s="89" t="e">
        <f>#REF!</f>
        <v>#REF!</v>
      </c>
      <c r="W241" s="89" t="e">
        <f>#REF!</f>
        <v>#REF!</v>
      </c>
      <c r="X241" s="89" t="e">
        <f>#REF!</f>
        <v>#REF!</v>
      </c>
      <c r="Y241" s="89" t="e">
        <f>#REF!</f>
        <v>#REF!</v>
      </c>
      <c r="Z241" s="89" t="e">
        <f>#REF!</f>
        <v>#REF!</v>
      </c>
      <c r="AA241" s="89" t="e">
        <f>#REF!</f>
        <v>#REF!</v>
      </c>
      <c r="AB241" s="89" t="e">
        <f>#REF!</f>
        <v>#REF!</v>
      </c>
      <c r="AC241" s="89" t="e">
        <f>#REF!</f>
        <v>#REF!</v>
      </c>
      <c r="AD241" s="89" t="e">
        <f>#REF!</f>
        <v>#REF!</v>
      </c>
      <c r="AE241" s="89" t="e">
        <f>#REF!</f>
        <v>#REF!</v>
      </c>
      <c r="AF241" s="89" t="e">
        <f>#REF!</f>
        <v>#REF!</v>
      </c>
      <c r="AG241" s="89" t="e">
        <f>#REF!</f>
        <v>#REF!</v>
      </c>
      <c r="AH241" s="89" t="e">
        <f>#REF!</f>
        <v>#REF!</v>
      </c>
      <c r="AI241" s="89" t="e">
        <f>#REF!</f>
        <v>#REF!</v>
      </c>
      <c r="AJ241" s="89" t="e">
        <f>#REF!</f>
        <v>#REF!</v>
      </c>
      <c r="AK241" s="89" t="e">
        <f>#REF!</f>
        <v>#REF!</v>
      </c>
      <c r="AL241" s="89" t="e">
        <f>#REF!</f>
        <v>#REF!</v>
      </c>
      <c r="AM241" s="89" t="e">
        <f>#REF!</f>
        <v>#REF!</v>
      </c>
      <c r="AN241" s="89" t="e">
        <f>#REF!</f>
        <v>#REF!</v>
      </c>
      <c r="AO241" s="89" t="e">
        <f>#REF!</f>
        <v>#REF!</v>
      </c>
      <c r="AP241" s="89" t="e">
        <f>#REF!</f>
        <v>#REF!</v>
      </c>
      <c r="AQ241" s="89" t="e">
        <f>#REF!</f>
        <v>#REF!</v>
      </c>
      <c r="AR241" s="89" t="e">
        <f>#REF!</f>
        <v>#REF!</v>
      </c>
      <c r="AS241" s="89" t="e">
        <f>#REF!</f>
        <v>#REF!</v>
      </c>
      <c r="AT241" s="89" t="e">
        <f>#REF!</f>
        <v>#REF!</v>
      </c>
      <c r="AU241" s="89" t="e">
        <f>#REF!</f>
        <v>#REF!</v>
      </c>
      <c r="AV241" s="89" t="e">
        <f>#REF!</f>
        <v>#REF!</v>
      </c>
      <c r="AW241" s="89" t="e">
        <f>#REF!</f>
        <v>#REF!</v>
      </c>
      <c r="AX241" s="89" t="e">
        <f>#REF!</f>
        <v>#REF!</v>
      </c>
      <c r="AY241" s="89" t="e">
        <f>#REF!</f>
        <v>#REF!</v>
      </c>
      <c r="AZ241" s="89" t="e">
        <f>#REF!</f>
        <v>#REF!</v>
      </c>
      <c r="BA241" s="89" t="e">
        <f>#REF!</f>
        <v>#REF!</v>
      </c>
      <c r="BB241" s="89" t="e">
        <f>#REF!</f>
        <v>#REF!</v>
      </c>
      <c r="BC241" s="89" t="e">
        <f>#REF!</f>
        <v>#REF!</v>
      </c>
      <c r="BD241" s="89" t="e">
        <f>#REF!</f>
        <v>#REF!</v>
      </c>
      <c r="BE241" s="89" t="e">
        <f>#REF!</f>
        <v>#REF!</v>
      </c>
      <c r="BF241" s="89" t="e">
        <f>#REF!</f>
        <v>#REF!</v>
      </c>
    </row>
    <row r="242" spans="9:58" x14ac:dyDescent="0.25">
      <c r="I242" s="89">
        <f>ABCD!J291</f>
        <v>59.5</v>
      </c>
      <c r="J242" s="89">
        <f>ABCD!K291</f>
        <v>195.16</v>
      </c>
      <c r="K242" s="89">
        <f>ABCD!L291</f>
        <v>-1.4848829339900436</v>
      </c>
      <c r="L242" s="89">
        <f>ABCD!M291</f>
        <v>-0.21376340057455945</v>
      </c>
      <c r="M242" s="89">
        <f>ABCD!N291</f>
        <v>1.5001906942385956</v>
      </c>
      <c r="N242" s="89" t="e">
        <v>#REF!</v>
      </c>
      <c r="O242" s="89" t="e">
        <v>#REF!</v>
      </c>
      <c r="P242" s="89" t="e">
        <v>#REF!</v>
      </c>
      <c r="Q242" s="89" t="e">
        <v>#REF!</v>
      </c>
      <c r="R242" s="89" t="e">
        <v>#REF!</v>
      </c>
      <c r="S242" s="89" t="e">
        <f>#REF!</f>
        <v>#REF!</v>
      </c>
      <c r="T242" s="89" t="e">
        <f>#REF!</f>
        <v>#REF!</v>
      </c>
      <c r="U242" s="89" t="e">
        <f>#REF!</f>
        <v>#REF!</v>
      </c>
      <c r="V242" s="89" t="e">
        <f>#REF!</f>
        <v>#REF!</v>
      </c>
      <c r="W242" s="89" t="e">
        <f>#REF!</f>
        <v>#REF!</v>
      </c>
      <c r="X242" s="89" t="e">
        <f>#REF!</f>
        <v>#REF!</v>
      </c>
      <c r="Y242" s="89" t="e">
        <f>#REF!</f>
        <v>#REF!</v>
      </c>
      <c r="Z242" s="89" t="e">
        <f>#REF!</f>
        <v>#REF!</v>
      </c>
      <c r="AA242" s="89" t="e">
        <f>#REF!</f>
        <v>#REF!</v>
      </c>
      <c r="AB242" s="89" t="e">
        <f>#REF!</f>
        <v>#REF!</v>
      </c>
      <c r="AC242" s="89" t="e">
        <f>#REF!</f>
        <v>#REF!</v>
      </c>
      <c r="AD242" s="89" t="e">
        <f>#REF!</f>
        <v>#REF!</v>
      </c>
      <c r="AE242" s="89" t="e">
        <f>#REF!</f>
        <v>#REF!</v>
      </c>
      <c r="AF242" s="89" t="e">
        <f>#REF!</f>
        <v>#REF!</v>
      </c>
      <c r="AG242" s="89" t="e">
        <f>#REF!</f>
        <v>#REF!</v>
      </c>
      <c r="AH242" s="89" t="e">
        <f>#REF!</f>
        <v>#REF!</v>
      </c>
      <c r="AI242" s="89" t="e">
        <f>#REF!</f>
        <v>#REF!</v>
      </c>
      <c r="AJ242" s="89" t="e">
        <f>#REF!</f>
        <v>#REF!</v>
      </c>
      <c r="AK242" s="89" t="e">
        <f>#REF!</f>
        <v>#REF!</v>
      </c>
      <c r="AL242" s="89" t="e">
        <f>#REF!</f>
        <v>#REF!</v>
      </c>
      <c r="AM242" s="89" t="e">
        <f>#REF!</f>
        <v>#REF!</v>
      </c>
      <c r="AN242" s="89" t="e">
        <f>#REF!</f>
        <v>#REF!</v>
      </c>
      <c r="AO242" s="89" t="e">
        <f>#REF!</f>
        <v>#REF!</v>
      </c>
      <c r="AP242" s="89" t="e">
        <f>#REF!</f>
        <v>#REF!</v>
      </c>
      <c r="AQ242" s="89" t="e">
        <f>#REF!</f>
        <v>#REF!</v>
      </c>
      <c r="AR242" s="89" t="e">
        <f>#REF!</f>
        <v>#REF!</v>
      </c>
      <c r="AS242" s="89" t="e">
        <f>#REF!</f>
        <v>#REF!</v>
      </c>
      <c r="AT242" s="89" t="e">
        <f>#REF!</f>
        <v>#REF!</v>
      </c>
      <c r="AU242" s="89" t="e">
        <f>#REF!</f>
        <v>#REF!</v>
      </c>
      <c r="AV242" s="89" t="e">
        <f>#REF!</f>
        <v>#REF!</v>
      </c>
      <c r="AW242" s="89" t="e">
        <f>#REF!</f>
        <v>#REF!</v>
      </c>
      <c r="AX242" s="89" t="e">
        <f>#REF!</f>
        <v>#REF!</v>
      </c>
      <c r="AY242" s="89" t="e">
        <f>#REF!</f>
        <v>#REF!</v>
      </c>
      <c r="AZ242" s="89" t="e">
        <f>#REF!</f>
        <v>#REF!</v>
      </c>
      <c r="BA242" s="89" t="e">
        <f>#REF!</f>
        <v>#REF!</v>
      </c>
      <c r="BB242" s="89" t="e">
        <f>#REF!</f>
        <v>#REF!</v>
      </c>
      <c r="BC242" s="89" t="e">
        <f>#REF!</f>
        <v>#REF!</v>
      </c>
      <c r="BD242" s="89" t="e">
        <f>#REF!</f>
        <v>#REF!</v>
      </c>
      <c r="BE242" s="89" t="e">
        <f>#REF!</f>
        <v>#REF!</v>
      </c>
      <c r="BF242" s="89" t="e">
        <f>#REF!</f>
        <v>#REF!</v>
      </c>
    </row>
    <row r="243" spans="9:58" x14ac:dyDescent="0.25">
      <c r="I243" s="89">
        <f>ABCD!J292</f>
        <v>59.75</v>
      </c>
      <c r="J243" s="89">
        <f>ABCD!K292</f>
        <v>195.98</v>
      </c>
      <c r="K243" s="89">
        <f>ABCD!L292</f>
        <v>-1.5773158803612493</v>
      </c>
      <c r="L243" s="89">
        <f>ABCD!M292</f>
        <v>-0.23082569043308965</v>
      </c>
      <c r="M243" s="89">
        <f>ABCD!N292</f>
        <v>1.594116020182877</v>
      </c>
      <c r="N243" s="89" t="e">
        <v>#REF!</v>
      </c>
      <c r="O243" s="89" t="e">
        <v>#REF!</v>
      </c>
      <c r="P243" s="89" t="e">
        <v>#REF!</v>
      </c>
      <c r="Q243" s="89" t="e">
        <v>#REF!</v>
      </c>
      <c r="R243" s="89" t="e">
        <v>#REF!</v>
      </c>
      <c r="S243" s="89" t="e">
        <f>#REF!</f>
        <v>#REF!</v>
      </c>
      <c r="T243" s="89" t="e">
        <f>#REF!</f>
        <v>#REF!</v>
      </c>
      <c r="U243" s="89" t="e">
        <f>#REF!</f>
        <v>#REF!</v>
      </c>
      <c r="V243" s="89" t="e">
        <f>#REF!</f>
        <v>#REF!</v>
      </c>
      <c r="W243" s="89" t="e">
        <f>#REF!</f>
        <v>#REF!</v>
      </c>
      <c r="X243" s="89" t="e">
        <f>#REF!</f>
        <v>#REF!</v>
      </c>
      <c r="Y243" s="89" t="e">
        <f>#REF!</f>
        <v>#REF!</v>
      </c>
      <c r="Z243" s="89" t="e">
        <f>#REF!</f>
        <v>#REF!</v>
      </c>
      <c r="AA243" s="89" t="e">
        <f>#REF!</f>
        <v>#REF!</v>
      </c>
      <c r="AB243" s="89" t="e">
        <f>#REF!</f>
        <v>#REF!</v>
      </c>
      <c r="AC243" s="89" t="e">
        <f>#REF!</f>
        <v>#REF!</v>
      </c>
      <c r="AD243" s="89" t="e">
        <f>#REF!</f>
        <v>#REF!</v>
      </c>
      <c r="AE243" s="89" t="e">
        <f>#REF!</f>
        <v>#REF!</v>
      </c>
      <c r="AF243" s="89" t="e">
        <f>#REF!</f>
        <v>#REF!</v>
      </c>
      <c r="AG243" s="89" t="e">
        <f>#REF!</f>
        <v>#REF!</v>
      </c>
      <c r="AH243" s="89" t="e">
        <f>#REF!</f>
        <v>#REF!</v>
      </c>
      <c r="AI243" s="89" t="e">
        <f>#REF!</f>
        <v>#REF!</v>
      </c>
      <c r="AJ243" s="89" t="e">
        <f>#REF!</f>
        <v>#REF!</v>
      </c>
      <c r="AK243" s="89" t="e">
        <f>#REF!</f>
        <v>#REF!</v>
      </c>
      <c r="AL243" s="89" t="e">
        <f>#REF!</f>
        <v>#REF!</v>
      </c>
      <c r="AM243" s="89" t="e">
        <f>#REF!</f>
        <v>#REF!</v>
      </c>
      <c r="AN243" s="89" t="e">
        <f>#REF!</f>
        <v>#REF!</v>
      </c>
      <c r="AO243" s="89" t="e">
        <f>#REF!</f>
        <v>#REF!</v>
      </c>
      <c r="AP243" s="89" t="e">
        <f>#REF!</f>
        <v>#REF!</v>
      </c>
      <c r="AQ243" s="89" t="e">
        <f>#REF!</f>
        <v>#REF!</v>
      </c>
      <c r="AR243" s="89" t="e">
        <f>#REF!</f>
        <v>#REF!</v>
      </c>
      <c r="AS243" s="89" t="e">
        <f>#REF!</f>
        <v>#REF!</v>
      </c>
      <c r="AT243" s="89" t="e">
        <f>#REF!</f>
        <v>#REF!</v>
      </c>
      <c r="AU243" s="89" t="e">
        <f>#REF!</f>
        <v>#REF!</v>
      </c>
      <c r="AV243" s="89" t="e">
        <f>#REF!</f>
        <v>#REF!</v>
      </c>
      <c r="AW243" s="89" t="e">
        <f>#REF!</f>
        <v>#REF!</v>
      </c>
      <c r="AX243" s="89" t="e">
        <f>#REF!</f>
        <v>#REF!</v>
      </c>
      <c r="AY243" s="89" t="e">
        <f>#REF!</f>
        <v>#REF!</v>
      </c>
      <c r="AZ243" s="89" t="e">
        <f>#REF!</f>
        <v>#REF!</v>
      </c>
      <c r="BA243" s="89" t="e">
        <f>#REF!</f>
        <v>#REF!</v>
      </c>
      <c r="BB243" s="89" t="e">
        <f>#REF!</f>
        <v>#REF!</v>
      </c>
      <c r="BC243" s="89" t="e">
        <f>#REF!</f>
        <v>#REF!</v>
      </c>
      <c r="BD243" s="89" t="e">
        <f>#REF!</f>
        <v>#REF!</v>
      </c>
      <c r="BE243" s="89" t="e">
        <f>#REF!</f>
        <v>#REF!</v>
      </c>
      <c r="BF243" s="89" t="e">
        <f>#REF!</f>
        <v>#REF!</v>
      </c>
    </row>
    <row r="244" spans="9:58" x14ac:dyDescent="0.25">
      <c r="I244" s="89">
        <f>ABCD!J293</f>
        <v>60</v>
      </c>
      <c r="J244" s="89">
        <f>ABCD!K293</f>
        <v>196.79999999999998</v>
      </c>
      <c r="K244" s="89">
        <f>ABCD!L293</f>
        <v>-1.6693015652104277</v>
      </c>
      <c r="L244" s="89">
        <f>ABCD!M293</f>
        <v>-0.24781934708824238</v>
      </c>
      <c r="M244" s="89">
        <f>ABCD!N293</f>
        <v>1.6875965585427184</v>
      </c>
      <c r="N244" s="89" t="e">
        <v>#REF!</v>
      </c>
      <c r="O244" s="89" t="e">
        <v>#REF!</v>
      </c>
      <c r="P244" s="89" t="e">
        <v>#REF!</v>
      </c>
      <c r="Q244" s="89" t="e">
        <v>#REF!</v>
      </c>
      <c r="R244" s="89" t="e">
        <v>#REF!</v>
      </c>
      <c r="S244" s="89" t="e">
        <f>#REF!</f>
        <v>#REF!</v>
      </c>
      <c r="T244" s="89" t="e">
        <f>#REF!</f>
        <v>#REF!</v>
      </c>
      <c r="U244" s="89" t="e">
        <f>#REF!</f>
        <v>#REF!</v>
      </c>
      <c r="V244" s="89" t="e">
        <f>#REF!</f>
        <v>#REF!</v>
      </c>
      <c r="W244" s="89" t="e">
        <f>#REF!</f>
        <v>#REF!</v>
      </c>
      <c r="X244" s="89" t="e">
        <f>#REF!</f>
        <v>#REF!</v>
      </c>
      <c r="Y244" s="89" t="e">
        <f>#REF!</f>
        <v>#REF!</v>
      </c>
      <c r="Z244" s="89" t="e">
        <f>#REF!</f>
        <v>#REF!</v>
      </c>
      <c r="AA244" s="89" t="e">
        <f>#REF!</f>
        <v>#REF!</v>
      </c>
      <c r="AB244" s="89" t="e">
        <f>#REF!</f>
        <v>#REF!</v>
      </c>
      <c r="AC244" s="89" t="e">
        <f>#REF!</f>
        <v>#REF!</v>
      </c>
      <c r="AD244" s="89" t="e">
        <f>#REF!</f>
        <v>#REF!</v>
      </c>
      <c r="AE244" s="89" t="e">
        <f>#REF!</f>
        <v>#REF!</v>
      </c>
      <c r="AF244" s="89" t="e">
        <f>#REF!</f>
        <v>#REF!</v>
      </c>
      <c r="AG244" s="89" t="e">
        <f>#REF!</f>
        <v>#REF!</v>
      </c>
      <c r="AH244" s="89" t="e">
        <f>#REF!</f>
        <v>#REF!</v>
      </c>
      <c r="AI244" s="89" t="e">
        <f>#REF!</f>
        <v>#REF!</v>
      </c>
      <c r="AJ244" s="89" t="e">
        <f>#REF!</f>
        <v>#REF!</v>
      </c>
      <c r="AK244" s="89" t="e">
        <f>#REF!</f>
        <v>#REF!</v>
      </c>
      <c r="AL244" s="89" t="e">
        <f>#REF!</f>
        <v>#REF!</v>
      </c>
      <c r="AM244" s="89" t="e">
        <f>#REF!</f>
        <v>#REF!</v>
      </c>
      <c r="AN244" s="89" t="e">
        <f>#REF!</f>
        <v>#REF!</v>
      </c>
      <c r="AO244" s="89" t="e">
        <f>#REF!</f>
        <v>#REF!</v>
      </c>
      <c r="AP244" s="89" t="e">
        <f>#REF!</f>
        <v>#REF!</v>
      </c>
      <c r="AQ244" s="89" t="e">
        <f>#REF!</f>
        <v>#REF!</v>
      </c>
      <c r="AR244" s="89" t="e">
        <f>#REF!</f>
        <v>#REF!</v>
      </c>
      <c r="AS244" s="89" t="e">
        <f>#REF!</f>
        <v>#REF!</v>
      </c>
      <c r="AT244" s="89" t="e">
        <f>#REF!</f>
        <v>#REF!</v>
      </c>
      <c r="AU244" s="89" t="e">
        <f>#REF!</f>
        <v>#REF!</v>
      </c>
      <c r="AV244" s="89" t="e">
        <f>#REF!</f>
        <v>#REF!</v>
      </c>
      <c r="AW244" s="89" t="e">
        <f>#REF!</f>
        <v>#REF!</v>
      </c>
      <c r="AX244" s="89" t="e">
        <f>#REF!</f>
        <v>#REF!</v>
      </c>
      <c r="AY244" s="89" t="e">
        <f>#REF!</f>
        <v>#REF!</v>
      </c>
      <c r="AZ244" s="89" t="e">
        <f>#REF!</f>
        <v>#REF!</v>
      </c>
      <c r="BA244" s="89" t="e">
        <f>#REF!</f>
        <v>#REF!</v>
      </c>
      <c r="BB244" s="89" t="e">
        <f>#REF!</f>
        <v>#REF!</v>
      </c>
      <c r="BC244" s="89" t="e">
        <f>#REF!</f>
        <v>#REF!</v>
      </c>
      <c r="BD244" s="89" t="e">
        <f>#REF!</f>
        <v>#REF!</v>
      </c>
      <c r="BE244" s="89" t="e">
        <f>#REF!</f>
        <v>#REF!</v>
      </c>
      <c r="BF244" s="89" t="e">
        <f>#REF!</f>
        <v>#REF!</v>
      </c>
    </row>
    <row r="245" spans="9:58" x14ac:dyDescent="0.25">
      <c r="I245" s="89">
        <f>ABCD!J294</f>
        <v>60.25</v>
      </c>
      <c r="J245" s="89">
        <f>ABCD!K294</f>
        <v>197.61999999999998</v>
      </c>
      <c r="K245" s="89">
        <f>ABCD!L294</f>
        <v>-1.7608191568174159</v>
      </c>
      <c r="L245" s="89">
        <f>ABCD!M294</f>
        <v>-0.26474050944813055</v>
      </c>
      <c r="M245" s="89">
        <f>ABCD!N294</f>
        <v>1.7806099068459804</v>
      </c>
      <c r="N245" s="89" t="e">
        <v>#REF!</v>
      </c>
      <c r="O245" s="89" t="e">
        <v>#REF!</v>
      </c>
      <c r="P245" s="89" t="e">
        <v>#REF!</v>
      </c>
      <c r="Q245" s="89" t="e">
        <v>#REF!</v>
      </c>
      <c r="R245" s="89" t="e">
        <v>#REF!</v>
      </c>
      <c r="S245" s="89" t="e">
        <f>#REF!</f>
        <v>#REF!</v>
      </c>
      <c r="T245" s="89" t="e">
        <f>#REF!</f>
        <v>#REF!</v>
      </c>
      <c r="U245" s="89" t="e">
        <f>#REF!</f>
        <v>#REF!</v>
      </c>
      <c r="V245" s="89" t="e">
        <f>#REF!</f>
        <v>#REF!</v>
      </c>
      <c r="W245" s="89" t="e">
        <f>#REF!</f>
        <v>#REF!</v>
      </c>
      <c r="X245" s="89" t="e">
        <f>#REF!</f>
        <v>#REF!</v>
      </c>
      <c r="Y245" s="89" t="e">
        <f>#REF!</f>
        <v>#REF!</v>
      </c>
      <c r="Z245" s="89" t="e">
        <f>#REF!</f>
        <v>#REF!</v>
      </c>
      <c r="AA245" s="89" t="e">
        <f>#REF!</f>
        <v>#REF!</v>
      </c>
      <c r="AB245" s="89" t="e">
        <f>#REF!</f>
        <v>#REF!</v>
      </c>
      <c r="AC245" s="89" t="e">
        <f>#REF!</f>
        <v>#REF!</v>
      </c>
      <c r="AD245" s="89" t="e">
        <f>#REF!</f>
        <v>#REF!</v>
      </c>
      <c r="AE245" s="89" t="e">
        <f>#REF!</f>
        <v>#REF!</v>
      </c>
      <c r="AF245" s="89" t="e">
        <f>#REF!</f>
        <v>#REF!</v>
      </c>
      <c r="AG245" s="89" t="e">
        <f>#REF!</f>
        <v>#REF!</v>
      </c>
      <c r="AH245" s="89" t="e">
        <f>#REF!</f>
        <v>#REF!</v>
      </c>
      <c r="AI245" s="89" t="e">
        <f>#REF!</f>
        <v>#REF!</v>
      </c>
      <c r="AJ245" s="89" t="e">
        <f>#REF!</f>
        <v>#REF!</v>
      </c>
      <c r="AK245" s="89" t="e">
        <f>#REF!</f>
        <v>#REF!</v>
      </c>
      <c r="AL245" s="89" t="e">
        <f>#REF!</f>
        <v>#REF!</v>
      </c>
      <c r="AM245" s="89" t="e">
        <f>#REF!</f>
        <v>#REF!</v>
      </c>
      <c r="AN245" s="89" t="e">
        <f>#REF!</f>
        <v>#REF!</v>
      </c>
      <c r="AO245" s="89" t="e">
        <f>#REF!</f>
        <v>#REF!</v>
      </c>
      <c r="AP245" s="89" t="e">
        <f>#REF!</f>
        <v>#REF!</v>
      </c>
      <c r="AQ245" s="89" t="e">
        <f>#REF!</f>
        <v>#REF!</v>
      </c>
      <c r="AR245" s="89" t="e">
        <f>#REF!</f>
        <v>#REF!</v>
      </c>
      <c r="AS245" s="89" t="e">
        <f>#REF!</f>
        <v>#REF!</v>
      </c>
      <c r="AT245" s="89" t="e">
        <f>#REF!</f>
        <v>#REF!</v>
      </c>
      <c r="AU245" s="89" t="e">
        <f>#REF!</f>
        <v>#REF!</v>
      </c>
      <c r="AV245" s="89" t="e">
        <f>#REF!</f>
        <v>#REF!</v>
      </c>
      <c r="AW245" s="89" t="e">
        <f>#REF!</f>
        <v>#REF!</v>
      </c>
      <c r="AX245" s="89" t="e">
        <f>#REF!</f>
        <v>#REF!</v>
      </c>
      <c r="AY245" s="89" t="e">
        <f>#REF!</f>
        <v>#REF!</v>
      </c>
      <c r="AZ245" s="89" t="e">
        <f>#REF!</f>
        <v>#REF!</v>
      </c>
      <c r="BA245" s="89" t="e">
        <f>#REF!</f>
        <v>#REF!</v>
      </c>
      <c r="BB245" s="89" t="e">
        <f>#REF!</f>
        <v>#REF!</v>
      </c>
      <c r="BC245" s="89" t="e">
        <f>#REF!</f>
        <v>#REF!</v>
      </c>
      <c r="BD245" s="89" t="e">
        <f>#REF!</f>
        <v>#REF!</v>
      </c>
      <c r="BE245" s="89" t="e">
        <f>#REF!</f>
        <v>#REF!</v>
      </c>
      <c r="BF245" s="89" t="e">
        <f>#REF!</f>
        <v>#REF!</v>
      </c>
    </row>
    <row r="246" spans="9:58" x14ac:dyDescent="0.25">
      <c r="I246" s="89">
        <f>ABCD!J295</f>
        <v>60.5</v>
      </c>
      <c r="J246" s="89">
        <f>ABCD!K295</f>
        <v>198.44</v>
      </c>
      <c r="K246" s="89">
        <f>ABCD!L295</f>
        <v>-1.8518479502573344</v>
      </c>
      <c r="L246" s="89">
        <f>ABCD!M295</f>
        <v>-0.28158533662894758</v>
      </c>
      <c r="M246" s="89">
        <f>ABCD!N295</f>
        <v>1.873134040232233</v>
      </c>
      <c r="N246" s="89" t="e">
        <v>#REF!</v>
      </c>
      <c r="O246" s="89" t="e">
        <v>#REF!</v>
      </c>
      <c r="P246" s="89" t="e">
        <v>#REF!</v>
      </c>
      <c r="Q246" s="89" t="e">
        <v>#REF!</v>
      </c>
      <c r="R246" s="89" t="e">
        <v>#REF!</v>
      </c>
      <c r="S246" s="89" t="e">
        <f>#REF!</f>
        <v>#REF!</v>
      </c>
      <c r="T246" s="89" t="e">
        <f>#REF!</f>
        <v>#REF!</v>
      </c>
      <c r="U246" s="89" t="e">
        <f>#REF!</f>
        <v>#REF!</v>
      </c>
      <c r="V246" s="89" t="e">
        <f>#REF!</f>
        <v>#REF!</v>
      </c>
      <c r="W246" s="89" t="e">
        <f>#REF!</f>
        <v>#REF!</v>
      </c>
      <c r="X246" s="89" t="e">
        <f>#REF!</f>
        <v>#REF!</v>
      </c>
      <c r="Y246" s="89" t="e">
        <f>#REF!</f>
        <v>#REF!</v>
      </c>
      <c r="Z246" s="89" t="e">
        <f>#REF!</f>
        <v>#REF!</v>
      </c>
      <c r="AA246" s="89" t="e">
        <f>#REF!</f>
        <v>#REF!</v>
      </c>
      <c r="AB246" s="89" t="e">
        <f>#REF!</f>
        <v>#REF!</v>
      </c>
      <c r="AC246" s="89" t="e">
        <f>#REF!</f>
        <v>#REF!</v>
      </c>
      <c r="AD246" s="89" t="e">
        <f>#REF!</f>
        <v>#REF!</v>
      </c>
      <c r="AE246" s="89" t="e">
        <f>#REF!</f>
        <v>#REF!</v>
      </c>
      <c r="AF246" s="89" t="e">
        <f>#REF!</f>
        <v>#REF!</v>
      </c>
      <c r="AG246" s="89" t="e">
        <f>#REF!</f>
        <v>#REF!</v>
      </c>
      <c r="AH246" s="89" t="e">
        <f>#REF!</f>
        <v>#REF!</v>
      </c>
      <c r="AI246" s="89" t="e">
        <f>#REF!</f>
        <v>#REF!</v>
      </c>
      <c r="AJ246" s="89" t="e">
        <f>#REF!</f>
        <v>#REF!</v>
      </c>
      <c r="AK246" s="89" t="e">
        <f>#REF!</f>
        <v>#REF!</v>
      </c>
      <c r="AL246" s="89" t="e">
        <f>#REF!</f>
        <v>#REF!</v>
      </c>
      <c r="AM246" s="89" t="e">
        <f>#REF!</f>
        <v>#REF!</v>
      </c>
      <c r="AN246" s="89" t="e">
        <f>#REF!</f>
        <v>#REF!</v>
      </c>
      <c r="AO246" s="89" t="e">
        <f>#REF!</f>
        <v>#REF!</v>
      </c>
      <c r="AP246" s="89" t="e">
        <f>#REF!</f>
        <v>#REF!</v>
      </c>
      <c r="AQ246" s="89" t="e">
        <f>#REF!</f>
        <v>#REF!</v>
      </c>
      <c r="AR246" s="89" t="e">
        <f>#REF!</f>
        <v>#REF!</v>
      </c>
      <c r="AS246" s="89" t="e">
        <f>#REF!</f>
        <v>#REF!</v>
      </c>
      <c r="AT246" s="89" t="e">
        <f>#REF!</f>
        <v>#REF!</v>
      </c>
      <c r="AU246" s="89" t="e">
        <f>#REF!</f>
        <v>#REF!</v>
      </c>
      <c r="AV246" s="89" t="e">
        <f>#REF!</f>
        <v>#REF!</v>
      </c>
      <c r="AW246" s="89" t="e">
        <f>#REF!</f>
        <v>#REF!</v>
      </c>
      <c r="AX246" s="89" t="e">
        <f>#REF!</f>
        <v>#REF!</v>
      </c>
      <c r="AY246" s="89" t="e">
        <f>#REF!</f>
        <v>#REF!</v>
      </c>
      <c r="AZ246" s="89" t="e">
        <f>#REF!</f>
        <v>#REF!</v>
      </c>
      <c r="BA246" s="89" t="e">
        <f>#REF!</f>
        <v>#REF!</v>
      </c>
      <c r="BB246" s="89" t="e">
        <f>#REF!</f>
        <v>#REF!</v>
      </c>
      <c r="BC246" s="89" t="e">
        <f>#REF!</f>
        <v>#REF!</v>
      </c>
      <c r="BD246" s="89" t="e">
        <f>#REF!</f>
        <v>#REF!</v>
      </c>
      <c r="BE246" s="89" t="e">
        <f>#REF!</f>
        <v>#REF!</v>
      </c>
      <c r="BF246" s="89" t="e">
        <f>#REF!</f>
        <v>#REF!</v>
      </c>
    </row>
    <row r="247" spans="9:58" x14ac:dyDescent="0.25">
      <c r="I247" s="89">
        <f>ABCD!J296</f>
        <v>60.75</v>
      </c>
      <c r="J247" s="89">
        <f>ABCD!K296</f>
        <v>199.26</v>
      </c>
      <c r="K247" s="89">
        <f>ABCD!L296</f>
        <v>-1.9423673720660433</v>
      </c>
      <c r="L247" s="89">
        <f>ABCD!M296</f>
        <v>-0.29835000882342522</v>
      </c>
      <c r="M247" s="89">
        <f>ABCD!N296</f>
        <v>1.9651472555082699</v>
      </c>
      <c r="N247" s="89" t="e">
        <v>#REF!</v>
      </c>
      <c r="O247" s="89" t="e">
        <v>#REF!</v>
      </c>
      <c r="P247" s="89" t="e">
        <v>#REF!</v>
      </c>
      <c r="Q247" s="89" t="e">
        <v>#REF!</v>
      </c>
      <c r="R247" s="89" t="e">
        <v>#REF!</v>
      </c>
      <c r="S247" s="89" t="e">
        <f>#REF!</f>
        <v>#REF!</v>
      </c>
      <c r="T247" s="89" t="e">
        <f>#REF!</f>
        <v>#REF!</v>
      </c>
      <c r="U247" s="89" t="e">
        <f>#REF!</f>
        <v>#REF!</v>
      </c>
      <c r="V247" s="89" t="e">
        <f>#REF!</f>
        <v>#REF!</v>
      </c>
      <c r="W247" s="89" t="e">
        <f>#REF!</f>
        <v>#REF!</v>
      </c>
      <c r="X247" s="89" t="e">
        <f>#REF!</f>
        <v>#REF!</v>
      </c>
      <c r="Y247" s="89" t="e">
        <f>#REF!</f>
        <v>#REF!</v>
      </c>
      <c r="Z247" s="89" t="e">
        <f>#REF!</f>
        <v>#REF!</v>
      </c>
      <c r="AA247" s="89" t="e">
        <f>#REF!</f>
        <v>#REF!</v>
      </c>
      <c r="AB247" s="89" t="e">
        <f>#REF!</f>
        <v>#REF!</v>
      </c>
      <c r="AC247" s="89" t="e">
        <f>#REF!</f>
        <v>#REF!</v>
      </c>
      <c r="AD247" s="89" t="e">
        <f>#REF!</f>
        <v>#REF!</v>
      </c>
      <c r="AE247" s="89" t="e">
        <f>#REF!</f>
        <v>#REF!</v>
      </c>
      <c r="AF247" s="89" t="e">
        <f>#REF!</f>
        <v>#REF!</v>
      </c>
      <c r="AG247" s="89" t="e">
        <f>#REF!</f>
        <v>#REF!</v>
      </c>
      <c r="AH247" s="89" t="e">
        <f>#REF!</f>
        <v>#REF!</v>
      </c>
      <c r="AI247" s="89" t="e">
        <f>#REF!</f>
        <v>#REF!</v>
      </c>
      <c r="AJ247" s="89" t="e">
        <f>#REF!</f>
        <v>#REF!</v>
      </c>
      <c r="AK247" s="89" t="e">
        <f>#REF!</f>
        <v>#REF!</v>
      </c>
      <c r="AL247" s="89" t="e">
        <f>#REF!</f>
        <v>#REF!</v>
      </c>
      <c r="AM247" s="89" t="e">
        <f>#REF!</f>
        <v>#REF!</v>
      </c>
      <c r="AN247" s="89" t="e">
        <f>#REF!</f>
        <v>#REF!</v>
      </c>
      <c r="AO247" s="89" t="e">
        <f>#REF!</f>
        <v>#REF!</v>
      </c>
      <c r="AP247" s="89" t="e">
        <f>#REF!</f>
        <v>#REF!</v>
      </c>
      <c r="AQ247" s="89" t="e">
        <f>#REF!</f>
        <v>#REF!</v>
      </c>
      <c r="AR247" s="89" t="e">
        <f>#REF!</f>
        <v>#REF!</v>
      </c>
      <c r="AS247" s="89" t="e">
        <f>#REF!</f>
        <v>#REF!</v>
      </c>
      <c r="AT247" s="89" t="e">
        <f>#REF!</f>
        <v>#REF!</v>
      </c>
      <c r="AU247" s="89" t="e">
        <f>#REF!</f>
        <v>#REF!</v>
      </c>
      <c r="AV247" s="89" t="e">
        <f>#REF!</f>
        <v>#REF!</v>
      </c>
      <c r="AW247" s="89" t="e">
        <f>#REF!</f>
        <v>#REF!</v>
      </c>
      <c r="AX247" s="89" t="e">
        <f>#REF!</f>
        <v>#REF!</v>
      </c>
      <c r="AY247" s="89" t="e">
        <f>#REF!</f>
        <v>#REF!</v>
      </c>
      <c r="AZ247" s="89" t="e">
        <f>#REF!</f>
        <v>#REF!</v>
      </c>
      <c r="BA247" s="89" t="e">
        <f>#REF!</f>
        <v>#REF!</v>
      </c>
      <c r="BB247" s="89" t="e">
        <f>#REF!</f>
        <v>#REF!</v>
      </c>
      <c r="BC247" s="89" t="e">
        <f>#REF!</f>
        <v>#REF!</v>
      </c>
      <c r="BD247" s="89" t="e">
        <f>#REF!</f>
        <v>#REF!</v>
      </c>
      <c r="BE247" s="89" t="e">
        <f>#REF!</f>
        <v>#REF!</v>
      </c>
      <c r="BF247" s="89" t="e">
        <f>#REF!</f>
        <v>#REF!</v>
      </c>
    </row>
    <row r="248" spans="9:58" x14ac:dyDescent="0.25">
      <c r="I248" s="89">
        <f>ABCD!J297</f>
        <v>61</v>
      </c>
      <c r="J248" s="89">
        <f>ABCD!K297</f>
        <v>200.07999999999998</v>
      </c>
      <c r="K248" s="89">
        <f>ABCD!L297</f>
        <v>-2.0323569848710723</v>
      </c>
      <c r="L248" s="89">
        <f>ABCD!M297</f>
        <v>-0.3150307281636362</v>
      </c>
      <c r="M248" s="89">
        <f>ABCD!N297</f>
        <v>2.0566281320748159</v>
      </c>
      <c r="N248" s="89" t="e">
        <v>#REF!</v>
      </c>
      <c r="O248" s="89" t="e">
        <v>#REF!</v>
      </c>
      <c r="P248" s="89" t="e">
        <v>#REF!</v>
      </c>
      <c r="Q248" s="89" t="e">
        <v>#REF!</v>
      </c>
      <c r="R248" s="89" t="e">
        <v>#REF!</v>
      </c>
      <c r="S248" s="89" t="e">
        <f>#REF!</f>
        <v>#REF!</v>
      </c>
      <c r="T248" s="89" t="e">
        <f>#REF!</f>
        <v>#REF!</v>
      </c>
      <c r="U248" s="89" t="e">
        <f>#REF!</f>
        <v>#REF!</v>
      </c>
      <c r="V248" s="89" t="e">
        <f>#REF!</f>
        <v>#REF!</v>
      </c>
      <c r="W248" s="89" t="e">
        <f>#REF!</f>
        <v>#REF!</v>
      </c>
      <c r="X248" s="89" t="e">
        <f>#REF!</f>
        <v>#REF!</v>
      </c>
      <c r="Y248" s="89" t="e">
        <f>#REF!</f>
        <v>#REF!</v>
      </c>
      <c r="Z248" s="89" t="e">
        <f>#REF!</f>
        <v>#REF!</v>
      </c>
      <c r="AA248" s="89" t="e">
        <f>#REF!</f>
        <v>#REF!</v>
      </c>
      <c r="AB248" s="89" t="e">
        <f>#REF!</f>
        <v>#REF!</v>
      </c>
      <c r="AC248" s="89" t="e">
        <f>#REF!</f>
        <v>#REF!</v>
      </c>
      <c r="AD248" s="89" t="e">
        <f>#REF!</f>
        <v>#REF!</v>
      </c>
      <c r="AE248" s="89" t="e">
        <f>#REF!</f>
        <v>#REF!</v>
      </c>
      <c r="AF248" s="89" t="e">
        <f>#REF!</f>
        <v>#REF!</v>
      </c>
      <c r="AG248" s="89" t="e">
        <f>#REF!</f>
        <v>#REF!</v>
      </c>
      <c r="AH248" s="89" t="e">
        <f>#REF!</f>
        <v>#REF!</v>
      </c>
      <c r="AI248" s="89" t="e">
        <f>#REF!</f>
        <v>#REF!</v>
      </c>
      <c r="AJ248" s="89" t="e">
        <f>#REF!</f>
        <v>#REF!</v>
      </c>
      <c r="AK248" s="89" t="e">
        <f>#REF!</f>
        <v>#REF!</v>
      </c>
      <c r="AL248" s="89" t="e">
        <f>#REF!</f>
        <v>#REF!</v>
      </c>
      <c r="AM248" s="89" t="e">
        <f>#REF!</f>
        <v>#REF!</v>
      </c>
      <c r="AN248" s="89" t="e">
        <f>#REF!</f>
        <v>#REF!</v>
      </c>
      <c r="AO248" s="89" t="e">
        <f>#REF!</f>
        <v>#REF!</v>
      </c>
      <c r="AP248" s="89" t="e">
        <f>#REF!</f>
        <v>#REF!</v>
      </c>
      <c r="AQ248" s="89" t="e">
        <f>#REF!</f>
        <v>#REF!</v>
      </c>
      <c r="AR248" s="89" t="e">
        <f>#REF!</f>
        <v>#REF!</v>
      </c>
      <c r="AS248" s="89" t="e">
        <f>#REF!</f>
        <v>#REF!</v>
      </c>
      <c r="AT248" s="89" t="e">
        <f>#REF!</f>
        <v>#REF!</v>
      </c>
      <c r="AU248" s="89" t="e">
        <f>#REF!</f>
        <v>#REF!</v>
      </c>
      <c r="AV248" s="89" t="e">
        <f>#REF!</f>
        <v>#REF!</v>
      </c>
      <c r="AW248" s="89" t="e">
        <f>#REF!</f>
        <v>#REF!</v>
      </c>
      <c r="AX248" s="89" t="e">
        <f>#REF!</f>
        <v>#REF!</v>
      </c>
      <c r="AY248" s="89" t="e">
        <f>#REF!</f>
        <v>#REF!</v>
      </c>
      <c r="AZ248" s="89" t="e">
        <f>#REF!</f>
        <v>#REF!</v>
      </c>
      <c r="BA248" s="89" t="e">
        <f>#REF!</f>
        <v>#REF!</v>
      </c>
      <c r="BB248" s="89" t="e">
        <f>#REF!</f>
        <v>#REF!</v>
      </c>
      <c r="BC248" s="89" t="e">
        <f>#REF!</f>
        <v>#REF!</v>
      </c>
      <c r="BD248" s="89" t="e">
        <f>#REF!</f>
        <v>#REF!</v>
      </c>
      <c r="BE248" s="89" t="e">
        <f>#REF!</f>
        <v>#REF!</v>
      </c>
      <c r="BF248" s="89" t="e">
        <f>#REF!</f>
        <v>#REF!</v>
      </c>
    </row>
    <row r="249" spans="9:58" x14ac:dyDescent="0.25">
      <c r="I249" s="89">
        <f>ABCD!J298</f>
        <v>61.25</v>
      </c>
      <c r="J249" s="89">
        <f>ABCD!K298</f>
        <v>200.89999999999998</v>
      </c>
      <c r="K249" s="89">
        <f>ABCD!L298</f>
        <v>-2.1217964919870109</v>
      </c>
      <c r="L249" s="89">
        <f>ABCD!M298</f>
        <v>-0.33162371957796255</v>
      </c>
      <c r="M249" s="89">
        <f>ABCD!N298</f>
        <v>2.1475555044736585</v>
      </c>
      <c r="N249" s="89" t="e">
        <v>#REF!</v>
      </c>
      <c r="O249" s="89" t="e">
        <v>#REF!</v>
      </c>
      <c r="P249" s="89" t="e">
        <v>#REF!</v>
      </c>
      <c r="Q249" s="89" t="e">
        <v>#REF!</v>
      </c>
      <c r="R249" s="89" t="e">
        <v>#REF!</v>
      </c>
      <c r="S249" s="89" t="e">
        <f>#REF!</f>
        <v>#REF!</v>
      </c>
      <c r="T249" s="89" t="e">
        <f>#REF!</f>
        <v>#REF!</v>
      </c>
      <c r="U249" s="89" t="e">
        <f>#REF!</f>
        <v>#REF!</v>
      </c>
      <c r="V249" s="89" t="e">
        <f>#REF!</f>
        <v>#REF!</v>
      </c>
      <c r="W249" s="89" t="e">
        <f>#REF!</f>
        <v>#REF!</v>
      </c>
      <c r="X249" s="89" t="e">
        <f>#REF!</f>
        <v>#REF!</v>
      </c>
      <c r="Y249" s="89" t="e">
        <f>#REF!</f>
        <v>#REF!</v>
      </c>
      <c r="Z249" s="89" t="e">
        <f>#REF!</f>
        <v>#REF!</v>
      </c>
      <c r="AA249" s="89" t="e">
        <f>#REF!</f>
        <v>#REF!</v>
      </c>
      <c r="AB249" s="89" t="e">
        <f>#REF!</f>
        <v>#REF!</v>
      </c>
      <c r="AC249" s="89" t="e">
        <f>#REF!</f>
        <v>#REF!</v>
      </c>
      <c r="AD249" s="89" t="e">
        <f>#REF!</f>
        <v>#REF!</v>
      </c>
      <c r="AE249" s="89" t="e">
        <f>#REF!</f>
        <v>#REF!</v>
      </c>
      <c r="AF249" s="89" t="e">
        <f>#REF!</f>
        <v>#REF!</v>
      </c>
      <c r="AG249" s="89" t="e">
        <f>#REF!</f>
        <v>#REF!</v>
      </c>
      <c r="AH249" s="89" t="e">
        <f>#REF!</f>
        <v>#REF!</v>
      </c>
      <c r="AI249" s="89" t="e">
        <f>#REF!</f>
        <v>#REF!</v>
      </c>
      <c r="AJ249" s="89" t="e">
        <f>#REF!</f>
        <v>#REF!</v>
      </c>
      <c r="AK249" s="89" t="e">
        <f>#REF!</f>
        <v>#REF!</v>
      </c>
      <c r="AL249" s="89" t="e">
        <f>#REF!</f>
        <v>#REF!</v>
      </c>
      <c r="AM249" s="89" t="e">
        <f>#REF!</f>
        <v>#REF!</v>
      </c>
      <c r="AN249" s="89" t="e">
        <f>#REF!</f>
        <v>#REF!</v>
      </c>
      <c r="AO249" s="89" t="e">
        <f>#REF!</f>
        <v>#REF!</v>
      </c>
      <c r="AP249" s="89" t="e">
        <f>#REF!</f>
        <v>#REF!</v>
      </c>
      <c r="AQ249" s="89" t="e">
        <f>#REF!</f>
        <v>#REF!</v>
      </c>
      <c r="AR249" s="89" t="e">
        <f>#REF!</f>
        <v>#REF!</v>
      </c>
      <c r="AS249" s="89" t="e">
        <f>#REF!</f>
        <v>#REF!</v>
      </c>
      <c r="AT249" s="89" t="e">
        <f>#REF!</f>
        <v>#REF!</v>
      </c>
      <c r="AU249" s="89" t="e">
        <f>#REF!</f>
        <v>#REF!</v>
      </c>
      <c r="AV249" s="89" t="e">
        <f>#REF!</f>
        <v>#REF!</v>
      </c>
      <c r="AW249" s="89" t="e">
        <f>#REF!</f>
        <v>#REF!</v>
      </c>
      <c r="AX249" s="89" t="e">
        <f>#REF!</f>
        <v>#REF!</v>
      </c>
      <c r="AY249" s="89" t="e">
        <f>#REF!</f>
        <v>#REF!</v>
      </c>
      <c r="AZ249" s="89" t="e">
        <f>#REF!</f>
        <v>#REF!</v>
      </c>
      <c r="BA249" s="89" t="e">
        <f>#REF!</f>
        <v>#REF!</v>
      </c>
      <c r="BB249" s="89" t="e">
        <f>#REF!</f>
        <v>#REF!</v>
      </c>
      <c r="BC249" s="89" t="e">
        <f>#REF!</f>
        <v>#REF!</v>
      </c>
      <c r="BD249" s="89" t="e">
        <f>#REF!</f>
        <v>#REF!</v>
      </c>
      <c r="BE249" s="89" t="e">
        <f>#REF!</f>
        <v>#REF!</v>
      </c>
      <c r="BF249" s="89" t="e">
        <f>#REF!</f>
        <v>#REF!</v>
      </c>
    </row>
    <row r="250" spans="9:58" x14ac:dyDescent="0.25">
      <c r="I250" s="89">
        <f>ABCD!J299</f>
        <v>61.5</v>
      </c>
      <c r="J250" s="89">
        <f>ABCD!K299</f>
        <v>201.72</v>
      </c>
      <c r="K250" s="89">
        <f>ABCD!L299</f>
        <v>-2.2106657419742164</v>
      </c>
      <c r="L250" s="89">
        <f>ABCD!M299</f>
        <v>-0.34812523164203446</v>
      </c>
      <c r="M250" s="89">
        <f>ABCD!N299</f>
        <v>2.2379084430879277</v>
      </c>
      <c r="N250" s="89" t="e">
        <v>#REF!</v>
      </c>
      <c r="O250" s="89" t="e">
        <v>#REF!</v>
      </c>
      <c r="P250" s="89" t="e">
        <v>#REF!</v>
      </c>
      <c r="Q250" s="89" t="e">
        <v>#REF!</v>
      </c>
      <c r="R250" s="89" t="e">
        <v>#REF!</v>
      </c>
      <c r="S250" s="89" t="e">
        <f>#REF!</f>
        <v>#REF!</v>
      </c>
      <c r="T250" s="89" t="e">
        <f>#REF!</f>
        <v>#REF!</v>
      </c>
      <c r="U250" s="89" t="e">
        <f>#REF!</f>
        <v>#REF!</v>
      </c>
      <c r="V250" s="89" t="e">
        <f>#REF!</f>
        <v>#REF!</v>
      </c>
      <c r="W250" s="89" t="e">
        <f>#REF!</f>
        <v>#REF!</v>
      </c>
      <c r="X250" s="89" t="e">
        <f>#REF!</f>
        <v>#REF!</v>
      </c>
      <c r="Y250" s="89" t="e">
        <f>#REF!</f>
        <v>#REF!</v>
      </c>
      <c r="Z250" s="89" t="e">
        <f>#REF!</f>
        <v>#REF!</v>
      </c>
      <c r="AA250" s="89" t="e">
        <f>#REF!</f>
        <v>#REF!</v>
      </c>
      <c r="AB250" s="89" t="e">
        <f>#REF!</f>
        <v>#REF!</v>
      </c>
      <c r="AC250" s="89" t="e">
        <f>#REF!</f>
        <v>#REF!</v>
      </c>
      <c r="AD250" s="89" t="e">
        <f>#REF!</f>
        <v>#REF!</v>
      </c>
      <c r="AE250" s="89" t="e">
        <f>#REF!</f>
        <v>#REF!</v>
      </c>
      <c r="AF250" s="89" t="e">
        <f>#REF!</f>
        <v>#REF!</v>
      </c>
      <c r="AG250" s="89" t="e">
        <f>#REF!</f>
        <v>#REF!</v>
      </c>
      <c r="AH250" s="89" t="e">
        <f>#REF!</f>
        <v>#REF!</v>
      </c>
      <c r="AI250" s="89" t="e">
        <f>#REF!</f>
        <v>#REF!</v>
      </c>
      <c r="AJ250" s="89" t="e">
        <f>#REF!</f>
        <v>#REF!</v>
      </c>
      <c r="AK250" s="89" t="e">
        <f>#REF!</f>
        <v>#REF!</v>
      </c>
      <c r="AL250" s="89" t="e">
        <f>#REF!</f>
        <v>#REF!</v>
      </c>
      <c r="AM250" s="89" t="e">
        <f>#REF!</f>
        <v>#REF!</v>
      </c>
      <c r="AN250" s="89" t="e">
        <f>#REF!</f>
        <v>#REF!</v>
      </c>
      <c r="AO250" s="89" t="e">
        <f>#REF!</f>
        <v>#REF!</v>
      </c>
      <c r="AP250" s="89" t="e">
        <f>#REF!</f>
        <v>#REF!</v>
      </c>
      <c r="AQ250" s="89" t="e">
        <f>#REF!</f>
        <v>#REF!</v>
      </c>
      <c r="AR250" s="89" t="e">
        <f>#REF!</f>
        <v>#REF!</v>
      </c>
      <c r="AS250" s="89" t="e">
        <f>#REF!</f>
        <v>#REF!</v>
      </c>
      <c r="AT250" s="89" t="e">
        <f>#REF!</f>
        <v>#REF!</v>
      </c>
      <c r="AU250" s="89" t="e">
        <f>#REF!</f>
        <v>#REF!</v>
      </c>
      <c r="AV250" s="89" t="e">
        <f>#REF!</f>
        <v>#REF!</v>
      </c>
      <c r="AW250" s="89" t="e">
        <f>#REF!</f>
        <v>#REF!</v>
      </c>
      <c r="AX250" s="89" t="e">
        <f>#REF!</f>
        <v>#REF!</v>
      </c>
      <c r="AY250" s="89" t="e">
        <f>#REF!</f>
        <v>#REF!</v>
      </c>
      <c r="AZ250" s="89" t="e">
        <f>#REF!</f>
        <v>#REF!</v>
      </c>
      <c r="BA250" s="89" t="e">
        <f>#REF!</f>
        <v>#REF!</v>
      </c>
      <c r="BB250" s="89" t="e">
        <f>#REF!</f>
        <v>#REF!</v>
      </c>
      <c r="BC250" s="89" t="e">
        <f>#REF!</f>
        <v>#REF!</v>
      </c>
      <c r="BD250" s="89" t="e">
        <f>#REF!</f>
        <v>#REF!</v>
      </c>
      <c r="BE250" s="89" t="e">
        <f>#REF!</f>
        <v>#REF!</v>
      </c>
      <c r="BF250" s="89" t="e">
        <f>#REF!</f>
        <v>#REF!</v>
      </c>
    </row>
    <row r="251" spans="9:58" x14ac:dyDescent="0.25">
      <c r="I251" s="89">
        <f>ABCD!J300</f>
        <v>61.75</v>
      </c>
      <c r="J251" s="89">
        <f>ABCD!K300</f>
        <v>202.54</v>
      </c>
      <c r="K251" s="89">
        <f>ABCD!L300</f>
        <v>-2.2989447331599688</v>
      </c>
      <c r="L251" s="89">
        <f>ABCD!M300</f>
        <v>-0.36453153742343192</v>
      </c>
      <c r="M251" s="89">
        <f>ABCD!N300</f>
        <v>2.3276662406582802</v>
      </c>
      <c r="N251" s="89" t="e">
        <v>#REF!</v>
      </c>
      <c r="O251" s="89" t="e">
        <v>#REF!</v>
      </c>
      <c r="P251" s="89" t="e">
        <v>#REF!</v>
      </c>
      <c r="Q251" s="89" t="e">
        <v>#REF!</v>
      </c>
      <c r="R251" s="89" t="e">
        <v>#REF!</v>
      </c>
      <c r="S251" s="89" t="e">
        <f>#REF!</f>
        <v>#REF!</v>
      </c>
      <c r="T251" s="89" t="e">
        <f>#REF!</f>
        <v>#REF!</v>
      </c>
      <c r="U251" s="89" t="e">
        <f>#REF!</f>
        <v>#REF!</v>
      </c>
      <c r="V251" s="89" t="e">
        <f>#REF!</f>
        <v>#REF!</v>
      </c>
      <c r="W251" s="89" t="e">
        <f>#REF!</f>
        <v>#REF!</v>
      </c>
      <c r="X251" s="89" t="e">
        <f>#REF!</f>
        <v>#REF!</v>
      </c>
      <c r="Y251" s="89" t="e">
        <f>#REF!</f>
        <v>#REF!</v>
      </c>
      <c r="Z251" s="89" t="e">
        <f>#REF!</f>
        <v>#REF!</v>
      </c>
      <c r="AA251" s="89" t="e">
        <f>#REF!</f>
        <v>#REF!</v>
      </c>
      <c r="AB251" s="89" t="e">
        <f>#REF!</f>
        <v>#REF!</v>
      </c>
      <c r="AC251" s="89" t="e">
        <f>#REF!</f>
        <v>#REF!</v>
      </c>
      <c r="AD251" s="89" t="e">
        <f>#REF!</f>
        <v>#REF!</v>
      </c>
      <c r="AE251" s="89" t="e">
        <f>#REF!</f>
        <v>#REF!</v>
      </c>
      <c r="AF251" s="89" t="e">
        <f>#REF!</f>
        <v>#REF!</v>
      </c>
      <c r="AG251" s="89" t="e">
        <f>#REF!</f>
        <v>#REF!</v>
      </c>
      <c r="AH251" s="89" t="e">
        <f>#REF!</f>
        <v>#REF!</v>
      </c>
      <c r="AI251" s="89" t="e">
        <f>#REF!</f>
        <v>#REF!</v>
      </c>
      <c r="AJ251" s="89" t="e">
        <f>#REF!</f>
        <v>#REF!</v>
      </c>
      <c r="AK251" s="89" t="e">
        <f>#REF!</f>
        <v>#REF!</v>
      </c>
      <c r="AL251" s="89" t="e">
        <f>#REF!</f>
        <v>#REF!</v>
      </c>
      <c r="AM251" s="89" t="e">
        <f>#REF!</f>
        <v>#REF!</v>
      </c>
      <c r="AN251" s="89" t="e">
        <f>#REF!</f>
        <v>#REF!</v>
      </c>
      <c r="AO251" s="89" t="e">
        <f>#REF!</f>
        <v>#REF!</v>
      </c>
      <c r="AP251" s="89" t="e">
        <f>#REF!</f>
        <v>#REF!</v>
      </c>
      <c r="AQ251" s="89" t="e">
        <f>#REF!</f>
        <v>#REF!</v>
      </c>
      <c r="AR251" s="89" t="e">
        <f>#REF!</f>
        <v>#REF!</v>
      </c>
      <c r="AS251" s="89" t="e">
        <f>#REF!</f>
        <v>#REF!</v>
      </c>
      <c r="AT251" s="89" t="e">
        <f>#REF!</f>
        <v>#REF!</v>
      </c>
      <c r="AU251" s="89" t="e">
        <f>#REF!</f>
        <v>#REF!</v>
      </c>
      <c r="AV251" s="89" t="e">
        <f>#REF!</f>
        <v>#REF!</v>
      </c>
      <c r="AW251" s="89" t="e">
        <f>#REF!</f>
        <v>#REF!</v>
      </c>
      <c r="AX251" s="89" t="e">
        <f>#REF!</f>
        <v>#REF!</v>
      </c>
      <c r="AY251" s="89" t="e">
        <f>#REF!</f>
        <v>#REF!</v>
      </c>
      <c r="AZ251" s="89" t="e">
        <f>#REF!</f>
        <v>#REF!</v>
      </c>
      <c r="BA251" s="89" t="e">
        <f>#REF!</f>
        <v>#REF!</v>
      </c>
      <c r="BB251" s="89" t="e">
        <f>#REF!</f>
        <v>#REF!</v>
      </c>
      <c r="BC251" s="89" t="e">
        <f>#REF!</f>
        <v>#REF!</v>
      </c>
      <c r="BD251" s="89" t="e">
        <f>#REF!</f>
        <v>#REF!</v>
      </c>
      <c r="BE251" s="89" t="e">
        <f>#REF!</f>
        <v>#REF!</v>
      </c>
      <c r="BF251" s="89" t="e">
        <f>#REF!</f>
        <v>#REF!</v>
      </c>
    </row>
    <row r="252" spans="9:58" x14ac:dyDescent="0.25">
      <c r="I252" s="89">
        <f>ABCD!J301</f>
        <v>62</v>
      </c>
      <c r="J252" s="89">
        <f>ABCD!K301</f>
        <v>203.35999999999999</v>
      </c>
      <c r="K252" s="89">
        <f>ABCD!L301</f>
        <v>-2.386613618120935</v>
      </c>
      <c r="L252" s="89">
        <f>ABCD!M301</f>
        <v>-0.38083893531999236</v>
      </c>
      <c r="M252" s="89">
        <f>ABCD!N301</f>
        <v>2.4168084030092181</v>
      </c>
      <c r="N252" s="89" t="e">
        <v>#REF!</v>
      </c>
      <c r="O252" s="89" t="e">
        <v>#REF!</v>
      </c>
      <c r="P252" s="89" t="e">
        <v>#REF!</v>
      </c>
      <c r="Q252" s="89" t="e">
        <v>#REF!</v>
      </c>
      <c r="R252" s="89" t="e">
        <v>#REF!</v>
      </c>
      <c r="S252" s="89" t="e">
        <f>#REF!</f>
        <v>#REF!</v>
      </c>
      <c r="T252" s="89" t="e">
        <f>#REF!</f>
        <v>#REF!</v>
      </c>
      <c r="U252" s="89" t="e">
        <f>#REF!</f>
        <v>#REF!</v>
      </c>
      <c r="V252" s="89" t="e">
        <f>#REF!</f>
        <v>#REF!</v>
      </c>
      <c r="W252" s="89" t="e">
        <f>#REF!</f>
        <v>#REF!</v>
      </c>
      <c r="X252" s="89" t="e">
        <f>#REF!</f>
        <v>#REF!</v>
      </c>
      <c r="Y252" s="89" t="e">
        <f>#REF!</f>
        <v>#REF!</v>
      </c>
      <c r="Z252" s="89" t="e">
        <f>#REF!</f>
        <v>#REF!</v>
      </c>
      <c r="AA252" s="89" t="e">
        <f>#REF!</f>
        <v>#REF!</v>
      </c>
      <c r="AB252" s="89" t="e">
        <f>#REF!</f>
        <v>#REF!</v>
      </c>
      <c r="AC252" s="89" t="e">
        <f>#REF!</f>
        <v>#REF!</v>
      </c>
      <c r="AD252" s="89" t="e">
        <f>#REF!</f>
        <v>#REF!</v>
      </c>
      <c r="AE252" s="89" t="e">
        <f>#REF!</f>
        <v>#REF!</v>
      </c>
      <c r="AF252" s="89" t="e">
        <f>#REF!</f>
        <v>#REF!</v>
      </c>
      <c r="AG252" s="89" t="e">
        <f>#REF!</f>
        <v>#REF!</v>
      </c>
      <c r="AH252" s="89" t="e">
        <f>#REF!</f>
        <v>#REF!</v>
      </c>
      <c r="AI252" s="89" t="e">
        <f>#REF!</f>
        <v>#REF!</v>
      </c>
      <c r="AJ252" s="89" t="e">
        <f>#REF!</f>
        <v>#REF!</v>
      </c>
      <c r="AK252" s="89" t="e">
        <f>#REF!</f>
        <v>#REF!</v>
      </c>
      <c r="AL252" s="89" t="e">
        <f>#REF!</f>
        <v>#REF!</v>
      </c>
      <c r="AM252" s="89" t="e">
        <f>#REF!</f>
        <v>#REF!</v>
      </c>
      <c r="AN252" s="89" t="e">
        <f>#REF!</f>
        <v>#REF!</v>
      </c>
      <c r="AO252" s="89" t="e">
        <f>#REF!</f>
        <v>#REF!</v>
      </c>
      <c r="AP252" s="89" t="e">
        <f>#REF!</f>
        <v>#REF!</v>
      </c>
      <c r="AQ252" s="89" t="e">
        <f>#REF!</f>
        <v>#REF!</v>
      </c>
      <c r="AR252" s="89" t="e">
        <f>#REF!</f>
        <v>#REF!</v>
      </c>
      <c r="AS252" s="89" t="e">
        <f>#REF!</f>
        <v>#REF!</v>
      </c>
      <c r="AT252" s="89" t="e">
        <f>#REF!</f>
        <v>#REF!</v>
      </c>
      <c r="AU252" s="89" t="e">
        <f>#REF!</f>
        <v>#REF!</v>
      </c>
      <c r="AV252" s="89" t="e">
        <f>#REF!</f>
        <v>#REF!</v>
      </c>
      <c r="AW252" s="89" t="e">
        <f>#REF!</f>
        <v>#REF!</v>
      </c>
      <c r="AX252" s="89" t="e">
        <f>#REF!</f>
        <v>#REF!</v>
      </c>
      <c r="AY252" s="89" t="e">
        <f>#REF!</f>
        <v>#REF!</v>
      </c>
      <c r="AZ252" s="89" t="e">
        <f>#REF!</f>
        <v>#REF!</v>
      </c>
      <c r="BA252" s="89" t="e">
        <f>#REF!</f>
        <v>#REF!</v>
      </c>
      <c r="BB252" s="89" t="e">
        <f>#REF!</f>
        <v>#REF!</v>
      </c>
      <c r="BC252" s="89" t="e">
        <f>#REF!</f>
        <v>#REF!</v>
      </c>
      <c r="BD252" s="89" t="e">
        <f>#REF!</f>
        <v>#REF!</v>
      </c>
      <c r="BE252" s="89" t="e">
        <f>#REF!</f>
        <v>#REF!</v>
      </c>
      <c r="BF252" s="89" t="e">
        <f>#REF!</f>
        <v>#REF!</v>
      </c>
    </row>
    <row r="253" spans="9:58" x14ac:dyDescent="0.25">
      <c r="I253" s="89">
        <f>ABCD!J302</f>
        <v>62.25</v>
      </c>
      <c r="J253" s="89">
        <f>ABCD!K302</f>
        <v>204.17999999999998</v>
      </c>
      <c r="K253" s="89">
        <f>ABCD!L302</f>
        <v>-2.4736527081259845</v>
      </c>
      <c r="L253" s="89">
        <f>ABCD!M302</f>
        <v>-0.39704374989149205</v>
      </c>
      <c r="M253" s="89">
        <f>ABCD!N302</f>
        <v>2.5053146428636293</v>
      </c>
      <c r="N253" s="89" t="e">
        <v>#REF!</v>
      </c>
      <c r="O253" s="89" t="e">
        <v>#REF!</v>
      </c>
      <c r="P253" s="89" t="e">
        <v>#REF!</v>
      </c>
      <c r="Q253" s="89" t="e">
        <v>#REF!</v>
      </c>
      <c r="R253" s="89" t="e">
        <v>#REF!</v>
      </c>
      <c r="S253" s="89" t="e">
        <f>#REF!</f>
        <v>#REF!</v>
      </c>
      <c r="T253" s="89" t="e">
        <f>#REF!</f>
        <v>#REF!</v>
      </c>
      <c r="U253" s="89" t="e">
        <f>#REF!</f>
        <v>#REF!</v>
      </c>
      <c r="V253" s="89" t="e">
        <f>#REF!</f>
        <v>#REF!</v>
      </c>
      <c r="W253" s="89" t="e">
        <f>#REF!</f>
        <v>#REF!</v>
      </c>
      <c r="X253" s="89" t="e">
        <f>#REF!</f>
        <v>#REF!</v>
      </c>
      <c r="Y253" s="89" t="e">
        <f>#REF!</f>
        <v>#REF!</v>
      </c>
      <c r="Z253" s="89" t="e">
        <f>#REF!</f>
        <v>#REF!</v>
      </c>
      <c r="AA253" s="89" t="e">
        <f>#REF!</f>
        <v>#REF!</v>
      </c>
      <c r="AB253" s="89" t="e">
        <f>#REF!</f>
        <v>#REF!</v>
      </c>
      <c r="AC253" s="89" t="e">
        <f>#REF!</f>
        <v>#REF!</v>
      </c>
      <c r="AD253" s="89" t="e">
        <f>#REF!</f>
        <v>#REF!</v>
      </c>
      <c r="AE253" s="89" t="e">
        <f>#REF!</f>
        <v>#REF!</v>
      </c>
      <c r="AF253" s="89" t="e">
        <f>#REF!</f>
        <v>#REF!</v>
      </c>
      <c r="AG253" s="89" t="e">
        <f>#REF!</f>
        <v>#REF!</v>
      </c>
      <c r="AH253" s="89" t="e">
        <f>#REF!</f>
        <v>#REF!</v>
      </c>
      <c r="AI253" s="89" t="e">
        <f>#REF!</f>
        <v>#REF!</v>
      </c>
      <c r="AJ253" s="89" t="e">
        <f>#REF!</f>
        <v>#REF!</v>
      </c>
      <c r="AK253" s="89" t="e">
        <f>#REF!</f>
        <v>#REF!</v>
      </c>
      <c r="AL253" s="89" t="e">
        <f>#REF!</f>
        <v>#REF!</v>
      </c>
      <c r="AM253" s="89" t="e">
        <f>#REF!</f>
        <v>#REF!</v>
      </c>
      <c r="AN253" s="89" t="e">
        <f>#REF!</f>
        <v>#REF!</v>
      </c>
      <c r="AO253" s="89" t="e">
        <f>#REF!</f>
        <v>#REF!</v>
      </c>
      <c r="AP253" s="89" t="e">
        <f>#REF!</f>
        <v>#REF!</v>
      </c>
      <c r="AQ253" s="89" t="e">
        <f>#REF!</f>
        <v>#REF!</v>
      </c>
      <c r="AR253" s="89" t="e">
        <f>#REF!</f>
        <v>#REF!</v>
      </c>
      <c r="AS253" s="89" t="e">
        <f>#REF!</f>
        <v>#REF!</v>
      </c>
      <c r="AT253" s="89" t="e">
        <f>#REF!</f>
        <v>#REF!</v>
      </c>
      <c r="AU253" s="89" t="e">
        <f>#REF!</f>
        <v>#REF!</v>
      </c>
      <c r="AV253" s="89" t="e">
        <f>#REF!</f>
        <v>#REF!</v>
      </c>
      <c r="AW253" s="89" t="e">
        <f>#REF!</f>
        <v>#REF!</v>
      </c>
      <c r="AX253" s="89" t="e">
        <f>#REF!</f>
        <v>#REF!</v>
      </c>
      <c r="AY253" s="89" t="e">
        <f>#REF!</f>
        <v>#REF!</v>
      </c>
      <c r="AZ253" s="89" t="e">
        <f>#REF!</f>
        <v>#REF!</v>
      </c>
      <c r="BA253" s="89" t="e">
        <f>#REF!</f>
        <v>#REF!</v>
      </c>
      <c r="BB253" s="89" t="e">
        <f>#REF!</f>
        <v>#REF!</v>
      </c>
      <c r="BC253" s="89" t="e">
        <f>#REF!</f>
        <v>#REF!</v>
      </c>
      <c r="BD253" s="89" t="e">
        <f>#REF!</f>
        <v>#REF!</v>
      </c>
      <c r="BE253" s="89" t="e">
        <f>#REF!</f>
        <v>#REF!</v>
      </c>
      <c r="BF253" s="89" t="e">
        <f>#REF!</f>
        <v>#REF!</v>
      </c>
    </row>
    <row r="254" spans="9:58" x14ac:dyDescent="0.25">
      <c r="I254" s="89">
        <f>ABCD!J303</f>
        <v>62.5</v>
      </c>
      <c r="J254" s="89">
        <f>ABCD!K303</f>
        <v>205</v>
      </c>
      <c r="K254" s="89">
        <f>ABCD!L303</f>
        <v>-2.5600424775384365</v>
      </c>
      <c r="L254" s="89">
        <f>ABCD!M303</f>
        <v>-0.41314233268456668</v>
      </c>
      <c r="M254" s="89">
        <f>ABCD!N303</f>
        <v>2.5931648759493062</v>
      </c>
      <c r="N254" s="89" t="e">
        <v>#REF!</v>
      </c>
      <c r="O254" s="89" t="e">
        <v>#REF!</v>
      </c>
      <c r="P254" s="89" t="e">
        <v>#REF!</v>
      </c>
      <c r="Q254" s="89" t="e">
        <v>#REF!</v>
      </c>
      <c r="R254" s="89" t="e">
        <v>#REF!</v>
      </c>
      <c r="S254" s="89" t="e">
        <f>#REF!</f>
        <v>#REF!</v>
      </c>
      <c r="T254" s="89" t="e">
        <f>#REF!</f>
        <v>#REF!</v>
      </c>
      <c r="U254" s="89" t="e">
        <f>#REF!</f>
        <v>#REF!</v>
      </c>
      <c r="V254" s="89" t="e">
        <f>#REF!</f>
        <v>#REF!</v>
      </c>
      <c r="W254" s="89" t="e">
        <f>#REF!</f>
        <v>#REF!</v>
      </c>
      <c r="X254" s="89" t="e">
        <f>#REF!</f>
        <v>#REF!</v>
      </c>
      <c r="Y254" s="89" t="e">
        <f>#REF!</f>
        <v>#REF!</v>
      </c>
      <c r="Z254" s="89" t="e">
        <f>#REF!</f>
        <v>#REF!</v>
      </c>
      <c r="AA254" s="89" t="e">
        <f>#REF!</f>
        <v>#REF!</v>
      </c>
      <c r="AB254" s="89" t="e">
        <f>#REF!</f>
        <v>#REF!</v>
      </c>
      <c r="AC254" s="89" t="e">
        <f>#REF!</f>
        <v>#REF!</v>
      </c>
      <c r="AD254" s="89" t="e">
        <f>#REF!</f>
        <v>#REF!</v>
      </c>
      <c r="AE254" s="89" t="e">
        <f>#REF!</f>
        <v>#REF!</v>
      </c>
      <c r="AF254" s="89" t="e">
        <f>#REF!</f>
        <v>#REF!</v>
      </c>
      <c r="AG254" s="89" t="e">
        <f>#REF!</f>
        <v>#REF!</v>
      </c>
      <c r="AH254" s="89" t="e">
        <f>#REF!</f>
        <v>#REF!</v>
      </c>
      <c r="AI254" s="89" t="e">
        <f>#REF!</f>
        <v>#REF!</v>
      </c>
      <c r="AJ254" s="89" t="e">
        <f>#REF!</f>
        <v>#REF!</v>
      </c>
      <c r="AK254" s="89" t="e">
        <f>#REF!</f>
        <v>#REF!</v>
      </c>
      <c r="AL254" s="89" t="e">
        <f>#REF!</f>
        <v>#REF!</v>
      </c>
      <c r="AM254" s="89" t="e">
        <f>#REF!</f>
        <v>#REF!</v>
      </c>
      <c r="AN254" s="89" t="e">
        <f>#REF!</f>
        <v>#REF!</v>
      </c>
      <c r="AO254" s="89" t="e">
        <f>#REF!</f>
        <v>#REF!</v>
      </c>
      <c r="AP254" s="89" t="e">
        <f>#REF!</f>
        <v>#REF!</v>
      </c>
      <c r="AQ254" s="89" t="e">
        <f>#REF!</f>
        <v>#REF!</v>
      </c>
      <c r="AR254" s="89" t="e">
        <f>#REF!</f>
        <v>#REF!</v>
      </c>
      <c r="AS254" s="89" t="e">
        <f>#REF!</f>
        <v>#REF!</v>
      </c>
      <c r="AT254" s="89" t="e">
        <f>#REF!</f>
        <v>#REF!</v>
      </c>
      <c r="AU254" s="89" t="e">
        <f>#REF!</f>
        <v>#REF!</v>
      </c>
      <c r="AV254" s="89" t="e">
        <f>#REF!</f>
        <v>#REF!</v>
      </c>
      <c r="AW254" s="89" t="e">
        <f>#REF!</f>
        <v>#REF!</v>
      </c>
      <c r="AX254" s="89" t="e">
        <f>#REF!</f>
        <v>#REF!</v>
      </c>
      <c r="AY254" s="89" t="e">
        <f>#REF!</f>
        <v>#REF!</v>
      </c>
      <c r="AZ254" s="89" t="e">
        <f>#REF!</f>
        <v>#REF!</v>
      </c>
      <c r="BA254" s="89" t="e">
        <f>#REF!</f>
        <v>#REF!</v>
      </c>
      <c r="BB254" s="89" t="e">
        <f>#REF!</f>
        <v>#REF!</v>
      </c>
      <c r="BC254" s="89" t="e">
        <f>#REF!</f>
        <v>#REF!</v>
      </c>
      <c r="BD254" s="89" t="e">
        <f>#REF!</f>
        <v>#REF!</v>
      </c>
      <c r="BE254" s="89" t="e">
        <f>#REF!</f>
        <v>#REF!</v>
      </c>
      <c r="BF254" s="89" t="e">
        <f>#REF!</f>
        <v>#REF!</v>
      </c>
    </row>
    <row r="255" spans="9:58" x14ac:dyDescent="0.25">
      <c r="I255" s="89">
        <f>ABCD!J304</f>
        <v>62.75</v>
      </c>
      <c r="J255" s="89">
        <f>ABCD!K304</f>
        <v>205.82</v>
      </c>
      <c r="K255" s="89">
        <f>ABCD!L304</f>
        <v>-2.6457635681766249</v>
      </c>
      <c r="L255" s="89">
        <f>ABCD!M304</f>
        <v>-0.42913106305063753</v>
      </c>
      <c r="M255" s="89">
        <f>ABCD!N304</f>
        <v>2.6803392188239301</v>
      </c>
      <c r="N255" s="89" t="e">
        <v>#REF!</v>
      </c>
      <c r="O255" s="89" t="e">
        <v>#REF!</v>
      </c>
      <c r="P255" s="89" t="e">
        <v>#REF!</v>
      </c>
      <c r="Q255" s="89" t="e">
        <v>#REF!</v>
      </c>
      <c r="R255" s="89" t="e">
        <v>#REF!</v>
      </c>
      <c r="S255" s="89" t="e">
        <f>#REF!</f>
        <v>#REF!</v>
      </c>
      <c r="T255" s="89" t="e">
        <f>#REF!</f>
        <v>#REF!</v>
      </c>
      <c r="U255" s="89" t="e">
        <f>#REF!</f>
        <v>#REF!</v>
      </c>
      <c r="V255" s="89" t="e">
        <f>#REF!</f>
        <v>#REF!</v>
      </c>
      <c r="W255" s="89" t="e">
        <f>#REF!</f>
        <v>#REF!</v>
      </c>
      <c r="X255" s="89" t="e">
        <f>#REF!</f>
        <v>#REF!</v>
      </c>
      <c r="Y255" s="89" t="e">
        <f>#REF!</f>
        <v>#REF!</v>
      </c>
      <c r="Z255" s="89" t="e">
        <f>#REF!</f>
        <v>#REF!</v>
      </c>
      <c r="AA255" s="89" t="e">
        <f>#REF!</f>
        <v>#REF!</v>
      </c>
      <c r="AB255" s="89" t="e">
        <f>#REF!</f>
        <v>#REF!</v>
      </c>
      <c r="AC255" s="89" t="e">
        <f>#REF!</f>
        <v>#REF!</v>
      </c>
      <c r="AD255" s="89" t="e">
        <f>#REF!</f>
        <v>#REF!</v>
      </c>
      <c r="AE255" s="89" t="e">
        <f>#REF!</f>
        <v>#REF!</v>
      </c>
      <c r="AF255" s="89" t="e">
        <f>#REF!</f>
        <v>#REF!</v>
      </c>
      <c r="AG255" s="89" t="e">
        <f>#REF!</f>
        <v>#REF!</v>
      </c>
      <c r="AH255" s="89" t="e">
        <f>#REF!</f>
        <v>#REF!</v>
      </c>
      <c r="AI255" s="89" t="e">
        <f>#REF!</f>
        <v>#REF!</v>
      </c>
      <c r="AJ255" s="89" t="e">
        <f>#REF!</f>
        <v>#REF!</v>
      </c>
      <c r="AK255" s="89" t="e">
        <f>#REF!</f>
        <v>#REF!</v>
      </c>
      <c r="AL255" s="89" t="e">
        <f>#REF!</f>
        <v>#REF!</v>
      </c>
      <c r="AM255" s="89" t="e">
        <f>#REF!</f>
        <v>#REF!</v>
      </c>
      <c r="AN255" s="89" t="e">
        <f>#REF!</f>
        <v>#REF!</v>
      </c>
      <c r="AO255" s="89" t="e">
        <f>#REF!</f>
        <v>#REF!</v>
      </c>
      <c r="AP255" s="89" t="e">
        <f>#REF!</f>
        <v>#REF!</v>
      </c>
      <c r="AQ255" s="89" t="e">
        <f>#REF!</f>
        <v>#REF!</v>
      </c>
      <c r="AR255" s="89" t="e">
        <f>#REF!</f>
        <v>#REF!</v>
      </c>
      <c r="AS255" s="89" t="e">
        <f>#REF!</f>
        <v>#REF!</v>
      </c>
      <c r="AT255" s="89" t="e">
        <f>#REF!</f>
        <v>#REF!</v>
      </c>
      <c r="AU255" s="89" t="e">
        <f>#REF!</f>
        <v>#REF!</v>
      </c>
      <c r="AV255" s="89" t="e">
        <f>#REF!</f>
        <v>#REF!</v>
      </c>
      <c r="AW255" s="89" t="e">
        <f>#REF!</f>
        <v>#REF!</v>
      </c>
      <c r="AX255" s="89" t="e">
        <f>#REF!</f>
        <v>#REF!</v>
      </c>
      <c r="AY255" s="89" t="e">
        <f>#REF!</f>
        <v>#REF!</v>
      </c>
      <c r="AZ255" s="89" t="e">
        <f>#REF!</f>
        <v>#REF!</v>
      </c>
      <c r="BA255" s="89" t="e">
        <f>#REF!</f>
        <v>#REF!</v>
      </c>
      <c r="BB255" s="89" t="e">
        <f>#REF!</f>
        <v>#REF!</v>
      </c>
      <c r="BC255" s="89" t="e">
        <f>#REF!</f>
        <v>#REF!</v>
      </c>
      <c r="BD255" s="89" t="e">
        <f>#REF!</f>
        <v>#REF!</v>
      </c>
      <c r="BE255" s="89" t="e">
        <f>#REF!</f>
        <v>#REF!</v>
      </c>
      <c r="BF255" s="89" t="e">
        <f>#REF!</f>
        <v>#REF!</v>
      </c>
    </row>
    <row r="256" spans="9:58" x14ac:dyDescent="0.25">
      <c r="I256" s="89">
        <f>ABCD!J305</f>
        <v>63</v>
      </c>
      <c r="J256" s="89">
        <f>ABCD!K305</f>
        <v>206.64</v>
      </c>
      <c r="K256" s="89">
        <f>ABCD!L305</f>
        <v>-2.730796793631955</v>
      </c>
      <c r="L256" s="89">
        <f>ABCD!M305</f>
        <v>-0.44500634895669444</v>
      </c>
      <c r="M256" s="89">
        <f>ABCD!N305</f>
        <v>2.7668179880003554</v>
      </c>
      <c r="N256" s="89" t="e">
        <v>#REF!</v>
      </c>
      <c r="O256" s="89" t="e">
        <v>#REF!</v>
      </c>
      <c r="P256" s="89" t="e">
        <v>#REF!</v>
      </c>
      <c r="Q256" s="89" t="e">
        <v>#REF!</v>
      </c>
      <c r="R256" s="89" t="e">
        <v>#REF!</v>
      </c>
      <c r="S256" s="89" t="e">
        <f>#REF!</f>
        <v>#REF!</v>
      </c>
      <c r="T256" s="89" t="e">
        <f>#REF!</f>
        <v>#REF!</v>
      </c>
      <c r="U256" s="89" t="e">
        <f>#REF!</f>
        <v>#REF!</v>
      </c>
      <c r="V256" s="89" t="e">
        <f>#REF!</f>
        <v>#REF!</v>
      </c>
      <c r="W256" s="89" t="e">
        <f>#REF!</f>
        <v>#REF!</v>
      </c>
      <c r="X256" s="89" t="e">
        <f>#REF!</f>
        <v>#REF!</v>
      </c>
      <c r="Y256" s="89" t="e">
        <f>#REF!</f>
        <v>#REF!</v>
      </c>
      <c r="Z256" s="89" t="e">
        <f>#REF!</f>
        <v>#REF!</v>
      </c>
      <c r="AA256" s="89" t="e">
        <f>#REF!</f>
        <v>#REF!</v>
      </c>
      <c r="AB256" s="89" t="e">
        <f>#REF!</f>
        <v>#REF!</v>
      </c>
      <c r="AC256" s="89" t="e">
        <f>#REF!</f>
        <v>#REF!</v>
      </c>
      <c r="AD256" s="89" t="e">
        <f>#REF!</f>
        <v>#REF!</v>
      </c>
      <c r="AE256" s="89" t="e">
        <f>#REF!</f>
        <v>#REF!</v>
      </c>
      <c r="AF256" s="89" t="e">
        <f>#REF!</f>
        <v>#REF!</v>
      </c>
      <c r="AG256" s="89" t="e">
        <f>#REF!</f>
        <v>#REF!</v>
      </c>
      <c r="AH256" s="89" t="e">
        <f>#REF!</f>
        <v>#REF!</v>
      </c>
      <c r="AI256" s="89" t="e">
        <f>#REF!</f>
        <v>#REF!</v>
      </c>
      <c r="AJ256" s="89" t="e">
        <f>#REF!</f>
        <v>#REF!</v>
      </c>
      <c r="AK256" s="89" t="e">
        <f>#REF!</f>
        <v>#REF!</v>
      </c>
      <c r="AL256" s="89" t="e">
        <f>#REF!</f>
        <v>#REF!</v>
      </c>
      <c r="AM256" s="89" t="e">
        <f>#REF!</f>
        <v>#REF!</v>
      </c>
      <c r="AN256" s="89" t="e">
        <f>#REF!</f>
        <v>#REF!</v>
      </c>
      <c r="AO256" s="89" t="e">
        <f>#REF!</f>
        <v>#REF!</v>
      </c>
      <c r="AP256" s="89" t="e">
        <f>#REF!</f>
        <v>#REF!</v>
      </c>
      <c r="AQ256" s="89" t="e">
        <f>#REF!</f>
        <v>#REF!</v>
      </c>
      <c r="AR256" s="89" t="e">
        <f>#REF!</f>
        <v>#REF!</v>
      </c>
      <c r="AS256" s="89" t="e">
        <f>#REF!</f>
        <v>#REF!</v>
      </c>
      <c r="AT256" s="89" t="e">
        <f>#REF!</f>
        <v>#REF!</v>
      </c>
      <c r="AU256" s="89" t="e">
        <f>#REF!</f>
        <v>#REF!</v>
      </c>
      <c r="AV256" s="89" t="e">
        <f>#REF!</f>
        <v>#REF!</v>
      </c>
      <c r="AW256" s="89" t="e">
        <f>#REF!</f>
        <v>#REF!</v>
      </c>
      <c r="AX256" s="89" t="e">
        <f>#REF!</f>
        <v>#REF!</v>
      </c>
      <c r="AY256" s="89" t="e">
        <f>#REF!</f>
        <v>#REF!</v>
      </c>
      <c r="AZ256" s="89" t="e">
        <f>#REF!</f>
        <v>#REF!</v>
      </c>
      <c r="BA256" s="89" t="e">
        <f>#REF!</f>
        <v>#REF!</v>
      </c>
      <c r="BB256" s="89" t="e">
        <f>#REF!</f>
        <v>#REF!</v>
      </c>
      <c r="BC256" s="89" t="e">
        <f>#REF!</f>
        <v>#REF!</v>
      </c>
      <c r="BD256" s="89" t="e">
        <f>#REF!</f>
        <v>#REF!</v>
      </c>
      <c r="BE256" s="89" t="e">
        <f>#REF!</f>
        <v>#REF!</v>
      </c>
      <c r="BF256" s="89" t="e">
        <f>#REF!</f>
        <v>#REF!</v>
      </c>
    </row>
    <row r="257" spans="9:58" x14ac:dyDescent="0.25">
      <c r="I257" s="89">
        <f>ABCD!J306</f>
        <v>63.25</v>
      </c>
      <c r="J257" s="89">
        <f>ABCD!K306</f>
        <v>207.45999999999998</v>
      </c>
      <c r="K257" s="89">
        <f>ABCD!L306</f>
        <v>-2.8151231435433628</v>
      </c>
      <c r="L257" s="89">
        <f>ABCD!M306</f>
        <v>-0.46076462778874738</v>
      </c>
      <c r="M257" s="89">
        <f>ABCD!N306</f>
        <v>2.8525817000630793</v>
      </c>
      <c r="N257" s="89" t="e">
        <v>#REF!</v>
      </c>
      <c r="O257" s="89" t="e">
        <v>#REF!</v>
      </c>
      <c r="P257" s="89" t="e">
        <v>#REF!</v>
      </c>
      <c r="Q257" s="89" t="e">
        <v>#REF!</v>
      </c>
      <c r="R257" s="89" t="e">
        <v>#REF!</v>
      </c>
      <c r="S257" s="89" t="e">
        <f>#REF!</f>
        <v>#REF!</v>
      </c>
      <c r="T257" s="89" t="e">
        <f>#REF!</f>
        <v>#REF!</v>
      </c>
      <c r="U257" s="89" t="e">
        <f>#REF!</f>
        <v>#REF!</v>
      </c>
      <c r="V257" s="89" t="e">
        <f>#REF!</f>
        <v>#REF!</v>
      </c>
      <c r="W257" s="89" t="e">
        <f>#REF!</f>
        <v>#REF!</v>
      </c>
      <c r="X257" s="89" t="e">
        <f>#REF!</f>
        <v>#REF!</v>
      </c>
      <c r="Y257" s="89" t="e">
        <f>#REF!</f>
        <v>#REF!</v>
      </c>
      <c r="Z257" s="89" t="e">
        <f>#REF!</f>
        <v>#REF!</v>
      </c>
      <c r="AA257" s="89" t="e">
        <f>#REF!</f>
        <v>#REF!</v>
      </c>
      <c r="AB257" s="89" t="e">
        <f>#REF!</f>
        <v>#REF!</v>
      </c>
      <c r="AC257" s="89" t="e">
        <f>#REF!</f>
        <v>#REF!</v>
      </c>
      <c r="AD257" s="89" t="e">
        <f>#REF!</f>
        <v>#REF!</v>
      </c>
      <c r="AE257" s="89" t="e">
        <f>#REF!</f>
        <v>#REF!</v>
      </c>
      <c r="AF257" s="89" t="e">
        <f>#REF!</f>
        <v>#REF!</v>
      </c>
      <c r="AG257" s="89" t="e">
        <f>#REF!</f>
        <v>#REF!</v>
      </c>
      <c r="AH257" s="89" t="e">
        <f>#REF!</f>
        <v>#REF!</v>
      </c>
      <c r="AI257" s="89" t="e">
        <f>#REF!</f>
        <v>#REF!</v>
      </c>
      <c r="AJ257" s="89" t="e">
        <f>#REF!</f>
        <v>#REF!</v>
      </c>
      <c r="AK257" s="89" t="e">
        <f>#REF!</f>
        <v>#REF!</v>
      </c>
      <c r="AL257" s="89" t="e">
        <f>#REF!</f>
        <v>#REF!</v>
      </c>
      <c r="AM257" s="89" t="e">
        <f>#REF!</f>
        <v>#REF!</v>
      </c>
      <c r="AN257" s="89" t="e">
        <f>#REF!</f>
        <v>#REF!</v>
      </c>
      <c r="AO257" s="89" t="e">
        <f>#REF!</f>
        <v>#REF!</v>
      </c>
      <c r="AP257" s="89" t="e">
        <f>#REF!</f>
        <v>#REF!</v>
      </c>
      <c r="AQ257" s="89" t="e">
        <f>#REF!</f>
        <v>#REF!</v>
      </c>
      <c r="AR257" s="89" t="e">
        <f>#REF!</f>
        <v>#REF!</v>
      </c>
      <c r="AS257" s="89" t="e">
        <f>#REF!</f>
        <v>#REF!</v>
      </c>
      <c r="AT257" s="89" t="e">
        <f>#REF!</f>
        <v>#REF!</v>
      </c>
      <c r="AU257" s="89" t="e">
        <f>#REF!</f>
        <v>#REF!</v>
      </c>
      <c r="AV257" s="89" t="e">
        <f>#REF!</f>
        <v>#REF!</v>
      </c>
      <c r="AW257" s="89" t="e">
        <f>#REF!</f>
        <v>#REF!</v>
      </c>
      <c r="AX257" s="89" t="e">
        <f>#REF!</f>
        <v>#REF!</v>
      </c>
      <c r="AY257" s="89" t="e">
        <f>#REF!</f>
        <v>#REF!</v>
      </c>
      <c r="AZ257" s="89" t="e">
        <f>#REF!</f>
        <v>#REF!</v>
      </c>
      <c r="BA257" s="89" t="e">
        <f>#REF!</f>
        <v>#REF!</v>
      </c>
      <c r="BB257" s="89" t="e">
        <f>#REF!</f>
        <v>#REF!</v>
      </c>
      <c r="BC257" s="89" t="e">
        <f>#REF!</f>
        <v>#REF!</v>
      </c>
      <c r="BD257" s="89" t="e">
        <f>#REF!</f>
        <v>#REF!</v>
      </c>
      <c r="BE257" s="89" t="e">
        <f>#REF!</f>
        <v>#REF!</v>
      </c>
      <c r="BF257" s="89" t="e">
        <f>#REF!</f>
        <v>#REF!</v>
      </c>
    </row>
    <row r="258" spans="9:58" x14ac:dyDescent="0.25">
      <c r="I258" s="89">
        <f>ABCD!J307</f>
        <v>63.5</v>
      </c>
      <c r="J258" s="89">
        <f>ABCD!K307</f>
        <v>208.28</v>
      </c>
      <c r="K258" s="89">
        <f>ABCD!L307</f>
        <v>-2.8987237878273158</v>
      </c>
      <c r="L258" s="89">
        <f>ABCD!M307</f>
        <v>-0.47640236714775286</v>
      </c>
      <c r="M258" s="89">
        <f>ABCD!N307</f>
        <v>2.9376110725451596</v>
      </c>
      <c r="N258" s="89" t="e">
        <v>#REF!</v>
      </c>
      <c r="O258" s="89" t="e">
        <v>#REF!</v>
      </c>
      <c r="P258" s="89" t="e">
        <v>#REF!</v>
      </c>
      <c r="Q258" s="89" t="e">
        <v>#REF!</v>
      </c>
      <c r="R258" s="89" t="e">
        <v>#REF!</v>
      </c>
      <c r="S258" s="89" t="e">
        <f>#REF!</f>
        <v>#REF!</v>
      </c>
      <c r="T258" s="89" t="e">
        <f>#REF!</f>
        <v>#REF!</v>
      </c>
      <c r="U258" s="89" t="e">
        <f>#REF!</f>
        <v>#REF!</v>
      </c>
      <c r="V258" s="89" t="e">
        <f>#REF!</f>
        <v>#REF!</v>
      </c>
      <c r="W258" s="89" t="e">
        <f>#REF!</f>
        <v>#REF!</v>
      </c>
      <c r="X258" s="89" t="e">
        <f>#REF!</f>
        <v>#REF!</v>
      </c>
      <c r="Y258" s="89" t="e">
        <f>#REF!</f>
        <v>#REF!</v>
      </c>
      <c r="Z258" s="89" t="e">
        <f>#REF!</f>
        <v>#REF!</v>
      </c>
      <c r="AA258" s="89" t="e">
        <f>#REF!</f>
        <v>#REF!</v>
      </c>
      <c r="AB258" s="89" t="e">
        <f>#REF!</f>
        <v>#REF!</v>
      </c>
      <c r="AC258" s="89" t="e">
        <f>#REF!</f>
        <v>#REF!</v>
      </c>
      <c r="AD258" s="89" t="e">
        <f>#REF!</f>
        <v>#REF!</v>
      </c>
      <c r="AE258" s="89" t="e">
        <f>#REF!</f>
        <v>#REF!</v>
      </c>
      <c r="AF258" s="89" t="e">
        <f>#REF!</f>
        <v>#REF!</v>
      </c>
      <c r="AG258" s="89" t="e">
        <f>#REF!</f>
        <v>#REF!</v>
      </c>
      <c r="AH258" s="89" t="e">
        <f>#REF!</f>
        <v>#REF!</v>
      </c>
      <c r="AI258" s="89" t="e">
        <f>#REF!</f>
        <v>#REF!</v>
      </c>
      <c r="AJ258" s="89" t="e">
        <f>#REF!</f>
        <v>#REF!</v>
      </c>
      <c r="AK258" s="89" t="e">
        <f>#REF!</f>
        <v>#REF!</v>
      </c>
      <c r="AL258" s="89" t="e">
        <f>#REF!</f>
        <v>#REF!</v>
      </c>
      <c r="AM258" s="89" t="e">
        <f>#REF!</f>
        <v>#REF!</v>
      </c>
      <c r="AN258" s="89" t="e">
        <f>#REF!</f>
        <v>#REF!</v>
      </c>
      <c r="AO258" s="89" t="e">
        <f>#REF!</f>
        <v>#REF!</v>
      </c>
      <c r="AP258" s="89" t="e">
        <f>#REF!</f>
        <v>#REF!</v>
      </c>
      <c r="AQ258" s="89" t="e">
        <f>#REF!</f>
        <v>#REF!</v>
      </c>
      <c r="AR258" s="89" t="e">
        <f>#REF!</f>
        <v>#REF!</v>
      </c>
      <c r="AS258" s="89" t="e">
        <f>#REF!</f>
        <v>#REF!</v>
      </c>
      <c r="AT258" s="89" t="e">
        <f>#REF!</f>
        <v>#REF!</v>
      </c>
      <c r="AU258" s="89" t="e">
        <f>#REF!</f>
        <v>#REF!</v>
      </c>
      <c r="AV258" s="89" t="e">
        <f>#REF!</f>
        <v>#REF!</v>
      </c>
      <c r="AW258" s="89" t="e">
        <f>#REF!</f>
        <v>#REF!</v>
      </c>
      <c r="AX258" s="89" t="e">
        <f>#REF!</f>
        <v>#REF!</v>
      </c>
      <c r="AY258" s="89" t="e">
        <f>#REF!</f>
        <v>#REF!</v>
      </c>
      <c r="AZ258" s="89" t="e">
        <f>#REF!</f>
        <v>#REF!</v>
      </c>
      <c r="BA258" s="89" t="e">
        <f>#REF!</f>
        <v>#REF!</v>
      </c>
      <c r="BB258" s="89" t="e">
        <f>#REF!</f>
        <v>#REF!</v>
      </c>
      <c r="BC258" s="89" t="e">
        <f>#REF!</f>
        <v>#REF!</v>
      </c>
      <c r="BD258" s="89" t="e">
        <f>#REF!</f>
        <v>#REF!</v>
      </c>
      <c r="BE258" s="89" t="e">
        <f>#REF!</f>
        <v>#REF!</v>
      </c>
      <c r="BF258" s="89" t="e">
        <f>#REF!</f>
        <v>#REF!</v>
      </c>
    </row>
    <row r="259" spans="9:58" x14ac:dyDescent="0.25">
      <c r="I259" s="89">
        <f>ABCD!J308</f>
        <v>63.75</v>
      </c>
      <c r="J259" s="89">
        <f>ABCD!K308</f>
        <v>209.1</v>
      </c>
      <c r="K259" s="89">
        <f>ABCD!L308</f>
        <v>-2.9815800808624129</v>
      </c>
      <c r="L259" s="89">
        <f>ABCD!M308</f>
        <v>-0.49191606563786161</v>
      </c>
      <c r="M259" s="89">
        <f>ABCD!N308</f>
        <v>3.021887025391278</v>
      </c>
      <c r="N259" s="89" t="e">
        <v>#REF!</v>
      </c>
      <c r="O259" s="89" t="e">
        <v>#REF!</v>
      </c>
      <c r="P259" s="89" t="e">
        <v>#REF!</v>
      </c>
      <c r="Q259" s="89" t="e">
        <v>#REF!</v>
      </c>
      <c r="R259" s="89" t="e">
        <v>#REF!</v>
      </c>
      <c r="S259" s="89" t="e">
        <f>#REF!</f>
        <v>#REF!</v>
      </c>
      <c r="T259" s="89" t="e">
        <f>#REF!</f>
        <v>#REF!</v>
      </c>
      <c r="U259" s="89" t="e">
        <f>#REF!</f>
        <v>#REF!</v>
      </c>
      <c r="V259" s="89" t="e">
        <f>#REF!</f>
        <v>#REF!</v>
      </c>
      <c r="W259" s="89" t="e">
        <f>#REF!</f>
        <v>#REF!</v>
      </c>
      <c r="X259" s="89" t="e">
        <f>#REF!</f>
        <v>#REF!</v>
      </c>
      <c r="Y259" s="89" t="e">
        <f>#REF!</f>
        <v>#REF!</v>
      </c>
      <c r="Z259" s="89" t="e">
        <f>#REF!</f>
        <v>#REF!</v>
      </c>
      <c r="AA259" s="89" t="e">
        <f>#REF!</f>
        <v>#REF!</v>
      </c>
      <c r="AB259" s="89" t="e">
        <f>#REF!</f>
        <v>#REF!</v>
      </c>
      <c r="AC259" s="89" t="e">
        <f>#REF!</f>
        <v>#REF!</v>
      </c>
      <c r="AD259" s="89" t="e">
        <f>#REF!</f>
        <v>#REF!</v>
      </c>
      <c r="AE259" s="89" t="e">
        <f>#REF!</f>
        <v>#REF!</v>
      </c>
      <c r="AF259" s="89" t="e">
        <f>#REF!</f>
        <v>#REF!</v>
      </c>
      <c r="AG259" s="89" t="e">
        <f>#REF!</f>
        <v>#REF!</v>
      </c>
      <c r="AH259" s="89" t="e">
        <f>#REF!</f>
        <v>#REF!</v>
      </c>
      <c r="AI259" s="89" t="e">
        <f>#REF!</f>
        <v>#REF!</v>
      </c>
      <c r="AJ259" s="89" t="e">
        <f>#REF!</f>
        <v>#REF!</v>
      </c>
      <c r="AK259" s="89" t="e">
        <f>#REF!</f>
        <v>#REF!</v>
      </c>
      <c r="AL259" s="89" t="e">
        <f>#REF!</f>
        <v>#REF!</v>
      </c>
      <c r="AM259" s="89" t="e">
        <f>#REF!</f>
        <v>#REF!</v>
      </c>
      <c r="AN259" s="89" t="e">
        <f>#REF!</f>
        <v>#REF!</v>
      </c>
      <c r="AO259" s="89" t="e">
        <f>#REF!</f>
        <v>#REF!</v>
      </c>
      <c r="AP259" s="89" t="e">
        <f>#REF!</f>
        <v>#REF!</v>
      </c>
      <c r="AQ259" s="89" t="e">
        <f>#REF!</f>
        <v>#REF!</v>
      </c>
      <c r="AR259" s="89" t="e">
        <f>#REF!</f>
        <v>#REF!</v>
      </c>
      <c r="AS259" s="89" t="e">
        <f>#REF!</f>
        <v>#REF!</v>
      </c>
      <c r="AT259" s="89" t="e">
        <f>#REF!</f>
        <v>#REF!</v>
      </c>
      <c r="AU259" s="89" t="e">
        <f>#REF!</f>
        <v>#REF!</v>
      </c>
      <c r="AV259" s="89" t="e">
        <f>#REF!</f>
        <v>#REF!</v>
      </c>
      <c r="AW259" s="89" t="e">
        <f>#REF!</f>
        <v>#REF!</v>
      </c>
      <c r="AX259" s="89" t="e">
        <f>#REF!</f>
        <v>#REF!</v>
      </c>
      <c r="AY259" s="89" t="e">
        <f>#REF!</f>
        <v>#REF!</v>
      </c>
      <c r="AZ259" s="89" t="e">
        <f>#REF!</f>
        <v>#REF!</v>
      </c>
      <c r="BA259" s="89" t="e">
        <f>#REF!</f>
        <v>#REF!</v>
      </c>
      <c r="BB259" s="89" t="e">
        <f>#REF!</f>
        <v>#REF!</v>
      </c>
      <c r="BC259" s="89" t="e">
        <f>#REF!</f>
        <v>#REF!</v>
      </c>
      <c r="BD259" s="89" t="e">
        <f>#REF!</f>
        <v>#REF!</v>
      </c>
      <c r="BE259" s="89" t="e">
        <f>#REF!</f>
        <v>#REF!</v>
      </c>
      <c r="BF259" s="89" t="e">
        <f>#REF!</f>
        <v>#REF!</v>
      </c>
    </row>
    <row r="260" spans="9:58" x14ac:dyDescent="0.25">
      <c r="I260" s="89">
        <f>ABCD!J309</f>
        <v>64</v>
      </c>
      <c r="J260" s="89">
        <f>ABCD!K309</f>
        <v>209.92</v>
      </c>
      <c r="K260" s="89">
        <f>ABCD!L309</f>
        <v>-3.0636735656275946</v>
      </c>
      <c r="L260" s="89">
        <f>ABCD!M309</f>
        <v>-0.50730225364678505</v>
      </c>
      <c r="M260" s="89">
        <f>ABCD!N309</f>
        <v>3.1053906828739608</v>
      </c>
      <c r="N260" s="89" t="e">
        <v>#REF!</v>
      </c>
      <c r="O260" s="89" t="e">
        <v>#REF!</v>
      </c>
      <c r="P260" s="89" t="e">
        <v>#REF!</v>
      </c>
      <c r="Q260" s="89" t="e">
        <v>#REF!</v>
      </c>
      <c r="R260" s="89" t="e">
        <v>#REF!</v>
      </c>
      <c r="S260" s="89" t="e">
        <f>#REF!</f>
        <v>#REF!</v>
      </c>
      <c r="T260" s="89" t="e">
        <f>#REF!</f>
        <v>#REF!</v>
      </c>
      <c r="U260" s="89" t="e">
        <f>#REF!</f>
        <v>#REF!</v>
      </c>
      <c r="V260" s="89" t="e">
        <f>#REF!</f>
        <v>#REF!</v>
      </c>
      <c r="W260" s="89" t="e">
        <f>#REF!</f>
        <v>#REF!</v>
      </c>
      <c r="X260" s="89" t="e">
        <f>#REF!</f>
        <v>#REF!</v>
      </c>
      <c r="Y260" s="89" t="e">
        <f>#REF!</f>
        <v>#REF!</v>
      </c>
      <c r="Z260" s="89" t="e">
        <f>#REF!</f>
        <v>#REF!</v>
      </c>
      <c r="AA260" s="89" t="e">
        <f>#REF!</f>
        <v>#REF!</v>
      </c>
      <c r="AB260" s="89" t="e">
        <f>#REF!</f>
        <v>#REF!</v>
      </c>
      <c r="AC260" s="89" t="e">
        <f>#REF!</f>
        <v>#REF!</v>
      </c>
      <c r="AD260" s="89" t="e">
        <f>#REF!</f>
        <v>#REF!</v>
      </c>
      <c r="AE260" s="89" t="e">
        <f>#REF!</f>
        <v>#REF!</v>
      </c>
      <c r="AF260" s="89" t="e">
        <f>#REF!</f>
        <v>#REF!</v>
      </c>
      <c r="AG260" s="89" t="e">
        <f>#REF!</f>
        <v>#REF!</v>
      </c>
      <c r="AH260" s="89" t="e">
        <f>#REF!</f>
        <v>#REF!</v>
      </c>
      <c r="AI260" s="89" t="e">
        <f>#REF!</f>
        <v>#REF!</v>
      </c>
      <c r="AJ260" s="89" t="e">
        <f>#REF!</f>
        <v>#REF!</v>
      </c>
      <c r="AK260" s="89" t="e">
        <f>#REF!</f>
        <v>#REF!</v>
      </c>
      <c r="AL260" s="89" t="e">
        <f>#REF!</f>
        <v>#REF!</v>
      </c>
      <c r="AM260" s="89" t="e">
        <f>#REF!</f>
        <v>#REF!</v>
      </c>
      <c r="AN260" s="89" t="e">
        <f>#REF!</f>
        <v>#REF!</v>
      </c>
      <c r="AO260" s="89" t="e">
        <f>#REF!</f>
        <v>#REF!</v>
      </c>
      <c r="AP260" s="89" t="e">
        <f>#REF!</f>
        <v>#REF!</v>
      </c>
      <c r="AQ260" s="89" t="e">
        <f>#REF!</f>
        <v>#REF!</v>
      </c>
      <c r="AR260" s="89" t="e">
        <f>#REF!</f>
        <v>#REF!</v>
      </c>
      <c r="AS260" s="89" t="e">
        <f>#REF!</f>
        <v>#REF!</v>
      </c>
      <c r="AT260" s="89" t="e">
        <f>#REF!</f>
        <v>#REF!</v>
      </c>
      <c r="AU260" s="89" t="e">
        <f>#REF!</f>
        <v>#REF!</v>
      </c>
      <c r="AV260" s="89" t="e">
        <f>#REF!</f>
        <v>#REF!</v>
      </c>
      <c r="AW260" s="89" t="e">
        <f>#REF!</f>
        <v>#REF!</v>
      </c>
      <c r="AX260" s="89" t="e">
        <f>#REF!</f>
        <v>#REF!</v>
      </c>
      <c r="AY260" s="89" t="e">
        <f>#REF!</f>
        <v>#REF!</v>
      </c>
      <c r="AZ260" s="89" t="e">
        <f>#REF!</f>
        <v>#REF!</v>
      </c>
      <c r="BA260" s="89" t="e">
        <f>#REF!</f>
        <v>#REF!</v>
      </c>
      <c r="BB260" s="89" t="e">
        <f>#REF!</f>
        <v>#REF!</v>
      </c>
      <c r="BC260" s="89" t="e">
        <f>#REF!</f>
        <v>#REF!</v>
      </c>
      <c r="BD260" s="89" t="e">
        <f>#REF!</f>
        <v>#REF!</v>
      </c>
      <c r="BE260" s="89" t="e">
        <f>#REF!</f>
        <v>#REF!</v>
      </c>
      <c r="BF260" s="89" t="e">
        <f>#REF!</f>
        <v>#REF!</v>
      </c>
    </row>
    <row r="261" spans="9:58" x14ac:dyDescent="0.25">
      <c r="I261" s="89">
        <f>ABCD!J310</f>
        <v>64.25</v>
      </c>
      <c r="J261" s="89">
        <f>ABCD!K310</f>
        <v>210.73999999999998</v>
      </c>
      <c r="K261" s="89">
        <f>ABCD!L310</f>
        <v>-3.1449859777931395</v>
      </c>
      <c r="L261" s="89">
        <f>ABCD!M310</f>
        <v>-0.52255749411814101</v>
      </c>
      <c r="M261" s="89">
        <f>ABCD!N310</f>
        <v>3.1881033758607171</v>
      </c>
      <c r="N261" s="89" t="e">
        <v>#REF!</v>
      </c>
      <c r="O261" s="89" t="e">
        <v>#REF!</v>
      </c>
      <c r="P261" s="89" t="e">
        <v>#REF!</v>
      </c>
      <c r="Q261" s="89" t="e">
        <v>#REF!</v>
      </c>
      <c r="R261" s="89" t="e">
        <v>#REF!</v>
      </c>
      <c r="S261" s="89" t="e">
        <f>#REF!</f>
        <v>#REF!</v>
      </c>
      <c r="T261" s="89" t="e">
        <f>#REF!</f>
        <v>#REF!</v>
      </c>
      <c r="U261" s="89" t="e">
        <f>#REF!</f>
        <v>#REF!</v>
      </c>
      <c r="V261" s="89" t="e">
        <f>#REF!</f>
        <v>#REF!</v>
      </c>
      <c r="W261" s="89" t="e">
        <f>#REF!</f>
        <v>#REF!</v>
      </c>
      <c r="X261" s="89" t="e">
        <f>#REF!</f>
        <v>#REF!</v>
      </c>
      <c r="Y261" s="89" t="e">
        <f>#REF!</f>
        <v>#REF!</v>
      </c>
      <c r="Z261" s="89" t="e">
        <f>#REF!</f>
        <v>#REF!</v>
      </c>
      <c r="AA261" s="89" t="e">
        <f>#REF!</f>
        <v>#REF!</v>
      </c>
      <c r="AB261" s="89" t="e">
        <f>#REF!</f>
        <v>#REF!</v>
      </c>
      <c r="AC261" s="89" t="e">
        <f>#REF!</f>
        <v>#REF!</v>
      </c>
      <c r="AD261" s="89" t="e">
        <f>#REF!</f>
        <v>#REF!</v>
      </c>
      <c r="AE261" s="89" t="e">
        <f>#REF!</f>
        <v>#REF!</v>
      </c>
      <c r="AF261" s="89" t="e">
        <f>#REF!</f>
        <v>#REF!</v>
      </c>
      <c r="AG261" s="89" t="e">
        <f>#REF!</f>
        <v>#REF!</v>
      </c>
      <c r="AH261" s="89" t="e">
        <f>#REF!</f>
        <v>#REF!</v>
      </c>
      <c r="AI261" s="89" t="e">
        <f>#REF!</f>
        <v>#REF!</v>
      </c>
      <c r="AJ261" s="89" t="e">
        <f>#REF!</f>
        <v>#REF!</v>
      </c>
      <c r="AK261" s="89" t="e">
        <f>#REF!</f>
        <v>#REF!</v>
      </c>
      <c r="AL261" s="89" t="e">
        <f>#REF!</f>
        <v>#REF!</v>
      </c>
      <c r="AM261" s="89" t="e">
        <f>#REF!</f>
        <v>#REF!</v>
      </c>
      <c r="AN261" s="89" t="e">
        <f>#REF!</f>
        <v>#REF!</v>
      </c>
      <c r="AO261" s="89" t="e">
        <f>#REF!</f>
        <v>#REF!</v>
      </c>
      <c r="AP261" s="89" t="e">
        <f>#REF!</f>
        <v>#REF!</v>
      </c>
      <c r="AQ261" s="89" t="e">
        <f>#REF!</f>
        <v>#REF!</v>
      </c>
      <c r="AR261" s="89" t="e">
        <f>#REF!</f>
        <v>#REF!</v>
      </c>
      <c r="AS261" s="89" t="e">
        <f>#REF!</f>
        <v>#REF!</v>
      </c>
      <c r="AT261" s="89" t="e">
        <f>#REF!</f>
        <v>#REF!</v>
      </c>
      <c r="AU261" s="89" t="e">
        <f>#REF!</f>
        <v>#REF!</v>
      </c>
      <c r="AV261" s="89" t="e">
        <f>#REF!</f>
        <v>#REF!</v>
      </c>
      <c r="AW261" s="89" t="e">
        <f>#REF!</f>
        <v>#REF!</v>
      </c>
      <c r="AX261" s="89" t="e">
        <f>#REF!</f>
        <v>#REF!</v>
      </c>
      <c r="AY261" s="89" t="e">
        <f>#REF!</f>
        <v>#REF!</v>
      </c>
      <c r="AZ261" s="89" t="e">
        <f>#REF!</f>
        <v>#REF!</v>
      </c>
      <c r="BA261" s="89" t="e">
        <f>#REF!</f>
        <v>#REF!</v>
      </c>
      <c r="BB261" s="89" t="e">
        <f>#REF!</f>
        <v>#REF!</v>
      </c>
      <c r="BC261" s="89" t="e">
        <f>#REF!</f>
        <v>#REF!</v>
      </c>
      <c r="BD261" s="89" t="e">
        <f>#REF!</f>
        <v>#REF!</v>
      </c>
      <c r="BE261" s="89" t="e">
        <f>#REF!</f>
        <v>#REF!</v>
      </c>
      <c r="BF261" s="89" t="e">
        <f>#REF!</f>
        <v>#REF!</v>
      </c>
    </row>
    <row r="262" spans="9:58" x14ac:dyDescent="0.25">
      <c r="I262" s="89">
        <f>ABCD!J311</f>
        <v>64.5</v>
      </c>
      <c r="J262" s="89">
        <f>ABCD!K311</f>
        <v>211.55999999999997</v>
      </c>
      <c r="K262" s="89">
        <f>ABCD!L311</f>
        <v>-3.2254992497634598</v>
      </c>
      <c r="L262" s="89">
        <f>ABCD!M311</f>
        <v>-0.53767838331557627</v>
      </c>
      <c r="M262" s="89">
        <f>ABCD!N311</f>
        <v>3.2700066443524998</v>
      </c>
      <c r="N262" s="89" t="e">
        <v>#REF!</v>
      </c>
      <c r="O262" s="89" t="e">
        <v>#REF!</v>
      </c>
      <c r="P262" s="89" t="e">
        <v>#REF!</v>
      </c>
      <c r="Q262" s="89" t="e">
        <v>#REF!</v>
      </c>
      <c r="R262" s="89" t="e">
        <v>#REF!</v>
      </c>
      <c r="S262" s="89" t="e">
        <f>#REF!</f>
        <v>#REF!</v>
      </c>
      <c r="T262" s="89" t="e">
        <f>#REF!</f>
        <v>#REF!</v>
      </c>
      <c r="U262" s="89" t="e">
        <f>#REF!</f>
        <v>#REF!</v>
      </c>
      <c r="V262" s="89" t="e">
        <f>#REF!</f>
        <v>#REF!</v>
      </c>
      <c r="W262" s="89" t="e">
        <f>#REF!</f>
        <v>#REF!</v>
      </c>
      <c r="X262" s="89" t="e">
        <f>#REF!</f>
        <v>#REF!</v>
      </c>
      <c r="Y262" s="89" t="e">
        <f>#REF!</f>
        <v>#REF!</v>
      </c>
      <c r="Z262" s="89" t="e">
        <f>#REF!</f>
        <v>#REF!</v>
      </c>
      <c r="AA262" s="89" t="e">
        <f>#REF!</f>
        <v>#REF!</v>
      </c>
      <c r="AB262" s="89" t="e">
        <f>#REF!</f>
        <v>#REF!</v>
      </c>
      <c r="AC262" s="89" t="e">
        <f>#REF!</f>
        <v>#REF!</v>
      </c>
      <c r="AD262" s="89" t="e">
        <f>#REF!</f>
        <v>#REF!</v>
      </c>
      <c r="AE262" s="89" t="e">
        <f>#REF!</f>
        <v>#REF!</v>
      </c>
      <c r="AF262" s="89" t="e">
        <f>#REF!</f>
        <v>#REF!</v>
      </c>
      <c r="AG262" s="89" t="e">
        <f>#REF!</f>
        <v>#REF!</v>
      </c>
      <c r="AH262" s="89" t="e">
        <f>#REF!</f>
        <v>#REF!</v>
      </c>
      <c r="AI262" s="89" t="e">
        <f>#REF!</f>
        <v>#REF!</v>
      </c>
      <c r="AJ262" s="89" t="e">
        <f>#REF!</f>
        <v>#REF!</v>
      </c>
      <c r="AK262" s="89" t="e">
        <f>#REF!</f>
        <v>#REF!</v>
      </c>
      <c r="AL262" s="89" t="e">
        <f>#REF!</f>
        <v>#REF!</v>
      </c>
      <c r="AM262" s="89" t="e">
        <f>#REF!</f>
        <v>#REF!</v>
      </c>
      <c r="AN262" s="89" t="e">
        <f>#REF!</f>
        <v>#REF!</v>
      </c>
      <c r="AO262" s="89" t="e">
        <f>#REF!</f>
        <v>#REF!</v>
      </c>
      <c r="AP262" s="89" t="e">
        <f>#REF!</f>
        <v>#REF!</v>
      </c>
      <c r="AQ262" s="89" t="e">
        <f>#REF!</f>
        <v>#REF!</v>
      </c>
      <c r="AR262" s="89" t="e">
        <f>#REF!</f>
        <v>#REF!</v>
      </c>
      <c r="AS262" s="89" t="e">
        <f>#REF!</f>
        <v>#REF!</v>
      </c>
      <c r="AT262" s="89" t="e">
        <f>#REF!</f>
        <v>#REF!</v>
      </c>
      <c r="AU262" s="89" t="e">
        <f>#REF!</f>
        <v>#REF!</v>
      </c>
      <c r="AV262" s="89" t="e">
        <f>#REF!</f>
        <v>#REF!</v>
      </c>
      <c r="AW262" s="89" t="e">
        <f>#REF!</f>
        <v>#REF!</v>
      </c>
      <c r="AX262" s="89" t="e">
        <f>#REF!</f>
        <v>#REF!</v>
      </c>
      <c r="AY262" s="89" t="e">
        <f>#REF!</f>
        <v>#REF!</v>
      </c>
      <c r="AZ262" s="89" t="e">
        <f>#REF!</f>
        <v>#REF!</v>
      </c>
      <c r="BA262" s="89" t="e">
        <f>#REF!</f>
        <v>#REF!</v>
      </c>
      <c r="BB262" s="89" t="e">
        <f>#REF!</f>
        <v>#REF!</v>
      </c>
      <c r="BC262" s="89" t="e">
        <f>#REF!</f>
        <v>#REF!</v>
      </c>
      <c r="BD262" s="89" t="e">
        <f>#REF!</f>
        <v>#REF!</v>
      </c>
      <c r="BE262" s="89" t="e">
        <f>#REF!</f>
        <v>#REF!</v>
      </c>
      <c r="BF262" s="89" t="e">
        <f>#REF!</f>
        <v>#REF!</v>
      </c>
    </row>
    <row r="263" spans="9:58" x14ac:dyDescent="0.25">
      <c r="I263" s="89">
        <f>ABCD!J312</f>
        <v>64.75</v>
      </c>
      <c r="J263" s="89">
        <f>ABCD!K312</f>
        <v>212.38</v>
      </c>
      <c r="K263" s="89">
        <f>ABCD!L312</f>
        <v>-3.3051955146708734</v>
      </c>
      <c r="L263" s="89">
        <f>ABCD!M312</f>
        <v>-0.55266155157851449</v>
      </c>
      <c r="M263" s="89">
        <f>ABCD!N312</f>
        <v>3.3510822402313001</v>
      </c>
      <c r="N263" s="89" t="e">
        <v>#REF!</v>
      </c>
      <c r="O263" s="89" t="e">
        <v>#REF!</v>
      </c>
      <c r="P263" s="89" t="e">
        <v>#REF!</v>
      </c>
      <c r="Q263" s="89" t="e">
        <v>#REF!</v>
      </c>
      <c r="R263" s="89" t="e">
        <v>#REF!</v>
      </c>
      <c r="S263" s="89" t="e">
        <f>#REF!</f>
        <v>#REF!</v>
      </c>
      <c r="T263" s="89" t="e">
        <f>#REF!</f>
        <v>#REF!</v>
      </c>
      <c r="U263" s="89" t="e">
        <f>#REF!</f>
        <v>#REF!</v>
      </c>
      <c r="V263" s="89" t="e">
        <f>#REF!</f>
        <v>#REF!</v>
      </c>
      <c r="W263" s="89" t="e">
        <f>#REF!</f>
        <v>#REF!</v>
      </c>
      <c r="X263" s="89" t="e">
        <f>#REF!</f>
        <v>#REF!</v>
      </c>
      <c r="Y263" s="89" t="e">
        <f>#REF!</f>
        <v>#REF!</v>
      </c>
      <c r="Z263" s="89" t="e">
        <f>#REF!</f>
        <v>#REF!</v>
      </c>
      <c r="AA263" s="89" t="e">
        <f>#REF!</f>
        <v>#REF!</v>
      </c>
      <c r="AB263" s="89" t="e">
        <f>#REF!</f>
        <v>#REF!</v>
      </c>
      <c r="AC263" s="89" t="e">
        <f>#REF!</f>
        <v>#REF!</v>
      </c>
      <c r="AD263" s="89" t="e">
        <f>#REF!</f>
        <v>#REF!</v>
      </c>
      <c r="AE263" s="89" t="e">
        <f>#REF!</f>
        <v>#REF!</v>
      </c>
      <c r="AF263" s="89" t="e">
        <f>#REF!</f>
        <v>#REF!</v>
      </c>
      <c r="AG263" s="89" t="e">
        <f>#REF!</f>
        <v>#REF!</v>
      </c>
      <c r="AH263" s="89" t="e">
        <f>#REF!</f>
        <v>#REF!</v>
      </c>
      <c r="AI263" s="89" t="e">
        <f>#REF!</f>
        <v>#REF!</v>
      </c>
      <c r="AJ263" s="89" t="e">
        <f>#REF!</f>
        <v>#REF!</v>
      </c>
      <c r="AK263" s="89" t="e">
        <f>#REF!</f>
        <v>#REF!</v>
      </c>
      <c r="AL263" s="89" t="e">
        <f>#REF!</f>
        <v>#REF!</v>
      </c>
      <c r="AM263" s="89" t="e">
        <f>#REF!</f>
        <v>#REF!</v>
      </c>
      <c r="AN263" s="89" t="e">
        <f>#REF!</f>
        <v>#REF!</v>
      </c>
      <c r="AO263" s="89" t="e">
        <f>#REF!</f>
        <v>#REF!</v>
      </c>
      <c r="AP263" s="89" t="e">
        <f>#REF!</f>
        <v>#REF!</v>
      </c>
      <c r="AQ263" s="89" t="e">
        <f>#REF!</f>
        <v>#REF!</v>
      </c>
      <c r="AR263" s="89" t="e">
        <f>#REF!</f>
        <v>#REF!</v>
      </c>
      <c r="AS263" s="89" t="e">
        <f>#REF!</f>
        <v>#REF!</v>
      </c>
      <c r="AT263" s="89" t="e">
        <f>#REF!</f>
        <v>#REF!</v>
      </c>
      <c r="AU263" s="89" t="e">
        <f>#REF!</f>
        <v>#REF!</v>
      </c>
      <c r="AV263" s="89" t="e">
        <f>#REF!</f>
        <v>#REF!</v>
      </c>
      <c r="AW263" s="89" t="e">
        <f>#REF!</f>
        <v>#REF!</v>
      </c>
      <c r="AX263" s="89" t="e">
        <f>#REF!</f>
        <v>#REF!</v>
      </c>
      <c r="AY263" s="89" t="e">
        <f>#REF!</f>
        <v>#REF!</v>
      </c>
      <c r="AZ263" s="89" t="e">
        <f>#REF!</f>
        <v>#REF!</v>
      </c>
      <c r="BA263" s="89" t="e">
        <f>#REF!</f>
        <v>#REF!</v>
      </c>
      <c r="BB263" s="89" t="e">
        <f>#REF!</f>
        <v>#REF!</v>
      </c>
      <c r="BC263" s="89" t="e">
        <f>#REF!</f>
        <v>#REF!</v>
      </c>
      <c r="BD263" s="89" t="e">
        <f>#REF!</f>
        <v>#REF!</v>
      </c>
      <c r="BE263" s="89" t="e">
        <f>#REF!</f>
        <v>#REF!</v>
      </c>
      <c r="BF263" s="89" t="e">
        <f>#REF!</f>
        <v>#REF!</v>
      </c>
    </row>
    <row r="264" spans="9:58" x14ac:dyDescent="0.25">
      <c r="I264" s="89">
        <f>ABCD!J313</f>
        <v>65</v>
      </c>
      <c r="J264" s="89">
        <f>ABCD!K313</f>
        <v>213.2</v>
      </c>
      <c r="K264" s="89">
        <f>ABCD!L313</f>
        <v>-3.3840571103194375</v>
      </c>
      <c r="L264" s="89">
        <f>ABCD!M313</f>
        <v>-0.56750366406935893</v>
      </c>
      <c r="M264" s="89">
        <f>ABCD!N313</f>
        <v>3.431312130167655</v>
      </c>
      <c r="N264" s="89" t="e">
        <v>#REF!</v>
      </c>
      <c r="O264" s="89" t="e">
        <v>#REF!</v>
      </c>
      <c r="P264" s="89" t="e">
        <v>#REF!</v>
      </c>
      <c r="Q264" s="89" t="e">
        <v>#REF!</v>
      </c>
      <c r="R264" s="89" t="e">
        <v>#REF!</v>
      </c>
      <c r="S264" s="89" t="e">
        <f>#REF!</f>
        <v>#REF!</v>
      </c>
      <c r="T264" s="89" t="e">
        <f>#REF!</f>
        <v>#REF!</v>
      </c>
      <c r="U264" s="89" t="e">
        <f>#REF!</f>
        <v>#REF!</v>
      </c>
      <c r="V264" s="89" t="e">
        <f>#REF!</f>
        <v>#REF!</v>
      </c>
      <c r="W264" s="89" t="e">
        <f>#REF!</f>
        <v>#REF!</v>
      </c>
      <c r="X264" s="89" t="e">
        <f>#REF!</f>
        <v>#REF!</v>
      </c>
      <c r="Y264" s="89" t="e">
        <f>#REF!</f>
        <v>#REF!</v>
      </c>
      <c r="Z264" s="89" t="e">
        <f>#REF!</f>
        <v>#REF!</v>
      </c>
      <c r="AA264" s="89" t="e">
        <f>#REF!</f>
        <v>#REF!</v>
      </c>
      <c r="AB264" s="89" t="e">
        <f>#REF!</f>
        <v>#REF!</v>
      </c>
      <c r="AC264" s="89" t="e">
        <f>#REF!</f>
        <v>#REF!</v>
      </c>
      <c r="AD264" s="89" t="e">
        <f>#REF!</f>
        <v>#REF!</v>
      </c>
      <c r="AE264" s="89" t="e">
        <f>#REF!</f>
        <v>#REF!</v>
      </c>
      <c r="AF264" s="89" t="e">
        <f>#REF!</f>
        <v>#REF!</v>
      </c>
      <c r="AG264" s="89" t="e">
        <f>#REF!</f>
        <v>#REF!</v>
      </c>
      <c r="AH264" s="89" t="e">
        <f>#REF!</f>
        <v>#REF!</v>
      </c>
      <c r="AI264" s="89" t="e">
        <f>#REF!</f>
        <v>#REF!</v>
      </c>
      <c r="AJ264" s="89" t="e">
        <f>#REF!</f>
        <v>#REF!</v>
      </c>
      <c r="AK264" s="89" t="e">
        <f>#REF!</f>
        <v>#REF!</v>
      </c>
      <c r="AL264" s="89" t="e">
        <f>#REF!</f>
        <v>#REF!</v>
      </c>
      <c r="AM264" s="89" t="e">
        <f>#REF!</f>
        <v>#REF!</v>
      </c>
      <c r="AN264" s="89" t="e">
        <f>#REF!</f>
        <v>#REF!</v>
      </c>
      <c r="AO264" s="89" t="e">
        <f>#REF!</f>
        <v>#REF!</v>
      </c>
      <c r="AP264" s="89" t="e">
        <f>#REF!</f>
        <v>#REF!</v>
      </c>
      <c r="AQ264" s="89" t="e">
        <f>#REF!</f>
        <v>#REF!</v>
      </c>
      <c r="AR264" s="89" t="e">
        <f>#REF!</f>
        <v>#REF!</v>
      </c>
      <c r="AS264" s="89" t="e">
        <f>#REF!</f>
        <v>#REF!</v>
      </c>
      <c r="AT264" s="89" t="e">
        <f>#REF!</f>
        <v>#REF!</v>
      </c>
      <c r="AU264" s="89" t="e">
        <f>#REF!</f>
        <v>#REF!</v>
      </c>
      <c r="AV264" s="89" t="e">
        <f>#REF!</f>
        <v>#REF!</v>
      </c>
      <c r="AW264" s="89" t="e">
        <f>#REF!</f>
        <v>#REF!</v>
      </c>
      <c r="AX264" s="89" t="e">
        <f>#REF!</f>
        <v>#REF!</v>
      </c>
      <c r="AY264" s="89" t="e">
        <f>#REF!</f>
        <v>#REF!</v>
      </c>
      <c r="AZ264" s="89" t="e">
        <f>#REF!</f>
        <v>#REF!</v>
      </c>
      <c r="BA264" s="89" t="e">
        <f>#REF!</f>
        <v>#REF!</v>
      </c>
      <c r="BB264" s="89" t="e">
        <f>#REF!</f>
        <v>#REF!</v>
      </c>
      <c r="BC264" s="89" t="e">
        <f>#REF!</f>
        <v>#REF!</v>
      </c>
      <c r="BD264" s="89" t="e">
        <f>#REF!</f>
        <v>#REF!</v>
      </c>
      <c r="BE264" s="89" t="e">
        <f>#REF!</f>
        <v>#REF!</v>
      </c>
      <c r="BF264" s="89" t="e">
        <f>#REF!</f>
        <v>#REF!</v>
      </c>
    </row>
    <row r="265" spans="9:58" x14ac:dyDescent="0.25">
      <c r="I265" s="89">
        <f>ABCD!J314</f>
        <v>65.25</v>
      </c>
      <c r="J265" s="89">
        <f>ABCD!K314</f>
        <v>214.01999999999998</v>
      </c>
      <c r="K265" s="89">
        <f>ABCD!L314</f>
        <v>-3.4620665830779722</v>
      </c>
      <c r="L265" s="89">
        <f>ABCD!M314</f>
        <v>-0.58220142151198351</v>
      </c>
      <c r="M265" s="89">
        <f>ABCD!N314</f>
        <v>3.5106784986489092</v>
      </c>
      <c r="N265" s="89" t="e">
        <v>#REF!</v>
      </c>
      <c r="O265" s="89" t="e">
        <v>#REF!</v>
      </c>
      <c r="P265" s="89" t="e">
        <v>#REF!</v>
      </c>
      <c r="Q265" s="89" t="e">
        <v>#REF!</v>
      </c>
      <c r="R265" s="89" t="e">
        <v>#REF!</v>
      </c>
      <c r="S265" s="89" t="e">
        <f>#REF!</f>
        <v>#REF!</v>
      </c>
      <c r="T265" s="89" t="e">
        <f>#REF!</f>
        <v>#REF!</v>
      </c>
      <c r="U265" s="89" t="e">
        <f>#REF!</f>
        <v>#REF!</v>
      </c>
      <c r="V265" s="89" t="e">
        <f>#REF!</f>
        <v>#REF!</v>
      </c>
      <c r="W265" s="89" t="e">
        <f>#REF!</f>
        <v>#REF!</v>
      </c>
      <c r="X265" s="89" t="e">
        <f>#REF!</f>
        <v>#REF!</v>
      </c>
      <c r="Y265" s="89" t="e">
        <f>#REF!</f>
        <v>#REF!</v>
      </c>
      <c r="Z265" s="89" t="e">
        <f>#REF!</f>
        <v>#REF!</v>
      </c>
      <c r="AA265" s="89" t="e">
        <f>#REF!</f>
        <v>#REF!</v>
      </c>
      <c r="AB265" s="89" t="e">
        <f>#REF!</f>
        <v>#REF!</v>
      </c>
      <c r="AC265" s="89" t="e">
        <f>#REF!</f>
        <v>#REF!</v>
      </c>
      <c r="AD265" s="89" t="e">
        <f>#REF!</f>
        <v>#REF!</v>
      </c>
      <c r="AE265" s="89" t="e">
        <f>#REF!</f>
        <v>#REF!</v>
      </c>
      <c r="AF265" s="89" t="e">
        <f>#REF!</f>
        <v>#REF!</v>
      </c>
      <c r="AG265" s="89" t="e">
        <f>#REF!</f>
        <v>#REF!</v>
      </c>
      <c r="AH265" s="89" t="e">
        <f>#REF!</f>
        <v>#REF!</v>
      </c>
      <c r="AI265" s="89" t="e">
        <f>#REF!</f>
        <v>#REF!</v>
      </c>
      <c r="AJ265" s="89" t="e">
        <f>#REF!</f>
        <v>#REF!</v>
      </c>
      <c r="AK265" s="89" t="e">
        <f>#REF!</f>
        <v>#REF!</v>
      </c>
      <c r="AL265" s="89" t="e">
        <f>#REF!</f>
        <v>#REF!</v>
      </c>
      <c r="AM265" s="89" t="e">
        <f>#REF!</f>
        <v>#REF!</v>
      </c>
      <c r="AN265" s="89" t="e">
        <f>#REF!</f>
        <v>#REF!</v>
      </c>
      <c r="AO265" s="89" t="e">
        <f>#REF!</f>
        <v>#REF!</v>
      </c>
      <c r="AP265" s="89" t="e">
        <f>#REF!</f>
        <v>#REF!</v>
      </c>
      <c r="AQ265" s="89" t="e">
        <f>#REF!</f>
        <v>#REF!</v>
      </c>
      <c r="AR265" s="89" t="e">
        <f>#REF!</f>
        <v>#REF!</v>
      </c>
      <c r="AS265" s="89" t="e">
        <f>#REF!</f>
        <v>#REF!</v>
      </c>
      <c r="AT265" s="89" t="e">
        <f>#REF!</f>
        <v>#REF!</v>
      </c>
      <c r="AU265" s="89" t="e">
        <f>#REF!</f>
        <v>#REF!</v>
      </c>
      <c r="AV265" s="89" t="e">
        <f>#REF!</f>
        <v>#REF!</v>
      </c>
      <c r="AW265" s="89" t="e">
        <f>#REF!</f>
        <v>#REF!</v>
      </c>
      <c r="AX265" s="89" t="e">
        <f>#REF!</f>
        <v>#REF!</v>
      </c>
      <c r="AY265" s="89" t="e">
        <f>#REF!</f>
        <v>#REF!</v>
      </c>
      <c r="AZ265" s="89" t="e">
        <f>#REF!</f>
        <v>#REF!</v>
      </c>
      <c r="BA265" s="89" t="e">
        <f>#REF!</f>
        <v>#REF!</v>
      </c>
      <c r="BB265" s="89" t="e">
        <f>#REF!</f>
        <v>#REF!</v>
      </c>
      <c r="BC265" s="89" t="e">
        <f>#REF!</f>
        <v>#REF!</v>
      </c>
      <c r="BD265" s="89" t="e">
        <f>#REF!</f>
        <v>#REF!</v>
      </c>
      <c r="BE265" s="89" t="e">
        <f>#REF!</f>
        <v>#REF!</v>
      </c>
      <c r="BF265" s="89" t="e">
        <f>#REF!</f>
        <v>#REF!</v>
      </c>
    </row>
    <row r="266" spans="9:58" x14ac:dyDescent="0.25">
      <c r="I266" s="89">
        <f>ABCD!J315</f>
        <v>65.5</v>
      </c>
      <c r="J266" s="89">
        <f>ABCD!K315</f>
        <v>214.83999999999997</v>
      </c>
      <c r="K266" s="89">
        <f>ABCD!L315</f>
        <v>-3.5392066917214797</v>
      </c>
      <c r="L266" s="89">
        <f>ABCD!M315</f>
        <v>-0.59675156092134429</v>
      </c>
      <c r="M266" s="89">
        <f>ABCD!N315</f>
        <v>3.589163751096927</v>
      </c>
      <c r="N266" s="89" t="e">
        <v>#REF!</v>
      </c>
      <c r="O266" s="89" t="e">
        <v>#REF!</v>
      </c>
      <c r="P266" s="89" t="e">
        <v>#REF!</v>
      </c>
      <c r="Q266" s="89" t="e">
        <v>#REF!</v>
      </c>
      <c r="R266" s="89" t="e">
        <v>#REF!</v>
      </c>
      <c r="S266" s="89" t="e">
        <f>#REF!</f>
        <v>#REF!</v>
      </c>
      <c r="T266" s="89" t="e">
        <f>#REF!</f>
        <v>#REF!</v>
      </c>
      <c r="U266" s="89" t="e">
        <f>#REF!</f>
        <v>#REF!</v>
      </c>
      <c r="V266" s="89" t="e">
        <f>#REF!</f>
        <v>#REF!</v>
      </c>
      <c r="W266" s="89" t="e">
        <f>#REF!</f>
        <v>#REF!</v>
      </c>
      <c r="X266" s="89" t="e">
        <f>#REF!</f>
        <v>#REF!</v>
      </c>
      <c r="Y266" s="89" t="e">
        <f>#REF!</f>
        <v>#REF!</v>
      </c>
      <c r="Z266" s="89" t="e">
        <f>#REF!</f>
        <v>#REF!</v>
      </c>
      <c r="AA266" s="89" t="e">
        <f>#REF!</f>
        <v>#REF!</v>
      </c>
      <c r="AB266" s="89" t="e">
        <f>#REF!</f>
        <v>#REF!</v>
      </c>
      <c r="AC266" s="89" t="e">
        <f>#REF!</f>
        <v>#REF!</v>
      </c>
      <c r="AD266" s="89" t="e">
        <f>#REF!</f>
        <v>#REF!</v>
      </c>
      <c r="AE266" s="89" t="e">
        <f>#REF!</f>
        <v>#REF!</v>
      </c>
      <c r="AF266" s="89" t="e">
        <f>#REF!</f>
        <v>#REF!</v>
      </c>
      <c r="AG266" s="89" t="e">
        <f>#REF!</f>
        <v>#REF!</v>
      </c>
      <c r="AH266" s="89" t="e">
        <f>#REF!</f>
        <v>#REF!</v>
      </c>
      <c r="AI266" s="89" t="e">
        <f>#REF!</f>
        <v>#REF!</v>
      </c>
      <c r="AJ266" s="89" t="e">
        <f>#REF!</f>
        <v>#REF!</v>
      </c>
      <c r="AK266" s="89" t="e">
        <f>#REF!</f>
        <v>#REF!</v>
      </c>
      <c r="AL266" s="89" t="e">
        <f>#REF!</f>
        <v>#REF!</v>
      </c>
      <c r="AM266" s="89" t="e">
        <f>#REF!</f>
        <v>#REF!</v>
      </c>
      <c r="AN266" s="89" t="e">
        <f>#REF!</f>
        <v>#REF!</v>
      </c>
      <c r="AO266" s="89" t="e">
        <f>#REF!</f>
        <v>#REF!</v>
      </c>
      <c r="AP266" s="89" t="e">
        <f>#REF!</f>
        <v>#REF!</v>
      </c>
      <c r="AQ266" s="89" t="e">
        <f>#REF!</f>
        <v>#REF!</v>
      </c>
      <c r="AR266" s="89" t="e">
        <f>#REF!</f>
        <v>#REF!</v>
      </c>
      <c r="AS266" s="89" t="e">
        <f>#REF!</f>
        <v>#REF!</v>
      </c>
      <c r="AT266" s="89" t="e">
        <f>#REF!</f>
        <v>#REF!</v>
      </c>
      <c r="AU266" s="89" t="e">
        <f>#REF!</f>
        <v>#REF!</v>
      </c>
      <c r="AV266" s="89" t="e">
        <f>#REF!</f>
        <v>#REF!</v>
      </c>
      <c r="AW266" s="89" t="e">
        <f>#REF!</f>
        <v>#REF!</v>
      </c>
      <c r="AX266" s="89" t="e">
        <f>#REF!</f>
        <v>#REF!</v>
      </c>
      <c r="AY266" s="89" t="e">
        <f>#REF!</f>
        <v>#REF!</v>
      </c>
      <c r="AZ266" s="89" t="e">
        <f>#REF!</f>
        <v>#REF!</v>
      </c>
      <c r="BA266" s="89" t="e">
        <f>#REF!</f>
        <v>#REF!</v>
      </c>
      <c r="BB266" s="89" t="e">
        <f>#REF!</f>
        <v>#REF!</v>
      </c>
      <c r="BC266" s="89" t="e">
        <f>#REF!</f>
        <v>#REF!</v>
      </c>
      <c r="BD266" s="89" t="e">
        <f>#REF!</f>
        <v>#REF!</v>
      </c>
      <c r="BE266" s="89" t="e">
        <f>#REF!</f>
        <v>#REF!</v>
      </c>
      <c r="BF266" s="89" t="e">
        <f>#REF!</f>
        <v>#REF!</v>
      </c>
    </row>
    <row r="267" spans="9:58" x14ac:dyDescent="0.25">
      <c r="I267" s="89">
        <f>ABCD!J316</f>
        <v>65.75</v>
      </c>
      <c r="J267" s="89">
        <f>ABCD!K316</f>
        <v>215.66</v>
      </c>
      <c r="K267" s="89">
        <f>ABCD!L316</f>
        <v>-3.6154604112200248</v>
      </c>
      <c r="L267" s="89">
        <f>ABCD!M316</f>
        <v>-0.61115085632407373</v>
      </c>
      <c r="M267" s="89">
        <f>ABCD!N316</f>
        <v>3.6667505170497923</v>
      </c>
      <c r="N267" s="89" t="e">
        <v>#REF!</v>
      </c>
      <c r="O267" s="89" t="e">
        <v>#REF!</v>
      </c>
      <c r="P267" s="89" t="e">
        <v>#REF!</v>
      </c>
      <c r="Q267" s="89" t="e">
        <v>#REF!</v>
      </c>
      <c r="R267" s="89" t="e">
        <v>#REF!</v>
      </c>
      <c r="S267" s="89" t="e">
        <f>#REF!</f>
        <v>#REF!</v>
      </c>
      <c r="T267" s="89" t="e">
        <f>#REF!</f>
        <v>#REF!</v>
      </c>
      <c r="U267" s="89" t="e">
        <f>#REF!</f>
        <v>#REF!</v>
      </c>
      <c r="V267" s="89" t="e">
        <f>#REF!</f>
        <v>#REF!</v>
      </c>
      <c r="W267" s="89" t="e">
        <f>#REF!</f>
        <v>#REF!</v>
      </c>
      <c r="X267" s="89" t="e">
        <f>#REF!</f>
        <v>#REF!</v>
      </c>
      <c r="Y267" s="89" t="e">
        <f>#REF!</f>
        <v>#REF!</v>
      </c>
      <c r="Z267" s="89" t="e">
        <f>#REF!</f>
        <v>#REF!</v>
      </c>
      <c r="AA267" s="89" t="e">
        <f>#REF!</f>
        <v>#REF!</v>
      </c>
      <c r="AB267" s="89" t="e">
        <f>#REF!</f>
        <v>#REF!</v>
      </c>
      <c r="AC267" s="89" t="e">
        <f>#REF!</f>
        <v>#REF!</v>
      </c>
      <c r="AD267" s="89" t="e">
        <f>#REF!</f>
        <v>#REF!</v>
      </c>
      <c r="AE267" s="89" t="e">
        <f>#REF!</f>
        <v>#REF!</v>
      </c>
      <c r="AF267" s="89" t="e">
        <f>#REF!</f>
        <v>#REF!</v>
      </c>
      <c r="AG267" s="89" t="e">
        <f>#REF!</f>
        <v>#REF!</v>
      </c>
      <c r="AH267" s="89" t="e">
        <f>#REF!</f>
        <v>#REF!</v>
      </c>
      <c r="AI267" s="89" t="e">
        <f>#REF!</f>
        <v>#REF!</v>
      </c>
      <c r="AJ267" s="89" t="e">
        <f>#REF!</f>
        <v>#REF!</v>
      </c>
      <c r="AK267" s="89" t="e">
        <f>#REF!</f>
        <v>#REF!</v>
      </c>
      <c r="AL267" s="89" t="e">
        <f>#REF!</f>
        <v>#REF!</v>
      </c>
      <c r="AM267" s="89" t="e">
        <f>#REF!</f>
        <v>#REF!</v>
      </c>
      <c r="AN267" s="89" t="e">
        <f>#REF!</f>
        <v>#REF!</v>
      </c>
      <c r="AO267" s="89" t="e">
        <f>#REF!</f>
        <v>#REF!</v>
      </c>
      <c r="AP267" s="89" t="e">
        <f>#REF!</f>
        <v>#REF!</v>
      </c>
      <c r="AQ267" s="89" t="e">
        <f>#REF!</f>
        <v>#REF!</v>
      </c>
      <c r="AR267" s="89" t="e">
        <f>#REF!</f>
        <v>#REF!</v>
      </c>
      <c r="AS267" s="89" t="e">
        <f>#REF!</f>
        <v>#REF!</v>
      </c>
      <c r="AT267" s="89" t="e">
        <f>#REF!</f>
        <v>#REF!</v>
      </c>
      <c r="AU267" s="89" t="e">
        <f>#REF!</f>
        <v>#REF!</v>
      </c>
      <c r="AV267" s="89" t="e">
        <f>#REF!</f>
        <v>#REF!</v>
      </c>
      <c r="AW267" s="89" t="e">
        <f>#REF!</f>
        <v>#REF!</v>
      </c>
      <c r="AX267" s="89" t="e">
        <f>#REF!</f>
        <v>#REF!</v>
      </c>
      <c r="AY267" s="89" t="e">
        <f>#REF!</f>
        <v>#REF!</v>
      </c>
      <c r="AZ267" s="89" t="e">
        <f>#REF!</f>
        <v>#REF!</v>
      </c>
      <c r="BA267" s="89" t="e">
        <f>#REF!</f>
        <v>#REF!</v>
      </c>
      <c r="BB267" s="89" t="e">
        <f>#REF!</f>
        <v>#REF!</v>
      </c>
      <c r="BC267" s="89" t="e">
        <f>#REF!</f>
        <v>#REF!</v>
      </c>
      <c r="BD267" s="89" t="e">
        <f>#REF!</f>
        <v>#REF!</v>
      </c>
      <c r="BE267" s="89" t="e">
        <f>#REF!</f>
        <v>#REF!</v>
      </c>
      <c r="BF267" s="89" t="e">
        <f>#REF!</f>
        <v>#REF!</v>
      </c>
    </row>
    <row r="268" spans="9:58" x14ac:dyDescent="0.25">
      <c r="I268" s="89">
        <f>ABCD!J317</f>
        <v>66</v>
      </c>
      <c r="J268" s="89">
        <f>ABCD!K317</f>
        <v>216.48</v>
      </c>
      <c r="K268" s="89">
        <f>ABCD!L317</f>
        <v>-3.6908109364743229</v>
      </c>
      <c r="L268" s="89">
        <f>ABCD!M317</f>
        <v>-0.62539611946986806</v>
      </c>
      <c r="M268" s="89">
        <f>ABCD!N317</f>
        <v>3.74342165338697</v>
      </c>
      <c r="N268" s="89" t="e">
        <v>#REF!</v>
      </c>
      <c r="O268" s="89" t="e">
        <v>#REF!</v>
      </c>
      <c r="P268" s="89" t="e">
        <v>#REF!</v>
      </c>
      <c r="Q268" s="89" t="e">
        <v>#REF!</v>
      </c>
      <c r="R268" s="89" t="e">
        <v>#REF!</v>
      </c>
      <c r="S268" s="89" t="e">
        <f>#REF!</f>
        <v>#REF!</v>
      </c>
      <c r="T268" s="89" t="e">
        <f>#REF!</f>
        <v>#REF!</v>
      </c>
      <c r="U268" s="89" t="e">
        <f>#REF!</f>
        <v>#REF!</v>
      </c>
      <c r="V268" s="89" t="e">
        <f>#REF!</f>
        <v>#REF!</v>
      </c>
      <c r="W268" s="89" t="e">
        <f>#REF!</f>
        <v>#REF!</v>
      </c>
      <c r="X268" s="89" t="e">
        <f>#REF!</f>
        <v>#REF!</v>
      </c>
      <c r="Y268" s="89" t="e">
        <f>#REF!</f>
        <v>#REF!</v>
      </c>
      <c r="Z268" s="89" t="e">
        <f>#REF!</f>
        <v>#REF!</v>
      </c>
      <c r="AA268" s="89" t="e">
        <f>#REF!</f>
        <v>#REF!</v>
      </c>
      <c r="AB268" s="89" t="e">
        <f>#REF!</f>
        <v>#REF!</v>
      </c>
      <c r="AC268" s="89" t="e">
        <f>#REF!</f>
        <v>#REF!</v>
      </c>
      <c r="AD268" s="89" t="e">
        <f>#REF!</f>
        <v>#REF!</v>
      </c>
      <c r="AE268" s="89" t="e">
        <f>#REF!</f>
        <v>#REF!</v>
      </c>
      <c r="AF268" s="89" t="e">
        <f>#REF!</f>
        <v>#REF!</v>
      </c>
      <c r="AG268" s="89" t="e">
        <f>#REF!</f>
        <v>#REF!</v>
      </c>
      <c r="AH268" s="89" t="e">
        <f>#REF!</f>
        <v>#REF!</v>
      </c>
      <c r="AI268" s="89" t="e">
        <f>#REF!</f>
        <v>#REF!</v>
      </c>
      <c r="AJ268" s="89" t="e">
        <f>#REF!</f>
        <v>#REF!</v>
      </c>
      <c r="AK268" s="89" t="e">
        <f>#REF!</f>
        <v>#REF!</v>
      </c>
      <c r="AL268" s="89" t="e">
        <f>#REF!</f>
        <v>#REF!</v>
      </c>
      <c r="AM268" s="89" t="e">
        <f>#REF!</f>
        <v>#REF!</v>
      </c>
      <c r="AN268" s="89" t="e">
        <f>#REF!</f>
        <v>#REF!</v>
      </c>
      <c r="AO268" s="89" t="e">
        <f>#REF!</f>
        <v>#REF!</v>
      </c>
      <c r="AP268" s="89" t="e">
        <f>#REF!</f>
        <v>#REF!</v>
      </c>
      <c r="AQ268" s="89" t="e">
        <f>#REF!</f>
        <v>#REF!</v>
      </c>
      <c r="AR268" s="89" t="e">
        <f>#REF!</f>
        <v>#REF!</v>
      </c>
      <c r="AS268" s="89" t="e">
        <f>#REF!</f>
        <v>#REF!</v>
      </c>
      <c r="AT268" s="89" t="e">
        <f>#REF!</f>
        <v>#REF!</v>
      </c>
      <c r="AU268" s="89" t="e">
        <f>#REF!</f>
        <v>#REF!</v>
      </c>
      <c r="AV268" s="89" t="e">
        <f>#REF!</f>
        <v>#REF!</v>
      </c>
      <c r="AW268" s="89" t="e">
        <f>#REF!</f>
        <v>#REF!</v>
      </c>
      <c r="AX268" s="89" t="e">
        <f>#REF!</f>
        <v>#REF!</v>
      </c>
      <c r="AY268" s="89" t="e">
        <f>#REF!</f>
        <v>#REF!</v>
      </c>
      <c r="AZ268" s="89" t="e">
        <f>#REF!</f>
        <v>#REF!</v>
      </c>
      <c r="BA268" s="89" t="e">
        <f>#REF!</f>
        <v>#REF!</v>
      </c>
      <c r="BB268" s="89" t="e">
        <f>#REF!</f>
        <v>#REF!</v>
      </c>
      <c r="BC268" s="89" t="e">
        <f>#REF!</f>
        <v>#REF!</v>
      </c>
      <c r="BD268" s="89" t="e">
        <f>#REF!</f>
        <v>#REF!</v>
      </c>
      <c r="BE268" s="89" t="e">
        <f>#REF!</f>
        <v>#REF!</v>
      </c>
      <c r="BF268" s="89" t="e">
        <f>#REF!</f>
        <v>#REF!</v>
      </c>
    </row>
    <row r="269" spans="9:58" x14ac:dyDescent="0.25">
      <c r="I269" s="89">
        <f>ABCD!J318</f>
        <v>66.25</v>
      </c>
      <c r="J269" s="89">
        <f>ABCD!K318</f>
        <v>217.29999999999998</v>
      </c>
      <c r="K269" s="89">
        <f>ABCD!L318</f>
        <v>-3.7652416859972151</v>
      </c>
      <c r="L269" s="89">
        <f>ABCD!M318</f>
        <v>-0.63948420053352528</v>
      </c>
      <c r="M269" s="89">
        <f>ABCD!N318</f>
        <v>3.8191602475810247</v>
      </c>
      <c r="N269" s="89" t="e">
        <v>#REF!</v>
      </c>
      <c r="O269" s="89" t="e">
        <v>#REF!</v>
      </c>
      <c r="P269" s="89" t="e">
        <v>#REF!</v>
      </c>
      <c r="Q269" s="89" t="e">
        <v>#REF!</v>
      </c>
      <c r="R269" s="89" t="e">
        <v>#REF!</v>
      </c>
      <c r="S269" s="89" t="e">
        <f>#REF!</f>
        <v>#REF!</v>
      </c>
      <c r="T269" s="89" t="e">
        <f>#REF!</f>
        <v>#REF!</v>
      </c>
      <c r="U269" s="89" t="e">
        <f>#REF!</f>
        <v>#REF!</v>
      </c>
      <c r="V269" s="89" t="e">
        <f>#REF!</f>
        <v>#REF!</v>
      </c>
      <c r="W269" s="89" t="e">
        <f>#REF!</f>
        <v>#REF!</v>
      </c>
      <c r="X269" s="89" t="e">
        <f>#REF!</f>
        <v>#REF!</v>
      </c>
      <c r="Y269" s="89" t="e">
        <f>#REF!</f>
        <v>#REF!</v>
      </c>
      <c r="Z269" s="89" t="e">
        <f>#REF!</f>
        <v>#REF!</v>
      </c>
      <c r="AA269" s="89" t="e">
        <f>#REF!</f>
        <v>#REF!</v>
      </c>
      <c r="AB269" s="89" t="e">
        <f>#REF!</f>
        <v>#REF!</v>
      </c>
      <c r="AC269" s="89" t="e">
        <f>#REF!</f>
        <v>#REF!</v>
      </c>
      <c r="AD269" s="89" t="e">
        <f>#REF!</f>
        <v>#REF!</v>
      </c>
      <c r="AE269" s="89" t="e">
        <f>#REF!</f>
        <v>#REF!</v>
      </c>
      <c r="AF269" s="89" t="e">
        <f>#REF!</f>
        <v>#REF!</v>
      </c>
      <c r="AG269" s="89" t="e">
        <f>#REF!</f>
        <v>#REF!</v>
      </c>
      <c r="AH269" s="89" t="e">
        <f>#REF!</f>
        <v>#REF!</v>
      </c>
      <c r="AI269" s="89" t="e">
        <f>#REF!</f>
        <v>#REF!</v>
      </c>
      <c r="AJ269" s="89" t="e">
        <f>#REF!</f>
        <v>#REF!</v>
      </c>
      <c r="AK269" s="89" t="e">
        <f>#REF!</f>
        <v>#REF!</v>
      </c>
      <c r="AL269" s="89" t="e">
        <f>#REF!</f>
        <v>#REF!</v>
      </c>
      <c r="AM269" s="89" t="e">
        <f>#REF!</f>
        <v>#REF!</v>
      </c>
      <c r="AN269" s="89" t="e">
        <f>#REF!</f>
        <v>#REF!</v>
      </c>
      <c r="AO269" s="89" t="e">
        <f>#REF!</f>
        <v>#REF!</v>
      </c>
      <c r="AP269" s="89" t="e">
        <f>#REF!</f>
        <v>#REF!</v>
      </c>
      <c r="AQ269" s="89" t="e">
        <f>#REF!</f>
        <v>#REF!</v>
      </c>
      <c r="AR269" s="89" t="e">
        <f>#REF!</f>
        <v>#REF!</v>
      </c>
      <c r="AS269" s="89" t="e">
        <f>#REF!</f>
        <v>#REF!</v>
      </c>
      <c r="AT269" s="89" t="e">
        <f>#REF!</f>
        <v>#REF!</v>
      </c>
      <c r="AU269" s="89" t="e">
        <f>#REF!</f>
        <v>#REF!</v>
      </c>
      <c r="AV269" s="89" t="e">
        <f>#REF!</f>
        <v>#REF!</v>
      </c>
      <c r="AW269" s="89" t="e">
        <f>#REF!</f>
        <v>#REF!</v>
      </c>
      <c r="AX269" s="89" t="e">
        <f>#REF!</f>
        <v>#REF!</v>
      </c>
      <c r="AY269" s="89" t="e">
        <f>#REF!</f>
        <v>#REF!</v>
      </c>
      <c r="AZ269" s="89" t="e">
        <f>#REF!</f>
        <v>#REF!</v>
      </c>
      <c r="BA269" s="89" t="e">
        <f>#REF!</f>
        <v>#REF!</v>
      </c>
      <c r="BB269" s="89" t="e">
        <f>#REF!</f>
        <v>#REF!</v>
      </c>
      <c r="BC269" s="89" t="e">
        <f>#REF!</f>
        <v>#REF!</v>
      </c>
      <c r="BD269" s="89" t="e">
        <f>#REF!</f>
        <v>#REF!</v>
      </c>
      <c r="BE269" s="89" t="e">
        <f>#REF!</f>
        <v>#REF!</v>
      </c>
      <c r="BF269" s="89" t="e">
        <f>#REF!</f>
        <v>#REF!</v>
      </c>
    </row>
    <row r="270" spans="9:58" x14ac:dyDescent="0.25">
      <c r="I270" s="89">
        <f>ABCD!J319</f>
        <v>66.5</v>
      </c>
      <c r="J270" s="89">
        <f>ABCD!K319</f>
        <v>218.11999999999998</v>
      </c>
      <c r="K270" s="89">
        <f>ABCD!L319</f>
        <v>-3.838736305540182</v>
      </c>
      <c r="L270" s="89">
        <f>ABCD!M319</f>
        <v>-0.65341198880749207</v>
      </c>
      <c r="M270" s="89">
        <f>ABCD!N319</f>
        <v>3.8939496209619415</v>
      </c>
      <c r="N270" s="89" t="e">
        <v>#REF!</v>
      </c>
      <c r="O270" s="89" t="e">
        <v>#REF!</v>
      </c>
      <c r="P270" s="89" t="e">
        <v>#REF!</v>
      </c>
      <c r="Q270" s="89" t="e">
        <v>#REF!</v>
      </c>
      <c r="R270" s="89" t="e">
        <v>#REF!</v>
      </c>
      <c r="S270" s="89" t="e">
        <f>#REF!</f>
        <v>#REF!</v>
      </c>
      <c r="T270" s="89" t="e">
        <f>#REF!</f>
        <v>#REF!</v>
      </c>
      <c r="U270" s="89" t="e">
        <f>#REF!</f>
        <v>#REF!</v>
      </c>
      <c r="V270" s="89" t="e">
        <f>#REF!</f>
        <v>#REF!</v>
      </c>
      <c r="W270" s="89" t="e">
        <f>#REF!</f>
        <v>#REF!</v>
      </c>
      <c r="X270" s="89" t="e">
        <f>#REF!</f>
        <v>#REF!</v>
      </c>
      <c r="Y270" s="89" t="e">
        <f>#REF!</f>
        <v>#REF!</v>
      </c>
      <c r="Z270" s="89" t="e">
        <f>#REF!</f>
        <v>#REF!</v>
      </c>
      <c r="AA270" s="89" t="e">
        <f>#REF!</f>
        <v>#REF!</v>
      </c>
      <c r="AB270" s="89" t="e">
        <f>#REF!</f>
        <v>#REF!</v>
      </c>
      <c r="AC270" s="89" t="e">
        <f>#REF!</f>
        <v>#REF!</v>
      </c>
      <c r="AD270" s="89" t="e">
        <f>#REF!</f>
        <v>#REF!</v>
      </c>
      <c r="AE270" s="89" t="e">
        <f>#REF!</f>
        <v>#REF!</v>
      </c>
      <c r="AF270" s="89" t="e">
        <f>#REF!</f>
        <v>#REF!</v>
      </c>
      <c r="AG270" s="89" t="e">
        <f>#REF!</f>
        <v>#REF!</v>
      </c>
      <c r="AH270" s="89" t="e">
        <f>#REF!</f>
        <v>#REF!</v>
      </c>
      <c r="AI270" s="89" t="e">
        <f>#REF!</f>
        <v>#REF!</v>
      </c>
      <c r="AJ270" s="89" t="e">
        <f>#REF!</f>
        <v>#REF!</v>
      </c>
      <c r="AK270" s="89" t="e">
        <f>#REF!</f>
        <v>#REF!</v>
      </c>
      <c r="AL270" s="89" t="e">
        <f>#REF!</f>
        <v>#REF!</v>
      </c>
      <c r="AM270" s="89" t="e">
        <f>#REF!</f>
        <v>#REF!</v>
      </c>
      <c r="AN270" s="89" t="e">
        <f>#REF!</f>
        <v>#REF!</v>
      </c>
      <c r="AO270" s="89" t="e">
        <f>#REF!</f>
        <v>#REF!</v>
      </c>
      <c r="AP270" s="89" t="e">
        <f>#REF!</f>
        <v>#REF!</v>
      </c>
      <c r="AQ270" s="89" t="e">
        <f>#REF!</f>
        <v>#REF!</v>
      </c>
      <c r="AR270" s="89" t="e">
        <f>#REF!</f>
        <v>#REF!</v>
      </c>
      <c r="AS270" s="89" t="e">
        <f>#REF!</f>
        <v>#REF!</v>
      </c>
      <c r="AT270" s="89" t="e">
        <f>#REF!</f>
        <v>#REF!</v>
      </c>
      <c r="AU270" s="89" t="e">
        <f>#REF!</f>
        <v>#REF!</v>
      </c>
      <c r="AV270" s="89" t="e">
        <f>#REF!</f>
        <v>#REF!</v>
      </c>
      <c r="AW270" s="89" t="e">
        <f>#REF!</f>
        <v>#REF!</v>
      </c>
      <c r="AX270" s="89" t="e">
        <f>#REF!</f>
        <v>#REF!</v>
      </c>
      <c r="AY270" s="89" t="e">
        <f>#REF!</f>
        <v>#REF!</v>
      </c>
      <c r="AZ270" s="89" t="e">
        <f>#REF!</f>
        <v>#REF!</v>
      </c>
      <c r="BA270" s="89" t="e">
        <f>#REF!</f>
        <v>#REF!</v>
      </c>
      <c r="BB270" s="89" t="e">
        <f>#REF!</f>
        <v>#REF!</v>
      </c>
      <c r="BC270" s="89" t="e">
        <f>#REF!</f>
        <v>#REF!</v>
      </c>
      <c r="BD270" s="89" t="e">
        <f>#REF!</f>
        <v>#REF!</v>
      </c>
      <c r="BE270" s="89" t="e">
        <f>#REF!</f>
        <v>#REF!</v>
      </c>
      <c r="BF270" s="89" t="e">
        <f>#REF!</f>
        <v>#REF!</v>
      </c>
    </row>
    <row r="271" spans="9:58" x14ac:dyDescent="0.25">
      <c r="I271" s="89">
        <f>ABCD!J320</f>
        <v>66.75</v>
      </c>
      <c r="J271" s="89">
        <f>ABCD!K320</f>
        <v>218.94</v>
      </c>
      <c r="K271" s="89">
        <f>ABCD!L320</f>
        <v>-3.9112786716641597</v>
      </c>
      <c r="L271" s="89">
        <f>ABCD!M320</f>
        <v>-0.66717641338475664</v>
      </c>
      <c r="M271" s="89">
        <f>ABCD!N320</f>
        <v>3.9677733319825492</v>
      </c>
      <c r="N271" s="89" t="e">
        <v>#REF!</v>
      </c>
      <c r="O271" s="89" t="e">
        <v>#REF!</v>
      </c>
      <c r="P271" s="89" t="e">
        <v>#REF!</v>
      </c>
      <c r="Q271" s="89" t="e">
        <v>#REF!</v>
      </c>
      <c r="R271" s="89" t="e">
        <v>#REF!</v>
      </c>
      <c r="S271" s="89" t="e">
        <f>#REF!</f>
        <v>#REF!</v>
      </c>
      <c r="T271" s="89" t="e">
        <f>#REF!</f>
        <v>#REF!</v>
      </c>
      <c r="U271" s="89" t="e">
        <f>#REF!</f>
        <v>#REF!</v>
      </c>
      <c r="V271" s="89" t="e">
        <f>#REF!</f>
        <v>#REF!</v>
      </c>
      <c r="W271" s="89" t="e">
        <f>#REF!</f>
        <v>#REF!</v>
      </c>
      <c r="X271" s="89" t="e">
        <f>#REF!</f>
        <v>#REF!</v>
      </c>
      <c r="Y271" s="89" t="e">
        <f>#REF!</f>
        <v>#REF!</v>
      </c>
      <c r="Z271" s="89" t="e">
        <f>#REF!</f>
        <v>#REF!</v>
      </c>
      <c r="AA271" s="89" t="e">
        <f>#REF!</f>
        <v>#REF!</v>
      </c>
      <c r="AB271" s="89" t="e">
        <f>#REF!</f>
        <v>#REF!</v>
      </c>
      <c r="AC271" s="89" t="e">
        <f>#REF!</f>
        <v>#REF!</v>
      </c>
      <c r="AD271" s="89" t="e">
        <f>#REF!</f>
        <v>#REF!</v>
      </c>
      <c r="AE271" s="89" t="e">
        <f>#REF!</f>
        <v>#REF!</v>
      </c>
      <c r="AF271" s="89" t="e">
        <f>#REF!</f>
        <v>#REF!</v>
      </c>
      <c r="AG271" s="89" t="e">
        <f>#REF!</f>
        <v>#REF!</v>
      </c>
      <c r="AH271" s="89" t="e">
        <f>#REF!</f>
        <v>#REF!</v>
      </c>
      <c r="AI271" s="89" t="e">
        <f>#REF!</f>
        <v>#REF!</v>
      </c>
      <c r="AJ271" s="89" t="e">
        <f>#REF!</f>
        <v>#REF!</v>
      </c>
      <c r="AK271" s="89" t="e">
        <f>#REF!</f>
        <v>#REF!</v>
      </c>
      <c r="AL271" s="89" t="e">
        <f>#REF!</f>
        <v>#REF!</v>
      </c>
      <c r="AM271" s="89" t="e">
        <f>#REF!</f>
        <v>#REF!</v>
      </c>
      <c r="AN271" s="89" t="e">
        <f>#REF!</f>
        <v>#REF!</v>
      </c>
      <c r="AO271" s="89" t="e">
        <f>#REF!</f>
        <v>#REF!</v>
      </c>
      <c r="AP271" s="89" t="e">
        <f>#REF!</f>
        <v>#REF!</v>
      </c>
      <c r="AQ271" s="89" t="e">
        <f>#REF!</f>
        <v>#REF!</v>
      </c>
      <c r="AR271" s="89" t="e">
        <f>#REF!</f>
        <v>#REF!</v>
      </c>
      <c r="AS271" s="89" t="e">
        <f>#REF!</f>
        <v>#REF!</v>
      </c>
      <c r="AT271" s="89" t="e">
        <f>#REF!</f>
        <v>#REF!</v>
      </c>
      <c r="AU271" s="89" t="e">
        <f>#REF!</f>
        <v>#REF!</v>
      </c>
      <c r="AV271" s="89" t="e">
        <f>#REF!</f>
        <v>#REF!</v>
      </c>
      <c r="AW271" s="89" t="e">
        <f>#REF!</f>
        <v>#REF!</v>
      </c>
      <c r="AX271" s="89" t="e">
        <f>#REF!</f>
        <v>#REF!</v>
      </c>
      <c r="AY271" s="89" t="e">
        <f>#REF!</f>
        <v>#REF!</v>
      </c>
      <c r="AZ271" s="89" t="e">
        <f>#REF!</f>
        <v>#REF!</v>
      </c>
      <c r="BA271" s="89" t="e">
        <f>#REF!</f>
        <v>#REF!</v>
      </c>
      <c r="BB271" s="89" t="e">
        <f>#REF!</f>
        <v>#REF!</v>
      </c>
      <c r="BC271" s="89" t="e">
        <f>#REF!</f>
        <v>#REF!</v>
      </c>
      <c r="BD271" s="89" t="e">
        <f>#REF!</f>
        <v>#REF!</v>
      </c>
      <c r="BE271" s="89" t="e">
        <f>#REF!</f>
        <v>#REF!</v>
      </c>
      <c r="BF271" s="89" t="e">
        <f>#REF!</f>
        <v>#REF!</v>
      </c>
    </row>
    <row r="272" spans="9:58" x14ac:dyDescent="0.25">
      <c r="I272" s="89">
        <f>ABCD!J321</f>
        <v>67</v>
      </c>
      <c r="J272" s="89">
        <f>ABCD!K321</f>
        <v>219.76</v>
      </c>
      <c r="K272" s="89">
        <f>ABCD!L321</f>
        <v>-3.9828528952538544</v>
      </c>
      <c r="L272" s="89">
        <f>ABCD!M321</f>
        <v>-0.68077444383192587</v>
      </c>
      <c r="M272" s="89">
        <f>ABCD!N321</f>
        <v>4.040615179475358</v>
      </c>
      <c r="N272" s="89" t="e">
        <v>#REF!</v>
      </c>
      <c r="O272" s="89" t="e">
        <v>#REF!</v>
      </c>
      <c r="P272" s="89" t="e">
        <v>#REF!</v>
      </c>
      <c r="Q272" s="89" t="e">
        <v>#REF!</v>
      </c>
      <c r="R272" s="89" t="e">
        <v>#REF!</v>
      </c>
      <c r="S272" s="89" t="e">
        <f>#REF!</f>
        <v>#REF!</v>
      </c>
      <c r="T272" s="89" t="e">
        <f>#REF!</f>
        <v>#REF!</v>
      </c>
      <c r="U272" s="89" t="e">
        <f>#REF!</f>
        <v>#REF!</v>
      </c>
      <c r="V272" s="89" t="e">
        <f>#REF!</f>
        <v>#REF!</v>
      </c>
      <c r="W272" s="89" t="e">
        <f>#REF!</f>
        <v>#REF!</v>
      </c>
      <c r="X272" s="89" t="e">
        <f>#REF!</f>
        <v>#REF!</v>
      </c>
      <c r="Y272" s="89" t="e">
        <f>#REF!</f>
        <v>#REF!</v>
      </c>
      <c r="Z272" s="89" t="e">
        <f>#REF!</f>
        <v>#REF!</v>
      </c>
      <c r="AA272" s="89" t="e">
        <f>#REF!</f>
        <v>#REF!</v>
      </c>
      <c r="AB272" s="89" t="e">
        <f>#REF!</f>
        <v>#REF!</v>
      </c>
      <c r="AC272" s="89" t="e">
        <f>#REF!</f>
        <v>#REF!</v>
      </c>
      <c r="AD272" s="89" t="e">
        <f>#REF!</f>
        <v>#REF!</v>
      </c>
      <c r="AE272" s="89" t="e">
        <f>#REF!</f>
        <v>#REF!</v>
      </c>
      <c r="AF272" s="89" t="e">
        <f>#REF!</f>
        <v>#REF!</v>
      </c>
      <c r="AG272" s="89" t="e">
        <f>#REF!</f>
        <v>#REF!</v>
      </c>
      <c r="AH272" s="89" t="e">
        <f>#REF!</f>
        <v>#REF!</v>
      </c>
      <c r="AI272" s="89" t="e">
        <f>#REF!</f>
        <v>#REF!</v>
      </c>
      <c r="AJ272" s="89" t="e">
        <f>#REF!</f>
        <v>#REF!</v>
      </c>
      <c r="AK272" s="89" t="e">
        <f>#REF!</f>
        <v>#REF!</v>
      </c>
      <c r="AL272" s="89" t="e">
        <f>#REF!</f>
        <v>#REF!</v>
      </c>
      <c r="AM272" s="89" t="e">
        <f>#REF!</f>
        <v>#REF!</v>
      </c>
      <c r="AN272" s="89" t="e">
        <f>#REF!</f>
        <v>#REF!</v>
      </c>
      <c r="AO272" s="89" t="e">
        <f>#REF!</f>
        <v>#REF!</v>
      </c>
      <c r="AP272" s="89" t="e">
        <f>#REF!</f>
        <v>#REF!</v>
      </c>
      <c r="AQ272" s="89" t="e">
        <f>#REF!</f>
        <v>#REF!</v>
      </c>
      <c r="AR272" s="89" t="e">
        <f>#REF!</f>
        <v>#REF!</v>
      </c>
      <c r="AS272" s="89" t="e">
        <f>#REF!</f>
        <v>#REF!</v>
      </c>
      <c r="AT272" s="89" t="e">
        <f>#REF!</f>
        <v>#REF!</v>
      </c>
      <c r="AU272" s="89" t="e">
        <f>#REF!</f>
        <v>#REF!</v>
      </c>
      <c r="AV272" s="89" t="e">
        <f>#REF!</f>
        <v>#REF!</v>
      </c>
      <c r="AW272" s="89" t="e">
        <f>#REF!</f>
        <v>#REF!</v>
      </c>
      <c r="AX272" s="89" t="e">
        <f>#REF!</f>
        <v>#REF!</v>
      </c>
      <c r="AY272" s="89" t="e">
        <f>#REF!</f>
        <v>#REF!</v>
      </c>
      <c r="AZ272" s="89" t="e">
        <f>#REF!</f>
        <v>#REF!</v>
      </c>
      <c r="BA272" s="89" t="e">
        <f>#REF!</f>
        <v>#REF!</v>
      </c>
      <c r="BB272" s="89" t="e">
        <f>#REF!</f>
        <v>#REF!</v>
      </c>
      <c r="BC272" s="89" t="e">
        <f>#REF!</f>
        <v>#REF!</v>
      </c>
      <c r="BD272" s="89" t="e">
        <f>#REF!</f>
        <v>#REF!</v>
      </c>
      <c r="BE272" s="89" t="e">
        <f>#REF!</f>
        <v>#REF!</v>
      </c>
      <c r="BF272" s="89" t="e">
        <f>#REF!</f>
        <v>#REF!</v>
      </c>
    </row>
    <row r="273" spans="9:58" x14ac:dyDescent="0.25">
      <c r="I273" s="89">
        <f>ABCD!J322</f>
        <v>67.25</v>
      </c>
      <c r="J273" s="89">
        <f>ABCD!K322</f>
        <v>220.57999999999998</v>
      </c>
      <c r="K273" s="89">
        <f>ABCD!L322</f>
        <v>-4.0534433249748059</v>
      </c>
      <c r="L273" s="89">
        <f>ABCD!M322</f>
        <v>-0.69420309085237486</v>
      </c>
      <c r="M273" s="89">
        <f>ABCD!N322</f>
        <v>4.1124592058927227</v>
      </c>
      <c r="N273" s="89" t="e">
        <v>#REF!</v>
      </c>
      <c r="O273" s="89" t="e">
        <v>#REF!</v>
      </c>
      <c r="P273" s="89" t="e">
        <v>#REF!</v>
      </c>
      <c r="Q273" s="89" t="e">
        <v>#REF!</v>
      </c>
      <c r="R273" s="89" t="e">
        <v>#REF!</v>
      </c>
      <c r="S273" s="89" t="e">
        <f>#REF!</f>
        <v>#REF!</v>
      </c>
      <c r="T273" s="89" t="e">
        <f>#REF!</f>
        <v>#REF!</v>
      </c>
      <c r="U273" s="89" t="e">
        <f>#REF!</f>
        <v>#REF!</v>
      </c>
      <c r="V273" s="89" t="e">
        <f>#REF!</f>
        <v>#REF!</v>
      </c>
      <c r="W273" s="89" t="e">
        <f>#REF!</f>
        <v>#REF!</v>
      </c>
      <c r="X273" s="89" t="e">
        <f>#REF!</f>
        <v>#REF!</v>
      </c>
      <c r="Y273" s="89" t="e">
        <f>#REF!</f>
        <v>#REF!</v>
      </c>
      <c r="Z273" s="89" t="e">
        <f>#REF!</f>
        <v>#REF!</v>
      </c>
      <c r="AA273" s="89" t="e">
        <f>#REF!</f>
        <v>#REF!</v>
      </c>
      <c r="AB273" s="89" t="e">
        <f>#REF!</f>
        <v>#REF!</v>
      </c>
      <c r="AC273" s="89" t="e">
        <f>#REF!</f>
        <v>#REF!</v>
      </c>
      <c r="AD273" s="89" t="e">
        <f>#REF!</f>
        <v>#REF!</v>
      </c>
      <c r="AE273" s="89" t="e">
        <f>#REF!</f>
        <v>#REF!</v>
      </c>
      <c r="AF273" s="89" t="e">
        <f>#REF!</f>
        <v>#REF!</v>
      </c>
      <c r="AG273" s="89" t="e">
        <f>#REF!</f>
        <v>#REF!</v>
      </c>
      <c r="AH273" s="89" t="e">
        <f>#REF!</f>
        <v>#REF!</v>
      </c>
      <c r="AI273" s="89" t="e">
        <f>#REF!</f>
        <v>#REF!</v>
      </c>
      <c r="AJ273" s="89" t="e">
        <f>#REF!</f>
        <v>#REF!</v>
      </c>
      <c r="AK273" s="89" t="e">
        <f>#REF!</f>
        <v>#REF!</v>
      </c>
      <c r="AL273" s="89" t="e">
        <f>#REF!</f>
        <v>#REF!</v>
      </c>
      <c r="AM273" s="89" t="e">
        <f>#REF!</f>
        <v>#REF!</v>
      </c>
      <c r="AN273" s="89" t="e">
        <f>#REF!</f>
        <v>#REF!</v>
      </c>
      <c r="AO273" s="89" t="e">
        <f>#REF!</f>
        <v>#REF!</v>
      </c>
      <c r="AP273" s="89" t="e">
        <f>#REF!</f>
        <v>#REF!</v>
      </c>
      <c r="AQ273" s="89" t="e">
        <f>#REF!</f>
        <v>#REF!</v>
      </c>
      <c r="AR273" s="89" t="e">
        <f>#REF!</f>
        <v>#REF!</v>
      </c>
      <c r="AS273" s="89" t="e">
        <f>#REF!</f>
        <v>#REF!</v>
      </c>
      <c r="AT273" s="89" t="e">
        <f>#REF!</f>
        <v>#REF!</v>
      </c>
      <c r="AU273" s="89" t="e">
        <f>#REF!</f>
        <v>#REF!</v>
      </c>
      <c r="AV273" s="89" t="e">
        <f>#REF!</f>
        <v>#REF!</v>
      </c>
      <c r="AW273" s="89" t="e">
        <f>#REF!</f>
        <v>#REF!</v>
      </c>
      <c r="AX273" s="89" t="e">
        <f>#REF!</f>
        <v>#REF!</v>
      </c>
      <c r="AY273" s="89" t="e">
        <f>#REF!</f>
        <v>#REF!</v>
      </c>
      <c r="AZ273" s="89" t="e">
        <f>#REF!</f>
        <v>#REF!</v>
      </c>
      <c r="BA273" s="89" t="e">
        <f>#REF!</f>
        <v>#REF!</v>
      </c>
      <c r="BB273" s="89" t="e">
        <f>#REF!</f>
        <v>#REF!</v>
      </c>
      <c r="BC273" s="89" t="e">
        <f>#REF!</f>
        <v>#REF!</v>
      </c>
      <c r="BD273" s="89" t="e">
        <f>#REF!</f>
        <v>#REF!</v>
      </c>
      <c r="BE273" s="89" t="e">
        <f>#REF!</f>
        <v>#REF!</v>
      </c>
      <c r="BF273" s="89" t="e">
        <f>#REF!</f>
        <v>#REF!</v>
      </c>
    </row>
    <row r="274" spans="9:58" x14ac:dyDescent="0.25">
      <c r="I274" s="89">
        <f>ABCD!J323</f>
        <v>67.5</v>
      </c>
      <c r="J274" s="89">
        <f>ABCD!K323</f>
        <v>221.39999999999998</v>
      </c>
      <c r="K274" s="89">
        <f>ABCD!L323</f>
        <v>-4.1230345506724575</v>
      </c>
      <c r="L274" s="89">
        <f>ABCD!M323</f>
        <v>-0.70745940693928411</v>
      </c>
      <c r="M274" s="89">
        <f>ABCD!N323</f>
        <v>4.183289700523467</v>
      </c>
      <c r="N274" s="89" t="e">
        <v>#REF!</v>
      </c>
      <c r="O274" s="89" t="e">
        <v>#REF!</v>
      </c>
      <c r="P274" s="89" t="e">
        <v>#REF!</v>
      </c>
      <c r="Q274" s="89" t="e">
        <v>#REF!</v>
      </c>
      <c r="R274" s="89" t="e">
        <v>#REF!</v>
      </c>
      <c r="S274" s="89" t="e">
        <f>#REF!</f>
        <v>#REF!</v>
      </c>
      <c r="T274" s="89" t="e">
        <f>#REF!</f>
        <v>#REF!</v>
      </c>
      <c r="U274" s="89" t="e">
        <f>#REF!</f>
        <v>#REF!</v>
      </c>
      <c r="V274" s="89" t="e">
        <f>#REF!</f>
        <v>#REF!</v>
      </c>
      <c r="W274" s="89" t="e">
        <f>#REF!</f>
        <v>#REF!</v>
      </c>
      <c r="X274" s="89" t="e">
        <f>#REF!</f>
        <v>#REF!</v>
      </c>
      <c r="Y274" s="89" t="e">
        <f>#REF!</f>
        <v>#REF!</v>
      </c>
      <c r="Z274" s="89" t="e">
        <f>#REF!</f>
        <v>#REF!</v>
      </c>
      <c r="AA274" s="89" t="e">
        <f>#REF!</f>
        <v>#REF!</v>
      </c>
      <c r="AB274" s="89" t="e">
        <f>#REF!</f>
        <v>#REF!</v>
      </c>
      <c r="AC274" s="89" t="e">
        <f>#REF!</f>
        <v>#REF!</v>
      </c>
      <c r="AD274" s="89" t="e">
        <f>#REF!</f>
        <v>#REF!</v>
      </c>
      <c r="AE274" s="89" t="e">
        <f>#REF!</f>
        <v>#REF!</v>
      </c>
      <c r="AF274" s="89" t="e">
        <f>#REF!</f>
        <v>#REF!</v>
      </c>
      <c r="AG274" s="89" t="e">
        <f>#REF!</f>
        <v>#REF!</v>
      </c>
      <c r="AH274" s="89" t="e">
        <f>#REF!</f>
        <v>#REF!</v>
      </c>
      <c r="AI274" s="89" t="e">
        <f>#REF!</f>
        <v>#REF!</v>
      </c>
      <c r="AJ274" s="89" t="e">
        <f>#REF!</f>
        <v>#REF!</v>
      </c>
      <c r="AK274" s="89" t="e">
        <f>#REF!</f>
        <v>#REF!</v>
      </c>
      <c r="AL274" s="89" t="e">
        <f>#REF!</f>
        <v>#REF!</v>
      </c>
      <c r="AM274" s="89" t="e">
        <f>#REF!</f>
        <v>#REF!</v>
      </c>
      <c r="AN274" s="89" t="e">
        <f>#REF!</f>
        <v>#REF!</v>
      </c>
      <c r="AO274" s="89" t="e">
        <f>#REF!</f>
        <v>#REF!</v>
      </c>
      <c r="AP274" s="89" t="e">
        <f>#REF!</f>
        <v>#REF!</v>
      </c>
      <c r="AQ274" s="89" t="e">
        <f>#REF!</f>
        <v>#REF!</v>
      </c>
      <c r="AR274" s="89" t="e">
        <f>#REF!</f>
        <v>#REF!</v>
      </c>
      <c r="AS274" s="89" t="e">
        <f>#REF!</f>
        <v>#REF!</v>
      </c>
      <c r="AT274" s="89" t="e">
        <f>#REF!</f>
        <v>#REF!</v>
      </c>
      <c r="AU274" s="89" t="e">
        <f>#REF!</f>
        <v>#REF!</v>
      </c>
      <c r="AV274" s="89" t="e">
        <f>#REF!</f>
        <v>#REF!</v>
      </c>
      <c r="AW274" s="89" t="e">
        <f>#REF!</f>
        <v>#REF!</v>
      </c>
      <c r="AX274" s="89" t="e">
        <f>#REF!</f>
        <v>#REF!</v>
      </c>
      <c r="AY274" s="89" t="e">
        <f>#REF!</f>
        <v>#REF!</v>
      </c>
      <c r="AZ274" s="89" t="e">
        <f>#REF!</f>
        <v>#REF!</v>
      </c>
      <c r="BA274" s="89" t="e">
        <f>#REF!</f>
        <v>#REF!</v>
      </c>
      <c r="BB274" s="89" t="e">
        <f>#REF!</f>
        <v>#REF!</v>
      </c>
      <c r="BC274" s="89" t="e">
        <f>#REF!</f>
        <v>#REF!</v>
      </c>
      <c r="BD274" s="89" t="e">
        <f>#REF!</f>
        <v>#REF!</v>
      </c>
      <c r="BE274" s="89" t="e">
        <f>#REF!</f>
        <v>#REF!</v>
      </c>
      <c r="BF274" s="89" t="e">
        <f>#REF!</f>
        <v>#REF!</v>
      </c>
    </row>
    <row r="275" spans="9:58" x14ac:dyDescent="0.25">
      <c r="I275" s="89">
        <f>ABCD!J324</f>
        <v>67.75</v>
      </c>
      <c r="J275" s="89">
        <f>ABCD!K324</f>
        <v>222.22</v>
      </c>
      <c r="K275" s="89">
        <f>ABCD!L324</f>
        <v>-4.1916114067124717</v>
      </c>
      <c r="L275" s="89">
        <f>ABCD!M324</f>
        <v>-0.72054048701845907</v>
      </c>
      <c r="M275" s="89">
        <f>ABCD!N324</f>
        <v>4.2530912026801051</v>
      </c>
      <c r="N275" s="89" t="e">
        <v>#REF!</v>
      </c>
      <c r="O275" s="89" t="e">
        <v>#REF!</v>
      </c>
      <c r="P275" s="89" t="e">
        <v>#REF!</v>
      </c>
      <c r="Q275" s="89" t="e">
        <v>#REF!</v>
      </c>
      <c r="R275" s="89" t="e">
        <v>#REF!</v>
      </c>
      <c r="S275" s="89" t="e">
        <f>#REF!</f>
        <v>#REF!</v>
      </c>
      <c r="T275" s="89" t="e">
        <f>#REF!</f>
        <v>#REF!</v>
      </c>
      <c r="U275" s="89" t="e">
        <f>#REF!</f>
        <v>#REF!</v>
      </c>
      <c r="V275" s="89" t="e">
        <f>#REF!</f>
        <v>#REF!</v>
      </c>
      <c r="W275" s="89" t="e">
        <f>#REF!</f>
        <v>#REF!</v>
      </c>
      <c r="X275" s="89" t="e">
        <f>#REF!</f>
        <v>#REF!</v>
      </c>
      <c r="Y275" s="89" t="e">
        <f>#REF!</f>
        <v>#REF!</v>
      </c>
      <c r="Z275" s="89" t="e">
        <f>#REF!</f>
        <v>#REF!</v>
      </c>
      <c r="AA275" s="89" t="e">
        <f>#REF!</f>
        <v>#REF!</v>
      </c>
      <c r="AB275" s="89" t="e">
        <f>#REF!</f>
        <v>#REF!</v>
      </c>
      <c r="AC275" s="89" t="e">
        <f>#REF!</f>
        <v>#REF!</v>
      </c>
      <c r="AD275" s="89" t="e">
        <f>#REF!</f>
        <v>#REF!</v>
      </c>
      <c r="AE275" s="89" t="e">
        <f>#REF!</f>
        <v>#REF!</v>
      </c>
      <c r="AF275" s="89" t="e">
        <f>#REF!</f>
        <v>#REF!</v>
      </c>
      <c r="AG275" s="89" t="e">
        <f>#REF!</f>
        <v>#REF!</v>
      </c>
      <c r="AH275" s="89" t="e">
        <f>#REF!</f>
        <v>#REF!</v>
      </c>
      <c r="AI275" s="89" t="e">
        <f>#REF!</f>
        <v>#REF!</v>
      </c>
      <c r="AJ275" s="89" t="e">
        <f>#REF!</f>
        <v>#REF!</v>
      </c>
      <c r="AK275" s="89" t="e">
        <f>#REF!</f>
        <v>#REF!</v>
      </c>
      <c r="AL275" s="89" t="e">
        <f>#REF!</f>
        <v>#REF!</v>
      </c>
      <c r="AM275" s="89" t="e">
        <f>#REF!</f>
        <v>#REF!</v>
      </c>
      <c r="AN275" s="89" t="e">
        <f>#REF!</f>
        <v>#REF!</v>
      </c>
      <c r="AO275" s="89" t="e">
        <f>#REF!</f>
        <v>#REF!</v>
      </c>
      <c r="AP275" s="89" t="e">
        <f>#REF!</f>
        <v>#REF!</v>
      </c>
      <c r="AQ275" s="89" t="e">
        <f>#REF!</f>
        <v>#REF!</v>
      </c>
      <c r="AR275" s="89" t="e">
        <f>#REF!</f>
        <v>#REF!</v>
      </c>
      <c r="AS275" s="89" t="e">
        <f>#REF!</f>
        <v>#REF!</v>
      </c>
      <c r="AT275" s="89" t="e">
        <f>#REF!</f>
        <v>#REF!</v>
      </c>
      <c r="AU275" s="89" t="e">
        <f>#REF!</f>
        <v>#REF!</v>
      </c>
      <c r="AV275" s="89" t="e">
        <f>#REF!</f>
        <v>#REF!</v>
      </c>
      <c r="AW275" s="89" t="e">
        <f>#REF!</f>
        <v>#REF!</v>
      </c>
      <c r="AX275" s="89" t="e">
        <f>#REF!</f>
        <v>#REF!</v>
      </c>
      <c r="AY275" s="89" t="e">
        <f>#REF!</f>
        <v>#REF!</v>
      </c>
      <c r="AZ275" s="89" t="e">
        <f>#REF!</f>
        <v>#REF!</v>
      </c>
      <c r="BA275" s="89" t="e">
        <f>#REF!</f>
        <v>#REF!</v>
      </c>
      <c r="BB275" s="89" t="e">
        <f>#REF!</f>
        <v>#REF!</v>
      </c>
      <c r="BC275" s="89" t="e">
        <f>#REF!</f>
        <v>#REF!</v>
      </c>
      <c r="BD275" s="89" t="e">
        <f>#REF!</f>
        <v>#REF!</v>
      </c>
      <c r="BE275" s="89" t="e">
        <f>#REF!</f>
        <v>#REF!</v>
      </c>
      <c r="BF275" s="89" t="e">
        <f>#REF!</f>
        <v>#REF!</v>
      </c>
    </row>
    <row r="276" spans="9:58" x14ac:dyDescent="0.25">
      <c r="I276" s="89">
        <f>ABCD!J325</f>
        <v>68</v>
      </c>
      <c r="J276" s="89">
        <f>ABCD!K325</f>
        <v>223.04</v>
      </c>
      <c r="K276" s="89">
        <f>ABCD!L325</f>
        <v>-4.2591589752616406</v>
      </c>
      <c r="L276" s="89">
        <f>ABCD!M325</f>
        <v>-0.73344346908075875</v>
      </c>
      <c r="M276" s="89">
        <f>ABCD!N325</f>
        <v>4.3218485048517152</v>
      </c>
      <c r="N276" s="89" t="e">
        <v>#REF!</v>
      </c>
      <c r="O276" s="89" t="e">
        <v>#REF!</v>
      </c>
      <c r="P276" s="89" t="e">
        <v>#REF!</v>
      </c>
      <c r="Q276" s="89" t="e">
        <v>#REF!</v>
      </c>
      <c r="R276" s="89" t="e">
        <v>#REF!</v>
      </c>
      <c r="S276" s="89" t="e">
        <f>#REF!</f>
        <v>#REF!</v>
      </c>
      <c r="T276" s="89" t="e">
        <f>#REF!</f>
        <v>#REF!</v>
      </c>
      <c r="U276" s="89" t="e">
        <f>#REF!</f>
        <v>#REF!</v>
      </c>
      <c r="V276" s="89" t="e">
        <f>#REF!</f>
        <v>#REF!</v>
      </c>
      <c r="W276" s="89" t="e">
        <f>#REF!</f>
        <v>#REF!</v>
      </c>
      <c r="X276" s="89" t="e">
        <f>#REF!</f>
        <v>#REF!</v>
      </c>
      <c r="Y276" s="89" t="e">
        <f>#REF!</f>
        <v>#REF!</v>
      </c>
      <c r="Z276" s="89" t="e">
        <f>#REF!</f>
        <v>#REF!</v>
      </c>
      <c r="AA276" s="89" t="e">
        <f>#REF!</f>
        <v>#REF!</v>
      </c>
      <c r="AB276" s="89" t="e">
        <f>#REF!</f>
        <v>#REF!</v>
      </c>
      <c r="AC276" s="89" t="e">
        <f>#REF!</f>
        <v>#REF!</v>
      </c>
      <c r="AD276" s="89" t="e">
        <f>#REF!</f>
        <v>#REF!</v>
      </c>
      <c r="AE276" s="89" t="e">
        <f>#REF!</f>
        <v>#REF!</v>
      </c>
      <c r="AF276" s="89" t="e">
        <f>#REF!</f>
        <v>#REF!</v>
      </c>
      <c r="AG276" s="89" t="e">
        <f>#REF!</f>
        <v>#REF!</v>
      </c>
      <c r="AH276" s="89" t="e">
        <f>#REF!</f>
        <v>#REF!</v>
      </c>
      <c r="AI276" s="89" t="e">
        <f>#REF!</f>
        <v>#REF!</v>
      </c>
      <c r="AJ276" s="89" t="e">
        <f>#REF!</f>
        <v>#REF!</v>
      </c>
      <c r="AK276" s="89" t="e">
        <f>#REF!</f>
        <v>#REF!</v>
      </c>
      <c r="AL276" s="89" t="e">
        <f>#REF!</f>
        <v>#REF!</v>
      </c>
      <c r="AM276" s="89" t="e">
        <f>#REF!</f>
        <v>#REF!</v>
      </c>
      <c r="AN276" s="89" t="e">
        <f>#REF!</f>
        <v>#REF!</v>
      </c>
      <c r="AO276" s="89" t="e">
        <f>#REF!</f>
        <v>#REF!</v>
      </c>
      <c r="AP276" s="89" t="e">
        <f>#REF!</f>
        <v>#REF!</v>
      </c>
      <c r="AQ276" s="89" t="e">
        <f>#REF!</f>
        <v>#REF!</v>
      </c>
      <c r="AR276" s="89" t="e">
        <f>#REF!</f>
        <v>#REF!</v>
      </c>
      <c r="AS276" s="89" t="e">
        <f>#REF!</f>
        <v>#REF!</v>
      </c>
      <c r="AT276" s="89" t="e">
        <f>#REF!</f>
        <v>#REF!</v>
      </c>
      <c r="AU276" s="89" t="e">
        <f>#REF!</f>
        <v>#REF!</v>
      </c>
      <c r="AV276" s="89" t="e">
        <f>#REF!</f>
        <v>#REF!</v>
      </c>
      <c r="AW276" s="89" t="e">
        <f>#REF!</f>
        <v>#REF!</v>
      </c>
      <c r="AX276" s="89" t="e">
        <f>#REF!</f>
        <v>#REF!</v>
      </c>
      <c r="AY276" s="89" t="e">
        <f>#REF!</f>
        <v>#REF!</v>
      </c>
      <c r="AZ276" s="89" t="e">
        <f>#REF!</f>
        <v>#REF!</v>
      </c>
      <c r="BA276" s="89" t="e">
        <f>#REF!</f>
        <v>#REF!</v>
      </c>
      <c r="BB276" s="89" t="e">
        <f>#REF!</f>
        <v>#REF!</v>
      </c>
      <c r="BC276" s="89" t="e">
        <f>#REF!</f>
        <v>#REF!</v>
      </c>
      <c r="BD276" s="89" t="e">
        <f>#REF!</f>
        <v>#REF!</v>
      </c>
      <c r="BE276" s="89" t="e">
        <f>#REF!</f>
        <v>#REF!</v>
      </c>
      <c r="BF276" s="89" t="e">
        <f>#REF!</f>
        <v>#REF!</v>
      </c>
    </row>
    <row r="277" spans="9:58" x14ac:dyDescent="0.25">
      <c r="I277" s="89">
        <f>ABCD!J326</f>
        <v>68.25</v>
      </c>
      <c r="J277" s="89">
        <f>ABCD!K326</f>
        <v>223.85999999999999</v>
      </c>
      <c r="K277" s="89">
        <f>ABCD!L326</f>
        <v>-4.3256625895085898</v>
      </c>
      <c r="L277" s="89">
        <f>ABCD!M326</f>
        <v>-0.74616553480403169</v>
      </c>
      <c r="M277" s="89">
        <f>ABCD!N326</f>
        <v>4.389546655818064</v>
      </c>
      <c r="N277" s="89" t="e">
        <v>#REF!</v>
      </c>
      <c r="O277" s="89" t="e">
        <v>#REF!</v>
      </c>
      <c r="P277" s="89" t="e">
        <v>#REF!</v>
      </c>
      <c r="Q277" s="89" t="e">
        <v>#REF!</v>
      </c>
      <c r="R277" s="89" t="e">
        <v>#REF!</v>
      </c>
      <c r="S277" s="89" t="e">
        <f>#REF!</f>
        <v>#REF!</v>
      </c>
      <c r="T277" s="89" t="e">
        <f>#REF!</f>
        <v>#REF!</v>
      </c>
      <c r="U277" s="89" t="e">
        <f>#REF!</f>
        <v>#REF!</v>
      </c>
      <c r="V277" s="89" t="e">
        <f>#REF!</f>
        <v>#REF!</v>
      </c>
      <c r="W277" s="89" t="e">
        <f>#REF!</f>
        <v>#REF!</v>
      </c>
      <c r="X277" s="89" t="e">
        <f>#REF!</f>
        <v>#REF!</v>
      </c>
      <c r="Y277" s="89" t="e">
        <f>#REF!</f>
        <v>#REF!</v>
      </c>
      <c r="Z277" s="89" t="e">
        <f>#REF!</f>
        <v>#REF!</v>
      </c>
      <c r="AA277" s="89" t="e">
        <f>#REF!</f>
        <v>#REF!</v>
      </c>
      <c r="AB277" s="89" t="e">
        <f>#REF!</f>
        <v>#REF!</v>
      </c>
      <c r="AC277" s="89" t="e">
        <f>#REF!</f>
        <v>#REF!</v>
      </c>
      <c r="AD277" s="89" t="e">
        <f>#REF!</f>
        <v>#REF!</v>
      </c>
      <c r="AE277" s="89" t="e">
        <f>#REF!</f>
        <v>#REF!</v>
      </c>
      <c r="AF277" s="89" t="e">
        <f>#REF!</f>
        <v>#REF!</v>
      </c>
      <c r="AG277" s="89" t="e">
        <f>#REF!</f>
        <v>#REF!</v>
      </c>
      <c r="AH277" s="89" t="e">
        <f>#REF!</f>
        <v>#REF!</v>
      </c>
      <c r="AI277" s="89" t="e">
        <f>#REF!</f>
        <v>#REF!</v>
      </c>
      <c r="AJ277" s="89" t="e">
        <f>#REF!</f>
        <v>#REF!</v>
      </c>
      <c r="AK277" s="89" t="e">
        <f>#REF!</f>
        <v>#REF!</v>
      </c>
      <c r="AL277" s="89" t="e">
        <f>#REF!</f>
        <v>#REF!</v>
      </c>
      <c r="AM277" s="89" t="e">
        <f>#REF!</f>
        <v>#REF!</v>
      </c>
      <c r="AN277" s="89" t="e">
        <f>#REF!</f>
        <v>#REF!</v>
      </c>
      <c r="AO277" s="89" t="e">
        <f>#REF!</f>
        <v>#REF!</v>
      </c>
      <c r="AP277" s="89" t="e">
        <f>#REF!</f>
        <v>#REF!</v>
      </c>
      <c r="AQ277" s="89" t="e">
        <f>#REF!</f>
        <v>#REF!</v>
      </c>
      <c r="AR277" s="89" t="e">
        <f>#REF!</f>
        <v>#REF!</v>
      </c>
      <c r="AS277" s="89" t="e">
        <f>#REF!</f>
        <v>#REF!</v>
      </c>
      <c r="AT277" s="89" t="e">
        <f>#REF!</f>
        <v>#REF!</v>
      </c>
      <c r="AU277" s="89" t="e">
        <f>#REF!</f>
        <v>#REF!</v>
      </c>
      <c r="AV277" s="89" t="e">
        <f>#REF!</f>
        <v>#REF!</v>
      </c>
      <c r="AW277" s="89" t="e">
        <f>#REF!</f>
        <v>#REF!</v>
      </c>
      <c r="AX277" s="89" t="e">
        <f>#REF!</f>
        <v>#REF!</v>
      </c>
      <c r="AY277" s="89" t="e">
        <f>#REF!</f>
        <v>#REF!</v>
      </c>
      <c r="AZ277" s="89" t="e">
        <f>#REF!</f>
        <v>#REF!</v>
      </c>
      <c r="BA277" s="89" t="e">
        <f>#REF!</f>
        <v>#REF!</v>
      </c>
      <c r="BB277" s="89" t="e">
        <f>#REF!</f>
        <v>#REF!</v>
      </c>
      <c r="BC277" s="89" t="e">
        <f>#REF!</f>
        <v>#REF!</v>
      </c>
      <c r="BD277" s="89" t="e">
        <f>#REF!</f>
        <v>#REF!</v>
      </c>
      <c r="BE277" s="89" t="e">
        <f>#REF!</f>
        <v>#REF!</v>
      </c>
      <c r="BF277" s="89" t="e">
        <f>#REF!</f>
        <v>#REF!</v>
      </c>
    </row>
    <row r="278" spans="9:58" x14ac:dyDescent="0.25">
      <c r="I278" s="89">
        <f>ABCD!J327</f>
        <v>68.5</v>
      </c>
      <c r="J278" s="89">
        <f>ABCD!K327</f>
        <v>224.67999999999998</v>
      </c>
      <c r="K278" s="89">
        <f>ABCD!L327</f>
        <v>-4.3911078368236662</v>
      </c>
      <c r="L278" s="89">
        <f>ABCD!M327</f>
        <v>-0.75870391016440086</v>
      </c>
      <c r="M278" s="89">
        <f>ABCD!N327</f>
        <v>4.4561709637213172</v>
      </c>
      <c r="N278" s="89" t="e">
        <v>#REF!</v>
      </c>
      <c r="O278" s="89" t="e">
        <v>#REF!</v>
      </c>
      <c r="P278" s="89" t="e">
        <v>#REF!</v>
      </c>
      <c r="Q278" s="89" t="e">
        <v>#REF!</v>
      </c>
      <c r="R278" s="89" t="e">
        <v>#REF!</v>
      </c>
      <c r="S278" s="89" t="e">
        <f>#REF!</f>
        <v>#REF!</v>
      </c>
      <c r="T278" s="89" t="e">
        <f>#REF!</f>
        <v>#REF!</v>
      </c>
      <c r="U278" s="89" t="e">
        <f>#REF!</f>
        <v>#REF!</v>
      </c>
      <c r="V278" s="89" t="e">
        <f>#REF!</f>
        <v>#REF!</v>
      </c>
      <c r="W278" s="89" t="e">
        <f>#REF!</f>
        <v>#REF!</v>
      </c>
      <c r="X278" s="89" t="e">
        <f>#REF!</f>
        <v>#REF!</v>
      </c>
      <c r="Y278" s="89" t="e">
        <f>#REF!</f>
        <v>#REF!</v>
      </c>
      <c r="Z278" s="89" t="e">
        <f>#REF!</f>
        <v>#REF!</v>
      </c>
      <c r="AA278" s="89" t="e">
        <f>#REF!</f>
        <v>#REF!</v>
      </c>
      <c r="AB278" s="89" t="e">
        <f>#REF!</f>
        <v>#REF!</v>
      </c>
      <c r="AC278" s="89" t="e">
        <f>#REF!</f>
        <v>#REF!</v>
      </c>
      <c r="AD278" s="89" t="e">
        <f>#REF!</f>
        <v>#REF!</v>
      </c>
      <c r="AE278" s="89" t="e">
        <f>#REF!</f>
        <v>#REF!</v>
      </c>
      <c r="AF278" s="89" t="e">
        <f>#REF!</f>
        <v>#REF!</v>
      </c>
      <c r="AG278" s="89" t="e">
        <f>#REF!</f>
        <v>#REF!</v>
      </c>
      <c r="AH278" s="89" t="e">
        <f>#REF!</f>
        <v>#REF!</v>
      </c>
      <c r="AI278" s="89" t="e">
        <f>#REF!</f>
        <v>#REF!</v>
      </c>
      <c r="AJ278" s="89" t="e">
        <f>#REF!</f>
        <v>#REF!</v>
      </c>
      <c r="AK278" s="89" t="e">
        <f>#REF!</f>
        <v>#REF!</v>
      </c>
      <c r="AL278" s="89" t="e">
        <f>#REF!</f>
        <v>#REF!</v>
      </c>
      <c r="AM278" s="89" t="e">
        <f>#REF!</f>
        <v>#REF!</v>
      </c>
      <c r="AN278" s="89" t="e">
        <f>#REF!</f>
        <v>#REF!</v>
      </c>
      <c r="AO278" s="89" t="e">
        <f>#REF!</f>
        <v>#REF!</v>
      </c>
      <c r="AP278" s="89" t="e">
        <f>#REF!</f>
        <v>#REF!</v>
      </c>
      <c r="AQ278" s="89" t="e">
        <f>#REF!</f>
        <v>#REF!</v>
      </c>
      <c r="AR278" s="89" t="e">
        <f>#REF!</f>
        <v>#REF!</v>
      </c>
      <c r="AS278" s="89" t="e">
        <f>#REF!</f>
        <v>#REF!</v>
      </c>
      <c r="AT278" s="89" t="e">
        <f>#REF!</f>
        <v>#REF!</v>
      </c>
      <c r="AU278" s="89" t="e">
        <f>#REF!</f>
        <v>#REF!</v>
      </c>
      <c r="AV278" s="89" t="e">
        <f>#REF!</f>
        <v>#REF!</v>
      </c>
      <c r="AW278" s="89" t="e">
        <f>#REF!</f>
        <v>#REF!</v>
      </c>
      <c r="AX278" s="89" t="e">
        <f>#REF!</f>
        <v>#REF!</v>
      </c>
      <c r="AY278" s="89" t="e">
        <f>#REF!</f>
        <v>#REF!</v>
      </c>
      <c r="AZ278" s="89" t="e">
        <f>#REF!</f>
        <v>#REF!</v>
      </c>
      <c r="BA278" s="89" t="e">
        <f>#REF!</f>
        <v>#REF!</v>
      </c>
      <c r="BB278" s="89" t="e">
        <f>#REF!</f>
        <v>#REF!</v>
      </c>
      <c r="BC278" s="89" t="e">
        <f>#REF!</f>
        <v>#REF!</v>
      </c>
      <c r="BD278" s="89" t="e">
        <f>#REF!</f>
        <v>#REF!</v>
      </c>
      <c r="BE278" s="89" t="e">
        <f>#REF!</f>
        <v>#REF!</v>
      </c>
      <c r="BF278" s="89" t="e">
        <f>#REF!</f>
        <v>#REF!</v>
      </c>
    </row>
    <row r="279" spans="9:58" x14ac:dyDescent="0.25">
      <c r="I279" s="89">
        <f>ABCD!J328</f>
        <v>68.75</v>
      </c>
      <c r="J279" s="89">
        <f>ABCD!K328</f>
        <v>225.5</v>
      </c>
      <c r="K279" s="89">
        <f>ABCD!L328</f>
        <v>-4.4554805618573186</v>
      </c>
      <c r="L279" s="89">
        <f>ABCD!M328</f>
        <v>-0.77105586603676701</v>
      </c>
      <c r="M279" s="89">
        <f>ABCD!N328</f>
        <v>4.5217069990920589</v>
      </c>
      <c r="N279" s="89" t="e">
        <v>#REF!</v>
      </c>
      <c r="O279" s="89" t="e">
        <v>#REF!</v>
      </c>
      <c r="P279" s="89" t="e">
        <v>#REF!</v>
      </c>
      <c r="Q279" s="89" t="e">
        <v>#REF!</v>
      </c>
      <c r="R279" s="89" t="e">
        <v>#REF!</v>
      </c>
      <c r="S279" s="89" t="e">
        <f>#REF!</f>
        <v>#REF!</v>
      </c>
      <c r="T279" s="89" t="e">
        <f>#REF!</f>
        <v>#REF!</v>
      </c>
      <c r="U279" s="89" t="e">
        <f>#REF!</f>
        <v>#REF!</v>
      </c>
      <c r="V279" s="89" t="e">
        <f>#REF!</f>
        <v>#REF!</v>
      </c>
      <c r="W279" s="89" t="e">
        <f>#REF!</f>
        <v>#REF!</v>
      </c>
      <c r="X279" s="89" t="e">
        <f>#REF!</f>
        <v>#REF!</v>
      </c>
      <c r="Y279" s="89" t="e">
        <f>#REF!</f>
        <v>#REF!</v>
      </c>
      <c r="Z279" s="89" t="e">
        <f>#REF!</f>
        <v>#REF!</v>
      </c>
      <c r="AA279" s="89" t="e">
        <f>#REF!</f>
        <v>#REF!</v>
      </c>
      <c r="AB279" s="89" t="e">
        <f>#REF!</f>
        <v>#REF!</v>
      </c>
      <c r="AC279" s="89" t="e">
        <f>#REF!</f>
        <v>#REF!</v>
      </c>
      <c r="AD279" s="89" t="e">
        <f>#REF!</f>
        <v>#REF!</v>
      </c>
      <c r="AE279" s="89" t="e">
        <f>#REF!</f>
        <v>#REF!</v>
      </c>
      <c r="AF279" s="89" t="e">
        <f>#REF!</f>
        <v>#REF!</v>
      </c>
      <c r="AG279" s="89" t="e">
        <f>#REF!</f>
        <v>#REF!</v>
      </c>
      <c r="AH279" s="89" t="e">
        <f>#REF!</f>
        <v>#REF!</v>
      </c>
      <c r="AI279" s="89" t="e">
        <f>#REF!</f>
        <v>#REF!</v>
      </c>
      <c r="AJ279" s="89" t="e">
        <f>#REF!</f>
        <v>#REF!</v>
      </c>
      <c r="AK279" s="89" t="e">
        <f>#REF!</f>
        <v>#REF!</v>
      </c>
      <c r="AL279" s="89" t="e">
        <f>#REF!</f>
        <v>#REF!</v>
      </c>
      <c r="AM279" s="89" t="e">
        <f>#REF!</f>
        <v>#REF!</v>
      </c>
      <c r="AN279" s="89" t="e">
        <f>#REF!</f>
        <v>#REF!</v>
      </c>
      <c r="AO279" s="89" t="e">
        <f>#REF!</f>
        <v>#REF!</v>
      </c>
      <c r="AP279" s="89" t="e">
        <f>#REF!</f>
        <v>#REF!</v>
      </c>
      <c r="AQ279" s="89" t="e">
        <f>#REF!</f>
        <v>#REF!</v>
      </c>
      <c r="AR279" s="89" t="e">
        <f>#REF!</f>
        <v>#REF!</v>
      </c>
      <c r="AS279" s="89" t="e">
        <f>#REF!</f>
        <v>#REF!</v>
      </c>
      <c r="AT279" s="89" t="e">
        <f>#REF!</f>
        <v>#REF!</v>
      </c>
      <c r="AU279" s="89" t="e">
        <f>#REF!</f>
        <v>#REF!</v>
      </c>
      <c r="AV279" s="89" t="e">
        <f>#REF!</f>
        <v>#REF!</v>
      </c>
      <c r="AW279" s="89" t="e">
        <f>#REF!</f>
        <v>#REF!</v>
      </c>
      <c r="AX279" s="89" t="e">
        <f>#REF!</f>
        <v>#REF!</v>
      </c>
      <c r="AY279" s="89" t="e">
        <f>#REF!</f>
        <v>#REF!</v>
      </c>
      <c r="AZ279" s="89" t="e">
        <f>#REF!</f>
        <v>#REF!</v>
      </c>
      <c r="BA279" s="89" t="e">
        <f>#REF!</f>
        <v>#REF!</v>
      </c>
      <c r="BB279" s="89" t="e">
        <f>#REF!</f>
        <v>#REF!</v>
      </c>
      <c r="BC279" s="89" t="e">
        <f>#REF!</f>
        <v>#REF!</v>
      </c>
      <c r="BD279" s="89" t="e">
        <f>#REF!</f>
        <v>#REF!</v>
      </c>
      <c r="BE279" s="89" t="e">
        <f>#REF!</f>
        <v>#REF!</v>
      </c>
      <c r="BF279" s="89" t="e">
        <f>#REF!</f>
        <v>#REF!</v>
      </c>
    </row>
    <row r="280" spans="9:58" x14ac:dyDescent="0.25">
      <c r="I280" s="89">
        <f>ABCD!J329</f>
        <v>69</v>
      </c>
      <c r="J280" s="89">
        <f>ABCD!K329</f>
        <v>226.32</v>
      </c>
      <c r="K280" s="89">
        <f>ABCD!L329</f>
        <v>-4.5187668695762691</v>
      </c>
      <c r="L280" s="89">
        <f>ABCD!M329</f>
        <v>-0.78321871878440885</v>
      </c>
      <c r="M280" s="89">
        <f>ABCD!N329</f>
        <v>4.5861405978267182</v>
      </c>
      <c r="N280" s="89" t="e">
        <v>#REF!</v>
      </c>
      <c r="O280" s="89" t="e">
        <v>#REF!</v>
      </c>
      <c r="P280" s="89" t="e">
        <v>#REF!</v>
      </c>
      <c r="Q280" s="89" t="e">
        <v>#REF!</v>
      </c>
      <c r="R280" s="89" t="e">
        <v>#REF!</v>
      </c>
      <c r="S280" s="89" t="e">
        <f>#REF!</f>
        <v>#REF!</v>
      </c>
      <c r="T280" s="89" t="e">
        <f>#REF!</f>
        <v>#REF!</v>
      </c>
      <c r="U280" s="89" t="e">
        <f>#REF!</f>
        <v>#REF!</v>
      </c>
      <c r="V280" s="89" t="e">
        <f>#REF!</f>
        <v>#REF!</v>
      </c>
      <c r="W280" s="89" t="e">
        <f>#REF!</f>
        <v>#REF!</v>
      </c>
      <c r="X280" s="89" t="e">
        <f>#REF!</f>
        <v>#REF!</v>
      </c>
      <c r="Y280" s="89" t="e">
        <f>#REF!</f>
        <v>#REF!</v>
      </c>
      <c r="Z280" s="89" t="e">
        <f>#REF!</f>
        <v>#REF!</v>
      </c>
      <c r="AA280" s="89" t="e">
        <f>#REF!</f>
        <v>#REF!</v>
      </c>
      <c r="AB280" s="89" t="e">
        <f>#REF!</f>
        <v>#REF!</v>
      </c>
      <c r="AC280" s="89" t="e">
        <f>#REF!</f>
        <v>#REF!</v>
      </c>
      <c r="AD280" s="89" t="e">
        <f>#REF!</f>
        <v>#REF!</v>
      </c>
      <c r="AE280" s="89" t="e">
        <f>#REF!</f>
        <v>#REF!</v>
      </c>
      <c r="AF280" s="89" t="e">
        <f>#REF!</f>
        <v>#REF!</v>
      </c>
      <c r="AG280" s="89" t="e">
        <f>#REF!</f>
        <v>#REF!</v>
      </c>
      <c r="AH280" s="89" t="e">
        <f>#REF!</f>
        <v>#REF!</v>
      </c>
      <c r="AI280" s="89" t="e">
        <f>#REF!</f>
        <v>#REF!</v>
      </c>
      <c r="AJ280" s="89" t="e">
        <f>#REF!</f>
        <v>#REF!</v>
      </c>
      <c r="AK280" s="89" t="e">
        <f>#REF!</f>
        <v>#REF!</v>
      </c>
      <c r="AL280" s="89" t="e">
        <f>#REF!</f>
        <v>#REF!</v>
      </c>
      <c r="AM280" s="89" t="e">
        <f>#REF!</f>
        <v>#REF!</v>
      </c>
      <c r="AN280" s="89" t="e">
        <f>#REF!</f>
        <v>#REF!</v>
      </c>
      <c r="AO280" s="89" t="e">
        <f>#REF!</f>
        <v>#REF!</v>
      </c>
      <c r="AP280" s="89" t="e">
        <f>#REF!</f>
        <v>#REF!</v>
      </c>
      <c r="AQ280" s="89" t="e">
        <f>#REF!</f>
        <v>#REF!</v>
      </c>
      <c r="AR280" s="89" t="e">
        <f>#REF!</f>
        <v>#REF!</v>
      </c>
      <c r="AS280" s="89" t="e">
        <f>#REF!</f>
        <v>#REF!</v>
      </c>
      <c r="AT280" s="89" t="e">
        <f>#REF!</f>
        <v>#REF!</v>
      </c>
      <c r="AU280" s="89" t="e">
        <f>#REF!</f>
        <v>#REF!</v>
      </c>
      <c r="AV280" s="89" t="e">
        <f>#REF!</f>
        <v>#REF!</v>
      </c>
      <c r="AW280" s="89" t="e">
        <f>#REF!</f>
        <v>#REF!</v>
      </c>
      <c r="AX280" s="89" t="e">
        <f>#REF!</f>
        <v>#REF!</v>
      </c>
      <c r="AY280" s="89" t="e">
        <f>#REF!</f>
        <v>#REF!</v>
      </c>
      <c r="AZ280" s="89" t="e">
        <f>#REF!</f>
        <v>#REF!</v>
      </c>
      <c r="BA280" s="89" t="e">
        <f>#REF!</f>
        <v>#REF!</v>
      </c>
      <c r="BB280" s="89" t="e">
        <f>#REF!</f>
        <v>#REF!</v>
      </c>
      <c r="BC280" s="89" t="e">
        <f>#REF!</f>
        <v>#REF!</v>
      </c>
      <c r="BD280" s="89" t="e">
        <f>#REF!</f>
        <v>#REF!</v>
      </c>
      <c r="BE280" s="89" t="e">
        <f>#REF!</f>
        <v>#REF!</v>
      </c>
      <c r="BF280" s="89" t="e">
        <f>#REF!</f>
        <v>#REF!</v>
      </c>
    </row>
    <row r="281" spans="9:58" x14ac:dyDescent="0.25">
      <c r="I281" s="89">
        <f>ABCD!J330</f>
        <v>69.25</v>
      </c>
      <c r="J281" s="89">
        <f>ABCD!K330</f>
        <v>227.14</v>
      </c>
      <c r="K281" s="89">
        <f>ABCD!L330</f>
        <v>-4.5809531282368878</v>
      </c>
      <c r="L281" s="89">
        <f>ABCD!M330</f>
        <v>-0.79518983083756489</v>
      </c>
      <c r="M281" s="89">
        <f>ABCD!N330</f>
        <v>4.6494578641139235</v>
      </c>
      <c r="N281" s="89" t="e">
        <v>#REF!</v>
      </c>
      <c r="O281" s="89" t="e">
        <v>#REF!</v>
      </c>
      <c r="P281" s="89" t="e">
        <v>#REF!</v>
      </c>
      <c r="Q281" s="89" t="e">
        <v>#REF!</v>
      </c>
      <c r="R281" s="89" t="e">
        <v>#REF!</v>
      </c>
      <c r="S281" s="89" t="e">
        <f>#REF!</f>
        <v>#REF!</v>
      </c>
      <c r="T281" s="89" t="e">
        <f>#REF!</f>
        <v>#REF!</v>
      </c>
      <c r="U281" s="89" t="e">
        <f>#REF!</f>
        <v>#REF!</v>
      </c>
      <c r="V281" s="89" t="e">
        <f>#REF!</f>
        <v>#REF!</v>
      </c>
      <c r="W281" s="89" t="e">
        <f>#REF!</f>
        <v>#REF!</v>
      </c>
      <c r="X281" s="89" t="e">
        <f>#REF!</f>
        <v>#REF!</v>
      </c>
      <c r="Y281" s="89" t="e">
        <f>#REF!</f>
        <v>#REF!</v>
      </c>
      <c r="Z281" s="89" t="e">
        <f>#REF!</f>
        <v>#REF!</v>
      </c>
      <c r="AA281" s="89" t="e">
        <f>#REF!</f>
        <v>#REF!</v>
      </c>
      <c r="AB281" s="89" t="e">
        <f>#REF!</f>
        <v>#REF!</v>
      </c>
      <c r="AC281" s="89" t="e">
        <f>#REF!</f>
        <v>#REF!</v>
      </c>
      <c r="AD281" s="89" t="e">
        <f>#REF!</f>
        <v>#REF!</v>
      </c>
      <c r="AE281" s="89" t="e">
        <f>#REF!</f>
        <v>#REF!</v>
      </c>
      <c r="AF281" s="89" t="e">
        <f>#REF!</f>
        <v>#REF!</v>
      </c>
      <c r="AG281" s="89" t="e">
        <f>#REF!</f>
        <v>#REF!</v>
      </c>
      <c r="AH281" s="89" t="e">
        <f>#REF!</f>
        <v>#REF!</v>
      </c>
      <c r="AI281" s="89" t="e">
        <f>#REF!</f>
        <v>#REF!</v>
      </c>
      <c r="AJ281" s="89" t="e">
        <f>#REF!</f>
        <v>#REF!</v>
      </c>
      <c r="AK281" s="89" t="e">
        <f>#REF!</f>
        <v>#REF!</v>
      </c>
      <c r="AL281" s="89" t="e">
        <f>#REF!</f>
        <v>#REF!</v>
      </c>
      <c r="AM281" s="89" t="e">
        <f>#REF!</f>
        <v>#REF!</v>
      </c>
      <c r="AN281" s="89" t="e">
        <f>#REF!</f>
        <v>#REF!</v>
      </c>
      <c r="AO281" s="89" t="e">
        <f>#REF!</f>
        <v>#REF!</v>
      </c>
      <c r="AP281" s="89" t="e">
        <f>#REF!</f>
        <v>#REF!</v>
      </c>
      <c r="AQ281" s="89" t="e">
        <f>#REF!</f>
        <v>#REF!</v>
      </c>
      <c r="AR281" s="89" t="e">
        <f>#REF!</f>
        <v>#REF!</v>
      </c>
      <c r="AS281" s="89" t="e">
        <f>#REF!</f>
        <v>#REF!</v>
      </c>
      <c r="AT281" s="89" t="e">
        <f>#REF!</f>
        <v>#REF!</v>
      </c>
      <c r="AU281" s="89" t="e">
        <f>#REF!</f>
        <v>#REF!</v>
      </c>
      <c r="AV281" s="89" t="e">
        <f>#REF!</f>
        <v>#REF!</v>
      </c>
      <c r="AW281" s="89" t="e">
        <f>#REF!</f>
        <v>#REF!</v>
      </c>
      <c r="AX281" s="89" t="e">
        <f>#REF!</f>
        <v>#REF!</v>
      </c>
      <c r="AY281" s="89" t="e">
        <f>#REF!</f>
        <v>#REF!</v>
      </c>
      <c r="AZ281" s="89" t="e">
        <f>#REF!</f>
        <v>#REF!</v>
      </c>
      <c r="BA281" s="89" t="e">
        <f>#REF!</f>
        <v>#REF!</v>
      </c>
      <c r="BB281" s="89" t="e">
        <f>#REF!</f>
        <v>#REF!</v>
      </c>
      <c r="BC281" s="89" t="e">
        <f>#REF!</f>
        <v>#REF!</v>
      </c>
      <c r="BD281" s="89" t="e">
        <f>#REF!</f>
        <v>#REF!</v>
      </c>
      <c r="BE281" s="89" t="e">
        <f>#REF!</f>
        <v>#REF!</v>
      </c>
      <c r="BF281" s="89" t="e">
        <f>#REF!</f>
        <v>#REF!</v>
      </c>
    </row>
    <row r="282" spans="9:58" x14ac:dyDescent="0.25">
      <c r="I282" s="89">
        <f>ABCD!J331</f>
        <v>69.5</v>
      </c>
      <c r="J282" s="89">
        <f>ABCD!K331</f>
        <v>227.95999999999998</v>
      </c>
      <c r="K282" s="89">
        <f>ABCD!L331</f>
        <v>-4.6420259722951043</v>
      </c>
      <c r="L282" s="89">
        <f>ABCD!M331</f>
        <v>-0.80696661126084712</v>
      </c>
      <c r="M282" s="89">
        <f>ABCD!N331</f>
        <v>4.7116451733075282</v>
      </c>
      <c r="N282" s="89" t="e">
        <v>#REF!</v>
      </c>
      <c r="O282" s="89" t="e">
        <v>#REF!</v>
      </c>
      <c r="P282" s="89" t="e">
        <v>#REF!</v>
      </c>
      <c r="Q282" s="89" t="e">
        <v>#REF!</v>
      </c>
      <c r="R282" s="89" t="e">
        <v>#REF!</v>
      </c>
      <c r="S282" s="89" t="e">
        <f>#REF!</f>
        <v>#REF!</v>
      </c>
      <c r="T282" s="89" t="e">
        <f>#REF!</f>
        <v>#REF!</v>
      </c>
      <c r="U282" s="89" t="e">
        <f>#REF!</f>
        <v>#REF!</v>
      </c>
      <c r="V282" s="89" t="e">
        <f>#REF!</f>
        <v>#REF!</v>
      </c>
      <c r="W282" s="89" t="e">
        <f>#REF!</f>
        <v>#REF!</v>
      </c>
      <c r="X282" s="89" t="e">
        <f>#REF!</f>
        <v>#REF!</v>
      </c>
      <c r="Y282" s="89" t="e">
        <f>#REF!</f>
        <v>#REF!</v>
      </c>
      <c r="Z282" s="89" t="e">
        <f>#REF!</f>
        <v>#REF!</v>
      </c>
      <c r="AA282" s="89" t="e">
        <f>#REF!</f>
        <v>#REF!</v>
      </c>
      <c r="AB282" s="89" t="e">
        <f>#REF!</f>
        <v>#REF!</v>
      </c>
      <c r="AC282" s="89" t="e">
        <f>#REF!</f>
        <v>#REF!</v>
      </c>
      <c r="AD282" s="89" t="e">
        <f>#REF!</f>
        <v>#REF!</v>
      </c>
      <c r="AE282" s="89" t="e">
        <f>#REF!</f>
        <v>#REF!</v>
      </c>
      <c r="AF282" s="89" t="e">
        <f>#REF!</f>
        <v>#REF!</v>
      </c>
      <c r="AG282" s="89" t="e">
        <f>#REF!</f>
        <v>#REF!</v>
      </c>
      <c r="AH282" s="89" t="e">
        <f>#REF!</f>
        <v>#REF!</v>
      </c>
      <c r="AI282" s="89" t="e">
        <f>#REF!</f>
        <v>#REF!</v>
      </c>
      <c r="AJ282" s="89" t="e">
        <f>#REF!</f>
        <v>#REF!</v>
      </c>
      <c r="AK282" s="89" t="e">
        <f>#REF!</f>
        <v>#REF!</v>
      </c>
      <c r="AL282" s="89" t="e">
        <f>#REF!</f>
        <v>#REF!</v>
      </c>
      <c r="AM282" s="89" t="e">
        <f>#REF!</f>
        <v>#REF!</v>
      </c>
      <c r="AN282" s="89" t="e">
        <f>#REF!</f>
        <v>#REF!</v>
      </c>
      <c r="AO282" s="89" t="e">
        <f>#REF!</f>
        <v>#REF!</v>
      </c>
      <c r="AP282" s="89" t="e">
        <f>#REF!</f>
        <v>#REF!</v>
      </c>
      <c r="AQ282" s="89" t="e">
        <f>#REF!</f>
        <v>#REF!</v>
      </c>
      <c r="AR282" s="89" t="e">
        <f>#REF!</f>
        <v>#REF!</v>
      </c>
      <c r="AS282" s="89" t="e">
        <f>#REF!</f>
        <v>#REF!</v>
      </c>
      <c r="AT282" s="89" t="e">
        <f>#REF!</f>
        <v>#REF!</v>
      </c>
      <c r="AU282" s="89" t="e">
        <f>#REF!</f>
        <v>#REF!</v>
      </c>
      <c r="AV282" s="89" t="e">
        <f>#REF!</f>
        <v>#REF!</v>
      </c>
      <c r="AW282" s="89" t="e">
        <f>#REF!</f>
        <v>#REF!</v>
      </c>
      <c r="AX282" s="89" t="e">
        <f>#REF!</f>
        <v>#REF!</v>
      </c>
      <c r="AY282" s="89" t="e">
        <f>#REF!</f>
        <v>#REF!</v>
      </c>
      <c r="AZ282" s="89" t="e">
        <f>#REF!</f>
        <v>#REF!</v>
      </c>
      <c r="BA282" s="89" t="e">
        <f>#REF!</f>
        <v>#REF!</v>
      </c>
      <c r="BB282" s="89" t="e">
        <f>#REF!</f>
        <v>#REF!</v>
      </c>
      <c r="BC282" s="89" t="e">
        <f>#REF!</f>
        <v>#REF!</v>
      </c>
      <c r="BD282" s="89" t="e">
        <f>#REF!</f>
        <v>#REF!</v>
      </c>
      <c r="BE282" s="89" t="e">
        <f>#REF!</f>
        <v>#REF!</v>
      </c>
      <c r="BF282" s="89" t="e">
        <f>#REF!</f>
        <v>#REF!</v>
      </c>
    </row>
    <row r="283" spans="9:58" x14ac:dyDescent="0.25">
      <c r="I283" s="89">
        <f>ABCD!J332</f>
        <v>69.75</v>
      </c>
      <c r="J283" s="89">
        <f>ABCD!K332</f>
        <v>228.77999999999997</v>
      </c>
      <c r="K283" s="89">
        <f>ABCD!L332</f>
        <v>-4.7019723052522497</v>
      </c>
      <c r="L283" s="89">
        <f>ABCD!M332</f>
        <v>-0.81854651630938036</v>
      </c>
      <c r="M283" s="89">
        <f>ABCD!N332</f>
        <v>4.7726891747442952</v>
      </c>
      <c r="N283" s="89" t="e">
        <v>#REF!</v>
      </c>
      <c r="O283" s="89" t="e">
        <v>#REF!</v>
      </c>
      <c r="P283" s="89" t="e">
        <v>#REF!</v>
      </c>
      <c r="Q283" s="89" t="e">
        <v>#REF!</v>
      </c>
      <c r="R283" s="89" t="e">
        <v>#REF!</v>
      </c>
      <c r="S283" s="89" t="e">
        <f>#REF!</f>
        <v>#REF!</v>
      </c>
      <c r="T283" s="89" t="e">
        <f>#REF!</f>
        <v>#REF!</v>
      </c>
      <c r="U283" s="89" t="e">
        <f>#REF!</f>
        <v>#REF!</v>
      </c>
      <c r="V283" s="89" t="e">
        <f>#REF!</f>
        <v>#REF!</v>
      </c>
      <c r="W283" s="89" t="e">
        <f>#REF!</f>
        <v>#REF!</v>
      </c>
      <c r="X283" s="89" t="e">
        <f>#REF!</f>
        <v>#REF!</v>
      </c>
      <c r="Y283" s="89" t="e">
        <f>#REF!</f>
        <v>#REF!</v>
      </c>
      <c r="Z283" s="89" t="e">
        <f>#REF!</f>
        <v>#REF!</v>
      </c>
      <c r="AA283" s="89" t="e">
        <f>#REF!</f>
        <v>#REF!</v>
      </c>
      <c r="AB283" s="89" t="e">
        <f>#REF!</f>
        <v>#REF!</v>
      </c>
      <c r="AC283" s="89" t="e">
        <f>#REF!</f>
        <v>#REF!</v>
      </c>
      <c r="AD283" s="89" t="e">
        <f>#REF!</f>
        <v>#REF!</v>
      </c>
      <c r="AE283" s="89" t="e">
        <f>#REF!</f>
        <v>#REF!</v>
      </c>
      <c r="AF283" s="89" t="e">
        <f>#REF!</f>
        <v>#REF!</v>
      </c>
      <c r="AG283" s="89" t="e">
        <f>#REF!</f>
        <v>#REF!</v>
      </c>
      <c r="AH283" s="89" t="e">
        <f>#REF!</f>
        <v>#REF!</v>
      </c>
      <c r="AI283" s="89" t="e">
        <f>#REF!</f>
        <v>#REF!</v>
      </c>
      <c r="AJ283" s="89" t="e">
        <f>#REF!</f>
        <v>#REF!</v>
      </c>
      <c r="AK283" s="89" t="e">
        <f>#REF!</f>
        <v>#REF!</v>
      </c>
      <c r="AL283" s="89" t="e">
        <f>#REF!</f>
        <v>#REF!</v>
      </c>
      <c r="AM283" s="89" t="e">
        <f>#REF!</f>
        <v>#REF!</v>
      </c>
      <c r="AN283" s="89" t="e">
        <f>#REF!</f>
        <v>#REF!</v>
      </c>
      <c r="AO283" s="89" t="e">
        <f>#REF!</f>
        <v>#REF!</v>
      </c>
      <c r="AP283" s="89" t="e">
        <f>#REF!</f>
        <v>#REF!</v>
      </c>
      <c r="AQ283" s="89" t="e">
        <f>#REF!</f>
        <v>#REF!</v>
      </c>
      <c r="AR283" s="89" t="e">
        <f>#REF!</f>
        <v>#REF!</v>
      </c>
      <c r="AS283" s="89" t="e">
        <f>#REF!</f>
        <v>#REF!</v>
      </c>
      <c r="AT283" s="89" t="e">
        <f>#REF!</f>
        <v>#REF!</v>
      </c>
      <c r="AU283" s="89" t="e">
        <f>#REF!</f>
        <v>#REF!</v>
      </c>
      <c r="AV283" s="89" t="e">
        <f>#REF!</f>
        <v>#REF!</v>
      </c>
      <c r="AW283" s="89" t="e">
        <f>#REF!</f>
        <v>#REF!</v>
      </c>
      <c r="AX283" s="89" t="e">
        <f>#REF!</f>
        <v>#REF!</v>
      </c>
      <c r="AY283" s="89" t="e">
        <f>#REF!</f>
        <v>#REF!</v>
      </c>
      <c r="AZ283" s="89" t="e">
        <f>#REF!</f>
        <v>#REF!</v>
      </c>
      <c r="BA283" s="89" t="e">
        <f>#REF!</f>
        <v>#REF!</v>
      </c>
      <c r="BB283" s="89" t="e">
        <f>#REF!</f>
        <v>#REF!</v>
      </c>
      <c r="BC283" s="89" t="e">
        <f>#REF!</f>
        <v>#REF!</v>
      </c>
      <c r="BD283" s="89" t="e">
        <f>#REF!</f>
        <v>#REF!</v>
      </c>
      <c r="BE283" s="89" t="e">
        <f>#REF!</f>
        <v>#REF!</v>
      </c>
      <c r="BF283" s="89" t="e">
        <f>#REF!</f>
        <v>#REF!</v>
      </c>
    </row>
    <row r="284" spans="9:58" x14ac:dyDescent="0.25">
      <c r="I284" s="89">
        <f>ABCD!J333</f>
        <v>70</v>
      </c>
      <c r="J284" s="89">
        <f>ABCD!K333</f>
        <v>229.6</v>
      </c>
      <c r="K284" s="89">
        <f>ABCD!L333</f>
        <v>-4.7607793024362381</v>
      </c>
      <c r="L284" s="89">
        <f>ABCD!M333</f>
        <v>-0.82992704997355449</v>
      </c>
      <c r="M284" s="89">
        <f>ABCD!N333</f>
        <v>4.8325767945044689</v>
      </c>
      <c r="N284" s="89" t="e">
        <v>#REF!</v>
      </c>
      <c r="O284" s="89" t="e">
        <v>#REF!</v>
      </c>
      <c r="P284" s="89" t="e">
        <v>#REF!</v>
      </c>
      <c r="Q284" s="89" t="e">
        <v>#REF!</v>
      </c>
      <c r="R284" s="89" t="e">
        <v>#REF!</v>
      </c>
      <c r="S284" s="89" t="e">
        <f>#REF!</f>
        <v>#REF!</v>
      </c>
      <c r="T284" s="89" t="e">
        <f>#REF!</f>
        <v>#REF!</v>
      </c>
      <c r="U284" s="89" t="e">
        <f>#REF!</f>
        <v>#REF!</v>
      </c>
      <c r="V284" s="89" t="e">
        <f>#REF!</f>
        <v>#REF!</v>
      </c>
      <c r="W284" s="89" t="e">
        <f>#REF!</f>
        <v>#REF!</v>
      </c>
      <c r="X284" s="89" t="e">
        <f>#REF!</f>
        <v>#REF!</v>
      </c>
      <c r="Y284" s="89" t="e">
        <f>#REF!</f>
        <v>#REF!</v>
      </c>
      <c r="Z284" s="89" t="e">
        <f>#REF!</f>
        <v>#REF!</v>
      </c>
      <c r="AA284" s="89" t="e">
        <f>#REF!</f>
        <v>#REF!</v>
      </c>
      <c r="AB284" s="89" t="e">
        <f>#REF!</f>
        <v>#REF!</v>
      </c>
      <c r="AC284" s="89" t="e">
        <f>#REF!</f>
        <v>#REF!</v>
      </c>
      <c r="AD284" s="89" t="e">
        <f>#REF!</f>
        <v>#REF!</v>
      </c>
      <c r="AE284" s="89" t="e">
        <f>#REF!</f>
        <v>#REF!</v>
      </c>
      <c r="AF284" s="89" t="e">
        <f>#REF!</f>
        <v>#REF!</v>
      </c>
      <c r="AG284" s="89" t="e">
        <f>#REF!</f>
        <v>#REF!</v>
      </c>
      <c r="AH284" s="89" t="e">
        <f>#REF!</f>
        <v>#REF!</v>
      </c>
      <c r="AI284" s="89" t="e">
        <f>#REF!</f>
        <v>#REF!</v>
      </c>
      <c r="AJ284" s="89" t="e">
        <f>#REF!</f>
        <v>#REF!</v>
      </c>
      <c r="AK284" s="89" t="e">
        <f>#REF!</f>
        <v>#REF!</v>
      </c>
      <c r="AL284" s="89" t="e">
        <f>#REF!</f>
        <v>#REF!</v>
      </c>
      <c r="AM284" s="89" t="e">
        <f>#REF!</f>
        <v>#REF!</v>
      </c>
      <c r="AN284" s="89" t="e">
        <f>#REF!</f>
        <v>#REF!</v>
      </c>
      <c r="AO284" s="89" t="e">
        <f>#REF!</f>
        <v>#REF!</v>
      </c>
      <c r="AP284" s="89" t="e">
        <f>#REF!</f>
        <v>#REF!</v>
      </c>
      <c r="AQ284" s="89" t="e">
        <f>#REF!</f>
        <v>#REF!</v>
      </c>
      <c r="AR284" s="89" t="e">
        <f>#REF!</f>
        <v>#REF!</v>
      </c>
      <c r="AS284" s="89" t="e">
        <f>#REF!</f>
        <v>#REF!</v>
      </c>
      <c r="AT284" s="89" t="e">
        <f>#REF!</f>
        <v>#REF!</v>
      </c>
      <c r="AU284" s="89" t="e">
        <f>#REF!</f>
        <v>#REF!</v>
      </c>
      <c r="AV284" s="89" t="e">
        <f>#REF!</f>
        <v>#REF!</v>
      </c>
      <c r="AW284" s="89" t="e">
        <f>#REF!</f>
        <v>#REF!</v>
      </c>
      <c r="AX284" s="89" t="e">
        <f>#REF!</f>
        <v>#REF!</v>
      </c>
      <c r="AY284" s="89" t="e">
        <f>#REF!</f>
        <v>#REF!</v>
      </c>
      <c r="AZ284" s="89" t="e">
        <f>#REF!</f>
        <v>#REF!</v>
      </c>
      <c r="BA284" s="89" t="e">
        <f>#REF!</f>
        <v>#REF!</v>
      </c>
      <c r="BB284" s="89" t="e">
        <f>#REF!</f>
        <v>#REF!</v>
      </c>
      <c r="BC284" s="89" t="e">
        <f>#REF!</f>
        <v>#REF!</v>
      </c>
      <c r="BD284" s="89" t="e">
        <f>#REF!</f>
        <v>#REF!</v>
      </c>
      <c r="BE284" s="89" t="e">
        <f>#REF!</f>
        <v>#REF!</v>
      </c>
      <c r="BF284" s="89" t="e">
        <f>#REF!</f>
        <v>#REF!</v>
      </c>
    </row>
    <row r="285" spans="9:58" x14ac:dyDescent="0.25">
      <c r="I285" s="89">
        <f>ABCD!J334</f>
        <v>70.25</v>
      </c>
      <c r="J285" s="89">
        <f>ABCD!K334</f>
        <v>230.42</v>
      </c>
      <c r="K285" s="89">
        <f>ABCD!L334</f>
        <v>-4.8184344137174815</v>
      </c>
      <c r="L285" s="89">
        <f>ABCD!M334</f>
        <v>-0.84110576451226216</v>
      </c>
      <c r="M285" s="89">
        <f>ABCD!N334</f>
        <v>4.8912952381135906</v>
      </c>
      <c r="N285" s="89" t="e">
        <v>#REF!</v>
      </c>
      <c r="O285" s="89" t="e">
        <v>#REF!</v>
      </c>
      <c r="P285" s="89" t="e">
        <v>#REF!</v>
      </c>
      <c r="Q285" s="89" t="e">
        <v>#REF!</v>
      </c>
      <c r="R285" s="89" t="e">
        <v>#REF!</v>
      </c>
      <c r="S285" s="89" t="e">
        <f>#REF!</f>
        <v>#REF!</v>
      </c>
      <c r="T285" s="89" t="e">
        <f>#REF!</f>
        <v>#REF!</v>
      </c>
      <c r="U285" s="89" t="e">
        <f>#REF!</f>
        <v>#REF!</v>
      </c>
      <c r="V285" s="89" t="e">
        <f>#REF!</f>
        <v>#REF!</v>
      </c>
      <c r="W285" s="89" t="e">
        <f>#REF!</f>
        <v>#REF!</v>
      </c>
      <c r="X285" s="89" t="e">
        <f>#REF!</f>
        <v>#REF!</v>
      </c>
      <c r="Y285" s="89" t="e">
        <f>#REF!</f>
        <v>#REF!</v>
      </c>
      <c r="Z285" s="89" t="e">
        <f>#REF!</f>
        <v>#REF!</v>
      </c>
      <c r="AA285" s="89" t="e">
        <f>#REF!</f>
        <v>#REF!</v>
      </c>
      <c r="AB285" s="89" t="e">
        <f>#REF!</f>
        <v>#REF!</v>
      </c>
      <c r="AC285" s="89" t="e">
        <f>#REF!</f>
        <v>#REF!</v>
      </c>
      <c r="AD285" s="89" t="e">
        <f>#REF!</f>
        <v>#REF!</v>
      </c>
      <c r="AE285" s="89" t="e">
        <f>#REF!</f>
        <v>#REF!</v>
      </c>
      <c r="AF285" s="89" t="e">
        <f>#REF!</f>
        <v>#REF!</v>
      </c>
      <c r="AG285" s="89" t="e">
        <f>#REF!</f>
        <v>#REF!</v>
      </c>
      <c r="AH285" s="89" t="e">
        <f>#REF!</f>
        <v>#REF!</v>
      </c>
      <c r="AI285" s="89" t="e">
        <f>#REF!</f>
        <v>#REF!</v>
      </c>
      <c r="AJ285" s="89" t="e">
        <f>#REF!</f>
        <v>#REF!</v>
      </c>
      <c r="AK285" s="89" t="e">
        <f>#REF!</f>
        <v>#REF!</v>
      </c>
      <c r="AL285" s="89" t="e">
        <f>#REF!</f>
        <v>#REF!</v>
      </c>
      <c r="AM285" s="89" t="e">
        <f>#REF!</f>
        <v>#REF!</v>
      </c>
      <c r="AN285" s="89" t="e">
        <f>#REF!</f>
        <v>#REF!</v>
      </c>
      <c r="AO285" s="89" t="e">
        <f>#REF!</f>
        <v>#REF!</v>
      </c>
      <c r="AP285" s="89" t="e">
        <f>#REF!</f>
        <v>#REF!</v>
      </c>
      <c r="AQ285" s="89" t="e">
        <f>#REF!</f>
        <v>#REF!</v>
      </c>
      <c r="AR285" s="89" t="e">
        <f>#REF!</f>
        <v>#REF!</v>
      </c>
      <c r="AS285" s="89" t="e">
        <f>#REF!</f>
        <v>#REF!</v>
      </c>
      <c r="AT285" s="89" t="e">
        <f>#REF!</f>
        <v>#REF!</v>
      </c>
      <c r="AU285" s="89" t="e">
        <f>#REF!</f>
        <v>#REF!</v>
      </c>
      <c r="AV285" s="89" t="e">
        <f>#REF!</f>
        <v>#REF!</v>
      </c>
      <c r="AW285" s="89" t="e">
        <f>#REF!</f>
        <v>#REF!</v>
      </c>
      <c r="AX285" s="89" t="e">
        <f>#REF!</f>
        <v>#REF!</v>
      </c>
      <c r="AY285" s="89" t="e">
        <f>#REF!</f>
        <v>#REF!</v>
      </c>
      <c r="AZ285" s="89" t="e">
        <f>#REF!</f>
        <v>#REF!</v>
      </c>
      <c r="BA285" s="89" t="e">
        <f>#REF!</f>
        <v>#REF!</v>
      </c>
      <c r="BB285" s="89" t="e">
        <f>#REF!</f>
        <v>#REF!</v>
      </c>
      <c r="BC285" s="89" t="e">
        <f>#REF!</f>
        <v>#REF!</v>
      </c>
      <c r="BD285" s="89" t="e">
        <f>#REF!</f>
        <v>#REF!</v>
      </c>
      <c r="BE285" s="89" t="e">
        <f>#REF!</f>
        <v>#REF!</v>
      </c>
      <c r="BF285" s="89" t="e">
        <f>#REF!</f>
        <v>#REF!</v>
      </c>
    </row>
    <row r="286" spans="9:58" x14ac:dyDescent="0.25">
      <c r="I286" s="89">
        <f>ABCD!J335</f>
        <v>70.5</v>
      </c>
      <c r="J286" s="89">
        <f>ABCD!K335</f>
        <v>231.23999999999998</v>
      </c>
      <c r="K286" s="89">
        <f>ABCD!L335</f>
        <v>-4.8749253661590188</v>
      </c>
      <c r="L286" s="89">
        <f>ABCD!M335</f>
        <v>-0.8520802609745175</v>
      </c>
      <c r="M286" s="89">
        <f>ABCD!N335</f>
        <v>4.9488319931841538</v>
      </c>
      <c r="N286" s="89" t="e">
        <v>#REF!</v>
      </c>
      <c r="O286" s="89" t="e">
        <v>#REF!</v>
      </c>
      <c r="P286" s="89" t="e">
        <v>#REF!</v>
      </c>
      <c r="Q286" s="89" t="e">
        <v>#REF!</v>
      </c>
      <c r="R286" s="89" t="e">
        <v>#REF!</v>
      </c>
      <c r="S286" s="89" t="e">
        <f>#REF!</f>
        <v>#REF!</v>
      </c>
      <c r="T286" s="89" t="e">
        <f>#REF!</f>
        <v>#REF!</v>
      </c>
      <c r="U286" s="89" t="e">
        <f>#REF!</f>
        <v>#REF!</v>
      </c>
      <c r="V286" s="89" t="e">
        <f>#REF!</f>
        <v>#REF!</v>
      </c>
      <c r="W286" s="89" t="e">
        <f>#REF!</f>
        <v>#REF!</v>
      </c>
      <c r="X286" s="89" t="e">
        <f>#REF!</f>
        <v>#REF!</v>
      </c>
      <c r="Y286" s="89" t="e">
        <f>#REF!</f>
        <v>#REF!</v>
      </c>
      <c r="Z286" s="89" t="e">
        <f>#REF!</f>
        <v>#REF!</v>
      </c>
      <c r="AA286" s="89" t="e">
        <f>#REF!</f>
        <v>#REF!</v>
      </c>
      <c r="AB286" s="89" t="e">
        <f>#REF!</f>
        <v>#REF!</v>
      </c>
      <c r="AC286" s="89" t="e">
        <f>#REF!</f>
        <v>#REF!</v>
      </c>
      <c r="AD286" s="89" t="e">
        <f>#REF!</f>
        <v>#REF!</v>
      </c>
      <c r="AE286" s="89" t="e">
        <f>#REF!</f>
        <v>#REF!</v>
      </c>
      <c r="AF286" s="89" t="e">
        <f>#REF!</f>
        <v>#REF!</v>
      </c>
      <c r="AG286" s="89" t="e">
        <f>#REF!</f>
        <v>#REF!</v>
      </c>
      <c r="AH286" s="89" t="e">
        <f>#REF!</f>
        <v>#REF!</v>
      </c>
      <c r="AI286" s="89" t="e">
        <f>#REF!</f>
        <v>#REF!</v>
      </c>
      <c r="AJ286" s="89" t="e">
        <f>#REF!</f>
        <v>#REF!</v>
      </c>
      <c r="AK286" s="89" t="e">
        <f>#REF!</f>
        <v>#REF!</v>
      </c>
      <c r="AL286" s="89" t="e">
        <f>#REF!</f>
        <v>#REF!</v>
      </c>
      <c r="AM286" s="89" t="e">
        <f>#REF!</f>
        <v>#REF!</v>
      </c>
      <c r="AN286" s="89" t="e">
        <f>#REF!</f>
        <v>#REF!</v>
      </c>
      <c r="AO286" s="89" t="e">
        <f>#REF!</f>
        <v>#REF!</v>
      </c>
      <c r="AP286" s="89" t="e">
        <f>#REF!</f>
        <v>#REF!</v>
      </c>
      <c r="AQ286" s="89" t="e">
        <f>#REF!</f>
        <v>#REF!</v>
      </c>
      <c r="AR286" s="89" t="e">
        <f>#REF!</f>
        <v>#REF!</v>
      </c>
      <c r="AS286" s="89" t="e">
        <f>#REF!</f>
        <v>#REF!</v>
      </c>
      <c r="AT286" s="89" t="e">
        <f>#REF!</f>
        <v>#REF!</v>
      </c>
      <c r="AU286" s="89" t="e">
        <f>#REF!</f>
        <v>#REF!</v>
      </c>
      <c r="AV286" s="89" t="e">
        <f>#REF!</f>
        <v>#REF!</v>
      </c>
      <c r="AW286" s="89" t="e">
        <f>#REF!</f>
        <v>#REF!</v>
      </c>
      <c r="AX286" s="89" t="e">
        <f>#REF!</f>
        <v>#REF!</v>
      </c>
      <c r="AY286" s="89" t="e">
        <f>#REF!</f>
        <v>#REF!</v>
      </c>
      <c r="AZ286" s="89" t="e">
        <f>#REF!</f>
        <v>#REF!</v>
      </c>
      <c r="BA286" s="89" t="e">
        <f>#REF!</f>
        <v>#REF!</v>
      </c>
      <c r="BB286" s="89" t="e">
        <f>#REF!</f>
        <v>#REF!</v>
      </c>
      <c r="BC286" s="89" t="e">
        <f>#REF!</f>
        <v>#REF!</v>
      </c>
      <c r="BD286" s="89" t="e">
        <f>#REF!</f>
        <v>#REF!</v>
      </c>
      <c r="BE286" s="89" t="e">
        <f>#REF!</f>
        <v>#REF!</v>
      </c>
      <c r="BF286" s="89" t="e">
        <f>#REF!</f>
        <v>#REF!</v>
      </c>
    </row>
    <row r="287" spans="9:58" x14ac:dyDescent="0.25">
      <c r="I287" s="89">
        <f>ABCD!J336</f>
        <v>70.75</v>
      </c>
      <c r="J287" s="89">
        <f>ABCD!K336</f>
        <v>232.05999999999997</v>
      </c>
      <c r="K287" s="89">
        <f>ABCD!L336</f>
        <v>-4.9302401666002424</v>
      </c>
      <c r="L287" s="89">
        <f>ABCD!M336</f>
        <v>-0.86284818970933586</v>
      </c>
      <c r="M287" s="89">
        <f>ABCD!N336</f>
        <v>5.0051748319956877</v>
      </c>
      <c r="N287" s="89" t="e">
        <v>#REF!</v>
      </c>
      <c r="O287" s="89" t="e">
        <v>#REF!</v>
      </c>
      <c r="P287" s="89" t="e">
        <v>#REF!</v>
      </c>
      <c r="Q287" s="89" t="e">
        <v>#REF!</v>
      </c>
      <c r="R287" s="89" t="e">
        <v>#REF!</v>
      </c>
      <c r="S287" s="89" t="e">
        <f>#REF!</f>
        <v>#REF!</v>
      </c>
      <c r="T287" s="89" t="e">
        <f>#REF!</f>
        <v>#REF!</v>
      </c>
      <c r="U287" s="89" t="e">
        <f>#REF!</f>
        <v>#REF!</v>
      </c>
      <c r="V287" s="89" t="e">
        <f>#REF!</f>
        <v>#REF!</v>
      </c>
      <c r="W287" s="89" t="e">
        <f>#REF!</f>
        <v>#REF!</v>
      </c>
      <c r="X287" s="89" t="e">
        <f>#REF!</f>
        <v>#REF!</v>
      </c>
      <c r="Y287" s="89" t="e">
        <f>#REF!</f>
        <v>#REF!</v>
      </c>
      <c r="Z287" s="89" t="e">
        <f>#REF!</f>
        <v>#REF!</v>
      </c>
      <c r="AA287" s="89" t="e">
        <f>#REF!</f>
        <v>#REF!</v>
      </c>
      <c r="AB287" s="89" t="e">
        <f>#REF!</f>
        <v>#REF!</v>
      </c>
      <c r="AC287" s="89" t="e">
        <f>#REF!</f>
        <v>#REF!</v>
      </c>
      <c r="AD287" s="89" t="e">
        <f>#REF!</f>
        <v>#REF!</v>
      </c>
      <c r="AE287" s="89" t="e">
        <f>#REF!</f>
        <v>#REF!</v>
      </c>
      <c r="AF287" s="89" t="e">
        <f>#REF!</f>
        <v>#REF!</v>
      </c>
      <c r="AG287" s="89" t="e">
        <f>#REF!</f>
        <v>#REF!</v>
      </c>
      <c r="AH287" s="89" t="e">
        <f>#REF!</f>
        <v>#REF!</v>
      </c>
      <c r="AI287" s="89" t="e">
        <f>#REF!</f>
        <v>#REF!</v>
      </c>
      <c r="AJ287" s="89" t="e">
        <f>#REF!</f>
        <v>#REF!</v>
      </c>
      <c r="AK287" s="89" t="e">
        <f>#REF!</f>
        <v>#REF!</v>
      </c>
      <c r="AL287" s="89" t="e">
        <f>#REF!</f>
        <v>#REF!</v>
      </c>
      <c r="AM287" s="89" t="e">
        <f>#REF!</f>
        <v>#REF!</v>
      </c>
      <c r="AN287" s="89" t="e">
        <f>#REF!</f>
        <v>#REF!</v>
      </c>
      <c r="AO287" s="89" t="e">
        <f>#REF!</f>
        <v>#REF!</v>
      </c>
      <c r="AP287" s="89" t="e">
        <f>#REF!</f>
        <v>#REF!</v>
      </c>
      <c r="AQ287" s="89" t="e">
        <f>#REF!</f>
        <v>#REF!</v>
      </c>
      <c r="AR287" s="89" t="e">
        <f>#REF!</f>
        <v>#REF!</v>
      </c>
      <c r="AS287" s="89" t="e">
        <f>#REF!</f>
        <v>#REF!</v>
      </c>
      <c r="AT287" s="89" t="e">
        <f>#REF!</f>
        <v>#REF!</v>
      </c>
      <c r="AU287" s="89" t="e">
        <f>#REF!</f>
        <v>#REF!</v>
      </c>
      <c r="AV287" s="89" t="e">
        <f>#REF!</f>
        <v>#REF!</v>
      </c>
      <c r="AW287" s="89" t="e">
        <f>#REF!</f>
        <v>#REF!</v>
      </c>
      <c r="AX287" s="89" t="e">
        <f>#REF!</f>
        <v>#REF!</v>
      </c>
      <c r="AY287" s="89" t="e">
        <f>#REF!</f>
        <v>#REF!</v>
      </c>
      <c r="AZ287" s="89" t="e">
        <f>#REF!</f>
        <v>#REF!</v>
      </c>
      <c r="BA287" s="89" t="e">
        <f>#REF!</f>
        <v>#REF!</v>
      </c>
      <c r="BB287" s="89" t="e">
        <f>#REF!</f>
        <v>#REF!</v>
      </c>
      <c r="BC287" s="89" t="e">
        <f>#REF!</f>
        <v>#REF!</v>
      </c>
      <c r="BD287" s="89" t="e">
        <f>#REF!</f>
        <v>#REF!</v>
      </c>
      <c r="BE287" s="89" t="e">
        <f>#REF!</f>
        <v>#REF!</v>
      </c>
      <c r="BF287" s="89" t="e">
        <f>#REF!</f>
        <v>#REF!</v>
      </c>
    </row>
    <row r="288" spans="9:58" x14ac:dyDescent="0.25">
      <c r="I288" s="89">
        <f>ABCD!J337</f>
        <v>71</v>
      </c>
      <c r="J288" s="89">
        <f>ABCD!K337</f>
        <v>232.88</v>
      </c>
      <c r="K288" s="89">
        <f>ABCD!L337</f>
        <v>-4.9843671041737156</v>
      </c>
      <c r="L288" s="89">
        <f>ABCD!M337</f>
        <v>-0.87340725086378534</v>
      </c>
      <c r="M288" s="89">
        <f>ABCD!N337</f>
        <v>5.0603118140121079</v>
      </c>
      <c r="N288" s="89" t="e">
        <v>#REF!</v>
      </c>
      <c r="O288" s="89" t="e">
        <v>#REF!</v>
      </c>
      <c r="P288" s="89" t="e">
        <v>#REF!</v>
      </c>
      <c r="Q288" s="89" t="e">
        <v>#REF!</v>
      </c>
      <c r="R288" s="89" t="e">
        <v>#REF!</v>
      </c>
      <c r="S288" s="89" t="e">
        <f>#REF!</f>
        <v>#REF!</v>
      </c>
      <c r="T288" s="89" t="e">
        <f>#REF!</f>
        <v>#REF!</v>
      </c>
      <c r="U288" s="89" t="e">
        <f>#REF!</f>
        <v>#REF!</v>
      </c>
      <c r="V288" s="89" t="e">
        <f>#REF!</f>
        <v>#REF!</v>
      </c>
      <c r="W288" s="89" t="e">
        <f>#REF!</f>
        <v>#REF!</v>
      </c>
      <c r="X288" s="89" t="e">
        <f>#REF!</f>
        <v>#REF!</v>
      </c>
      <c r="Y288" s="89" t="e">
        <f>#REF!</f>
        <v>#REF!</v>
      </c>
      <c r="Z288" s="89" t="e">
        <f>#REF!</f>
        <v>#REF!</v>
      </c>
      <c r="AA288" s="89" t="e">
        <f>#REF!</f>
        <v>#REF!</v>
      </c>
      <c r="AB288" s="89" t="e">
        <f>#REF!</f>
        <v>#REF!</v>
      </c>
      <c r="AC288" s="89" t="e">
        <f>#REF!</f>
        <v>#REF!</v>
      </c>
      <c r="AD288" s="89" t="e">
        <f>#REF!</f>
        <v>#REF!</v>
      </c>
      <c r="AE288" s="89" t="e">
        <f>#REF!</f>
        <v>#REF!</v>
      </c>
      <c r="AF288" s="89" t="e">
        <f>#REF!</f>
        <v>#REF!</v>
      </c>
      <c r="AG288" s="89" t="e">
        <f>#REF!</f>
        <v>#REF!</v>
      </c>
      <c r="AH288" s="89" t="e">
        <f>#REF!</f>
        <v>#REF!</v>
      </c>
      <c r="AI288" s="89" t="e">
        <f>#REF!</f>
        <v>#REF!</v>
      </c>
      <c r="AJ288" s="89" t="e">
        <f>#REF!</f>
        <v>#REF!</v>
      </c>
      <c r="AK288" s="89" t="e">
        <f>#REF!</f>
        <v>#REF!</v>
      </c>
      <c r="AL288" s="89" t="e">
        <f>#REF!</f>
        <v>#REF!</v>
      </c>
      <c r="AM288" s="89" t="e">
        <f>#REF!</f>
        <v>#REF!</v>
      </c>
      <c r="AN288" s="89" t="e">
        <f>#REF!</f>
        <v>#REF!</v>
      </c>
      <c r="AO288" s="89" t="e">
        <f>#REF!</f>
        <v>#REF!</v>
      </c>
      <c r="AP288" s="89" t="e">
        <f>#REF!</f>
        <v>#REF!</v>
      </c>
      <c r="AQ288" s="89" t="e">
        <f>#REF!</f>
        <v>#REF!</v>
      </c>
      <c r="AR288" s="89" t="e">
        <f>#REF!</f>
        <v>#REF!</v>
      </c>
      <c r="AS288" s="89" t="e">
        <f>#REF!</f>
        <v>#REF!</v>
      </c>
      <c r="AT288" s="89" t="e">
        <f>#REF!</f>
        <v>#REF!</v>
      </c>
      <c r="AU288" s="89" t="e">
        <f>#REF!</f>
        <v>#REF!</v>
      </c>
      <c r="AV288" s="89" t="e">
        <f>#REF!</f>
        <v>#REF!</v>
      </c>
      <c r="AW288" s="89" t="e">
        <f>#REF!</f>
        <v>#REF!</v>
      </c>
      <c r="AX288" s="89" t="e">
        <f>#REF!</f>
        <v>#REF!</v>
      </c>
      <c r="AY288" s="89" t="e">
        <f>#REF!</f>
        <v>#REF!</v>
      </c>
      <c r="AZ288" s="89" t="e">
        <f>#REF!</f>
        <v>#REF!</v>
      </c>
      <c r="BA288" s="89" t="e">
        <f>#REF!</f>
        <v>#REF!</v>
      </c>
      <c r="BB288" s="89" t="e">
        <f>#REF!</f>
        <v>#REF!</v>
      </c>
      <c r="BC288" s="89" t="e">
        <f>#REF!</f>
        <v>#REF!</v>
      </c>
      <c r="BD288" s="89" t="e">
        <f>#REF!</f>
        <v>#REF!</v>
      </c>
      <c r="BE288" s="89" t="e">
        <f>#REF!</f>
        <v>#REF!</v>
      </c>
      <c r="BF288" s="89" t="e">
        <f>#REF!</f>
        <v>#REF!</v>
      </c>
    </row>
    <row r="289" spans="9:58" x14ac:dyDescent="0.25">
      <c r="I289" s="89">
        <f>ABCD!J338</f>
        <v>71.25</v>
      </c>
      <c r="J289" s="89">
        <f>ABCD!K338</f>
        <v>233.7</v>
      </c>
      <c r="K289" s="89">
        <f>ABCD!L338</f>
        <v>-5.0372947527545957</v>
      </c>
      <c r="L289" s="89">
        <f>ABCD!M338</f>
        <v>-0.88375519486908982</v>
      </c>
      <c r="M289" s="89">
        <f>ABCD!N338</f>
        <v>5.1142312883352359</v>
      </c>
      <c r="N289" s="89" t="e">
        <v>#REF!</v>
      </c>
      <c r="O289" s="89" t="e">
        <v>#REF!</v>
      </c>
      <c r="P289" s="89" t="e">
        <v>#REF!</v>
      </c>
      <c r="Q289" s="89" t="e">
        <v>#REF!</v>
      </c>
      <c r="R289" s="89" t="e">
        <v>#REF!</v>
      </c>
      <c r="S289" s="89" t="e">
        <f>#REF!</f>
        <v>#REF!</v>
      </c>
      <c r="T289" s="89" t="e">
        <f>#REF!</f>
        <v>#REF!</v>
      </c>
      <c r="U289" s="89" t="e">
        <f>#REF!</f>
        <v>#REF!</v>
      </c>
      <c r="V289" s="89" t="e">
        <f>#REF!</f>
        <v>#REF!</v>
      </c>
      <c r="W289" s="89" t="e">
        <f>#REF!</f>
        <v>#REF!</v>
      </c>
      <c r="X289" s="89" t="e">
        <f>#REF!</f>
        <v>#REF!</v>
      </c>
      <c r="Y289" s="89" t="e">
        <f>#REF!</f>
        <v>#REF!</v>
      </c>
      <c r="Z289" s="89" t="e">
        <f>#REF!</f>
        <v>#REF!</v>
      </c>
      <c r="AA289" s="89" t="e">
        <f>#REF!</f>
        <v>#REF!</v>
      </c>
      <c r="AB289" s="89" t="e">
        <f>#REF!</f>
        <v>#REF!</v>
      </c>
      <c r="AC289" s="89" t="e">
        <f>#REF!</f>
        <v>#REF!</v>
      </c>
      <c r="AD289" s="89" t="e">
        <f>#REF!</f>
        <v>#REF!</v>
      </c>
      <c r="AE289" s="89" t="e">
        <f>#REF!</f>
        <v>#REF!</v>
      </c>
      <c r="AF289" s="89" t="e">
        <f>#REF!</f>
        <v>#REF!</v>
      </c>
      <c r="AG289" s="89" t="e">
        <f>#REF!</f>
        <v>#REF!</v>
      </c>
      <c r="AH289" s="89" t="e">
        <f>#REF!</f>
        <v>#REF!</v>
      </c>
      <c r="AI289" s="89" t="e">
        <f>#REF!</f>
        <v>#REF!</v>
      </c>
      <c r="AJ289" s="89" t="e">
        <f>#REF!</f>
        <v>#REF!</v>
      </c>
      <c r="AK289" s="89" t="e">
        <f>#REF!</f>
        <v>#REF!</v>
      </c>
      <c r="AL289" s="89" t="e">
        <f>#REF!</f>
        <v>#REF!</v>
      </c>
      <c r="AM289" s="89" t="e">
        <f>#REF!</f>
        <v>#REF!</v>
      </c>
      <c r="AN289" s="89" t="e">
        <f>#REF!</f>
        <v>#REF!</v>
      </c>
      <c r="AO289" s="89" t="e">
        <f>#REF!</f>
        <v>#REF!</v>
      </c>
      <c r="AP289" s="89" t="e">
        <f>#REF!</f>
        <v>#REF!</v>
      </c>
      <c r="AQ289" s="89" t="e">
        <f>#REF!</f>
        <v>#REF!</v>
      </c>
      <c r="AR289" s="89" t="e">
        <f>#REF!</f>
        <v>#REF!</v>
      </c>
      <c r="AS289" s="89" t="e">
        <f>#REF!</f>
        <v>#REF!</v>
      </c>
      <c r="AT289" s="89" t="e">
        <f>#REF!</f>
        <v>#REF!</v>
      </c>
      <c r="AU289" s="89" t="e">
        <f>#REF!</f>
        <v>#REF!</v>
      </c>
      <c r="AV289" s="89" t="e">
        <f>#REF!</f>
        <v>#REF!</v>
      </c>
      <c r="AW289" s="89" t="e">
        <f>#REF!</f>
        <v>#REF!</v>
      </c>
      <c r="AX289" s="89" t="e">
        <f>#REF!</f>
        <v>#REF!</v>
      </c>
      <c r="AY289" s="89" t="e">
        <f>#REF!</f>
        <v>#REF!</v>
      </c>
      <c r="AZ289" s="89" t="e">
        <f>#REF!</f>
        <v>#REF!</v>
      </c>
      <c r="BA289" s="89" t="e">
        <f>#REF!</f>
        <v>#REF!</v>
      </c>
      <c r="BB289" s="89" t="e">
        <f>#REF!</f>
        <v>#REF!</v>
      </c>
      <c r="BC289" s="89" t="e">
        <f>#REF!</f>
        <v>#REF!</v>
      </c>
      <c r="BD289" s="89" t="e">
        <f>#REF!</f>
        <v>#REF!</v>
      </c>
      <c r="BE289" s="89" t="e">
        <f>#REF!</f>
        <v>#REF!</v>
      </c>
      <c r="BF289" s="89" t="e">
        <f>#REF!</f>
        <v>#REF!</v>
      </c>
    </row>
    <row r="290" spans="9:58" x14ac:dyDescent="0.25">
      <c r="I290" s="89">
        <f>ABCD!J339</f>
        <v>71.5</v>
      </c>
      <c r="J290" s="89">
        <f>ABCD!K339</f>
        <v>234.51999999999998</v>
      </c>
      <c r="K290" s="89">
        <f>ABCD!L339</f>
        <v>-5.0890119733420773</v>
      </c>
      <c r="L290" s="89">
        <f>ABCD!M339</f>
        <v>-0.89388982291468033</v>
      </c>
      <c r="M290" s="89">
        <f>ABCD!N339</f>
        <v>5.1669218960934042</v>
      </c>
      <c r="N290" s="89" t="e">
        <v>#REF!</v>
      </c>
      <c r="O290" s="89" t="e">
        <v>#REF!</v>
      </c>
      <c r="P290" s="89" t="e">
        <v>#REF!</v>
      </c>
      <c r="Q290" s="89" t="e">
        <v>#REF!</v>
      </c>
      <c r="R290" s="89" t="e">
        <v>#REF!</v>
      </c>
      <c r="S290" s="89" t="e">
        <f>#REF!</f>
        <v>#REF!</v>
      </c>
      <c r="T290" s="89" t="e">
        <f>#REF!</f>
        <v>#REF!</v>
      </c>
      <c r="U290" s="89" t="e">
        <f>#REF!</f>
        <v>#REF!</v>
      </c>
      <c r="V290" s="89" t="e">
        <f>#REF!</f>
        <v>#REF!</v>
      </c>
      <c r="W290" s="89" t="e">
        <f>#REF!</f>
        <v>#REF!</v>
      </c>
      <c r="X290" s="89" t="e">
        <f>#REF!</f>
        <v>#REF!</v>
      </c>
      <c r="Y290" s="89" t="e">
        <f>#REF!</f>
        <v>#REF!</v>
      </c>
      <c r="Z290" s="89" t="e">
        <f>#REF!</f>
        <v>#REF!</v>
      </c>
      <c r="AA290" s="89" t="e">
        <f>#REF!</f>
        <v>#REF!</v>
      </c>
      <c r="AB290" s="89" t="e">
        <f>#REF!</f>
        <v>#REF!</v>
      </c>
      <c r="AC290" s="89" t="e">
        <f>#REF!</f>
        <v>#REF!</v>
      </c>
      <c r="AD290" s="89" t="e">
        <f>#REF!</f>
        <v>#REF!</v>
      </c>
      <c r="AE290" s="89" t="e">
        <f>#REF!</f>
        <v>#REF!</v>
      </c>
      <c r="AF290" s="89" t="e">
        <f>#REF!</f>
        <v>#REF!</v>
      </c>
      <c r="AG290" s="89" t="e">
        <f>#REF!</f>
        <v>#REF!</v>
      </c>
      <c r="AH290" s="89" t="e">
        <f>#REF!</f>
        <v>#REF!</v>
      </c>
      <c r="AI290" s="89" t="e">
        <f>#REF!</f>
        <v>#REF!</v>
      </c>
      <c r="AJ290" s="89" t="e">
        <f>#REF!</f>
        <v>#REF!</v>
      </c>
      <c r="AK290" s="89" t="e">
        <f>#REF!</f>
        <v>#REF!</v>
      </c>
      <c r="AL290" s="89" t="e">
        <f>#REF!</f>
        <v>#REF!</v>
      </c>
      <c r="AM290" s="89" t="e">
        <f>#REF!</f>
        <v>#REF!</v>
      </c>
      <c r="AN290" s="89" t="e">
        <f>#REF!</f>
        <v>#REF!</v>
      </c>
      <c r="AO290" s="89" t="e">
        <f>#REF!</f>
        <v>#REF!</v>
      </c>
      <c r="AP290" s="89" t="e">
        <f>#REF!</f>
        <v>#REF!</v>
      </c>
      <c r="AQ290" s="89" t="e">
        <f>#REF!</f>
        <v>#REF!</v>
      </c>
      <c r="AR290" s="89" t="e">
        <f>#REF!</f>
        <v>#REF!</v>
      </c>
      <c r="AS290" s="89" t="e">
        <f>#REF!</f>
        <v>#REF!</v>
      </c>
      <c r="AT290" s="89" t="e">
        <f>#REF!</f>
        <v>#REF!</v>
      </c>
      <c r="AU290" s="89" t="e">
        <f>#REF!</f>
        <v>#REF!</v>
      </c>
      <c r="AV290" s="89" t="e">
        <f>#REF!</f>
        <v>#REF!</v>
      </c>
      <c r="AW290" s="89" t="e">
        <f>#REF!</f>
        <v>#REF!</v>
      </c>
      <c r="AX290" s="89" t="e">
        <f>#REF!</f>
        <v>#REF!</v>
      </c>
      <c r="AY290" s="89" t="e">
        <f>#REF!</f>
        <v>#REF!</v>
      </c>
      <c r="AZ290" s="89" t="e">
        <f>#REF!</f>
        <v>#REF!</v>
      </c>
      <c r="BA290" s="89" t="e">
        <f>#REF!</f>
        <v>#REF!</v>
      </c>
      <c r="BB290" s="89" t="e">
        <f>#REF!</f>
        <v>#REF!</v>
      </c>
      <c r="BC290" s="89" t="e">
        <f>#REF!</f>
        <v>#REF!</v>
      </c>
      <c r="BD290" s="89" t="e">
        <f>#REF!</f>
        <v>#REF!</v>
      </c>
      <c r="BE290" s="89" t="e">
        <f>#REF!</f>
        <v>#REF!</v>
      </c>
      <c r="BF290" s="89" t="e">
        <f>#REF!</f>
        <v>#REF!</v>
      </c>
    </row>
    <row r="291" spans="9:58" x14ac:dyDescent="0.25">
      <c r="I291" s="89">
        <f>ABCD!J340</f>
        <v>71.75</v>
      </c>
      <c r="J291" s="89">
        <f>ABCD!K340</f>
        <v>235.33999999999997</v>
      </c>
      <c r="K291" s="89">
        <f>ABCD!L340</f>
        <v>-5.1395079163724509</v>
      </c>
      <c r="L291" s="89">
        <f>ABCD!M340</f>
        <v>-0.90380898741011562</v>
      </c>
      <c r="M291" s="89">
        <f>ABCD!N340</f>
        <v>5.2183725727642702</v>
      </c>
      <c r="N291" s="89" t="e">
        <v>#REF!</v>
      </c>
      <c r="O291" s="89" t="e">
        <v>#REF!</v>
      </c>
      <c r="P291" s="89" t="e">
        <v>#REF!</v>
      </c>
      <c r="Q291" s="89" t="e">
        <v>#REF!</v>
      </c>
      <c r="R291" s="89" t="e">
        <v>#REF!</v>
      </c>
      <c r="S291" s="89" t="e">
        <f>#REF!</f>
        <v>#REF!</v>
      </c>
      <c r="T291" s="89" t="e">
        <f>#REF!</f>
        <v>#REF!</v>
      </c>
      <c r="U291" s="89" t="e">
        <f>#REF!</f>
        <v>#REF!</v>
      </c>
      <c r="V291" s="89" t="e">
        <f>#REF!</f>
        <v>#REF!</v>
      </c>
      <c r="W291" s="89" t="e">
        <f>#REF!</f>
        <v>#REF!</v>
      </c>
      <c r="X291" s="89" t="e">
        <f>#REF!</f>
        <v>#REF!</v>
      </c>
      <c r="Y291" s="89" t="e">
        <f>#REF!</f>
        <v>#REF!</v>
      </c>
      <c r="Z291" s="89" t="e">
        <f>#REF!</f>
        <v>#REF!</v>
      </c>
      <c r="AA291" s="89" t="e">
        <f>#REF!</f>
        <v>#REF!</v>
      </c>
      <c r="AB291" s="89" t="e">
        <f>#REF!</f>
        <v>#REF!</v>
      </c>
      <c r="AC291" s="89" t="e">
        <f>#REF!</f>
        <v>#REF!</v>
      </c>
      <c r="AD291" s="89" t="e">
        <f>#REF!</f>
        <v>#REF!</v>
      </c>
      <c r="AE291" s="89" t="e">
        <f>#REF!</f>
        <v>#REF!</v>
      </c>
      <c r="AF291" s="89" t="e">
        <f>#REF!</f>
        <v>#REF!</v>
      </c>
      <c r="AG291" s="89" t="e">
        <f>#REF!</f>
        <v>#REF!</v>
      </c>
      <c r="AH291" s="89" t="e">
        <f>#REF!</f>
        <v>#REF!</v>
      </c>
      <c r="AI291" s="89" t="e">
        <f>#REF!</f>
        <v>#REF!</v>
      </c>
      <c r="AJ291" s="89" t="e">
        <f>#REF!</f>
        <v>#REF!</v>
      </c>
      <c r="AK291" s="89" t="e">
        <f>#REF!</f>
        <v>#REF!</v>
      </c>
      <c r="AL291" s="89" t="e">
        <f>#REF!</f>
        <v>#REF!</v>
      </c>
      <c r="AM291" s="89" t="e">
        <f>#REF!</f>
        <v>#REF!</v>
      </c>
      <c r="AN291" s="89" t="e">
        <f>#REF!</f>
        <v>#REF!</v>
      </c>
      <c r="AO291" s="89" t="e">
        <f>#REF!</f>
        <v>#REF!</v>
      </c>
      <c r="AP291" s="89" t="e">
        <f>#REF!</f>
        <v>#REF!</v>
      </c>
      <c r="AQ291" s="89" t="e">
        <f>#REF!</f>
        <v>#REF!</v>
      </c>
      <c r="AR291" s="89" t="e">
        <f>#REF!</f>
        <v>#REF!</v>
      </c>
      <c r="AS291" s="89" t="e">
        <f>#REF!</f>
        <v>#REF!</v>
      </c>
      <c r="AT291" s="89" t="e">
        <f>#REF!</f>
        <v>#REF!</v>
      </c>
      <c r="AU291" s="89" t="e">
        <f>#REF!</f>
        <v>#REF!</v>
      </c>
      <c r="AV291" s="89" t="e">
        <f>#REF!</f>
        <v>#REF!</v>
      </c>
      <c r="AW291" s="89" t="e">
        <f>#REF!</f>
        <v>#REF!</v>
      </c>
      <c r="AX291" s="89" t="e">
        <f>#REF!</f>
        <v>#REF!</v>
      </c>
      <c r="AY291" s="89" t="e">
        <f>#REF!</f>
        <v>#REF!</v>
      </c>
      <c r="AZ291" s="89" t="e">
        <f>#REF!</f>
        <v>#REF!</v>
      </c>
      <c r="BA291" s="89" t="e">
        <f>#REF!</f>
        <v>#REF!</v>
      </c>
      <c r="BB291" s="89" t="e">
        <f>#REF!</f>
        <v>#REF!</v>
      </c>
      <c r="BC291" s="89" t="e">
        <f>#REF!</f>
        <v>#REF!</v>
      </c>
      <c r="BD291" s="89" t="e">
        <f>#REF!</f>
        <v>#REF!</v>
      </c>
      <c r="BE291" s="89" t="e">
        <f>#REF!</f>
        <v>#REF!</v>
      </c>
      <c r="BF291" s="89" t="e">
        <f>#REF!</f>
        <v>#REF!</v>
      </c>
    </row>
    <row r="292" spans="9:58" x14ac:dyDescent="0.25">
      <c r="I292" s="89">
        <f>ABCD!J341</f>
        <v>72</v>
      </c>
      <c r="J292" s="89">
        <f>ABCD!K341</f>
        <v>236.16</v>
      </c>
      <c r="K292" s="89">
        <f>ABCD!L341</f>
        <v>-5.1887720239632467</v>
      </c>
      <c r="L292" s="89">
        <f>ABCD!M341</f>
        <v>-0.91351059243475308</v>
      </c>
      <c r="M292" s="89">
        <f>ABCD!N341</f>
        <v>5.2685725504309175</v>
      </c>
      <c r="N292" s="89" t="e">
        <v>#REF!</v>
      </c>
      <c r="O292" s="89" t="e">
        <v>#REF!</v>
      </c>
      <c r="P292" s="89" t="e">
        <v>#REF!</v>
      </c>
      <c r="Q292" s="89" t="e">
        <v>#REF!</v>
      </c>
      <c r="R292" s="89" t="e">
        <v>#REF!</v>
      </c>
      <c r="S292" s="89" t="e">
        <f>#REF!</f>
        <v>#REF!</v>
      </c>
      <c r="T292" s="89" t="e">
        <f>#REF!</f>
        <v>#REF!</v>
      </c>
      <c r="U292" s="89" t="e">
        <f>#REF!</f>
        <v>#REF!</v>
      </c>
      <c r="V292" s="89" t="e">
        <f>#REF!</f>
        <v>#REF!</v>
      </c>
      <c r="W292" s="89" t="e">
        <f>#REF!</f>
        <v>#REF!</v>
      </c>
      <c r="X292" s="89" t="e">
        <f>#REF!</f>
        <v>#REF!</v>
      </c>
      <c r="Y292" s="89" t="e">
        <f>#REF!</f>
        <v>#REF!</v>
      </c>
      <c r="Z292" s="89" t="e">
        <f>#REF!</f>
        <v>#REF!</v>
      </c>
      <c r="AA292" s="89" t="e">
        <f>#REF!</f>
        <v>#REF!</v>
      </c>
      <c r="AB292" s="89" t="e">
        <f>#REF!</f>
        <v>#REF!</v>
      </c>
      <c r="AC292" s="89" t="e">
        <f>#REF!</f>
        <v>#REF!</v>
      </c>
      <c r="AD292" s="89" t="e">
        <f>#REF!</f>
        <v>#REF!</v>
      </c>
      <c r="AE292" s="89" t="e">
        <f>#REF!</f>
        <v>#REF!</v>
      </c>
      <c r="AF292" s="89" t="e">
        <f>#REF!</f>
        <v>#REF!</v>
      </c>
      <c r="AG292" s="89" t="e">
        <f>#REF!</f>
        <v>#REF!</v>
      </c>
      <c r="AH292" s="89" t="e">
        <f>#REF!</f>
        <v>#REF!</v>
      </c>
      <c r="AI292" s="89" t="e">
        <f>#REF!</f>
        <v>#REF!</v>
      </c>
      <c r="AJ292" s="89" t="e">
        <f>#REF!</f>
        <v>#REF!</v>
      </c>
      <c r="AK292" s="89" t="e">
        <f>#REF!</f>
        <v>#REF!</v>
      </c>
      <c r="AL292" s="89" t="e">
        <f>#REF!</f>
        <v>#REF!</v>
      </c>
      <c r="AM292" s="89" t="e">
        <f>#REF!</f>
        <v>#REF!</v>
      </c>
      <c r="AN292" s="89" t="e">
        <f>#REF!</f>
        <v>#REF!</v>
      </c>
      <c r="AO292" s="89" t="e">
        <f>#REF!</f>
        <v>#REF!</v>
      </c>
      <c r="AP292" s="89" t="e">
        <f>#REF!</f>
        <v>#REF!</v>
      </c>
      <c r="AQ292" s="89" t="e">
        <f>#REF!</f>
        <v>#REF!</v>
      </c>
      <c r="AR292" s="89" t="e">
        <f>#REF!</f>
        <v>#REF!</v>
      </c>
      <c r="AS292" s="89" t="e">
        <f>#REF!</f>
        <v>#REF!</v>
      </c>
      <c r="AT292" s="89" t="e">
        <f>#REF!</f>
        <v>#REF!</v>
      </c>
      <c r="AU292" s="89" t="e">
        <f>#REF!</f>
        <v>#REF!</v>
      </c>
      <c r="AV292" s="89" t="e">
        <f>#REF!</f>
        <v>#REF!</v>
      </c>
      <c r="AW292" s="89" t="e">
        <f>#REF!</f>
        <v>#REF!</v>
      </c>
      <c r="AX292" s="89" t="e">
        <f>#REF!</f>
        <v>#REF!</v>
      </c>
      <c r="AY292" s="89" t="e">
        <f>#REF!</f>
        <v>#REF!</v>
      </c>
      <c r="AZ292" s="89" t="e">
        <f>#REF!</f>
        <v>#REF!</v>
      </c>
      <c r="BA292" s="89" t="e">
        <f>#REF!</f>
        <v>#REF!</v>
      </c>
      <c r="BB292" s="89" t="e">
        <f>#REF!</f>
        <v>#REF!</v>
      </c>
      <c r="BC292" s="89" t="e">
        <f>#REF!</f>
        <v>#REF!</v>
      </c>
      <c r="BD292" s="89" t="e">
        <f>#REF!</f>
        <v>#REF!</v>
      </c>
      <c r="BE292" s="89" t="e">
        <f>#REF!</f>
        <v>#REF!</v>
      </c>
      <c r="BF292" s="89" t="e">
        <f>#REF!</f>
        <v>#REF!</v>
      </c>
    </row>
    <row r="293" spans="9:58" x14ac:dyDescent="0.25">
      <c r="I293" s="89">
        <f>ABCD!J342</f>
        <v>72.25</v>
      </c>
      <c r="J293" s="89">
        <f>ABCD!K342</f>
        <v>236.98</v>
      </c>
      <c r="K293" s="89">
        <f>ABCD!L342</f>
        <v>-5.2367940320880262</v>
      </c>
      <c r="L293" s="89">
        <f>ABCD!M342</f>
        <v>-0.92299259417509094</v>
      </c>
      <c r="M293" s="89">
        <f>ABCD!N342</f>
        <v>5.317511359970454</v>
      </c>
      <c r="N293" s="89" t="e">
        <v>#REF!</v>
      </c>
      <c r="O293" s="89" t="e">
        <v>#REF!</v>
      </c>
      <c r="P293" s="89" t="e">
        <v>#REF!</v>
      </c>
      <c r="Q293" s="89" t="e">
        <v>#REF!</v>
      </c>
      <c r="R293" s="89" t="e">
        <v>#REF!</v>
      </c>
      <c r="S293" s="89" t="e">
        <f>#REF!</f>
        <v>#REF!</v>
      </c>
      <c r="T293" s="89" t="e">
        <f>#REF!</f>
        <v>#REF!</v>
      </c>
      <c r="U293" s="89" t="e">
        <f>#REF!</f>
        <v>#REF!</v>
      </c>
      <c r="V293" s="89" t="e">
        <f>#REF!</f>
        <v>#REF!</v>
      </c>
      <c r="W293" s="89" t="e">
        <f>#REF!</f>
        <v>#REF!</v>
      </c>
      <c r="X293" s="89" t="e">
        <f>#REF!</f>
        <v>#REF!</v>
      </c>
      <c r="Y293" s="89" t="e">
        <f>#REF!</f>
        <v>#REF!</v>
      </c>
      <c r="Z293" s="89" t="e">
        <f>#REF!</f>
        <v>#REF!</v>
      </c>
      <c r="AA293" s="89" t="e">
        <f>#REF!</f>
        <v>#REF!</v>
      </c>
      <c r="AB293" s="89" t="e">
        <f>#REF!</f>
        <v>#REF!</v>
      </c>
      <c r="AC293" s="89" t="e">
        <f>#REF!</f>
        <v>#REF!</v>
      </c>
      <c r="AD293" s="89" t="e">
        <f>#REF!</f>
        <v>#REF!</v>
      </c>
      <c r="AE293" s="89" t="e">
        <f>#REF!</f>
        <v>#REF!</v>
      </c>
      <c r="AF293" s="89" t="e">
        <f>#REF!</f>
        <v>#REF!</v>
      </c>
      <c r="AG293" s="89" t="e">
        <f>#REF!</f>
        <v>#REF!</v>
      </c>
      <c r="AH293" s="89" t="e">
        <f>#REF!</f>
        <v>#REF!</v>
      </c>
      <c r="AI293" s="89" t="e">
        <f>#REF!</f>
        <v>#REF!</v>
      </c>
      <c r="AJ293" s="89" t="e">
        <f>#REF!</f>
        <v>#REF!</v>
      </c>
      <c r="AK293" s="89" t="e">
        <f>#REF!</f>
        <v>#REF!</v>
      </c>
      <c r="AL293" s="89" t="e">
        <f>#REF!</f>
        <v>#REF!</v>
      </c>
      <c r="AM293" s="89" t="e">
        <f>#REF!</f>
        <v>#REF!</v>
      </c>
      <c r="AN293" s="89" t="e">
        <f>#REF!</f>
        <v>#REF!</v>
      </c>
      <c r="AO293" s="89" t="e">
        <f>#REF!</f>
        <v>#REF!</v>
      </c>
      <c r="AP293" s="89" t="e">
        <f>#REF!</f>
        <v>#REF!</v>
      </c>
      <c r="AQ293" s="89" t="e">
        <f>#REF!</f>
        <v>#REF!</v>
      </c>
      <c r="AR293" s="89" t="e">
        <f>#REF!</f>
        <v>#REF!</v>
      </c>
      <c r="AS293" s="89" t="e">
        <f>#REF!</f>
        <v>#REF!</v>
      </c>
      <c r="AT293" s="89" t="e">
        <f>#REF!</f>
        <v>#REF!</v>
      </c>
      <c r="AU293" s="89" t="e">
        <f>#REF!</f>
        <v>#REF!</v>
      </c>
      <c r="AV293" s="89" t="e">
        <f>#REF!</f>
        <v>#REF!</v>
      </c>
      <c r="AW293" s="89" t="e">
        <f>#REF!</f>
        <v>#REF!</v>
      </c>
      <c r="AX293" s="89" t="e">
        <f>#REF!</f>
        <v>#REF!</v>
      </c>
      <c r="AY293" s="89" t="e">
        <f>#REF!</f>
        <v>#REF!</v>
      </c>
      <c r="AZ293" s="89" t="e">
        <f>#REF!</f>
        <v>#REF!</v>
      </c>
      <c r="BA293" s="89" t="e">
        <f>#REF!</f>
        <v>#REF!</v>
      </c>
      <c r="BB293" s="89" t="e">
        <f>#REF!</f>
        <v>#REF!</v>
      </c>
      <c r="BC293" s="89" t="e">
        <f>#REF!</f>
        <v>#REF!</v>
      </c>
      <c r="BD293" s="89" t="e">
        <f>#REF!</f>
        <v>#REF!</v>
      </c>
      <c r="BE293" s="89" t="e">
        <f>#REF!</f>
        <v>#REF!</v>
      </c>
      <c r="BF293" s="89" t="e">
        <f>#REF!</f>
        <v>#REF!</v>
      </c>
    </row>
    <row r="294" spans="9:58" x14ac:dyDescent="0.25">
      <c r="I294" s="89">
        <f>ABCD!J343</f>
        <v>72.5</v>
      </c>
      <c r="J294" s="89">
        <f>ABCD!K343</f>
        <v>237.79999999999998</v>
      </c>
      <c r="K294" s="89">
        <f>ABCD!L343</f>
        <v>-5.2835639726814065</v>
      </c>
      <c r="L294" s="89">
        <f>ABCD!M343</f>
        <v>-0.93225300134969302</v>
      </c>
      <c r="M294" s="89">
        <f>ABCD!N343</f>
        <v>5.365178833174383</v>
      </c>
      <c r="N294" s="89" t="e">
        <v>#REF!</v>
      </c>
      <c r="O294" s="89" t="e">
        <v>#REF!</v>
      </c>
      <c r="P294" s="89" t="e">
        <v>#REF!</v>
      </c>
      <c r="Q294" s="89" t="e">
        <v>#REF!</v>
      </c>
      <c r="R294" s="89" t="e">
        <v>#REF!</v>
      </c>
      <c r="S294" s="89" t="e">
        <f>#REF!</f>
        <v>#REF!</v>
      </c>
      <c r="T294" s="89" t="e">
        <f>#REF!</f>
        <v>#REF!</v>
      </c>
      <c r="U294" s="89" t="e">
        <f>#REF!</f>
        <v>#REF!</v>
      </c>
      <c r="V294" s="89" t="e">
        <f>#REF!</f>
        <v>#REF!</v>
      </c>
      <c r="W294" s="89" t="e">
        <f>#REF!</f>
        <v>#REF!</v>
      </c>
      <c r="X294" s="89" t="e">
        <f>#REF!</f>
        <v>#REF!</v>
      </c>
      <c r="Y294" s="89" t="e">
        <f>#REF!</f>
        <v>#REF!</v>
      </c>
      <c r="Z294" s="89" t="e">
        <f>#REF!</f>
        <v>#REF!</v>
      </c>
      <c r="AA294" s="89" t="e">
        <f>#REF!</f>
        <v>#REF!</v>
      </c>
      <c r="AB294" s="89" t="e">
        <f>#REF!</f>
        <v>#REF!</v>
      </c>
      <c r="AC294" s="89" t="e">
        <f>#REF!</f>
        <v>#REF!</v>
      </c>
      <c r="AD294" s="89" t="e">
        <f>#REF!</f>
        <v>#REF!</v>
      </c>
      <c r="AE294" s="89" t="e">
        <f>#REF!</f>
        <v>#REF!</v>
      </c>
      <c r="AF294" s="89" t="e">
        <f>#REF!</f>
        <v>#REF!</v>
      </c>
      <c r="AG294" s="89" t="e">
        <f>#REF!</f>
        <v>#REF!</v>
      </c>
      <c r="AH294" s="89" t="e">
        <f>#REF!</f>
        <v>#REF!</v>
      </c>
      <c r="AI294" s="89" t="e">
        <f>#REF!</f>
        <v>#REF!</v>
      </c>
      <c r="AJ294" s="89" t="e">
        <f>#REF!</f>
        <v>#REF!</v>
      </c>
      <c r="AK294" s="89" t="e">
        <f>#REF!</f>
        <v>#REF!</v>
      </c>
      <c r="AL294" s="89" t="e">
        <f>#REF!</f>
        <v>#REF!</v>
      </c>
      <c r="AM294" s="89" t="e">
        <f>#REF!</f>
        <v>#REF!</v>
      </c>
      <c r="AN294" s="89" t="e">
        <f>#REF!</f>
        <v>#REF!</v>
      </c>
      <c r="AO294" s="89" t="e">
        <f>#REF!</f>
        <v>#REF!</v>
      </c>
      <c r="AP294" s="89" t="e">
        <f>#REF!</f>
        <v>#REF!</v>
      </c>
      <c r="AQ294" s="89" t="e">
        <f>#REF!</f>
        <v>#REF!</v>
      </c>
      <c r="AR294" s="89" t="e">
        <f>#REF!</f>
        <v>#REF!</v>
      </c>
      <c r="AS294" s="89" t="e">
        <f>#REF!</f>
        <v>#REF!</v>
      </c>
      <c r="AT294" s="89" t="e">
        <f>#REF!</f>
        <v>#REF!</v>
      </c>
      <c r="AU294" s="89" t="e">
        <f>#REF!</f>
        <v>#REF!</v>
      </c>
      <c r="AV294" s="89" t="e">
        <f>#REF!</f>
        <v>#REF!</v>
      </c>
      <c r="AW294" s="89" t="e">
        <f>#REF!</f>
        <v>#REF!</v>
      </c>
      <c r="AX294" s="89" t="e">
        <f>#REF!</f>
        <v>#REF!</v>
      </c>
      <c r="AY294" s="89" t="e">
        <f>#REF!</f>
        <v>#REF!</v>
      </c>
      <c r="AZ294" s="89" t="e">
        <f>#REF!</f>
        <v>#REF!</v>
      </c>
      <c r="BA294" s="89" t="e">
        <f>#REF!</f>
        <v>#REF!</v>
      </c>
      <c r="BB294" s="89" t="e">
        <f>#REF!</f>
        <v>#REF!</v>
      </c>
      <c r="BC294" s="89" t="e">
        <f>#REF!</f>
        <v>#REF!</v>
      </c>
      <c r="BD294" s="89" t="e">
        <f>#REF!</f>
        <v>#REF!</v>
      </c>
      <c r="BE294" s="89" t="e">
        <f>#REF!</f>
        <v>#REF!</v>
      </c>
      <c r="BF294" s="89" t="e">
        <f>#REF!</f>
        <v>#REF!</v>
      </c>
    </row>
    <row r="295" spans="9:58" x14ac:dyDescent="0.25">
      <c r="I295" s="89">
        <f>ABCD!J344</f>
        <v>72.75</v>
      </c>
      <c r="J295" s="89">
        <f>ABCD!K344</f>
        <v>238.61999999999998</v>
      </c>
      <c r="K295" s="89">
        <f>ABCD!L344</f>
        <v>-5.3290721756738346</v>
      </c>
      <c r="L295" s="89">
        <f>ABCD!M344</f>
        <v>-0.94128987562159572</v>
      </c>
      <c r="M295" s="89">
        <f>ABCD!N344</f>
        <v>5.4115651047999762</v>
      </c>
      <c r="N295" s="89" t="e">
        <v>#REF!</v>
      </c>
      <c r="O295" s="89" t="e">
        <v>#REF!</v>
      </c>
      <c r="P295" s="89" t="e">
        <v>#REF!</v>
      </c>
      <c r="Q295" s="89" t="e">
        <v>#REF!</v>
      </c>
      <c r="R295" s="89" t="e">
        <v>#REF!</v>
      </c>
      <c r="S295" s="89" t="e">
        <f>#REF!</f>
        <v>#REF!</v>
      </c>
      <c r="T295" s="89" t="e">
        <f>#REF!</f>
        <v>#REF!</v>
      </c>
      <c r="U295" s="89" t="e">
        <f>#REF!</f>
        <v>#REF!</v>
      </c>
      <c r="V295" s="89" t="e">
        <f>#REF!</f>
        <v>#REF!</v>
      </c>
      <c r="W295" s="89" t="e">
        <f>#REF!</f>
        <v>#REF!</v>
      </c>
      <c r="X295" s="89" t="e">
        <f>#REF!</f>
        <v>#REF!</v>
      </c>
      <c r="Y295" s="89" t="e">
        <f>#REF!</f>
        <v>#REF!</v>
      </c>
      <c r="Z295" s="89" t="e">
        <f>#REF!</f>
        <v>#REF!</v>
      </c>
      <c r="AA295" s="89" t="e">
        <f>#REF!</f>
        <v>#REF!</v>
      </c>
      <c r="AB295" s="89" t="e">
        <f>#REF!</f>
        <v>#REF!</v>
      </c>
      <c r="AC295" s="89" t="e">
        <f>#REF!</f>
        <v>#REF!</v>
      </c>
      <c r="AD295" s="89" t="e">
        <f>#REF!</f>
        <v>#REF!</v>
      </c>
      <c r="AE295" s="89" t="e">
        <f>#REF!</f>
        <v>#REF!</v>
      </c>
      <c r="AF295" s="89" t="e">
        <f>#REF!</f>
        <v>#REF!</v>
      </c>
      <c r="AG295" s="89" t="e">
        <f>#REF!</f>
        <v>#REF!</v>
      </c>
      <c r="AH295" s="89" t="e">
        <f>#REF!</f>
        <v>#REF!</v>
      </c>
      <c r="AI295" s="89" t="e">
        <f>#REF!</f>
        <v>#REF!</v>
      </c>
      <c r="AJ295" s="89" t="e">
        <f>#REF!</f>
        <v>#REF!</v>
      </c>
      <c r="AK295" s="89" t="e">
        <f>#REF!</f>
        <v>#REF!</v>
      </c>
      <c r="AL295" s="89" t="e">
        <f>#REF!</f>
        <v>#REF!</v>
      </c>
      <c r="AM295" s="89" t="e">
        <f>#REF!</f>
        <v>#REF!</v>
      </c>
      <c r="AN295" s="89" t="e">
        <f>#REF!</f>
        <v>#REF!</v>
      </c>
      <c r="AO295" s="89" t="e">
        <f>#REF!</f>
        <v>#REF!</v>
      </c>
      <c r="AP295" s="89" t="e">
        <f>#REF!</f>
        <v>#REF!</v>
      </c>
      <c r="AQ295" s="89" t="e">
        <f>#REF!</f>
        <v>#REF!</v>
      </c>
      <c r="AR295" s="89" t="e">
        <f>#REF!</f>
        <v>#REF!</v>
      </c>
      <c r="AS295" s="89" t="e">
        <f>#REF!</f>
        <v>#REF!</v>
      </c>
      <c r="AT295" s="89" t="e">
        <f>#REF!</f>
        <v>#REF!</v>
      </c>
      <c r="AU295" s="89" t="e">
        <f>#REF!</f>
        <v>#REF!</v>
      </c>
      <c r="AV295" s="89" t="e">
        <f>#REF!</f>
        <v>#REF!</v>
      </c>
      <c r="AW295" s="89" t="e">
        <f>#REF!</f>
        <v>#REF!</v>
      </c>
      <c r="AX295" s="89" t="e">
        <f>#REF!</f>
        <v>#REF!</v>
      </c>
      <c r="AY295" s="89" t="e">
        <f>#REF!</f>
        <v>#REF!</v>
      </c>
      <c r="AZ295" s="89" t="e">
        <f>#REF!</f>
        <v>#REF!</v>
      </c>
      <c r="BA295" s="89" t="e">
        <f>#REF!</f>
        <v>#REF!</v>
      </c>
      <c r="BB295" s="89" t="e">
        <f>#REF!</f>
        <v>#REF!</v>
      </c>
      <c r="BC295" s="89" t="e">
        <f>#REF!</f>
        <v>#REF!</v>
      </c>
      <c r="BD295" s="89" t="e">
        <f>#REF!</f>
        <v>#REF!</v>
      </c>
      <c r="BE295" s="89" t="e">
        <f>#REF!</f>
        <v>#REF!</v>
      </c>
      <c r="BF295" s="89" t="e">
        <f>#REF!</f>
        <v>#REF!</v>
      </c>
    </row>
    <row r="296" spans="9:58" x14ac:dyDescent="0.25">
      <c r="I296" s="89">
        <f>ABCD!J345</f>
        <v>73</v>
      </c>
      <c r="J296" s="89">
        <f>ABCD!K345</f>
        <v>239.44</v>
      </c>
      <c r="K296" s="89">
        <f>ABCD!L345</f>
        <v>-5.3733092709557706</v>
      </c>
      <c r="L296" s="89">
        <f>ABCD!M345</f>
        <v>-0.95010133199813085</v>
      </c>
      <c r="M296" s="89">
        <f>ABCD!N345</f>
        <v>5.456660614552078</v>
      </c>
      <c r="N296" s="89" t="e">
        <v>#REF!</v>
      </c>
      <c r="O296" s="89" t="e">
        <v>#REF!</v>
      </c>
      <c r="P296" s="89" t="e">
        <v>#REF!</v>
      </c>
      <c r="Q296" s="89" t="e">
        <v>#REF!</v>
      </c>
      <c r="R296" s="89" t="e">
        <v>#REF!</v>
      </c>
      <c r="S296" s="89" t="e">
        <f>#REF!</f>
        <v>#REF!</v>
      </c>
      <c r="T296" s="89" t="e">
        <f>#REF!</f>
        <v>#REF!</v>
      </c>
      <c r="U296" s="89" t="e">
        <f>#REF!</f>
        <v>#REF!</v>
      </c>
      <c r="V296" s="89" t="e">
        <f>#REF!</f>
        <v>#REF!</v>
      </c>
      <c r="W296" s="89" t="e">
        <f>#REF!</f>
        <v>#REF!</v>
      </c>
      <c r="X296" s="89" t="e">
        <f>#REF!</f>
        <v>#REF!</v>
      </c>
      <c r="Y296" s="89" t="e">
        <f>#REF!</f>
        <v>#REF!</v>
      </c>
      <c r="Z296" s="89" t="e">
        <f>#REF!</f>
        <v>#REF!</v>
      </c>
      <c r="AA296" s="89" t="e">
        <f>#REF!</f>
        <v>#REF!</v>
      </c>
      <c r="AB296" s="89" t="e">
        <f>#REF!</f>
        <v>#REF!</v>
      </c>
      <c r="AC296" s="89" t="e">
        <f>#REF!</f>
        <v>#REF!</v>
      </c>
      <c r="AD296" s="89" t="e">
        <f>#REF!</f>
        <v>#REF!</v>
      </c>
      <c r="AE296" s="89" t="e">
        <f>#REF!</f>
        <v>#REF!</v>
      </c>
      <c r="AF296" s="89" t="e">
        <f>#REF!</f>
        <v>#REF!</v>
      </c>
      <c r="AG296" s="89" t="e">
        <f>#REF!</f>
        <v>#REF!</v>
      </c>
      <c r="AH296" s="89" t="e">
        <f>#REF!</f>
        <v>#REF!</v>
      </c>
      <c r="AI296" s="89" t="e">
        <f>#REF!</f>
        <v>#REF!</v>
      </c>
      <c r="AJ296" s="89" t="e">
        <f>#REF!</f>
        <v>#REF!</v>
      </c>
      <c r="AK296" s="89" t="e">
        <f>#REF!</f>
        <v>#REF!</v>
      </c>
      <c r="AL296" s="89" t="e">
        <f>#REF!</f>
        <v>#REF!</v>
      </c>
      <c r="AM296" s="89" t="e">
        <f>#REF!</f>
        <v>#REF!</v>
      </c>
      <c r="AN296" s="89" t="e">
        <f>#REF!</f>
        <v>#REF!</v>
      </c>
      <c r="AO296" s="89" t="e">
        <f>#REF!</f>
        <v>#REF!</v>
      </c>
      <c r="AP296" s="89" t="e">
        <f>#REF!</f>
        <v>#REF!</v>
      </c>
      <c r="AQ296" s="89" t="e">
        <f>#REF!</f>
        <v>#REF!</v>
      </c>
      <c r="AR296" s="89" t="e">
        <f>#REF!</f>
        <v>#REF!</v>
      </c>
      <c r="AS296" s="89" t="e">
        <f>#REF!</f>
        <v>#REF!</v>
      </c>
      <c r="AT296" s="89" t="e">
        <f>#REF!</f>
        <v>#REF!</v>
      </c>
      <c r="AU296" s="89" t="e">
        <f>#REF!</f>
        <v>#REF!</v>
      </c>
      <c r="AV296" s="89" t="e">
        <f>#REF!</f>
        <v>#REF!</v>
      </c>
      <c r="AW296" s="89" t="e">
        <f>#REF!</f>
        <v>#REF!</v>
      </c>
      <c r="AX296" s="89" t="e">
        <f>#REF!</f>
        <v>#REF!</v>
      </c>
      <c r="AY296" s="89" t="e">
        <f>#REF!</f>
        <v>#REF!</v>
      </c>
      <c r="AZ296" s="89" t="e">
        <f>#REF!</f>
        <v>#REF!</v>
      </c>
      <c r="BA296" s="89" t="e">
        <f>#REF!</f>
        <v>#REF!</v>
      </c>
      <c r="BB296" s="89" t="e">
        <f>#REF!</f>
        <v>#REF!</v>
      </c>
      <c r="BC296" s="89" t="e">
        <f>#REF!</f>
        <v>#REF!</v>
      </c>
      <c r="BD296" s="89" t="e">
        <f>#REF!</f>
        <v>#REF!</v>
      </c>
      <c r="BE296" s="89" t="e">
        <f>#REF!</f>
        <v>#REF!</v>
      </c>
      <c r="BF296" s="89" t="e">
        <f>#REF!</f>
        <v>#REF!</v>
      </c>
    </row>
    <row r="297" spans="9:58" x14ac:dyDescent="0.25">
      <c r="I297" s="89">
        <f>ABCD!J346</f>
        <v>73.25</v>
      </c>
      <c r="J297" s="89">
        <f>ABCD!K346</f>
        <v>240.26</v>
      </c>
      <c r="K297" s="89">
        <f>ABCD!L346</f>
        <v>-5.4162661902708553</v>
      </c>
      <c r="L297" s="89">
        <f>ABCD!M346</f>
        <v>-0.9586855392180702</v>
      </c>
      <c r="M297" s="89">
        <f>ABCD!N346</f>
        <v>5.5004561089946904</v>
      </c>
      <c r="N297" s="89" t="e">
        <v>#REF!</v>
      </c>
      <c r="O297" s="89" t="e">
        <v>#REF!</v>
      </c>
      <c r="P297" s="89" t="e">
        <v>#REF!</v>
      </c>
      <c r="Q297" s="89" t="e">
        <v>#REF!</v>
      </c>
      <c r="R297" s="89" t="e">
        <v>#REF!</v>
      </c>
      <c r="S297" s="89" t="e">
        <f>#REF!</f>
        <v>#REF!</v>
      </c>
      <c r="T297" s="89" t="e">
        <f>#REF!</f>
        <v>#REF!</v>
      </c>
      <c r="U297" s="89" t="e">
        <f>#REF!</f>
        <v>#REF!</v>
      </c>
      <c r="V297" s="89" t="e">
        <f>#REF!</f>
        <v>#REF!</v>
      </c>
      <c r="W297" s="89" t="e">
        <f>#REF!</f>
        <v>#REF!</v>
      </c>
      <c r="X297" s="89" t="e">
        <f>#REF!</f>
        <v>#REF!</v>
      </c>
      <c r="Y297" s="89" t="e">
        <f>#REF!</f>
        <v>#REF!</v>
      </c>
      <c r="Z297" s="89" t="e">
        <f>#REF!</f>
        <v>#REF!</v>
      </c>
      <c r="AA297" s="89" t="e">
        <f>#REF!</f>
        <v>#REF!</v>
      </c>
      <c r="AB297" s="89" t="e">
        <f>#REF!</f>
        <v>#REF!</v>
      </c>
      <c r="AC297" s="89" t="e">
        <f>#REF!</f>
        <v>#REF!</v>
      </c>
      <c r="AD297" s="89" t="e">
        <f>#REF!</f>
        <v>#REF!</v>
      </c>
      <c r="AE297" s="89" t="e">
        <f>#REF!</f>
        <v>#REF!</v>
      </c>
      <c r="AF297" s="89" t="e">
        <f>#REF!</f>
        <v>#REF!</v>
      </c>
      <c r="AG297" s="89" t="e">
        <f>#REF!</f>
        <v>#REF!</v>
      </c>
      <c r="AH297" s="89" t="e">
        <f>#REF!</f>
        <v>#REF!</v>
      </c>
      <c r="AI297" s="89" t="e">
        <f>#REF!</f>
        <v>#REF!</v>
      </c>
      <c r="AJ297" s="89" t="e">
        <f>#REF!</f>
        <v>#REF!</v>
      </c>
      <c r="AK297" s="89" t="e">
        <f>#REF!</f>
        <v>#REF!</v>
      </c>
      <c r="AL297" s="89" t="e">
        <f>#REF!</f>
        <v>#REF!</v>
      </c>
      <c r="AM297" s="89" t="e">
        <f>#REF!</f>
        <v>#REF!</v>
      </c>
      <c r="AN297" s="89" t="e">
        <f>#REF!</f>
        <v>#REF!</v>
      </c>
      <c r="AO297" s="89" t="e">
        <f>#REF!</f>
        <v>#REF!</v>
      </c>
      <c r="AP297" s="89" t="e">
        <f>#REF!</f>
        <v>#REF!</v>
      </c>
      <c r="AQ297" s="89" t="e">
        <f>#REF!</f>
        <v>#REF!</v>
      </c>
      <c r="AR297" s="89" t="e">
        <f>#REF!</f>
        <v>#REF!</v>
      </c>
      <c r="AS297" s="89" t="e">
        <f>#REF!</f>
        <v>#REF!</v>
      </c>
      <c r="AT297" s="89" t="e">
        <f>#REF!</f>
        <v>#REF!</v>
      </c>
      <c r="AU297" s="89" t="e">
        <f>#REF!</f>
        <v>#REF!</v>
      </c>
      <c r="AV297" s="89" t="e">
        <f>#REF!</f>
        <v>#REF!</v>
      </c>
      <c r="AW297" s="89" t="e">
        <f>#REF!</f>
        <v>#REF!</v>
      </c>
      <c r="AX297" s="89" t="e">
        <f>#REF!</f>
        <v>#REF!</v>
      </c>
      <c r="AY297" s="89" t="e">
        <f>#REF!</f>
        <v>#REF!</v>
      </c>
      <c r="AZ297" s="89" t="e">
        <f>#REF!</f>
        <v>#REF!</v>
      </c>
      <c r="BA297" s="89" t="e">
        <f>#REF!</f>
        <v>#REF!</v>
      </c>
      <c r="BB297" s="89" t="e">
        <f>#REF!</f>
        <v>#REF!</v>
      </c>
      <c r="BC297" s="89" t="e">
        <f>#REF!</f>
        <v>#REF!</v>
      </c>
      <c r="BD297" s="89" t="e">
        <f>#REF!</f>
        <v>#REF!</v>
      </c>
      <c r="BE297" s="89" t="e">
        <f>#REF!</f>
        <v>#REF!</v>
      </c>
      <c r="BF297" s="89" t="e">
        <f>#REF!</f>
        <v>#REF!</v>
      </c>
    </row>
    <row r="298" spans="9:58" x14ac:dyDescent="0.25">
      <c r="I298" s="89">
        <f>ABCD!J347</f>
        <v>73.5</v>
      </c>
      <c r="J298" s="89">
        <f>ABCD!K347</f>
        <v>241.07999999999998</v>
      </c>
      <c r="K298" s="89">
        <f>ABCD!L347</f>
        <v>-5.4579341690376815</v>
      </c>
      <c r="L298" s="89">
        <f>ABCD!M347</f>
        <v>-0.96704072012601772</v>
      </c>
      <c r="M298" s="89">
        <f>ABCD!N347</f>
        <v>5.5429426433917657</v>
      </c>
      <c r="N298" s="89" t="e">
        <v>#REF!</v>
      </c>
      <c r="O298" s="89" t="e">
        <v>#REF!</v>
      </c>
      <c r="P298" s="89" t="e">
        <v>#REF!</v>
      </c>
      <c r="Q298" s="89" t="e">
        <v>#REF!</v>
      </c>
      <c r="R298" s="89" t="e">
        <v>#REF!</v>
      </c>
      <c r="S298" s="89" t="e">
        <f>#REF!</f>
        <v>#REF!</v>
      </c>
      <c r="T298" s="89" t="e">
        <f>#REF!</f>
        <v>#REF!</v>
      </c>
      <c r="U298" s="89" t="e">
        <f>#REF!</f>
        <v>#REF!</v>
      </c>
      <c r="V298" s="89" t="e">
        <f>#REF!</f>
        <v>#REF!</v>
      </c>
      <c r="W298" s="89" t="e">
        <f>#REF!</f>
        <v>#REF!</v>
      </c>
      <c r="X298" s="89" t="e">
        <f>#REF!</f>
        <v>#REF!</v>
      </c>
      <c r="Y298" s="89" t="e">
        <f>#REF!</f>
        <v>#REF!</v>
      </c>
      <c r="Z298" s="89" t="e">
        <f>#REF!</f>
        <v>#REF!</v>
      </c>
      <c r="AA298" s="89" t="e">
        <f>#REF!</f>
        <v>#REF!</v>
      </c>
      <c r="AB298" s="89" t="e">
        <f>#REF!</f>
        <v>#REF!</v>
      </c>
      <c r="AC298" s="89" t="e">
        <f>#REF!</f>
        <v>#REF!</v>
      </c>
      <c r="AD298" s="89" t="e">
        <f>#REF!</f>
        <v>#REF!</v>
      </c>
      <c r="AE298" s="89" t="e">
        <f>#REF!</f>
        <v>#REF!</v>
      </c>
      <c r="AF298" s="89" t="e">
        <f>#REF!</f>
        <v>#REF!</v>
      </c>
      <c r="AG298" s="89" t="e">
        <f>#REF!</f>
        <v>#REF!</v>
      </c>
      <c r="AH298" s="89" t="e">
        <f>#REF!</f>
        <v>#REF!</v>
      </c>
      <c r="AI298" s="89" t="e">
        <f>#REF!</f>
        <v>#REF!</v>
      </c>
      <c r="AJ298" s="89" t="e">
        <f>#REF!</f>
        <v>#REF!</v>
      </c>
      <c r="AK298" s="89" t="e">
        <f>#REF!</f>
        <v>#REF!</v>
      </c>
      <c r="AL298" s="89" t="e">
        <f>#REF!</f>
        <v>#REF!</v>
      </c>
      <c r="AM298" s="89" t="e">
        <f>#REF!</f>
        <v>#REF!</v>
      </c>
      <c r="AN298" s="89" t="e">
        <f>#REF!</f>
        <v>#REF!</v>
      </c>
      <c r="AO298" s="89" t="e">
        <f>#REF!</f>
        <v>#REF!</v>
      </c>
      <c r="AP298" s="89" t="e">
        <f>#REF!</f>
        <v>#REF!</v>
      </c>
      <c r="AQ298" s="89" t="e">
        <f>#REF!</f>
        <v>#REF!</v>
      </c>
      <c r="AR298" s="89" t="e">
        <f>#REF!</f>
        <v>#REF!</v>
      </c>
      <c r="AS298" s="89" t="e">
        <f>#REF!</f>
        <v>#REF!</v>
      </c>
      <c r="AT298" s="89" t="e">
        <f>#REF!</f>
        <v>#REF!</v>
      </c>
      <c r="AU298" s="89" t="e">
        <f>#REF!</f>
        <v>#REF!</v>
      </c>
      <c r="AV298" s="89" t="e">
        <f>#REF!</f>
        <v>#REF!</v>
      </c>
      <c r="AW298" s="89" t="e">
        <f>#REF!</f>
        <v>#REF!</v>
      </c>
      <c r="AX298" s="89" t="e">
        <f>#REF!</f>
        <v>#REF!</v>
      </c>
      <c r="AY298" s="89" t="e">
        <f>#REF!</f>
        <v>#REF!</v>
      </c>
      <c r="AZ298" s="89" t="e">
        <f>#REF!</f>
        <v>#REF!</v>
      </c>
      <c r="BA298" s="89" t="e">
        <f>#REF!</f>
        <v>#REF!</v>
      </c>
      <c r="BB298" s="89" t="e">
        <f>#REF!</f>
        <v>#REF!</v>
      </c>
      <c r="BC298" s="89" t="e">
        <f>#REF!</f>
        <v>#REF!</v>
      </c>
      <c r="BD298" s="89" t="e">
        <f>#REF!</f>
        <v>#REF!</v>
      </c>
      <c r="BE298" s="89" t="e">
        <f>#REF!</f>
        <v>#REF!</v>
      </c>
      <c r="BF298" s="89" t="e">
        <f>#REF!</f>
        <v>#REF!</v>
      </c>
    </row>
    <row r="299" spans="9:58" x14ac:dyDescent="0.25">
      <c r="I299" s="89">
        <f>ABCD!J348</f>
        <v>73.75</v>
      </c>
      <c r="J299" s="89">
        <f>ABCD!K348</f>
        <v>241.89999999999998</v>
      </c>
      <c r="K299" s="89">
        <f>ABCD!L348</f>
        <v>-5.4983047480998417</v>
      </c>
      <c r="L299" s="89">
        <f>ABCD!M348</f>
        <v>-0.9751651520339788</v>
      </c>
      <c r="M299" s="89">
        <f>ABCD!N348</f>
        <v>5.5841115834767052</v>
      </c>
      <c r="N299" s="89" t="e">
        <v>#REF!</v>
      </c>
      <c r="O299" s="89" t="e">
        <v>#REF!</v>
      </c>
      <c r="P299" s="89" t="e">
        <v>#REF!</v>
      </c>
      <c r="Q299" s="89" t="e">
        <v>#REF!</v>
      </c>
      <c r="R299" s="89" t="e">
        <v>#REF!</v>
      </c>
      <c r="S299" s="89" t="e">
        <f>#REF!</f>
        <v>#REF!</v>
      </c>
      <c r="T299" s="89" t="e">
        <f>#REF!</f>
        <v>#REF!</v>
      </c>
      <c r="U299" s="89" t="e">
        <f>#REF!</f>
        <v>#REF!</v>
      </c>
      <c r="V299" s="89" t="e">
        <f>#REF!</f>
        <v>#REF!</v>
      </c>
      <c r="W299" s="89" t="e">
        <f>#REF!</f>
        <v>#REF!</v>
      </c>
      <c r="X299" s="89" t="e">
        <f>#REF!</f>
        <v>#REF!</v>
      </c>
      <c r="Y299" s="89" t="e">
        <f>#REF!</f>
        <v>#REF!</v>
      </c>
      <c r="Z299" s="89" t="e">
        <f>#REF!</f>
        <v>#REF!</v>
      </c>
      <c r="AA299" s="89" t="e">
        <f>#REF!</f>
        <v>#REF!</v>
      </c>
      <c r="AB299" s="89" t="e">
        <f>#REF!</f>
        <v>#REF!</v>
      </c>
      <c r="AC299" s="89" t="e">
        <f>#REF!</f>
        <v>#REF!</v>
      </c>
      <c r="AD299" s="89" t="e">
        <f>#REF!</f>
        <v>#REF!</v>
      </c>
      <c r="AE299" s="89" t="e">
        <f>#REF!</f>
        <v>#REF!</v>
      </c>
      <c r="AF299" s="89" t="e">
        <f>#REF!</f>
        <v>#REF!</v>
      </c>
      <c r="AG299" s="89" t="e">
        <f>#REF!</f>
        <v>#REF!</v>
      </c>
      <c r="AH299" s="89" t="e">
        <f>#REF!</f>
        <v>#REF!</v>
      </c>
      <c r="AI299" s="89" t="e">
        <f>#REF!</f>
        <v>#REF!</v>
      </c>
      <c r="AJ299" s="89" t="e">
        <f>#REF!</f>
        <v>#REF!</v>
      </c>
      <c r="AK299" s="89" t="e">
        <f>#REF!</f>
        <v>#REF!</v>
      </c>
      <c r="AL299" s="89" t="e">
        <f>#REF!</f>
        <v>#REF!</v>
      </c>
      <c r="AM299" s="89" t="e">
        <f>#REF!</f>
        <v>#REF!</v>
      </c>
      <c r="AN299" s="89" t="e">
        <f>#REF!</f>
        <v>#REF!</v>
      </c>
      <c r="AO299" s="89" t="e">
        <f>#REF!</f>
        <v>#REF!</v>
      </c>
      <c r="AP299" s="89" t="e">
        <f>#REF!</f>
        <v>#REF!</v>
      </c>
      <c r="AQ299" s="89" t="e">
        <f>#REF!</f>
        <v>#REF!</v>
      </c>
      <c r="AR299" s="89" t="e">
        <f>#REF!</f>
        <v>#REF!</v>
      </c>
      <c r="AS299" s="89" t="e">
        <f>#REF!</f>
        <v>#REF!</v>
      </c>
      <c r="AT299" s="89" t="e">
        <f>#REF!</f>
        <v>#REF!</v>
      </c>
      <c r="AU299" s="89" t="e">
        <f>#REF!</f>
        <v>#REF!</v>
      </c>
      <c r="AV299" s="89" t="e">
        <f>#REF!</f>
        <v>#REF!</v>
      </c>
      <c r="AW299" s="89" t="e">
        <f>#REF!</f>
        <v>#REF!</v>
      </c>
      <c r="AX299" s="89" t="e">
        <f>#REF!</f>
        <v>#REF!</v>
      </c>
      <c r="AY299" s="89" t="e">
        <f>#REF!</f>
        <v>#REF!</v>
      </c>
      <c r="AZ299" s="89" t="e">
        <f>#REF!</f>
        <v>#REF!</v>
      </c>
      <c r="BA299" s="89" t="e">
        <f>#REF!</f>
        <v>#REF!</v>
      </c>
      <c r="BB299" s="89" t="e">
        <f>#REF!</f>
        <v>#REF!</v>
      </c>
      <c r="BC299" s="89" t="e">
        <f>#REF!</f>
        <v>#REF!</v>
      </c>
      <c r="BD299" s="89" t="e">
        <f>#REF!</f>
        <v>#REF!</v>
      </c>
      <c r="BE299" s="89" t="e">
        <f>#REF!</f>
        <v>#REF!</v>
      </c>
      <c r="BF299" s="89" t="e">
        <f>#REF!</f>
        <v>#REF!</v>
      </c>
    </row>
    <row r="300" spans="9:58" x14ac:dyDescent="0.25">
      <c r="I300" s="89">
        <f>ABCD!J349</f>
        <v>74</v>
      </c>
      <c r="J300" s="89">
        <f>ABCD!K349</f>
        <v>242.72</v>
      </c>
      <c r="K300" s="89">
        <f>ABCD!L349</f>
        <v>-5.5373697754038886</v>
      </c>
      <c r="L300" s="89">
        <f>ABCD!M349</f>
        <v>-0.9830571670700281</v>
      </c>
      <c r="M300" s="89">
        <f>ABCD!N349</f>
        <v>5.6239546071500488</v>
      </c>
      <c r="N300" s="89" t="e">
        <v>#REF!</v>
      </c>
      <c r="O300" s="89" t="e">
        <v>#REF!</v>
      </c>
      <c r="P300" s="89" t="e">
        <v>#REF!</v>
      </c>
      <c r="Q300" s="89" t="e">
        <v>#REF!</v>
      </c>
      <c r="R300" s="89" t="e">
        <v>#REF!</v>
      </c>
      <c r="S300" s="89" t="e">
        <f>#REF!</f>
        <v>#REF!</v>
      </c>
      <c r="T300" s="89" t="e">
        <f>#REF!</f>
        <v>#REF!</v>
      </c>
      <c r="U300" s="89" t="e">
        <f>#REF!</f>
        <v>#REF!</v>
      </c>
      <c r="V300" s="89" t="e">
        <f>#REF!</f>
        <v>#REF!</v>
      </c>
      <c r="W300" s="89" t="e">
        <f>#REF!</f>
        <v>#REF!</v>
      </c>
      <c r="X300" s="89" t="e">
        <f>#REF!</f>
        <v>#REF!</v>
      </c>
      <c r="Y300" s="89" t="e">
        <f>#REF!</f>
        <v>#REF!</v>
      </c>
      <c r="Z300" s="89" t="e">
        <f>#REF!</f>
        <v>#REF!</v>
      </c>
      <c r="AA300" s="89" t="e">
        <f>#REF!</f>
        <v>#REF!</v>
      </c>
      <c r="AB300" s="89" t="e">
        <f>#REF!</f>
        <v>#REF!</v>
      </c>
      <c r="AC300" s="89" t="e">
        <f>#REF!</f>
        <v>#REF!</v>
      </c>
      <c r="AD300" s="89" t="e">
        <f>#REF!</f>
        <v>#REF!</v>
      </c>
      <c r="AE300" s="89" t="e">
        <f>#REF!</f>
        <v>#REF!</v>
      </c>
      <c r="AF300" s="89" t="e">
        <f>#REF!</f>
        <v>#REF!</v>
      </c>
      <c r="AG300" s="89" t="e">
        <f>#REF!</f>
        <v>#REF!</v>
      </c>
      <c r="AH300" s="89" t="e">
        <f>#REF!</f>
        <v>#REF!</v>
      </c>
      <c r="AI300" s="89" t="e">
        <f>#REF!</f>
        <v>#REF!</v>
      </c>
      <c r="AJ300" s="89" t="e">
        <f>#REF!</f>
        <v>#REF!</v>
      </c>
      <c r="AK300" s="89" t="e">
        <f>#REF!</f>
        <v>#REF!</v>
      </c>
      <c r="AL300" s="89" t="e">
        <f>#REF!</f>
        <v>#REF!</v>
      </c>
      <c r="AM300" s="89" t="e">
        <f>#REF!</f>
        <v>#REF!</v>
      </c>
      <c r="AN300" s="89" t="e">
        <f>#REF!</f>
        <v>#REF!</v>
      </c>
      <c r="AO300" s="89" t="e">
        <f>#REF!</f>
        <v>#REF!</v>
      </c>
      <c r="AP300" s="89" t="e">
        <f>#REF!</f>
        <v>#REF!</v>
      </c>
      <c r="AQ300" s="89" t="e">
        <f>#REF!</f>
        <v>#REF!</v>
      </c>
      <c r="AR300" s="89" t="e">
        <f>#REF!</f>
        <v>#REF!</v>
      </c>
      <c r="AS300" s="89" t="e">
        <f>#REF!</f>
        <v>#REF!</v>
      </c>
      <c r="AT300" s="89" t="e">
        <f>#REF!</f>
        <v>#REF!</v>
      </c>
      <c r="AU300" s="89" t="e">
        <f>#REF!</f>
        <v>#REF!</v>
      </c>
      <c r="AV300" s="89" t="e">
        <f>#REF!</f>
        <v>#REF!</v>
      </c>
      <c r="AW300" s="89" t="e">
        <f>#REF!</f>
        <v>#REF!</v>
      </c>
      <c r="AX300" s="89" t="e">
        <f>#REF!</f>
        <v>#REF!</v>
      </c>
      <c r="AY300" s="89" t="e">
        <f>#REF!</f>
        <v>#REF!</v>
      </c>
      <c r="AZ300" s="89" t="e">
        <f>#REF!</f>
        <v>#REF!</v>
      </c>
      <c r="BA300" s="89" t="e">
        <f>#REF!</f>
        <v>#REF!</v>
      </c>
      <c r="BB300" s="89" t="e">
        <f>#REF!</f>
        <v>#REF!</v>
      </c>
      <c r="BC300" s="89" t="e">
        <f>#REF!</f>
        <v>#REF!</v>
      </c>
      <c r="BD300" s="89" t="e">
        <f>#REF!</f>
        <v>#REF!</v>
      </c>
      <c r="BE300" s="89" t="e">
        <f>#REF!</f>
        <v>#REF!</v>
      </c>
      <c r="BF300" s="89" t="e">
        <f>#REF!</f>
        <v>#REF!</v>
      </c>
    </row>
    <row r="301" spans="9:58" x14ac:dyDescent="0.25">
      <c r="I301" s="89">
        <f>ABCD!J350</f>
        <v>74.25</v>
      </c>
      <c r="J301" s="89">
        <f>ABCD!K350</f>
        <v>243.54</v>
      </c>
      <c r="K301" s="89">
        <f>ABCD!L350</f>
        <v>-5.5751214076048896</v>
      </c>
      <c r="L301" s="89">
        <f>ABCD!M350</f>
        <v>-0.99071515251400899</v>
      </c>
      <c r="M301" s="89">
        <f>ABCD!N350</f>
        <v>5.6624637061048952</v>
      </c>
      <c r="N301" s="89" t="e">
        <v>#REF!</v>
      </c>
      <c r="O301" s="89" t="e">
        <v>#REF!</v>
      </c>
      <c r="P301" s="89" t="e">
        <v>#REF!</v>
      </c>
      <c r="Q301" s="89" t="e">
        <v>#REF!</v>
      </c>
      <c r="R301" s="89" t="e">
        <v>#REF!</v>
      </c>
      <c r="S301" s="89" t="e">
        <f>#REF!</f>
        <v>#REF!</v>
      </c>
      <c r="T301" s="89" t="e">
        <f>#REF!</f>
        <v>#REF!</v>
      </c>
      <c r="U301" s="89" t="e">
        <f>#REF!</f>
        <v>#REF!</v>
      </c>
      <c r="V301" s="89" t="e">
        <f>#REF!</f>
        <v>#REF!</v>
      </c>
      <c r="W301" s="89" t="e">
        <f>#REF!</f>
        <v>#REF!</v>
      </c>
      <c r="X301" s="89" t="e">
        <f>#REF!</f>
        <v>#REF!</v>
      </c>
      <c r="Y301" s="89" t="e">
        <f>#REF!</f>
        <v>#REF!</v>
      </c>
      <c r="Z301" s="89" t="e">
        <f>#REF!</f>
        <v>#REF!</v>
      </c>
      <c r="AA301" s="89" t="e">
        <f>#REF!</f>
        <v>#REF!</v>
      </c>
      <c r="AB301" s="89" t="e">
        <f>#REF!</f>
        <v>#REF!</v>
      </c>
      <c r="AC301" s="89" t="e">
        <f>#REF!</f>
        <v>#REF!</v>
      </c>
      <c r="AD301" s="89" t="e">
        <f>#REF!</f>
        <v>#REF!</v>
      </c>
      <c r="AE301" s="89" t="e">
        <f>#REF!</f>
        <v>#REF!</v>
      </c>
      <c r="AF301" s="89" t="e">
        <f>#REF!</f>
        <v>#REF!</v>
      </c>
      <c r="AG301" s="89" t="e">
        <f>#REF!</f>
        <v>#REF!</v>
      </c>
      <c r="AH301" s="89" t="e">
        <f>#REF!</f>
        <v>#REF!</v>
      </c>
      <c r="AI301" s="89" t="e">
        <f>#REF!</f>
        <v>#REF!</v>
      </c>
      <c r="AJ301" s="89" t="e">
        <f>#REF!</f>
        <v>#REF!</v>
      </c>
      <c r="AK301" s="89" t="e">
        <f>#REF!</f>
        <v>#REF!</v>
      </c>
      <c r="AL301" s="89" t="e">
        <f>#REF!</f>
        <v>#REF!</v>
      </c>
      <c r="AM301" s="89" t="e">
        <f>#REF!</f>
        <v>#REF!</v>
      </c>
      <c r="AN301" s="89" t="e">
        <f>#REF!</f>
        <v>#REF!</v>
      </c>
      <c r="AO301" s="89" t="e">
        <f>#REF!</f>
        <v>#REF!</v>
      </c>
      <c r="AP301" s="89" t="e">
        <f>#REF!</f>
        <v>#REF!</v>
      </c>
      <c r="AQ301" s="89" t="e">
        <f>#REF!</f>
        <v>#REF!</v>
      </c>
      <c r="AR301" s="89" t="e">
        <f>#REF!</f>
        <v>#REF!</v>
      </c>
      <c r="AS301" s="89" t="e">
        <f>#REF!</f>
        <v>#REF!</v>
      </c>
      <c r="AT301" s="89" t="e">
        <f>#REF!</f>
        <v>#REF!</v>
      </c>
      <c r="AU301" s="89" t="e">
        <f>#REF!</f>
        <v>#REF!</v>
      </c>
      <c r="AV301" s="89" t="e">
        <f>#REF!</f>
        <v>#REF!</v>
      </c>
      <c r="AW301" s="89" t="e">
        <f>#REF!</f>
        <v>#REF!</v>
      </c>
      <c r="AX301" s="89" t="e">
        <f>#REF!</f>
        <v>#REF!</v>
      </c>
      <c r="AY301" s="89" t="e">
        <f>#REF!</f>
        <v>#REF!</v>
      </c>
      <c r="AZ301" s="89" t="e">
        <f>#REF!</f>
        <v>#REF!</v>
      </c>
      <c r="BA301" s="89" t="e">
        <f>#REF!</f>
        <v>#REF!</v>
      </c>
      <c r="BB301" s="89" t="e">
        <f>#REF!</f>
        <v>#REF!</v>
      </c>
      <c r="BC301" s="89" t="e">
        <f>#REF!</f>
        <v>#REF!</v>
      </c>
      <c r="BD301" s="89" t="e">
        <f>#REF!</f>
        <v>#REF!</v>
      </c>
      <c r="BE301" s="89" t="e">
        <f>#REF!</f>
        <v>#REF!</v>
      </c>
      <c r="BF301" s="89" t="e">
        <f>#REF!</f>
        <v>#REF!</v>
      </c>
    </row>
    <row r="302" spans="9:58" x14ac:dyDescent="0.25">
      <c r="I302" s="89">
        <f>ABCD!J351</f>
        <v>74.5</v>
      </c>
      <c r="J302" s="89">
        <f>ABCD!K351</f>
        <v>244.35999999999999</v>
      </c>
      <c r="K302" s="89">
        <f>ABCD!L351</f>
        <v>-5.6115521115992859</v>
      </c>
      <c r="L302" s="89">
        <f>ABCD!M351</f>
        <v>-0.99813755112020319</v>
      </c>
      <c r="M302" s="89">
        <f>ABCD!N351</f>
        <v>5.6996311873796399</v>
      </c>
      <c r="N302" s="89" t="e">
        <v>#REF!</v>
      </c>
      <c r="O302" s="89" t="e">
        <v>#REF!</v>
      </c>
      <c r="P302" s="89" t="e">
        <v>#REF!</v>
      </c>
      <c r="Q302" s="89" t="e">
        <v>#REF!</v>
      </c>
      <c r="R302" s="89" t="e">
        <v>#REF!</v>
      </c>
      <c r="S302" s="89" t="e">
        <f>#REF!</f>
        <v>#REF!</v>
      </c>
      <c r="T302" s="89" t="e">
        <f>#REF!</f>
        <v>#REF!</v>
      </c>
      <c r="U302" s="89" t="e">
        <f>#REF!</f>
        <v>#REF!</v>
      </c>
      <c r="V302" s="89" t="e">
        <f>#REF!</f>
        <v>#REF!</v>
      </c>
      <c r="W302" s="89" t="e">
        <f>#REF!</f>
        <v>#REF!</v>
      </c>
      <c r="X302" s="89" t="e">
        <f>#REF!</f>
        <v>#REF!</v>
      </c>
      <c r="Y302" s="89" t="e">
        <f>#REF!</f>
        <v>#REF!</v>
      </c>
      <c r="Z302" s="89" t="e">
        <f>#REF!</f>
        <v>#REF!</v>
      </c>
      <c r="AA302" s="89" t="e">
        <f>#REF!</f>
        <v>#REF!</v>
      </c>
      <c r="AB302" s="89" t="e">
        <f>#REF!</f>
        <v>#REF!</v>
      </c>
      <c r="AC302" s="89" t="e">
        <f>#REF!</f>
        <v>#REF!</v>
      </c>
      <c r="AD302" s="89" t="e">
        <f>#REF!</f>
        <v>#REF!</v>
      </c>
      <c r="AE302" s="89" t="e">
        <f>#REF!</f>
        <v>#REF!</v>
      </c>
      <c r="AF302" s="89" t="e">
        <f>#REF!</f>
        <v>#REF!</v>
      </c>
      <c r="AG302" s="89" t="e">
        <f>#REF!</f>
        <v>#REF!</v>
      </c>
      <c r="AH302" s="89" t="e">
        <f>#REF!</f>
        <v>#REF!</v>
      </c>
      <c r="AI302" s="89" t="e">
        <f>#REF!</f>
        <v>#REF!</v>
      </c>
      <c r="AJ302" s="89" t="e">
        <f>#REF!</f>
        <v>#REF!</v>
      </c>
      <c r="AK302" s="89" t="e">
        <f>#REF!</f>
        <v>#REF!</v>
      </c>
      <c r="AL302" s="89" t="e">
        <f>#REF!</f>
        <v>#REF!</v>
      </c>
      <c r="AM302" s="89" t="e">
        <f>#REF!</f>
        <v>#REF!</v>
      </c>
      <c r="AN302" s="89" t="e">
        <f>#REF!</f>
        <v>#REF!</v>
      </c>
      <c r="AO302" s="89" t="e">
        <f>#REF!</f>
        <v>#REF!</v>
      </c>
      <c r="AP302" s="89" t="e">
        <f>#REF!</f>
        <v>#REF!</v>
      </c>
      <c r="AQ302" s="89" t="e">
        <f>#REF!</f>
        <v>#REF!</v>
      </c>
      <c r="AR302" s="89" t="e">
        <f>#REF!</f>
        <v>#REF!</v>
      </c>
      <c r="AS302" s="89" t="e">
        <f>#REF!</f>
        <v>#REF!</v>
      </c>
      <c r="AT302" s="89" t="e">
        <f>#REF!</f>
        <v>#REF!</v>
      </c>
      <c r="AU302" s="89" t="e">
        <f>#REF!</f>
        <v>#REF!</v>
      </c>
      <c r="AV302" s="89" t="e">
        <f>#REF!</f>
        <v>#REF!</v>
      </c>
      <c r="AW302" s="89" t="e">
        <f>#REF!</f>
        <v>#REF!</v>
      </c>
      <c r="AX302" s="89" t="e">
        <f>#REF!</f>
        <v>#REF!</v>
      </c>
      <c r="AY302" s="89" t="e">
        <f>#REF!</f>
        <v>#REF!</v>
      </c>
      <c r="AZ302" s="89" t="e">
        <f>#REF!</f>
        <v>#REF!</v>
      </c>
      <c r="BA302" s="89" t="e">
        <f>#REF!</f>
        <v>#REF!</v>
      </c>
      <c r="BB302" s="89" t="e">
        <f>#REF!</f>
        <v>#REF!</v>
      </c>
      <c r="BC302" s="89" t="e">
        <f>#REF!</f>
        <v>#REF!</v>
      </c>
      <c r="BD302" s="89" t="e">
        <f>#REF!</f>
        <v>#REF!</v>
      </c>
      <c r="BE302" s="89" t="e">
        <f>#REF!</f>
        <v>#REF!</v>
      </c>
      <c r="BF302" s="89" t="e">
        <f>#REF!</f>
        <v>#REF!</v>
      </c>
    </row>
    <row r="303" spans="9:58" x14ac:dyDescent="0.25">
      <c r="I303" s="89">
        <f>ABCD!J352</f>
        <v>74.75</v>
      </c>
      <c r="J303" s="89">
        <f>ABCD!K352</f>
        <v>245.17999999999998</v>
      </c>
      <c r="K303" s="89">
        <f>ABCD!L352</f>
        <v>-5.6466546659847578</v>
      </c>
      <c r="L303" s="89">
        <f>ABCD!M352</f>
        <v>-1.0053228614269065</v>
      </c>
      <c r="M303" s="89">
        <f>ABCD!N352</f>
        <v>5.7354496748376258</v>
      </c>
      <c r="N303" s="89" t="e">
        <v>#REF!</v>
      </c>
      <c r="O303" s="89" t="e">
        <v>#REF!</v>
      </c>
      <c r="P303" s="89" t="e">
        <v>#REF!</v>
      </c>
      <c r="Q303" s="89" t="e">
        <v>#REF!</v>
      </c>
      <c r="R303" s="89" t="e">
        <v>#REF!</v>
      </c>
      <c r="S303" s="89" t="e">
        <f>#REF!</f>
        <v>#REF!</v>
      </c>
      <c r="T303" s="89" t="e">
        <f>#REF!</f>
        <v>#REF!</v>
      </c>
      <c r="U303" s="89" t="e">
        <f>#REF!</f>
        <v>#REF!</v>
      </c>
      <c r="V303" s="89" t="e">
        <f>#REF!</f>
        <v>#REF!</v>
      </c>
      <c r="W303" s="89" t="e">
        <f>#REF!</f>
        <v>#REF!</v>
      </c>
      <c r="X303" s="89" t="e">
        <f>#REF!</f>
        <v>#REF!</v>
      </c>
      <c r="Y303" s="89" t="e">
        <f>#REF!</f>
        <v>#REF!</v>
      </c>
      <c r="Z303" s="89" t="e">
        <f>#REF!</f>
        <v>#REF!</v>
      </c>
      <c r="AA303" s="89" t="e">
        <f>#REF!</f>
        <v>#REF!</v>
      </c>
      <c r="AB303" s="89" t="e">
        <f>#REF!</f>
        <v>#REF!</v>
      </c>
      <c r="AC303" s="89" t="e">
        <f>#REF!</f>
        <v>#REF!</v>
      </c>
      <c r="AD303" s="89" t="e">
        <f>#REF!</f>
        <v>#REF!</v>
      </c>
      <c r="AE303" s="89" t="e">
        <f>#REF!</f>
        <v>#REF!</v>
      </c>
      <c r="AF303" s="89" t="e">
        <f>#REF!</f>
        <v>#REF!</v>
      </c>
      <c r="AG303" s="89" t="e">
        <f>#REF!</f>
        <v>#REF!</v>
      </c>
      <c r="AH303" s="89" t="e">
        <f>#REF!</f>
        <v>#REF!</v>
      </c>
      <c r="AI303" s="89" t="e">
        <f>#REF!</f>
        <v>#REF!</v>
      </c>
      <c r="AJ303" s="89" t="e">
        <f>#REF!</f>
        <v>#REF!</v>
      </c>
      <c r="AK303" s="89" t="e">
        <f>#REF!</f>
        <v>#REF!</v>
      </c>
      <c r="AL303" s="89" t="e">
        <f>#REF!</f>
        <v>#REF!</v>
      </c>
      <c r="AM303" s="89" t="e">
        <f>#REF!</f>
        <v>#REF!</v>
      </c>
      <c r="AN303" s="89" t="e">
        <f>#REF!</f>
        <v>#REF!</v>
      </c>
      <c r="AO303" s="89" t="e">
        <f>#REF!</f>
        <v>#REF!</v>
      </c>
      <c r="AP303" s="89" t="e">
        <f>#REF!</f>
        <v>#REF!</v>
      </c>
      <c r="AQ303" s="89" t="e">
        <f>#REF!</f>
        <v>#REF!</v>
      </c>
      <c r="AR303" s="89" t="e">
        <f>#REF!</f>
        <v>#REF!</v>
      </c>
      <c r="AS303" s="89" t="e">
        <f>#REF!</f>
        <v>#REF!</v>
      </c>
      <c r="AT303" s="89" t="e">
        <f>#REF!</f>
        <v>#REF!</v>
      </c>
      <c r="AU303" s="89" t="e">
        <f>#REF!</f>
        <v>#REF!</v>
      </c>
      <c r="AV303" s="89" t="e">
        <f>#REF!</f>
        <v>#REF!</v>
      </c>
      <c r="AW303" s="89" t="e">
        <f>#REF!</f>
        <v>#REF!</v>
      </c>
      <c r="AX303" s="89" t="e">
        <f>#REF!</f>
        <v>#REF!</v>
      </c>
      <c r="AY303" s="89" t="e">
        <f>#REF!</f>
        <v>#REF!</v>
      </c>
      <c r="AZ303" s="89" t="e">
        <f>#REF!</f>
        <v>#REF!</v>
      </c>
      <c r="BA303" s="89" t="e">
        <f>#REF!</f>
        <v>#REF!</v>
      </c>
      <c r="BB303" s="89" t="e">
        <f>#REF!</f>
        <v>#REF!</v>
      </c>
      <c r="BC303" s="89" t="e">
        <f>#REF!</f>
        <v>#REF!</v>
      </c>
      <c r="BD303" s="89" t="e">
        <f>#REF!</f>
        <v>#REF!</v>
      </c>
      <c r="BE303" s="89" t="e">
        <f>#REF!</f>
        <v>#REF!</v>
      </c>
      <c r="BF303" s="89" t="e">
        <f>#REF!</f>
        <v>#REF!</v>
      </c>
    </row>
    <row r="304" spans="9:58" x14ac:dyDescent="0.25">
      <c r="I304" s="89">
        <f>ABCD!J353</f>
        <v>75</v>
      </c>
      <c r="J304" s="89">
        <f>ABCD!K353</f>
        <v>245.99999999999997</v>
      </c>
      <c r="K304" s="89">
        <f>ABCD!L353</f>
        <v>-5.680422162446801</v>
      </c>
      <c r="L304" s="89">
        <f>ABCD!M353</f>
        <v>-1.0122696380528331</v>
      </c>
      <c r="M304" s="89">
        <f>ABCD!N353</f>
        <v>5.7699121105732978</v>
      </c>
      <c r="N304" s="89" t="e">
        <v>#REF!</v>
      </c>
      <c r="O304" s="89" t="e">
        <v>#REF!</v>
      </c>
      <c r="P304" s="89" t="e">
        <v>#REF!</v>
      </c>
      <c r="Q304" s="89" t="e">
        <v>#REF!</v>
      </c>
      <c r="R304" s="89" t="e">
        <v>#REF!</v>
      </c>
      <c r="S304" s="89" t="e">
        <f>#REF!</f>
        <v>#REF!</v>
      </c>
      <c r="T304" s="89" t="e">
        <f>#REF!</f>
        <v>#REF!</v>
      </c>
      <c r="U304" s="89" t="e">
        <f>#REF!</f>
        <v>#REF!</v>
      </c>
      <c r="V304" s="89" t="e">
        <f>#REF!</f>
        <v>#REF!</v>
      </c>
      <c r="W304" s="89" t="e">
        <f>#REF!</f>
        <v>#REF!</v>
      </c>
      <c r="X304" s="89" t="e">
        <f>#REF!</f>
        <v>#REF!</v>
      </c>
      <c r="Y304" s="89" t="e">
        <f>#REF!</f>
        <v>#REF!</v>
      </c>
      <c r="Z304" s="89" t="e">
        <f>#REF!</f>
        <v>#REF!</v>
      </c>
      <c r="AA304" s="89" t="e">
        <f>#REF!</f>
        <v>#REF!</v>
      </c>
      <c r="AB304" s="89" t="e">
        <f>#REF!</f>
        <v>#REF!</v>
      </c>
      <c r="AC304" s="89" t="e">
        <f>#REF!</f>
        <v>#REF!</v>
      </c>
      <c r="AD304" s="89" t="e">
        <f>#REF!</f>
        <v>#REF!</v>
      </c>
      <c r="AE304" s="89" t="e">
        <f>#REF!</f>
        <v>#REF!</v>
      </c>
      <c r="AF304" s="89" t="e">
        <f>#REF!</f>
        <v>#REF!</v>
      </c>
      <c r="AG304" s="89" t="e">
        <f>#REF!</f>
        <v>#REF!</v>
      </c>
      <c r="AH304" s="89" t="e">
        <f>#REF!</f>
        <v>#REF!</v>
      </c>
      <c r="AI304" s="89" t="e">
        <f>#REF!</f>
        <v>#REF!</v>
      </c>
      <c r="AJ304" s="89" t="e">
        <f>#REF!</f>
        <v>#REF!</v>
      </c>
      <c r="AK304" s="89" t="e">
        <f>#REF!</f>
        <v>#REF!</v>
      </c>
      <c r="AL304" s="89" t="e">
        <f>#REF!</f>
        <v>#REF!</v>
      </c>
      <c r="AM304" s="89" t="e">
        <f>#REF!</f>
        <v>#REF!</v>
      </c>
      <c r="AN304" s="89" t="e">
        <f>#REF!</f>
        <v>#REF!</v>
      </c>
      <c r="AO304" s="89" t="e">
        <f>#REF!</f>
        <v>#REF!</v>
      </c>
      <c r="AP304" s="89" t="e">
        <f>#REF!</f>
        <v>#REF!</v>
      </c>
      <c r="AQ304" s="89" t="e">
        <f>#REF!</f>
        <v>#REF!</v>
      </c>
      <c r="AR304" s="89" t="e">
        <f>#REF!</f>
        <v>#REF!</v>
      </c>
      <c r="AS304" s="89" t="e">
        <f>#REF!</f>
        <v>#REF!</v>
      </c>
      <c r="AT304" s="89" t="e">
        <f>#REF!</f>
        <v>#REF!</v>
      </c>
      <c r="AU304" s="89" t="e">
        <f>#REF!</f>
        <v>#REF!</v>
      </c>
      <c r="AV304" s="89" t="e">
        <f>#REF!</f>
        <v>#REF!</v>
      </c>
      <c r="AW304" s="89" t="e">
        <f>#REF!</f>
        <v>#REF!</v>
      </c>
      <c r="AX304" s="89" t="e">
        <f>#REF!</f>
        <v>#REF!</v>
      </c>
      <c r="AY304" s="89" t="e">
        <f>#REF!</f>
        <v>#REF!</v>
      </c>
      <c r="AZ304" s="89" t="e">
        <f>#REF!</f>
        <v>#REF!</v>
      </c>
      <c r="BA304" s="89" t="e">
        <f>#REF!</f>
        <v>#REF!</v>
      </c>
      <c r="BB304" s="89" t="e">
        <f>#REF!</f>
        <v>#REF!</v>
      </c>
      <c r="BC304" s="89" t="e">
        <f>#REF!</f>
        <v>#REF!</v>
      </c>
      <c r="BD304" s="89" t="e">
        <f>#REF!</f>
        <v>#REF!</v>
      </c>
      <c r="BE304" s="89" t="e">
        <f>#REF!</f>
        <v>#REF!</v>
      </c>
      <c r="BF304" s="89" t="e">
        <f>#REF!</f>
        <v>#REF!</v>
      </c>
    </row>
    <row r="305" spans="9:58" x14ac:dyDescent="0.25">
      <c r="I305" s="89">
        <f>ABCD!J354</f>
        <v>75.25</v>
      </c>
      <c r="J305" s="89">
        <f>ABCD!K354</f>
        <v>246.82</v>
      </c>
      <c r="K305" s="89">
        <f>ABCD!L354</f>
        <v>-5.7128480070718037</v>
      </c>
      <c r="L305" s="89">
        <f>ABCD!M354</f>
        <v>-1.0189764919803308</v>
      </c>
      <c r="M305" s="89">
        <f>ABCD!N354</f>
        <v>5.8030117562445822</v>
      </c>
      <c r="N305" s="89" t="e">
        <v>#REF!</v>
      </c>
      <c r="O305" s="89" t="e">
        <v>#REF!</v>
      </c>
      <c r="P305" s="89" t="e">
        <v>#REF!</v>
      </c>
      <c r="Q305" s="89" t="e">
        <v>#REF!</v>
      </c>
      <c r="R305" s="89" t="e">
        <v>#REF!</v>
      </c>
      <c r="S305" s="89" t="e">
        <f>#REF!</f>
        <v>#REF!</v>
      </c>
      <c r="T305" s="89" t="e">
        <f>#REF!</f>
        <v>#REF!</v>
      </c>
      <c r="U305" s="89" t="e">
        <f>#REF!</f>
        <v>#REF!</v>
      </c>
      <c r="V305" s="89" t="e">
        <f>#REF!</f>
        <v>#REF!</v>
      </c>
      <c r="W305" s="89" t="e">
        <f>#REF!</f>
        <v>#REF!</v>
      </c>
      <c r="X305" s="89" t="e">
        <f>#REF!</f>
        <v>#REF!</v>
      </c>
      <c r="Y305" s="89" t="e">
        <f>#REF!</f>
        <v>#REF!</v>
      </c>
      <c r="Z305" s="89" t="e">
        <f>#REF!</f>
        <v>#REF!</v>
      </c>
      <c r="AA305" s="89" t="e">
        <f>#REF!</f>
        <v>#REF!</v>
      </c>
      <c r="AB305" s="89" t="e">
        <f>#REF!</f>
        <v>#REF!</v>
      </c>
      <c r="AC305" s="89" t="e">
        <f>#REF!</f>
        <v>#REF!</v>
      </c>
      <c r="AD305" s="89" t="e">
        <f>#REF!</f>
        <v>#REF!</v>
      </c>
      <c r="AE305" s="89" t="e">
        <f>#REF!</f>
        <v>#REF!</v>
      </c>
      <c r="AF305" s="89" t="e">
        <f>#REF!</f>
        <v>#REF!</v>
      </c>
      <c r="AG305" s="89" t="e">
        <f>#REF!</f>
        <v>#REF!</v>
      </c>
      <c r="AH305" s="89" t="e">
        <f>#REF!</f>
        <v>#REF!</v>
      </c>
      <c r="AI305" s="89" t="e">
        <f>#REF!</f>
        <v>#REF!</v>
      </c>
      <c r="AJ305" s="89" t="e">
        <f>#REF!</f>
        <v>#REF!</v>
      </c>
      <c r="AK305" s="89" t="e">
        <f>#REF!</f>
        <v>#REF!</v>
      </c>
      <c r="AL305" s="89" t="e">
        <f>#REF!</f>
        <v>#REF!</v>
      </c>
      <c r="AM305" s="89" t="e">
        <f>#REF!</f>
        <v>#REF!</v>
      </c>
      <c r="AN305" s="89" t="e">
        <f>#REF!</f>
        <v>#REF!</v>
      </c>
      <c r="AO305" s="89" t="e">
        <f>#REF!</f>
        <v>#REF!</v>
      </c>
      <c r="AP305" s="89" t="e">
        <f>#REF!</f>
        <v>#REF!</v>
      </c>
      <c r="AQ305" s="89" t="e">
        <f>#REF!</f>
        <v>#REF!</v>
      </c>
      <c r="AR305" s="89" t="e">
        <f>#REF!</f>
        <v>#REF!</v>
      </c>
      <c r="AS305" s="89" t="e">
        <f>#REF!</f>
        <v>#REF!</v>
      </c>
      <c r="AT305" s="89" t="e">
        <f>#REF!</f>
        <v>#REF!</v>
      </c>
      <c r="AU305" s="89" t="e">
        <f>#REF!</f>
        <v>#REF!</v>
      </c>
      <c r="AV305" s="89" t="e">
        <f>#REF!</f>
        <v>#REF!</v>
      </c>
      <c r="AW305" s="89" t="e">
        <f>#REF!</f>
        <v>#REF!</v>
      </c>
      <c r="AX305" s="89" t="e">
        <f>#REF!</f>
        <v>#REF!</v>
      </c>
      <c r="AY305" s="89" t="e">
        <f>#REF!</f>
        <v>#REF!</v>
      </c>
      <c r="AZ305" s="89" t="e">
        <f>#REF!</f>
        <v>#REF!</v>
      </c>
      <c r="BA305" s="89" t="e">
        <f>#REF!</f>
        <v>#REF!</v>
      </c>
      <c r="BB305" s="89" t="e">
        <f>#REF!</f>
        <v>#REF!</v>
      </c>
      <c r="BC305" s="89" t="e">
        <f>#REF!</f>
        <v>#REF!</v>
      </c>
      <c r="BD305" s="89" t="e">
        <f>#REF!</f>
        <v>#REF!</v>
      </c>
      <c r="BE305" s="89" t="e">
        <f>#REF!</f>
        <v>#REF!</v>
      </c>
      <c r="BF305" s="89" t="e">
        <f>#REF!</f>
        <v>#REF!</v>
      </c>
    </row>
    <row r="306" spans="9:58" x14ac:dyDescent="0.25">
      <c r="I306" s="89">
        <f>ABCD!J355</f>
        <v>75.5</v>
      </c>
      <c r="J306" s="89">
        <f>ABCD!K355</f>
        <v>247.64</v>
      </c>
      <c r="K306" s="89">
        <f>ABCD!L355</f>
        <v>-5.7439259215863663</v>
      </c>
      <c r="L306" s="89">
        <f>ABCD!M355</f>
        <v>-1.0254420908253148</v>
      </c>
      <c r="M306" s="89">
        <f>ABCD!N355</f>
        <v>5.8347421943311248</v>
      </c>
      <c r="N306" s="89" t="e">
        <v>#REF!</v>
      </c>
      <c r="O306" s="89" t="e">
        <v>#REF!</v>
      </c>
      <c r="P306" s="89" t="e">
        <v>#REF!</v>
      </c>
      <c r="Q306" s="89" t="e">
        <v>#REF!</v>
      </c>
      <c r="R306" s="89" t="e">
        <v>#REF!</v>
      </c>
      <c r="S306" s="89" t="e">
        <f>#REF!</f>
        <v>#REF!</v>
      </c>
      <c r="T306" s="89" t="e">
        <f>#REF!</f>
        <v>#REF!</v>
      </c>
      <c r="U306" s="89" t="e">
        <f>#REF!</f>
        <v>#REF!</v>
      </c>
      <c r="V306" s="89" t="e">
        <f>#REF!</f>
        <v>#REF!</v>
      </c>
      <c r="W306" s="89" t="e">
        <f>#REF!</f>
        <v>#REF!</v>
      </c>
      <c r="X306" s="89" t="e">
        <f>#REF!</f>
        <v>#REF!</v>
      </c>
      <c r="Y306" s="89" t="e">
        <f>#REF!</f>
        <v>#REF!</v>
      </c>
      <c r="Z306" s="89" t="e">
        <f>#REF!</f>
        <v>#REF!</v>
      </c>
      <c r="AA306" s="89" t="e">
        <f>#REF!</f>
        <v>#REF!</v>
      </c>
      <c r="AB306" s="89" t="e">
        <f>#REF!</f>
        <v>#REF!</v>
      </c>
      <c r="AC306" s="89" t="e">
        <f>#REF!</f>
        <v>#REF!</v>
      </c>
      <c r="AD306" s="89" t="e">
        <f>#REF!</f>
        <v>#REF!</v>
      </c>
      <c r="AE306" s="89" t="e">
        <f>#REF!</f>
        <v>#REF!</v>
      </c>
      <c r="AF306" s="89" t="e">
        <f>#REF!</f>
        <v>#REF!</v>
      </c>
      <c r="AG306" s="89" t="e">
        <f>#REF!</f>
        <v>#REF!</v>
      </c>
      <c r="AH306" s="89" t="e">
        <f>#REF!</f>
        <v>#REF!</v>
      </c>
      <c r="AI306" s="89" t="e">
        <f>#REF!</f>
        <v>#REF!</v>
      </c>
      <c r="AJ306" s="89" t="e">
        <f>#REF!</f>
        <v>#REF!</v>
      </c>
      <c r="AK306" s="89" t="e">
        <f>#REF!</f>
        <v>#REF!</v>
      </c>
      <c r="AL306" s="89" t="e">
        <f>#REF!</f>
        <v>#REF!</v>
      </c>
      <c r="AM306" s="89" t="e">
        <f>#REF!</f>
        <v>#REF!</v>
      </c>
      <c r="AN306" s="89" t="e">
        <f>#REF!</f>
        <v>#REF!</v>
      </c>
      <c r="AO306" s="89" t="e">
        <f>#REF!</f>
        <v>#REF!</v>
      </c>
      <c r="AP306" s="89" t="e">
        <f>#REF!</f>
        <v>#REF!</v>
      </c>
      <c r="AQ306" s="89" t="e">
        <f>#REF!</f>
        <v>#REF!</v>
      </c>
      <c r="AR306" s="89" t="e">
        <f>#REF!</f>
        <v>#REF!</v>
      </c>
      <c r="AS306" s="89" t="e">
        <f>#REF!</f>
        <v>#REF!</v>
      </c>
      <c r="AT306" s="89" t="e">
        <f>#REF!</f>
        <v>#REF!</v>
      </c>
      <c r="AU306" s="89" t="e">
        <f>#REF!</f>
        <v>#REF!</v>
      </c>
      <c r="AV306" s="89" t="e">
        <f>#REF!</f>
        <v>#REF!</v>
      </c>
      <c r="AW306" s="89" t="e">
        <f>#REF!</f>
        <v>#REF!</v>
      </c>
      <c r="AX306" s="89" t="e">
        <f>#REF!</f>
        <v>#REF!</v>
      </c>
      <c r="AY306" s="89" t="e">
        <f>#REF!</f>
        <v>#REF!</v>
      </c>
      <c r="AZ306" s="89" t="e">
        <f>#REF!</f>
        <v>#REF!</v>
      </c>
      <c r="BA306" s="89" t="e">
        <f>#REF!</f>
        <v>#REF!</v>
      </c>
      <c r="BB306" s="89" t="e">
        <f>#REF!</f>
        <v>#REF!</v>
      </c>
      <c r="BC306" s="89" t="e">
        <f>#REF!</f>
        <v>#REF!</v>
      </c>
      <c r="BD306" s="89" t="e">
        <f>#REF!</f>
        <v>#REF!</v>
      </c>
      <c r="BE306" s="89" t="e">
        <f>#REF!</f>
        <v>#REF!</v>
      </c>
      <c r="BF306" s="89" t="e">
        <f>#REF!</f>
        <v>#REF!</v>
      </c>
    </row>
    <row r="307" spans="9:58" x14ac:dyDescent="0.25">
      <c r="I307" s="89">
        <f>ABCD!J356</f>
        <v>75.75</v>
      </c>
      <c r="J307" s="89">
        <f>ABCD!K356</f>
        <v>248.45999999999998</v>
      </c>
      <c r="K307" s="89">
        <f>ABCD!L356</f>
        <v>-5.7736499445226226</v>
      </c>
      <c r="L307" s="89">
        <f>ABCD!M356</f>
        <v>-1.0316651590938877</v>
      </c>
      <c r="M307" s="89">
        <f>ABCD!N356</f>
        <v>5.8650973293180995</v>
      </c>
      <c r="N307" s="89" t="e">
        <v>#REF!</v>
      </c>
      <c r="O307" s="89" t="e">
        <v>#REF!</v>
      </c>
      <c r="P307" s="89" t="e">
        <v>#REF!</v>
      </c>
      <c r="Q307" s="89" t="e">
        <v>#REF!</v>
      </c>
      <c r="R307" s="89" t="e">
        <v>#REF!</v>
      </c>
      <c r="S307" s="89" t="e">
        <f>#REF!</f>
        <v>#REF!</v>
      </c>
      <c r="T307" s="89" t="e">
        <f>#REF!</f>
        <v>#REF!</v>
      </c>
      <c r="U307" s="89" t="e">
        <f>#REF!</f>
        <v>#REF!</v>
      </c>
      <c r="V307" s="89" t="e">
        <f>#REF!</f>
        <v>#REF!</v>
      </c>
      <c r="W307" s="89" t="e">
        <f>#REF!</f>
        <v>#REF!</v>
      </c>
      <c r="X307" s="89" t="e">
        <f>#REF!</f>
        <v>#REF!</v>
      </c>
      <c r="Y307" s="89" t="e">
        <f>#REF!</f>
        <v>#REF!</v>
      </c>
      <c r="Z307" s="89" t="e">
        <f>#REF!</f>
        <v>#REF!</v>
      </c>
      <c r="AA307" s="89" t="e">
        <f>#REF!</f>
        <v>#REF!</v>
      </c>
      <c r="AB307" s="89" t="e">
        <f>#REF!</f>
        <v>#REF!</v>
      </c>
      <c r="AC307" s="89" t="e">
        <f>#REF!</f>
        <v>#REF!</v>
      </c>
      <c r="AD307" s="89" t="e">
        <f>#REF!</f>
        <v>#REF!</v>
      </c>
      <c r="AE307" s="89" t="e">
        <f>#REF!</f>
        <v>#REF!</v>
      </c>
      <c r="AF307" s="89" t="e">
        <f>#REF!</f>
        <v>#REF!</v>
      </c>
      <c r="AG307" s="89" t="e">
        <f>#REF!</f>
        <v>#REF!</v>
      </c>
      <c r="AH307" s="89" t="e">
        <f>#REF!</f>
        <v>#REF!</v>
      </c>
      <c r="AI307" s="89" t="e">
        <f>#REF!</f>
        <v>#REF!</v>
      </c>
      <c r="AJ307" s="89" t="e">
        <f>#REF!</f>
        <v>#REF!</v>
      </c>
      <c r="AK307" s="89" t="e">
        <f>#REF!</f>
        <v>#REF!</v>
      </c>
      <c r="AL307" s="89" t="e">
        <f>#REF!</f>
        <v>#REF!</v>
      </c>
      <c r="AM307" s="89" t="e">
        <f>#REF!</f>
        <v>#REF!</v>
      </c>
      <c r="AN307" s="89" t="e">
        <f>#REF!</f>
        <v>#REF!</v>
      </c>
      <c r="AO307" s="89" t="e">
        <f>#REF!</f>
        <v>#REF!</v>
      </c>
      <c r="AP307" s="89" t="e">
        <f>#REF!</f>
        <v>#REF!</v>
      </c>
      <c r="AQ307" s="89" t="e">
        <f>#REF!</f>
        <v>#REF!</v>
      </c>
      <c r="AR307" s="89" t="e">
        <f>#REF!</f>
        <v>#REF!</v>
      </c>
      <c r="AS307" s="89" t="e">
        <f>#REF!</f>
        <v>#REF!</v>
      </c>
      <c r="AT307" s="89" t="e">
        <f>#REF!</f>
        <v>#REF!</v>
      </c>
      <c r="AU307" s="89" t="e">
        <f>#REF!</f>
        <v>#REF!</v>
      </c>
      <c r="AV307" s="89" t="e">
        <f>#REF!</f>
        <v>#REF!</v>
      </c>
      <c r="AW307" s="89" t="e">
        <f>#REF!</f>
        <v>#REF!</v>
      </c>
      <c r="AX307" s="89" t="e">
        <f>#REF!</f>
        <v>#REF!</v>
      </c>
      <c r="AY307" s="89" t="e">
        <f>#REF!</f>
        <v>#REF!</v>
      </c>
      <c r="AZ307" s="89" t="e">
        <f>#REF!</f>
        <v>#REF!</v>
      </c>
      <c r="BA307" s="89" t="e">
        <f>#REF!</f>
        <v>#REF!</v>
      </c>
      <c r="BB307" s="89" t="e">
        <f>#REF!</f>
        <v>#REF!</v>
      </c>
      <c r="BC307" s="89" t="e">
        <f>#REF!</f>
        <v>#REF!</v>
      </c>
      <c r="BD307" s="89" t="e">
        <f>#REF!</f>
        <v>#REF!</v>
      </c>
      <c r="BE307" s="89" t="e">
        <f>#REF!</f>
        <v>#REF!</v>
      </c>
      <c r="BF307" s="89" t="e">
        <f>#REF!</f>
        <v>#REF!</v>
      </c>
    </row>
    <row r="308" spans="9:58" x14ac:dyDescent="0.25">
      <c r="I308" s="89">
        <f>ABCD!J357</f>
        <v>76</v>
      </c>
      <c r="J308" s="89">
        <f>ABCD!K357</f>
        <v>249.27999999999997</v>
      </c>
      <c r="K308" s="89">
        <f>ABCD!L357</f>
        <v>-5.8020144323094058</v>
      </c>
      <c r="L308" s="89">
        <f>ABCD!M357</f>
        <v>-1.0376444784255985</v>
      </c>
      <c r="M308" s="89">
        <f>ABCD!N357</f>
        <v>5.8940713888053455</v>
      </c>
      <c r="N308" s="89" t="e">
        <v>#REF!</v>
      </c>
      <c r="O308" s="89" t="e">
        <v>#REF!</v>
      </c>
      <c r="P308" s="89" t="e">
        <v>#REF!</v>
      </c>
      <c r="Q308" s="89" t="e">
        <v>#REF!</v>
      </c>
      <c r="R308" s="89" t="e">
        <v>#REF!</v>
      </c>
      <c r="S308" s="89" t="e">
        <f>#REF!</f>
        <v>#REF!</v>
      </c>
      <c r="T308" s="89" t="e">
        <f>#REF!</f>
        <v>#REF!</v>
      </c>
      <c r="U308" s="89" t="e">
        <f>#REF!</f>
        <v>#REF!</v>
      </c>
      <c r="V308" s="89" t="e">
        <f>#REF!</f>
        <v>#REF!</v>
      </c>
      <c r="W308" s="89" t="e">
        <f>#REF!</f>
        <v>#REF!</v>
      </c>
      <c r="X308" s="89" t="e">
        <f>#REF!</f>
        <v>#REF!</v>
      </c>
      <c r="Y308" s="89" t="e">
        <f>#REF!</f>
        <v>#REF!</v>
      </c>
      <c r="Z308" s="89" t="e">
        <f>#REF!</f>
        <v>#REF!</v>
      </c>
      <c r="AA308" s="89" t="e">
        <f>#REF!</f>
        <v>#REF!</v>
      </c>
      <c r="AB308" s="89" t="e">
        <f>#REF!</f>
        <v>#REF!</v>
      </c>
      <c r="AC308" s="89" t="e">
        <f>#REF!</f>
        <v>#REF!</v>
      </c>
      <c r="AD308" s="89" t="e">
        <f>#REF!</f>
        <v>#REF!</v>
      </c>
      <c r="AE308" s="89" t="e">
        <f>#REF!</f>
        <v>#REF!</v>
      </c>
      <c r="AF308" s="89" t="e">
        <f>#REF!</f>
        <v>#REF!</v>
      </c>
      <c r="AG308" s="89" t="e">
        <f>#REF!</f>
        <v>#REF!</v>
      </c>
      <c r="AH308" s="89" t="e">
        <f>#REF!</f>
        <v>#REF!</v>
      </c>
      <c r="AI308" s="89" t="e">
        <f>#REF!</f>
        <v>#REF!</v>
      </c>
      <c r="AJ308" s="89" t="e">
        <f>#REF!</f>
        <v>#REF!</v>
      </c>
      <c r="AK308" s="89" t="e">
        <f>#REF!</f>
        <v>#REF!</v>
      </c>
      <c r="AL308" s="89" t="e">
        <f>#REF!</f>
        <v>#REF!</v>
      </c>
      <c r="AM308" s="89" t="e">
        <f>#REF!</f>
        <v>#REF!</v>
      </c>
      <c r="AN308" s="89" t="e">
        <f>#REF!</f>
        <v>#REF!</v>
      </c>
      <c r="AO308" s="89" t="e">
        <f>#REF!</f>
        <v>#REF!</v>
      </c>
      <c r="AP308" s="89" t="e">
        <f>#REF!</f>
        <v>#REF!</v>
      </c>
      <c r="AQ308" s="89" t="e">
        <f>#REF!</f>
        <v>#REF!</v>
      </c>
      <c r="AR308" s="89" t="e">
        <f>#REF!</f>
        <v>#REF!</v>
      </c>
      <c r="AS308" s="89" t="e">
        <f>#REF!</f>
        <v>#REF!</v>
      </c>
      <c r="AT308" s="89" t="e">
        <f>#REF!</f>
        <v>#REF!</v>
      </c>
      <c r="AU308" s="89" t="e">
        <f>#REF!</f>
        <v>#REF!</v>
      </c>
      <c r="AV308" s="89" t="e">
        <f>#REF!</f>
        <v>#REF!</v>
      </c>
      <c r="AW308" s="89" t="e">
        <f>#REF!</f>
        <v>#REF!</v>
      </c>
      <c r="AX308" s="89" t="e">
        <f>#REF!</f>
        <v>#REF!</v>
      </c>
      <c r="AY308" s="89" t="e">
        <f>#REF!</f>
        <v>#REF!</v>
      </c>
      <c r="AZ308" s="89" t="e">
        <f>#REF!</f>
        <v>#REF!</v>
      </c>
      <c r="BA308" s="89" t="e">
        <f>#REF!</f>
        <v>#REF!</v>
      </c>
      <c r="BB308" s="89" t="e">
        <f>#REF!</f>
        <v>#REF!</v>
      </c>
      <c r="BC308" s="89" t="e">
        <f>#REF!</f>
        <v>#REF!</v>
      </c>
      <c r="BD308" s="89" t="e">
        <f>#REF!</f>
        <v>#REF!</v>
      </c>
      <c r="BE308" s="89" t="e">
        <f>#REF!</f>
        <v>#REF!</v>
      </c>
      <c r="BF308" s="89" t="e">
        <f>#REF!</f>
        <v>#REF!</v>
      </c>
    </row>
    <row r="309" spans="9:58" x14ac:dyDescent="0.25">
      <c r="I309" s="89">
        <f>ABCD!J358</f>
        <v>76.25</v>
      </c>
      <c r="J309" s="89">
        <f>ABCD!K358</f>
        <v>250.1</v>
      </c>
      <c r="K309" s="89">
        <f>ABCD!L358</f>
        <v>-5.8290140602890306</v>
      </c>
      <c r="L309" s="89">
        <f>ABCD!M358</f>
        <v>-1.0433788878233001</v>
      </c>
      <c r="M309" s="89">
        <f>ABCD!N358</f>
        <v>5.9216589245415507</v>
      </c>
      <c r="N309" s="89" t="e">
        <v>#REF!</v>
      </c>
      <c r="O309" s="89" t="e">
        <v>#REF!</v>
      </c>
      <c r="P309" s="89" t="e">
        <v>#REF!</v>
      </c>
      <c r="Q309" s="89" t="e">
        <v>#REF!</v>
      </c>
      <c r="R309" s="89" t="e">
        <v>#REF!</v>
      </c>
      <c r="S309" s="89" t="e">
        <f>#REF!</f>
        <v>#REF!</v>
      </c>
      <c r="T309" s="89" t="e">
        <f>#REF!</f>
        <v>#REF!</v>
      </c>
      <c r="U309" s="89" t="e">
        <f>#REF!</f>
        <v>#REF!</v>
      </c>
      <c r="V309" s="89" t="e">
        <f>#REF!</f>
        <v>#REF!</v>
      </c>
      <c r="W309" s="89" t="e">
        <f>#REF!</f>
        <v>#REF!</v>
      </c>
      <c r="X309" s="89" t="e">
        <f>#REF!</f>
        <v>#REF!</v>
      </c>
      <c r="Y309" s="89" t="e">
        <f>#REF!</f>
        <v>#REF!</v>
      </c>
      <c r="Z309" s="89" t="e">
        <f>#REF!</f>
        <v>#REF!</v>
      </c>
      <c r="AA309" s="89" t="e">
        <f>#REF!</f>
        <v>#REF!</v>
      </c>
      <c r="AB309" s="89" t="e">
        <f>#REF!</f>
        <v>#REF!</v>
      </c>
      <c r="AC309" s="89" t="e">
        <f>#REF!</f>
        <v>#REF!</v>
      </c>
      <c r="AD309" s="89" t="e">
        <f>#REF!</f>
        <v>#REF!</v>
      </c>
      <c r="AE309" s="89" t="e">
        <f>#REF!</f>
        <v>#REF!</v>
      </c>
      <c r="AF309" s="89" t="e">
        <f>#REF!</f>
        <v>#REF!</v>
      </c>
      <c r="AG309" s="89" t="e">
        <f>#REF!</f>
        <v>#REF!</v>
      </c>
      <c r="AH309" s="89" t="e">
        <f>#REF!</f>
        <v>#REF!</v>
      </c>
      <c r="AI309" s="89" t="e">
        <f>#REF!</f>
        <v>#REF!</v>
      </c>
      <c r="AJ309" s="89" t="e">
        <f>#REF!</f>
        <v>#REF!</v>
      </c>
      <c r="AK309" s="89" t="e">
        <f>#REF!</f>
        <v>#REF!</v>
      </c>
      <c r="AL309" s="89" t="e">
        <f>#REF!</f>
        <v>#REF!</v>
      </c>
      <c r="AM309" s="89" t="e">
        <f>#REF!</f>
        <v>#REF!</v>
      </c>
      <c r="AN309" s="89" t="e">
        <f>#REF!</f>
        <v>#REF!</v>
      </c>
      <c r="AO309" s="89" t="e">
        <f>#REF!</f>
        <v>#REF!</v>
      </c>
      <c r="AP309" s="89" t="e">
        <f>#REF!</f>
        <v>#REF!</v>
      </c>
      <c r="AQ309" s="89" t="e">
        <f>#REF!</f>
        <v>#REF!</v>
      </c>
      <c r="AR309" s="89" t="e">
        <f>#REF!</f>
        <v>#REF!</v>
      </c>
      <c r="AS309" s="89" t="e">
        <f>#REF!</f>
        <v>#REF!</v>
      </c>
      <c r="AT309" s="89" t="e">
        <f>#REF!</f>
        <v>#REF!</v>
      </c>
      <c r="AU309" s="89" t="e">
        <f>#REF!</f>
        <v>#REF!</v>
      </c>
      <c r="AV309" s="89" t="e">
        <f>#REF!</f>
        <v>#REF!</v>
      </c>
      <c r="AW309" s="89" t="e">
        <f>#REF!</f>
        <v>#REF!</v>
      </c>
      <c r="AX309" s="89" t="e">
        <f>#REF!</f>
        <v>#REF!</v>
      </c>
      <c r="AY309" s="89" t="e">
        <f>#REF!</f>
        <v>#REF!</v>
      </c>
      <c r="AZ309" s="89" t="e">
        <f>#REF!</f>
        <v>#REF!</v>
      </c>
      <c r="BA309" s="89" t="e">
        <f>#REF!</f>
        <v>#REF!</v>
      </c>
      <c r="BB309" s="89" t="e">
        <f>#REF!</f>
        <v>#REF!</v>
      </c>
      <c r="BC309" s="89" t="e">
        <f>#REF!</f>
        <v>#REF!</v>
      </c>
      <c r="BD309" s="89" t="e">
        <f>#REF!</f>
        <v>#REF!</v>
      </c>
      <c r="BE309" s="89" t="e">
        <f>#REF!</f>
        <v>#REF!</v>
      </c>
      <c r="BF309" s="89" t="e">
        <f>#REF!</f>
        <v>#REF!</v>
      </c>
    </row>
    <row r="310" spans="9:58" x14ac:dyDescent="0.25">
      <c r="I310" s="89">
        <f>ABCD!J359</f>
        <v>76.5</v>
      </c>
      <c r="J310" s="89">
        <f>ABCD!K359</f>
        <v>250.92</v>
      </c>
      <c r="K310" s="89">
        <f>ABCD!L359</f>
        <v>-5.854643823659563</v>
      </c>
      <c r="L310" s="89">
        <f>ABCD!M359</f>
        <v>-1.0488672838695372</v>
      </c>
      <c r="M310" s="89">
        <f>ABCD!N359</f>
        <v>5.9478548133833034</v>
      </c>
      <c r="N310" s="89" t="e">
        <v>#REF!</v>
      </c>
      <c r="O310" s="89" t="e">
        <v>#REF!</v>
      </c>
      <c r="P310" s="89" t="e">
        <v>#REF!</v>
      </c>
      <c r="Q310" s="89" t="e">
        <v>#REF!</v>
      </c>
      <c r="R310" s="89" t="e">
        <v>#REF!</v>
      </c>
      <c r="S310" s="89" t="e">
        <f>#REF!</f>
        <v>#REF!</v>
      </c>
      <c r="T310" s="89" t="e">
        <f>#REF!</f>
        <v>#REF!</v>
      </c>
      <c r="U310" s="89" t="e">
        <f>#REF!</f>
        <v>#REF!</v>
      </c>
      <c r="V310" s="89" t="e">
        <f>#REF!</f>
        <v>#REF!</v>
      </c>
      <c r="W310" s="89" t="e">
        <f>#REF!</f>
        <v>#REF!</v>
      </c>
      <c r="X310" s="89" t="e">
        <f>#REF!</f>
        <v>#REF!</v>
      </c>
      <c r="Y310" s="89" t="e">
        <f>#REF!</f>
        <v>#REF!</v>
      </c>
      <c r="Z310" s="89" t="e">
        <f>#REF!</f>
        <v>#REF!</v>
      </c>
      <c r="AA310" s="89" t="e">
        <f>#REF!</f>
        <v>#REF!</v>
      </c>
      <c r="AB310" s="89" t="e">
        <f>#REF!</f>
        <v>#REF!</v>
      </c>
      <c r="AC310" s="89" t="e">
        <f>#REF!</f>
        <v>#REF!</v>
      </c>
      <c r="AD310" s="89" t="e">
        <f>#REF!</f>
        <v>#REF!</v>
      </c>
      <c r="AE310" s="89" t="e">
        <f>#REF!</f>
        <v>#REF!</v>
      </c>
      <c r="AF310" s="89" t="e">
        <f>#REF!</f>
        <v>#REF!</v>
      </c>
      <c r="AG310" s="89" t="e">
        <f>#REF!</f>
        <v>#REF!</v>
      </c>
      <c r="AH310" s="89" t="e">
        <f>#REF!</f>
        <v>#REF!</v>
      </c>
      <c r="AI310" s="89" t="e">
        <f>#REF!</f>
        <v>#REF!</v>
      </c>
      <c r="AJ310" s="89" t="e">
        <f>#REF!</f>
        <v>#REF!</v>
      </c>
      <c r="AK310" s="89" t="e">
        <f>#REF!</f>
        <v>#REF!</v>
      </c>
      <c r="AL310" s="89" t="e">
        <f>#REF!</f>
        <v>#REF!</v>
      </c>
      <c r="AM310" s="89" t="e">
        <f>#REF!</f>
        <v>#REF!</v>
      </c>
      <c r="AN310" s="89" t="e">
        <f>#REF!</f>
        <v>#REF!</v>
      </c>
      <c r="AO310" s="89" t="e">
        <f>#REF!</f>
        <v>#REF!</v>
      </c>
      <c r="AP310" s="89" t="e">
        <f>#REF!</f>
        <v>#REF!</v>
      </c>
      <c r="AQ310" s="89" t="e">
        <f>#REF!</f>
        <v>#REF!</v>
      </c>
      <c r="AR310" s="89" t="e">
        <f>#REF!</f>
        <v>#REF!</v>
      </c>
      <c r="AS310" s="89" t="e">
        <f>#REF!</f>
        <v>#REF!</v>
      </c>
      <c r="AT310" s="89" t="e">
        <f>#REF!</f>
        <v>#REF!</v>
      </c>
      <c r="AU310" s="89" t="e">
        <f>#REF!</f>
        <v>#REF!</v>
      </c>
      <c r="AV310" s="89" t="e">
        <f>#REF!</f>
        <v>#REF!</v>
      </c>
      <c r="AW310" s="89" t="e">
        <f>#REF!</f>
        <v>#REF!</v>
      </c>
      <c r="AX310" s="89" t="e">
        <f>#REF!</f>
        <v>#REF!</v>
      </c>
      <c r="AY310" s="89" t="e">
        <f>#REF!</f>
        <v>#REF!</v>
      </c>
      <c r="AZ310" s="89" t="e">
        <f>#REF!</f>
        <v>#REF!</v>
      </c>
      <c r="BA310" s="89" t="e">
        <f>#REF!</f>
        <v>#REF!</v>
      </c>
      <c r="BB310" s="89" t="e">
        <f>#REF!</f>
        <v>#REF!</v>
      </c>
      <c r="BC310" s="89" t="e">
        <f>#REF!</f>
        <v>#REF!</v>
      </c>
      <c r="BD310" s="89" t="e">
        <f>#REF!</f>
        <v>#REF!</v>
      </c>
      <c r="BE310" s="89" t="e">
        <f>#REF!</f>
        <v>#REF!</v>
      </c>
      <c r="BF310" s="89" t="e">
        <f>#REF!</f>
        <v>#REF!</v>
      </c>
    </row>
    <row r="311" spans="9:58" x14ac:dyDescent="0.25">
      <c r="I311" s="89">
        <f>ABCD!J360</f>
        <v>76.75</v>
      </c>
      <c r="J311" s="89">
        <f>ABCD!K360</f>
        <v>251.73999999999998</v>
      </c>
      <c r="K311" s="89">
        <f>ABCD!L360</f>
        <v>-5.8788990383423743</v>
      </c>
      <c r="L311" s="89">
        <f>ABCD!M360</f>
        <v>-1.054108620929475</v>
      </c>
      <c r="M311" s="89">
        <f>ABCD!N360</f>
        <v>5.9726542581787481</v>
      </c>
      <c r="N311" s="89" t="e">
        <v>#REF!</v>
      </c>
      <c r="O311" s="89" t="e">
        <v>#REF!</v>
      </c>
      <c r="P311" s="89" t="e">
        <v>#REF!</v>
      </c>
      <c r="Q311" s="89" t="e">
        <v>#REF!</v>
      </c>
      <c r="R311" s="89" t="e">
        <v>#REF!</v>
      </c>
      <c r="S311" s="89" t="e">
        <f>#REF!</f>
        <v>#REF!</v>
      </c>
      <c r="T311" s="89" t="e">
        <f>#REF!</f>
        <v>#REF!</v>
      </c>
      <c r="U311" s="89" t="e">
        <f>#REF!</f>
        <v>#REF!</v>
      </c>
      <c r="V311" s="89" t="e">
        <f>#REF!</f>
        <v>#REF!</v>
      </c>
      <c r="W311" s="89" t="e">
        <f>#REF!</f>
        <v>#REF!</v>
      </c>
      <c r="X311" s="89" t="e">
        <f>#REF!</f>
        <v>#REF!</v>
      </c>
      <c r="Y311" s="89" t="e">
        <f>#REF!</f>
        <v>#REF!</v>
      </c>
      <c r="Z311" s="89" t="e">
        <f>#REF!</f>
        <v>#REF!</v>
      </c>
      <c r="AA311" s="89" t="e">
        <f>#REF!</f>
        <v>#REF!</v>
      </c>
      <c r="AB311" s="89" t="e">
        <f>#REF!</f>
        <v>#REF!</v>
      </c>
      <c r="AC311" s="89" t="e">
        <f>#REF!</f>
        <v>#REF!</v>
      </c>
      <c r="AD311" s="89" t="e">
        <f>#REF!</f>
        <v>#REF!</v>
      </c>
      <c r="AE311" s="89" t="e">
        <f>#REF!</f>
        <v>#REF!</v>
      </c>
      <c r="AF311" s="89" t="e">
        <f>#REF!</f>
        <v>#REF!</v>
      </c>
      <c r="AG311" s="89" t="e">
        <f>#REF!</f>
        <v>#REF!</v>
      </c>
      <c r="AH311" s="89" t="e">
        <f>#REF!</f>
        <v>#REF!</v>
      </c>
      <c r="AI311" s="89" t="e">
        <f>#REF!</f>
        <v>#REF!</v>
      </c>
      <c r="AJ311" s="89" t="e">
        <f>#REF!</f>
        <v>#REF!</v>
      </c>
      <c r="AK311" s="89" t="e">
        <f>#REF!</f>
        <v>#REF!</v>
      </c>
      <c r="AL311" s="89" t="e">
        <f>#REF!</f>
        <v>#REF!</v>
      </c>
      <c r="AM311" s="89" t="e">
        <f>#REF!</f>
        <v>#REF!</v>
      </c>
      <c r="AN311" s="89" t="e">
        <f>#REF!</f>
        <v>#REF!</v>
      </c>
      <c r="AO311" s="89" t="e">
        <f>#REF!</f>
        <v>#REF!</v>
      </c>
      <c r="AP311" s="89" t="e">
        <f>#REF!</f>
        <v>#REF!</v>
      </c>
      <c r="AQ311" s="89" t="e">
        <f>#REF!</f>
        <v>#REF!</v>
      </c>
      <c r="AR311" s="89" t="e">
        <f>#REF!</f>
        <v>#REF!</v>
      </c>
      <c r="AS311" s="89" t="e">
        <f>#REF!</f>
        <v>#REF!</v>
      </c>
      <c r="AT311" s="89" t="e">
        <f>#REF!</f>
        <v>#REF!</v>
      </c>
      <c r="AU311" s="89" t="e">
        <f>#REF!</f>
        <v>#REF!</v>
      </c>
      <c r="AV311" s="89" t="e">
        <f>#REF!</f>
        <v>#REF!</v>
      </c>
      <c r="AW311" s="89" t="e">
        <f>#REF!</f>
        <v>#REF!</v>
      </c>
      <c r="AX311" s="89" t="e">
        <f>#REF!</f>
        <v>#REF!</v>
      </c>
      <c r="AY311" s="89" t="e">
        <f>#REF!</f>
        <v>#REF!</v>
      </c>
      <c r="AZ311" s="89" t="e">
        <f>#REF!</f>
        <v>#REF!</v>
      </c>
      <c r="BA311" s="89" t="e">
        <f>#REF!</f>
        <v>#REF!</v>
      </c>
      <c r="BB311" s="89" t="e">
        <f>#REF!</f>
        <v>#REF!</v>
      </c>
      <c r="BC311" s="89" t="e">
        <f>#REF!</f>
        <v>#REF!</v>
      </c>
      <c r="BD311" s="89" t="e">
        <f>#REF!</f>
        <v>#REF!</v>
      </c>
      <c r="BE311" s="89" t="e">
        <f>#REF!</f>
        <v>#REF!</v>
      </c>
      <c r="BF311" s="89" t="e">
        <f>#REF!</f>
        <v>#REF!</v>
      </c>
    </row>
    <row r="312" spans="9:58" x14ac:dyDescent="0.25">
      <c r="I312" s="89">
        <f>ABCD!J361</f>
        <v>77</v>
      </c>
      <c r="J312" s="89">
        <f>ABCD!K361</f>
        <v>252.55999999999997</v>
      </c>
      <c r="K312" s="89">
        <f>ABCD!L361</f>
        <v>-5.9017753417749095</v>
      </c>
      <c r="L312" s="89">
        <f>ABCD!M361</f>
        <v>-1.0591019113402873</v>
      </c>
      <c r="M312" s="89">
        <f>ABCD!N361</f>
        <v>5.9960527885757475</v>
      </c>
      <c r="N312" s="89" t="e">
        <v>#REF!</v>
      </c>
      <c r="O312" s="89" t="e">
        <v>#REF!</v>
      </c>
      <c r="P312" s="89" t="e">
        <v>#REF!</v>
      </c>
      <c r="Q312" s="89" t="e">
        <v>#REF!</v>
      </c>
      <c r="R312" s="89" t="e">
        <v>#REF!</v>
      </c>
      <c r="S312" s="89" t="e">
        <f>#REF!</f>
        <v>#REF!</v>
      </c>
      <c r="T312" s="89" t="e">
        <f>#REF!</f>
        <v>#REF!</v>
      </c>
      <c r="U312" s="89" t="e">
        <f>#REF!</f>
        <v>#REF!</v>
      </c>
      <c r="V312" s="89" t="e">
        <f>#REF!</f>
        <v>#REF!</v>
      </c>
      <c r="W312" s="89" t="e">
        <f>#REF!</f>
        <v>#REF!</v>
      </c>
      <c r="X312" s="89" t="e">
        <f>#REF!</f>
        <v>#REF!</v>
      </c>
      <c r="Y312" s="89" t="e">
        <f>#REF!</f>
        <v>#REF!</v>
      </c>
      <c r="Z312" s="89" t="e">
        <f>#REF!</f>
        <v>#REF!</v>
      </c>
      <c r="AA312" s="89" t="e">
        <f>#REF!</f>
        <v>#REF!</v>
      </c>
      <c r="AB312" s="89" t="e">
        <f>#REF!</f>
        <v>#REF!</v>
      </c>
      <c r="AC312" s="89" t="e">
        <f>#REF!</f>
        <v>#REF!</v>
      </c>
      <c r="AD312" s="89" t="e">
        <f>#REF!</f>
        <v>#REF!</v>
      </c>
      <c r="AE312" s="89" t="e">
        <f>#REF!</f>
        <v>#REF!</v>
      </c>
      <c r="AF312" s="89" t="e">
        <f>#REF!</f>
        <v>#REF!</v>
      </c>
      <c r="AG312" s="89" t="e">
        <f>#REF!</f>
        <v>#REF!</v>
      </c>
      <c r="AH312" s="89" t="e">
        <f>#REF!</f>
        <v>#REF!</v>
      </c>
      <c r="AI312" s="89" t="e">
        <f>#REF!</f>
        <v>#REF!</v>
      </c>
      <c r="AJ312" s="89" t="e">
        <f>#REF!</f>
        <v>#REF!</v>
      </c>
      <c r="AK312" s="89" t="e">
        <f>#REF!</f>
        <v>#REF!</v>
      </c>
      <c r="AL312" s="89" t="e">
        <f>#REF!</f>
        <v>#REF!</v>
      </c>
      <c r="AM312" s="89" t="e">
        <f>#REF!</f>
        <v>#REF!</v>
      </c>
      <c r="AN312" s="89" t="e">
        <f>#REF!</f>
        <v>#REF!</v>
      </c>
      <c r="AO312" s="89" t="e">
        <f>#REF!</f>
        <v>#REF!</v>
      </c>
      <c r="AP312" s="89" t="e">
        <f>#REF!</f>
        <v>#REF!</v>
      </c>
      <c r="AQ312" s="89" t="e">
        <f>#REF!</f>
        <v>#REF!</v>
      </c>
      <c r="AR312" s="89" t="e">
        <f>#REF!</f>
        <v>#REF!</v>
      </c>
      <c r="AS312" s="89" t="e">
        <f>#REF!</f>
        <v>#REF!</v>
      </c>
      <c r="AT312" s="89" t="e">
        <f>#REF!</f>
        <v>#REF!</v>
      </c>
      <c r="AU312" s="89" t="e">
        <f>#REF!</f>
        <v>#REF!</v>
      </c>
      <c r="AV312" s="89" t="e">
        <f>#REF!</f>
        <v>#REF!</v>
      </c>
      <c r="AW312" s="89" t="e">
        <f>#REF!</f>
        <v>#REF!</v>
      </c>
      <c r="AX312" s="89" t="e">
        <f>#REF!</f>
        <v>#REF!</v>
      </c>
      <c r="AY312" s="89" t="e">
        <f>#REF!</f>
        <v>#REF!</v>
      </c>
      <c r="AZ312" s="89" t="e">
        <f>#REF!</f>
        <v>#REF!</v>
      </c>
      <c r="BA312" s="89" t="e">
        <f>#REF!</f>
        <v>#REF!</v>
      </c>
      <c r="BB312" s="89" t="e">
        <f>#REF!</f>
        <v>#REF!</v>
      </c>
      <c r="BC312" s="89" t="e">
        <f>#REF!</f>
        <v>#REF!</v>
      </c>
      <c r="BD312" s="89" t="e">
        <f>#REF!</f>
        <v>#REF!</v>
      </c>
      <c r="BE312" s="89" t="e">
        <f>#REF!</f>
        <v>#REF!</v>
      </c>
      <c r="BF312" s="89" t="e">
        <f>#REF!</f>
        <v>#REF!</v>
      </c>
    </row>
    <row r="313" spans="9:58" x14ac:dyDescent="0.25">
      <c r="I313" s="89">
        <f>ABCD!J362</f>
        <v>77.25</v>
      </c>
      <c r="J313" s="89">
        <f>ABCD!K362</f>
        <v>253.38</v>
      </c>
      <c r="K313" s="89">
        <f>ABCD!L362</f>
        <v>-5.9232686936285184</v>
      </c>
      <c r="L313" s="89">
        <f>ABCD!M362</f>
        <v>-1.0638462255869996</v>
      </c>
      <c r="M313" s="89">
        <f>ABCD!N362</f>
        <v>6.0180462617543409</v>
      </c>
      <c r="N313" s="89" t="e">
        <v>#REF!</v>
      </c>
      <c r="O313" s="89" t="e">
        <v>#REF!</v>
      </c>
      <c r="P313" s="89" t="e">
        <v>#REF!</v>
      </c>
      <c r="Q313" s="89" t="e">
        <v>#REF!</v>
      </c>
      <c r="R313" s="89" t="e">
        <v>#REF!</v>
      </c>
      <c r="S313" s="89" t="e">
        <f>#REF!</f>
        <v>#REF!</v>
      </c>
      <c r="T313" s="89" t="e">
        <f>#REF!</f>
        <v>#REF!</v>
      </c>
      <c r="U313" s="89" t="e">
        <f>#REF!</f>
        <v>#REF!</v>
      </c>
      <c r="V313" s="89" t="e">
        <f>#REF!</f>
        <v>#REF!</v>
      </c>
      <c r="W313" s="89" t="e">
        <f>#REF!</f>
        <v>#REF!</v>
      </c>
      <c r="X313" s="89" t="e">
        <f>#REF!</f>
        <v>#REF!</v>
      </c>
      <c r="Y313" s="89" t="e">
        <f>#REF!</f>
        <v>#REF!</v>
      </c>
      <c r="Z313" s="89" t="e">
        <f>#REF!</f>
        <v>#REF!</v>
      </c>
      <c r="AA313" s="89" t="e">
        <f>#REF!</f>
        <v>#REF!</v>
      </c>
      <c r="AB313" s="89" t="e">
        <f>#REF!</f>
        <v>#REF!</v>
      </c>
      <c r="AC313" s="89" t="e">
        <f>#REF!</f>
        <v>#REF!</v>
      </c>
      <c r="AD313" s="89" t="e">
        <f>#REF!</f>
        <v>#REF!</v>
      </c>
      <c r="AE313" s="89" t="e">
        <f>#REF!</f>
        <v>#REF!</v>
      </c>
      <c r="AF313" s="89" t="e">
        <f>#REF!</f>
        <v>#REF!</v>
      </c>
      <c r="AG313" s="89" t="e">
        <f>#REF!</f>
        <v>#REF!</v>
      </c>
      <c r="AH313" s="89" t="e">
        <f>#REF!</f>
        <v>#REF!</v>
      </c>
      <c r="AI313" s="89" t="e">
        <f>#REF!</f>
        <v>#REF!</v>
      </c>
      <c r="AJ313" s="89" t="e">
        <f>#REF!</f>
        <v>#REF!</v>
      </c>
      <c r="AK313" s="89" t="e">
        <f>#REF!</f>
        <v>#REF!</v>
      </c>
      <c r="AL313" s="89" t="e">
        <f>#REF!</f>
        <v>#REF!</v>
      </c>
      <c r="AM313" s="89" t="e">
        <f>#REF!</f>
        <v>#REF!</v>
      </c>
      <c r="AN313" s="89" t="e">
        <f>#REF!</f>
        <v>#REF!</v>
      </c>
      <c r="AO313" s="89" t="e">
        <f>#REF!</f>
        <v>#REF!</v>
      </c>
      <c r="AP313" s="89" t="e">
        <f>#REF!</f>
        <v>#REF!</v>
      </c>
      <c r="AQ313" s="89" t="e">
        <f>#REF!</f>
        <v>#REF!</v>
      </c>
      <c r="AR313" s="89" t="e">
        <f>#REF!</f>
        <v>#REF!</v>
      </c>
      <c r="AS313" s="89" t="e">
        <f>#REF!</f>
        <v>#REF!</v>
      </c>
      <c r="AT313" s="89" t="e">
        <f>#REF!</f>
        <v>#REF!</v>
      </c>
      <c r="AU313" s="89" t="e">
        <f>#REF!</f>
        <v>#REF!</v>
      </c>
      <c r="AV313" s="89" t="e">
        <f>#REF!</f>
        <v>#REF!</v>
      </c>
      <c r="AW313" s="89" t="e">
        <f>#REF!</f>
        <v>#REF!</v>
      </c>
      <c r="AX313" s="89" t="e">
        <f>#REF!</f>
        <v>#REF!</v>
      </c>
      <c r="AY313" s="89" t="e">
        <f>#REF!</f>
        <v>#REF!</v>
      </c>
      <c r="AZ313" s="89" t="e">
        <f>#REF!</f>
        <v>#REF!</v>
      </c>
      <c r="BA313" s="89" t="e">
        <f>#REF!</f>
        <v>#REF!</v>
      </c>
      <c r="BB313" s="89" t="e">
        <f>#REF!</f>
        <v>#REF!</v>
      </c>
      <c r="BC313" s="89" t="e">
        <f>#REF!</f>
        <v>#REF!</v>
      </c>
      <c r="BD313" s="89" t="e">
        <f>#REF!</f>
        <v>#REF!</v>
      </c>
      <c r="BE313" s="89" t="e">
        <f>#REF!</f>
        <v>#REF!</v>
      </c>
      <c r="BF313" s="89" t="e">
        <f>#REF!</f>
        <v>#REF!</v>
      </c>
    </row>
    <row r="314" spans="9:58" x14ac:dyDescent="0.25">
      <c r="I314" s="89">
        <f>ABCD!J363</f>
        <v>77.5</v>
      </c>
      <c r="J314" s="89">
        <f>ABCD!K363</f>
        <v>254.2</v>
      </c>
      <c r="K314" s="89">
        <f>ABCD!L363</f>
        <v>-5.9433753764512272</v>
      </c>
      <c r="L314" s="89">
        <f>ABCD!M363</f>
        <v>-1.0683406924647538</v>
      </c>
      <c r="M314" s="89">
        <f>ABCD!N363</f>
        <v>6.0386308630833554</v>
      </c>
      <c r="N314" s="89" t="e">
        <v>#REF!</v>
      </c>
      <c r="O314" s="89" t="e">
        <v>#REF!</v>
      </c>
      <c r="P314" s="89" t="e">
        <v>#REF!</v>
      </c>
      <c r="Q314" s="89" t="e">
        <v>#REF!</v>
      </c>
      <c r="R314" s="89" t="e">
        <v>#REF!</v>
      </c>
      <c r="S314" s="89" t="e">
        <f>#REF!</f>
        <v>#REF!</v>
      </c>
      <c r="T314" s="89" t="e">
        <f>#REF!</f>
        <v>#REF!</v>
      </c>
      <c r="U314" s="89" t="e">
        <f>#REF!</f>
        <v>#REF!</v>
      </c>
      <c r="V314" s="89" t="e">
        <f>#REF!</f>
        <v>#REF!</v>
      </c>
      <c r="W314" s="89" t="e">
        <f>#REF!</f>
        <v>#REF!</v>
      </c>
      <c r="X314" s="89" t="e">
        <f>#REF!</f>
        <v>#REF!</v>
      </c>
      <c r="Y314" s="89" t="e">
        <f>#REF!</f>
        <v>#REF!</v>
      </c>
      <c r="Z314" s="89" t="e">
        <f>#REF!</f>
        <v>#REF!</v>
      </c>
      <c r="AA314" s="89" t="e">
        <f>#REF!</f>
        <v>#REF!</v>
      </c>
      <c r="AB314" s="89" t="e">
        <f>#REF!</f>
        <v>#REF!</v>
      </c>
      <c r="AC314" s="89" t="e">
        <f>#REF!</f>
        <v>#REF!</v>
      </c>
      <c r="AD314" s="89" t="e">
        <f>#REF!</f>
        <v>#REF!</v>
      </c>
      <c r="AE314" s="89" t="e">
        <f>#REF!</f>
        <v>#REF!</v>
      </c>
      <c r="AF314" s="89" t="e">
        <f>#REF!</f>
        <v>#REF!</v>
      </c>
      <c r="AG314" s="89" t="e">
        <f>#REF!</f>
        <v>#REF!</v>
      </c>
      <c r="AH314" s="89" t="e">
        <f>#REF!</f>
        <v>#REF!</v>
      </c>
      <c r="AI314" s="89" t="e">
        <f>#REF!</f>
        <v>#REF!</v>
      </c>
      <c r="AJ314" s="89" t="e">
        <f>#REF!</f>
        <v>#REF!</v>
      </c>
      <c r="AK314" s="89" t="e">
        <f>#REF!</f>
        <v>#REF!</v>
      </c>
      <c r="AL314" s="89" t="e">
        <f>#REF!</f>
        <v>#REF!</v>
      </c>
      <c r="AM314" s="89" t="e">
        <f>#REF!</f>
        <v>#REF!</v>
      </c>
      <c r="AN314" s="89" t="e">
        <f>#REF!</f>
        <v>#REF!</v>
      </c>
      <c r="AO314" s="89" t="e">
        <f>#REF!</f>
        <v>#REF!</v>
      </c>
      <c r="AP314" s="89" t="e">
        <f>#REF!</f>
        <v>#REF!</v>
      </c>
      <c r="AQ314" s="89" t="e">
        <f>#REF!</f>
        <v>#REF!</v>
      </c>
      <c r="AR314" s="89" t="e">
        <f>#REF!</f>
        <v>#REF!</v>
      </c>
      <c r="AS314" s="89" t="e">
        <f>#REF!</f>
        <v>#REF!</v>
      </c>
      <c r="AT314" s="89" t="e">
        <f>#REF!</f>
        <v>#REF!</v>
      </c>
      <c r="AU314" s="89" t="e">
        <f>#REF!</f>
        <v>#REF!</v>
      </c>
      <c r="AV314" s="89" t="e">
        <f>#REF!</f>
        <v>#REF!</v>
      </c>
      <c r="AW314" s="89" t="e">
        <f>#REF!</f>
        <v>#REF!</v>
      </c>
      <c r="AX314" s="89" t="e">
        <f>#REF!</f>
        <v>#REF!</v>
      </c>
      <c r="AY314" s="89" t="e">
        <f>#REF!</f>
        <v>#REF!</v>
      </c>
      <c r="AZ314" s="89" t="e">
        <f>#REF!</f>
        <v>#REF!</v>
      </c>
      <c r="BA314" s="89" t="e">
        <f>#REF!</f>
        <v>#REF!</v>
      </c>
      <c r="BB314" s="89" t="e">
        <f>#REF!</f>
        <v>#REF!</v>
      </c>
      <c r="BC314" s="89" t="e">
        <f>#REF!</f>
        <v>#REF!</v>
      </c>
      <c r="BD314" s="89" t="e">
        <f>#REF!</f>
        <v>#REF!</v>
      </c>
      <c r="BE314" s="89" t="e">
        <f>#REF!</f>
        <v>#REF!</v>
      </c>
      <c r="BF314" s="89" t="e">
        <f>#REF!</f>
        <v>#REF!</v>
      </c>
    </row>
    <row r="315" spans="9:58" x14ac:dyDescent="0.25">
      <c r="I315" s="89">
        <f>ABCD!J364</f>
        <v>77.75</v>
      </c>
      <c r="J315" s="89">
        <f>ABCD!K364</f>
        <v>255.01999999999998</v>
      </c>
      <c r="K315" s="89">
        <f>ABCD!L364</f>
        <v>-5.9620919962354435</v>
      </c>
      <c r="L315" s="89">
        <f>ABCD!M364</f>
        <v>-1.0725844992274525</v>
      </c>
      <c r="M315" s="89">
        <f>ABCD!N364</f>
        <v>6.0578031067011198</v>
      </c>
      <c r="N315" s="89" t="e">
        <v>#REF!</v>
      </c>
      <c r="O315" s="89" t="e">
        <v>#REF!</v>
      </c>
      <c r="P315" s="89" t="e">
        <v>#REF!</v>
      </c>
      <c r="Q315" s="89" t="e">
        <v>#REF!</v>
      </c>
      <c r="R315" s="89" t="e">
        <v>#REF!</v>
      </c>
      <c r="S315" s="89" t="e">
        <f>#REF!</f>
        <v>#REF!</v>
      </c>
      <c r="T315" s="89" t="e">
        <f>#REF!</f>
        <v>#REF!</v>
      </c>
      <c r="U315" s="89" t="e">
        <f>#REF!</f>
        <v>#REF!</v>
      </c>
      <c r="V315" s="89" t="e">
        <f>#REF!</f>
        <v>#REF!</v>
      </c>
      <c r="W315" s="89" t="e">
        <f>#REF!</f>
        <v>#REF!</v>
      </c>
      <c r="X315" s="89" t="e">
        <f>#REF!</f>
        <v>#REF!</v>
      </c>
      <c r="Y315" s="89" t="e">
        <f>#REF!</f>
        <v>#REF!</v>
      </c>
      <c r="Z315" s="89" t="e">
        <f>#REF!</f>
        <v>#REF!</v>
      </c>
      <c r="AA315" s="89" t="e">
        <f>#REF!</f>
        <v>#REF!</v>
      </c>
      <c r="AB315" s="89" t="e">
        <f>#REF!</f>
        <v>#REF!</v>
      </c>
      <c r="AC315" s="89" t="e">
        <f>#REF!</f>
        <v>#REF!</v>
      </c>
      <c r="AD315" s="89" t="e">
        <f>#REF!</f>
        <v>#REF!</v>
      </c>
      <c r="AE315" s="89" t="e">
        <f>#REF!</f>
        <v>#REF!</v>
      </c>
      <c r="AF315" s="89" t="e">
        <f>#REF!</f>
        <v>#REF!</v>
      </c>
      <c r="AG315" s="89" t="e">
        <f>#REF!</f>
        <v>#REF!</v>
      </c>
      <c r="AH315" s="89" t="e">
        <f>#REF!</f>
        <v>#REF!</v>
      </c>
      <c r="AI315" s="89" t="e">
        <f>#REF!</f>
        <v>#REF!</v>
      </c>
      <c r="AJ315" s="89" t="e">
        <f>#REF!</f>
        <v>#REF!</v>
      </c>
      <c r="AK315" s="89" t="e">
        <f>#REF!</f>
        <v>#REF!</v>
      </c>
      <c r="AL315" s="89" t="e">
        <f>#REF!</f>
        <v>#REF!</v>
      </c>
      <c r="AM315" s="89" t="e">
        <f>#REF!</f>
        <v>#REF!</v>
      </c>
      <c r="AN315" s="89" t="e">
        <f>#REF!</f>
        <v>#REF!</v>
      </c>
      <c r="AO315" s="89" t="e">
        <f>#REF!</f>
        <v>#REF!</v>
      </c>
      <c r="AP315" s="89" t="e">
        <f>#REF!</f>
        <v>#REF!</v>
      </c>
      <c r="AQ315" s="89" t="e">
        <f>#REF!</f>
        <v>#REF!</v>
      </c>
      <c r="AR315" s="89" t="e">
        <f>#REF!</f>
        <v>#REF!</v>
      </c>
      <c r="AS315" s="89" t="e">
        <f>#REF!</f>
        <v>#REF!</v>
      </c>
      <c r="AT315" s="89" t="e">
        <f>#REF!</f>
        <v>#REF!</v>
      </c>
      <c r="AU315" s="89" t="e">
        <f>#REF!</f>
        <v>#REF!</v>
      </c>
      <c r="AV315" s="89" t="e">
        <f>#REF!</f>
        <v>#REF!</v>
      </c>
      <c r="AW315" s="89" t="e">
        <f>#REF!</f>
        <v>#REF!</v>
      </c>
      <c r="AX315" s="89" t="e">
        <f>#REF!</f>
        <v>#REF!</v>
      </c>
      <c r="AY315" s="89" t="e">
        <f>#REF!</f>
        <v>#REF!</v>
      </c>
      <c r="AZ315" s="89" t="e">
        <f>#REF!</f>
        <v>#REF!</v>
      </c>
      <c r="BA315" s="89" t="e">
        <f>#REF!</f>
        <v>#REF!</v>
      </c>
      <c r="BB315" s="89" t="e">
        <f>#REF!</f>
        <v>#REF!</v>
      </c>
      <c r="BC315" s="89" t="e">
        <f>#REF!</f>
        <v>#REF!</v>
      </c>
      <c r="BD315" s="89" t="e">
        <f>#REF!</f>
        <v>#REF!</v>
      </c>
      <c r="BE315" s="89" t="e">
        <f>#REF!</f>
        <v>#REF!</v>
      </c>
      <c r="BF315" s="89" t="e">
        <f>#REF!</f>
        <v>#REF!</v>
      </c>
    </row>
    <row r="316" spans="9:58" x14ac:dyDescent="0.25">
      <c r="I316" s="89">
        <f>ABCD!J365</f>
        <v>78</v>
      </c>
      <c r="J316" s="89">
        <f>ABCD!K365</f>
        <v>255.83999999999997</v>
      </c>
      <c r="K316" s="89">
        <f>ABCD!L365</f>
        <v>-5.9794154829104542</v>
      </c>
      <c r="L316" s="89">
        <f>ABCD!M365</f>
        <v>-1.0765768917227954</v>
      </c>
      <c r="M316" s="89">
        <f>ABCD!N365</f>
        <v>6.0755598360201155</v>
      </c>
      <c r="N316" s="89" t="e">
        <v>#REF!</v>
      </c>
      <c r="O316" s="89" t="e">
        <v>#REF!</v>
      </c>
      <c r="P316" s="89" t="e">
        <v>#REF!</v>
      </c>
      <c r="Q316" s="89" t="e">
        <v>#REF!</v>
      </c>
      <c r="R316" s="89" t="e">
        <v>#REF!</v>
      </c>
      <c r="S316" s="89" t="e">
        <f>#REF!</f>
        <v>#REF!</v>
      </c>
      <c r="T316" s="89" t="e">
        <f>#REF!</f>
        <v>#REF!</v>
      </c>
      <c r="U316" s="89" t="e">
        <f>#REF!</f>
        <v>#REF!</v>
      </c>
      <c r="V316" s="89" t="e">
        <f>#REF!</f>
        <v>#REF!</v>
      </c>
      <c r="W316" s="89" t="e">
        <f>#REF!</f>
        <v>#REF!</v>
      </c>
      <c r="X316" s="89" t="e">
        <f>#REF!</f>
        <v>#REF!</v>
      </c>
      <c r="Y316" s="89" t="e">
        <f>#REF!</f>
        <v>#REF!</v>
      </c>
      <c r="Z316" s="89" t="e">
        <f>#REF!</f>
        <v>#REF!</v>
      </c>
      <c r="AA316" s="89" t="e">
        <f>#REF!</f>
        <v>#REF!</v>
      </c>
      <c r="AB316" s="89" t="e">
        <f>#REF!</f>
        <v>#REF!</v>
      </c>
      <c r="AC316" s="89" t="e">
        <f>#REF!</f>
        <v>#REF!</v>
      </c>
      <c r="AD316" s="89" t="e">
        <f>#REF!</f>
        <v>#REF!</v>
      </c>
      <c r="AE316" s="89" t="e">
        <f>#REF!</f>
        <v>#REF!</v>
      </c>
      <c r="AF316" s="89" t="e">
        <f>#REF!</f>
        <v>#REF!</v>
      </c>
      <c r="AG316" s="89" t="e">
        <f>#REF!</f>
        <v>#REF!</v>
      </c>
      <c r="AH316" s="89" t="e">
        <f>#REF!</f>
        <v>#REF!</v>
      </c>
      <c r="AI316" s="89" t="e">
        <f>#REF!</f>
        <v>#REF!</v>
      </c>
      <c r="AJ316" s="89" t="e">
        <f>#REF!</f>
        <v>#REF!</v>
      </c>
      <c r="AK316" s="89" t="e">
        <f>#REF!</f>
        <v>#REF!</v>
      </c>
      <c r="AL316" s="89" t="e">
        <f>#REF!</f>
        <v>#REF!</v>
      </c>
      <c r="AM316" s="89" t="e">
        <f>#REF!</f>
        <v>#REF!</v>
      </c>
      <c r="AN316" s="89" t="e">
        <f>#REF!</f>
        <v>#REF!</v>
      </c>
      <c r="AO316" s="89" t="e">
        <f>#REF!</f>
        <v>#REF!</v>
      </c>
      <c r="AP316" s="89" t="e">
        <f>#REF!</f>
        <v>#REF!</v>
      </c>
      <c r="AQ316" s="89" t="e">
        <f>#REF!</f>
        <v>#REF!</v>
      </c>
      <c r="AR316" s="89" t="e">
        <f>#REF!</f>
        <v>#REF!</v>
      </c>
      <c r="AS316" s="89" t="e">
        <f>#REF!</f>
        <v>#REF!</v>
      </c>
      <c r="AT316" s="89" t="e">
        <f>#REF!</f>
        <v>#REF!</v>
      </c>
      <c r="AU316" s="89" t="e">
        <f>#REF!</f>
        <v>#REF!</v>
      </c>
      <c r="AV316" s="89" t="e">
        <f>#REF!</f>
        <v>#REF!</v>
      </c>
      <c r="AW316" s="89" t="e">
        <f>#REF!</f>
        <v>#REF!</v>
      </c>
      <c r="AX316" s="89" t="e">
        <f>#REF!</f>
        <v>#REF!</v>
      </c>
      <c r="AY316" s="89" t="e">
        <f>#REF!</f>
        <v>#REF!</v>
      </c>
      <c r="AZ316" s="89" t="e">
        <f>#REF!</f>
        <v>#REF!</v>
      </c>
      <c r="BA316" s="89" t="e">
        <f>#REF!</f>
        <v>#REF!</v>
      </c>
      <c r="BB316" s="89" t="e">
        <f>#REF!</f>
        <v>#REF!</v>
      </c>
      <c r="BC316" s="89" t="e">
        <f>#REF!</f>
        <v>#REF!</v>
      </c>
      <c r="BD316" s="89" t="e">
        <f>#REF!</f>
        <v>#REF!</v>
      </c>
      <c r="BE316" s="89" t="e">
        <f>#REF!</f>
        <v>#REF!</v>
      </c>
      <c r="BF316" s="89" t="e">
        <f>#REF!</f>
        <v>#REF!</v>
      </c>
    </row>
    <row r="317" spans="9:58" x14ac:dyDescent="0.25">
      <c r="I317" s="89">
        <f>ABCD!J366</f>
        <v>78.25</v>
      </c>
      <c r="J317" s="89">
        <f>ABCD!K366</f>
        <v>256.65999999999997</v>
      </c>
      <c r="K317" s="89">
        <f>ABCD!L366</f>
        <v>-5.9953430907597092</v>
      </c>
      <c r="L317" s="89">
        <f>ABCD!M366</f>
        <v>-1.0803171745136535</v>
      </c>
      <c r="M317" s="89">
        <f>ABCD!N366</f>
        <v>6.0918982241555337</v>
      </c>
      <c r="N317" s="89" t="e">
        <v>#REF!</v>
      </c>
      <c r="O317" s="89" t="e">
        <v>#REF!</v>
      </c>
      <c r="P317" s="89" t="e">
        <v>#REF!</v>
      </c>
      <c r="Q317" s="89" t="e">
        <v>#REF!</v>
      </c>
      <c r="R317" s="89" t="e">
        <v>#REF!</v>
      </c>
      <c r="S317" s="89" t="e">
        <f>#REF!</f>
        <v>#REF!</v>
      </c>
      <c r="T317" s="89" t="e">
        <f>#REF!</f>
        <v>#REF!</v>
      </c>
      <c r="U317" s="89" t="e">
        <f>#REF!</f>
        <v>#REF!</v>
      </c>
      <c r="V317" s="89" t="e">
        <f>#REF!</f>
        <v>#REF!</v>
      </c>
      <c r="W317" s="89" t="e">
        <f>#REF!</f>
        <v>#REF!</v>
      </c>
      <c r="X317" s="89" t="e">
        <f>#REF!</f>
        <v>#REF!</v>
      </c>
      <c r="Y317" s="89" t="e">
        <f>#REF!</f>
        <v>#REF!</v>
      </c>
      <c r="Z317" s="89" t="e">
        <f>#REF!</f>
        <v>#REF!</v>
      </c>
      <c r="AA317" s="89" t="e">
        <f>#REF!</f>
        <v>#REF!</v>
      </c>
      <c r="AB317" s="89" t="e">
        <f>#REF!</f>
        <v>#REF!</v>
      </c>
      <c r="AC317" s="89" t="e">
        <f>#REF!</f>
        <v>#REF!</v>
      </c>
      <c r="AD317" s="89" t="e">
        <f>#REF!</f>
        <v>#REF!</v>
      </c>
      <c r="AE317" s="89" t="e">
        <f>#REF!</f>
        <v>#REF!</v>
      </c>
      <c r="AF317" s="89" t="e">
        <f>#REF!</f>
        <v>#REF!</v>
      </c>
      <c r="AG317" s="89" t="e">
        <f>#REF!</f>
        <v>#REF!</v>
      </c>
      <c r="AH317" s="89" t="e">
        <f>#REF!</f>
        <v>#REF!</v>
      </c>
      <c r="AI317" s="89" t="e">
        <f>#REF!</f>
        <v>#REF!</v>
      </c>
      <c r="AJ317" s="89" t="e">
        <f>#REF!</f>
        <v>#REF!</v>
      </c>
      <c r="AK317" s="89" t="e">
        <f>#REF!</f>
        <v>#REF!</v>
      </c>
      <c r="AL317" s="89" t="e">
        <f>#REF!</f>
        <v>#REF!</v>
      </c>
      <c r="AM317" s="89" t="e">
        <f>#REF!</f>
        <v>#REF!</v>
      </c>
      <c r="AN317" s="89" t="e">
        <f>#REF!</f>
        <v>#REF!</v>
      </c>
      <c r="AO317" s="89" t="e">
        <f>#REF!</f>
        <v>#REF!</v>
      </c>
      <c r="AP317" s="89" t="e">
        <f>#REF!</f>
        <v>#REF!</v>
      </c>
      <c r="AQ317" s="89" t="e">
        <f>#REF!</f>
        <v>#REF!</v>
      </c>
      <c r="AR317" s="89" t="e">
        <f>#REF!</f>
        <v>#REF!</v>
      </c>
      <c r="AS317" s="89" t="e">
        <f>#REF!</f>
        <v>#REF!</v>
      </c>
      <c r="AT317" s="89" t="e">
        <f>#REF!</f>
        <v>#REF!</v>
      </c>
      <c r="AU317" s="89" t="e">
        <f>#REF!</f>
        <v>#REF!</v>
      </c>
      <c r="AV317" s="89" t="e">
        <f>#REF!</f>
        <v>#REF!</v>
      </c>
      <c r="AW317" s="89" t="e">
        <f>#REF!</f>
        <v>#REF!</v>
      </c>
      <c r="AX317" s="89" t="e">
        <f>#REF!</f>
        <v>#REF!</v>
      </c>
      <c r="AY317" s="89" t="e">
        <f>#REF!</f>
        <v>#REF!</v>
      </c>
      <c r="AZ317" s="89" t="e">
        <f>#REF!</f>
        <v>#REF!</v>
      </c>
      <c r="BA317" s="89" t="e">
        <f>#REF!</f>
        <v>#REF!</v>
      </c>
      <c r="BB317" s="89" t="e">
        <f>#REF!</f>
        <v>#REF!</v>
      </c>
      <c r="BC317" s="89" t="e">
        <f>#REF!</f>
        <v>#REF!</v>
      </c>
      <c r="BD317" s="89" t="e">
        <f>#REF!</f>
        <v>#REF!</v>
      </c>
      <c r="BE317" s="89" t="e">
        <f>#REF!</f>
        <v>#REF!</v>
      </c>
      <c r="BF317" s="89" t="e">
        <f>#REF!</f>
        <v>#REF!</v>
      </c>
    </row>
    <row r="318" spans="9:58" x14ac:dyDescent="0.25">
      <c r="I318" s="89">
        <f>ABCD!J367</f>
        <v>78.5</v>
      </c>
      <c r="J318" s="89">
        <f>ABCD!K367</f>
        <v>257.47999999999996</v>
      </c>
      <c r="K318" s="89">
        <f>ABCD!L367</f>
        <v>-6.0098723987628606</v>
      </c>
      <c r="L318" s="89">
        <f>ABCD!M367</f>
        <v>-1.0838047109857838</v>
      </c>
      <c r="M318" s="89">
        <f>ABCD!N367</f>
        <v>6.106815774277675</v>
      </c>
      <c r="N318" s="89" t="e">
        <v>#REF!</v>
      </c>
      <c r="O318" s="89" t="e">
        <v>#REF!</v>
      </c>
      <c r="P318" s="89" t="e">
        <v>#REF!</v>
      </c>
      <c r="Q318" s="89" t="e">
        <v>#REF!</v>
      </c>
      <c r="R318" s="89" t="e">
        <v>#REF!</v>
      </c>
      <c r="S318" s="89" t="e">
        <f>#REF!</f>
        <v>#REF!</v>
      </c>
      <c r="T318" s="89" t="e">
        <f>#REF!</f>
        <v>#REF!</v>
      </c>
      <c r="U318" s="89" t="e">
        <f>#REF!</f>
        <v>#REF!</v>
      </c>
      <c r="V318" s="89" t="e">
        <f>#REF!</f>
        <v>#REF!</v>
      </c>
      <c r="W318" s="89" t="e">
        <f>#REF!</f>
        <v>#REF!</v>
      </c>
      <c r="X318" s="89" t="e">
        <f>#REF!</f>
        <v>#REF!</v>
      </c>
      <c r="Y318" s="89" t="e">
        <f>#REF!</f>
        <v>#REF!</v>
      </c>
      <c r="Z318" s="89" t="e">
        <f>#REF!</f>
        <v>#REF!</v>
      </c>
      <c r="AA318" s="89" t="e">
        <f>#REF!</f>
        <v>#REF!</v>
      </c>
      <c r="AB318" s="89" t="e">
        <f>#REF!</f>
        <v>#REF!</v>
      </c>
      <c r="AC318" s="89" t="e">
        <f>#REF!</f>
        <v>#REF!</v>
      </c>
      <c r="AD318" s="89" t="e">
        <f>#REF!</f>
        <v>#REF!</v>
      </c>
      <c r="AE318" s="89" t="e">
        <f>#REF!</f>
        <v>#REF!</v>
      </c>
      <c r="AF318" s="89" t="e">
        <f>#REF!</f>
        <v>#REF!</v>
      </c>
      <c r="AG318" s="89" t="e">
        <f>#REF!</f>
        <v>#REF!</v>
      </c>
      <c r="AH318" s="89" t="e">
        <f>#REF!</f>
        <v>#REF!</v>
      </c>
      <c r="AI318" s="89" t="e">
        <f>#REF!</f>
        <v>#REF!</v>
      </c>
      <c r="AJ318" s="89" t="e">
        <f>#REF!</f>
        <v>#REF!</v>
      </c>
      <c r="AK318" s="89" t="e">
        <f>#REF!</f>
        <v>#REF!</v>
      </c>
      <c r="AL318" s="89" t="e">
        <f>#REF!</f>
        <v>#REF!</v>
      </c>
      <c r="AM318" s="89" t="e">
        <f>#REF!</f>
        <v>#REF!</v>
      </c>
      <c r="AN318" s="89" t="e">
        <f>#REF!</f>
        <v>#REF!</v>
      </c>
      <c r="AO318" s="89" t="e">
        <f>#REF!</f>
        <v>#REF!</v>
      </c>
      <c r="AP318" s="89" t="e">
        <f>#REF!</f>
        <v>#REF!</v>
      </c>
      <c r="AQ318" s="89" t="e">
        <f>#REF!</f>
        <v>#REF!</v>
      </c>
      <c r="AR318" s="89" t="e">
        <f>#REF!</f>
        <v>#REF!</v>
      </c>
      <c r="AS318" s="89" t="e">
        <f>#REF!</f>
        <v>#REF!</v>
      </c>
      <c r="AT318" s="89" t="e">
        <f>#REF!</f>
        <v>#REF!</v>
      </c>
      <c r="AU318" s="89" t="e">
        <f>#REF!</f>
        <v>#REF!</v>
      </c>
      <c r="AV318" s="89" t="e">
        <f>#REF!</f>
        <v>#REF!</v>
      </c>
      <c r="AW318" s="89" t="e">
        <f>#REF!</f>
        <v>#REF!</v>
      </c>
      <c r="AX318" s="89" t="e">
        <f>#REF!</f>
        <v>#REF!</v>
      </c>
      <c r="AY318" s="89" t="e">
        <f>#REF!</f>
        <v>#REF!</v>
      </c>
      <c r="AZ318" s="89" t="e">
        <f>#REF!</f>
        <v>#REF!</v>
      </c>
      <c r="BA318" s="89" t="e">
        <f>#REF!</f>
        <v>#REF!</v>
      </c>
      <c r="BB318" s="89" t="e">
        <f>#REF!</f>
        <v>#REF!</v>
      </c>
      <c r="BC318" s="89" t="e">
        <f>#REF!</f>
        <v>#REF!</v>
      </c>
      <c r="BD318" s="89" t="e">
        <f>#REF!</f>
        <v>#REF!</v>
      </c>
      <c r="BE318" s="89" t="e">
        <f>#REF!</f>
        <v>#REF!</v>
      </c>
      <c r="BF318" s="89" t="e">
        <f>#REF!</f>
        <v>#REF!</v>
      </c>
    </row>
    <row r="319" spans="9:58" x14ac:dyDescent="0.25">
      <c r="I319" s="89">
        <f>ABCD!J368</f>
        <v>78.75</v>
      </c>
      <c r="J319" s="89">
        <f>ABCD!K368</f>
        <v>258.3</v>
      </c>
      <c r="K319" s="89">
        <f>ABCD!L368</f>
        <v>-6.0230013108625426</v>
      </c>
      <c r="L319" s="89">
        <f>ABCD!M368</f>
        <v>-1.0870389234418711</v>
      </c>
      <c r="M319" s="89">
        <f>ABCD!N368</f>
        <v>6.1203103198881648</v>
      </c>
      <c r="N319" s="89" t="e">
        <v>#REF!</v>
      </c>
      <c r="O319" s="89" t="e">
        <v>#REF!</v>
      </c>
      <c r="P319" s="89" t="e">
        <v>#REF!</v>
      </c>
      <c r="Q319" s="89" t="e">
        <v>#REF!</v>
      </c>
      <c r="R319" s="89" t="e">
        <v>#REF!</v>
      </c>
      <c r="S319" s="89" t="e">
        <f>#REF!</f>
        <v>#REF!</v>
      </c>
      <c r="T319" s="89" t="e">
        <f>#REF!</f>
        <v>#REF!</v>
      </c>
      <c r="U319" s="89" t="e">
        <f>#REF!</f>
        <v>#REF!</v>
      </c>
      <c r="V319" s="89" t="e">
        <f>#REF!</f>
        <v>#REF!</v>
      </c>
      <c r="W319" s="89" t="e">
        <f>#REF!</f>
        <v>#REF!</v>
      </c>
      <c r="X319" s="89" t="e">
        <f>#REF!</f>
        <v>#REF!</v>
      </c>
      <c r="Y319" s="89" t="e">
        <f>#REF!</f>
        <v>#REF!</v>
      </c>
      <c r="Z319" s="89" t="e">
        <f>#REF!</f>
        <v>#REF!</v>
      </c>
      <c r="AA319" s="89" t="e">
        <f>#REF!</f>
        <v>#REF!</v>
      </c>
      <c r="AB319" s="89" t="e">
        <f>#REF!</f>
        <v>#REF!</v>
      </c>
      <c r="AC319" s="89" t="e">
        <f>#REF!</f>
        <v>#REF!</v>
      </c>
      <c r="AD319" s="89" t="e">
        <f>#REF!</f>
        <v>#REF!</v>
      </c>
      <c r="AE319" s="89" t="e">
        <f>#REF!</f>
        <v>#REF!</v>
      </c>
      <c r="AF319" s="89" t="e">
        <f>#REF!</f>
        <v>#REF!</v>
      </c>
      <c r="AG319" s="89" t="e">
        <f>#REF!</f>
        <v>#REF!</v>
      </c>
      <c r="AH319" s="89" t="e">
        <f>#REF!</f>
        <v>#REF!</v>
      </c>
      <c r="AI319" s="89" t="e">
        <f>#REF!</f>
        <v>#REF!</v>
      </c>
      <c r="AJ319" s="89" t="e">
        <f>#REF!</f>
        <v>#REF!</v>
      </c>
      <c r="AK319" s="89" t="e">
        <f>#REF!</f>
        <v>#REF!</v>
      </c>
      <c r="AL319" s="89" t="e">
        <f>#REF!</f>
        <v>#REF!</v>
      </c>
      <c r="AM319" s="89" t="e">
        <f>#REF!</f>
        <v>#REF!</v>
      </c>
      <c r="AN319" s="89" t="e">
        <f>#REF!</f>
        <v>#REF!</v>
      </c>
      <c r="AO319" s="89" t="e">
        <f>#REF!</f>
        <v>#REF!</v>
      </c>
      <c r="AP319" s="89" t="e">
        <f>#REF!</f>
        <v>#REF!</v>
      </c>
      <c r="AQ319" s="89" t="e">
        <f>#REF!</f>
        <v>#REF!</v>
      </c>
      <c r="AR319" s="89" t="e">
        <f>#REF!</f>
        <v>#REF!</v>
      </c>
      <c r="AS319" s="89" t="e">
        <f>#REF!</f>
        <v>#REF!</v>
      </c>
      <c r="AT319" s="89" t="e">
        <f>#REF!</f>
        <v>#REF!</v>
      </c>
      <c r="AU319" s="89" t="e">
        <f>#REF!</f>
        <v>#REF!</v>
      </c>
      <c r="AV319" s="89" t="e">
        <f>#REF!</f>
        <v>#REF!</v>
      </c>
      <c r="AW319" s="89" t="e">
        <f>#REF!</f>
        <v>#REF!</v>
      </c>
      <c r="AX319" s="89" t="e">
        <f>#REF!</f>
        <v>#REF!</v>
      </c>
      <c r="AY319" s="89" t="e">
        <f>#REF!</f>
        <v>#REF!</v>
      </c>
      <c r="AZ319" s="89" t="e">
        <f>#REF!</f>
        <v>#REF!</v>
      </c>
      <c r="BA319" s="89" t="e">
        <f>#REF!</f>
        <v>#REF!</v>
      </c>
      <c r="BB319" s="89" t="e">
        <f>#REF!</f>
        <v>#REF!</v>
      </c>
      <c r="BC319" s="89" t="e">
        <f>#REF!</f>
        <v>#REF!</v>
      </c>
      <c r="BD319" s="89" t="e">
        <f>#REF!</f>
        <v>#REF!</v>
      </c>
      <c r="BE319" s="89" t="e">
        <f>#REF!</f>
        <v>#REF!</v>
      </c>
      <c r="BF319" s="89" t="e">
        <f>#REF!</f>
        <v>#REF!</v>
      </c>
    </row>
    <row r="320" spans="9:58" x14ac:dyDescent="0.25">
      <c r="I320" s="89">
        <f>ABCD!J369</f>
        <v>79</v>
      </c>
      <c r="J320" s="89">
        <f>ABCD!K369</f>
        <v>259.12</v>
      </c>
      <c r="K320" s="89">
        <f>ABCD!L369</f>
        <v>-6.0347280561558874</v>
      </c>
      <c r="L320" s="89">
        <f>ABCD!M369</f>
        <v>-1.0900192931818831</v>
      </c>
      <c r="M320" s="89">
        <f>ABCD!N369</f>
        <v>6.1323800250199554</v>
      </c>
      <c r="N320" s="89" t="e">
        <v>#REF!</v>
      </c>
      <c r="O320" s="89" t="e">
        <v>#REF!</v>
      </c>
      <c r="P320" s="89" t="e">
        <v>#REF!</v>
      </c>
      <c r="Q320" s="89" t="e">
        <v>#REF!</v>
      </c>
      <c r="R320" s="89" t="e">
        <v>#REF!</v>
      </c>
      <c r="S320" s="89" t="e">
        <f>#REF!</f>
        <v>#REF!</v>
      </c>
      <c r="T320" s="89" t="e">
        <f>#REF!</f>
        <v>#REF!</v>
      </c>
      <c r="U320" s="89" t="e">
        <f>#REF!</f>
        <v>#REF!</v>
      </c>
      <c r="V320" s="89" t="e">
        <f>#REF!</f>
        <v>#REF!</v>
      </c>
      <c r="W320" s="89" t="e">
        <f>#REF!</f>
        <v>#REF!</v>
      </c>
      <c r="X320" s="89" t="e">
        <f>#REF!</f>
        <v>#REF!</v>
      </c>
      <c r="Y320" s="89" t="e">
        <f>#REF!</f>
        <v>#REF!</v>
      </c>
      <c r="Z320" s="89" t="e">
        <f>#REF!</f>
        <v>#REF!</v>
      </c>
      <c r="AA320" s="89" t="e">
        <f>#REF!</f>
        <v>#REF!</v>
      </c>
      <c r="AB320" s="89" t="e">
        <f>#REF!</f>
        <v>#REF!</v>
      </c>
      <c r="AC320" s="89" t="e">
        <f>#REF!</f>
        <v>#REF!</v>
      </c>
      <c r="AD320" s="89" t="e">
        <f>#REF!</f>
        <v>#REF!</v>
      </c>
      <c r="AE320" s="89" t="e">
        <f>#REF!</f>
        <v>#REF!</v>
      </c>
      <c r="AF320" s="89" t="e">
        <f>#REF!</f>
        <v>#REF!</v>
      </c>
      <c r="AG320" s="89" t="e">
        <f>#REF!</f>
        <v>#REF!</v>
      </c>
      <c r="AH320" s="89" t="e">
        <f>#REF!</f>
        <v>#REF!</v>
      </c>
      <c r="AI320" s="89" t="e">
        <f>#REF!</f>
        <v>#REF!</v>
      </c>
      <c r="AJ320" s="89" t="e">
        <f>#REF!</f>
        <v>#REF!</v>
      </c>
      <c r="AK320" s="89" t="e">
        <f>#REF!</f>
        <v>#REF!</v>
      </c>
      <c r="AL320" s="89" t="e">
        <f>#REF!</f>
        <v>#REF!</v>
      </c>
      <c r="AM320" s="89" t="e">
        <f>#REF!</f>
        <v>#REF!</v>
      </c>
      <c r="AN320" s="89" t="e">
        <f>#REF!</f>
        <v>#REF!</v>
      </c>
      <c r="AO320" s="89" t="e">
        <f>#REF!</f>
        <v>#REF!</v>
      </c>
      <c r="AP320" s="89" t="e">
        <f>#REF!</f>
        <v>#REF!</v>
      </c>
      <c r="AQ320" s="89" t="e">
        <f>#REF!</f>
        <v>#REF!</v>
      </c>
      <c r="AR320" s="89" t="e">
        <f>#REF!</f>
        <v>#REF!</v>
      </c>
      <c r="AS320" s="89" t="e">
        <f>#REF!</f>
        <v>#REF!</v>
      </c>
      <c r="AT320" s="89" t="e">
        <f>#REF!</f>
        <v>#REF!</v>
      </c>
      <c r="AU320" s="89" t="e">
        <f>#REF!</f>
        <v>#REF!</v>
      </c>
      <c r="AV320" s="89" t="e">
        <f>#REF!</f>
        <v>#REF!</v>
      </c>
      <c r="AW320" s="89" t="e">
        <f>#REF!</f>
        <v>#REF!</v>
      </c>
      <c r="AX320" s="89" t="e">
        <f>#REF!</f>
        <v>#REF!</v>
      </c>
      <c r="AY320" s="89" t="e">
        <f>#REF!</f>
        <v>#REF!</v>
      </c>
      <c r="AZ320" s="89" t="e">
        <f>#REF!</f>
        <v>#REF!</v>
      </c>
      <c r="BA320" s="89" t="e">
        <f>#REF!</f>
        <v>#REF!</v>
      </c>
      <c r="BB320" s="89" t="e">
        <f>#REF!</f>
        <v>#REF!</v>
      </c>
      <c r="BC320" s="89" t="e">
        <f>#REF!</f>
        <v>#REF!</v>
      </c>
      <c r="BD320" s="89" t="e">
        <f>#REF!</f>
        <v>#REF!</v>
      </c>
      <c r="BE320" s="89" t="e">
        <f>#REF!</f>
        <v>#REF!</v>
      </c>
      <c r="BF320" s="89" t="e">
        <f>#REF!</f>
        <v>#REF!</v>
      </c>
    </row>
    <row r="321" spans="9:58" x14ac:dyDescent="0.25">
      <c r="I321" s="89">
        <f>ABCD!J370</f>
        <v>79.25</v>
      </c>
      <c r="J321" s="89">
        <f>ABCD!K370</f>
        <v>259.94</v>
      </c>
      <c r="K321" s="89">
        <f>ABCD!L370</f>
        <v>-6.045051189010815</v>
      </c>
      <c r="L321" s="89">
        <f>ABCD!M370</f>
        <v>-1.0927453605697315</v>
      </c>
      <c r="M321" s="89">
        <f>ABCD!N370</f>
        <v>6.1430233843611353</v>
      </c>
      <c r="N321" s="89" t="e">
        <v>#REF!</v>
      </c>
      <c r="O321" s="89" t="e">
        <v>#REF!</v>
      </c>
      <c r="P321" s="89" t="e">
        <v>#REF!</v>
      </c>
      <c r="Q321" s="89" t="e">
        <v>#REF!</v>
      </c>
      <c r="R321" s="89" t="e">
        <v>#REF!</v>
      </c>
      <c r="S321" s="89" t="e">
        <f>#REF!</f>
        <v>#REF!</v>
      </c>
      <c r="T321" s="89" t="e">
        <f>#REF!</f>
        <v>#REF!</v>
      </c>
      <c r="U321" s="89" t="e">
        <f>#REF!</f>
        <v>#REF!</v>
      </c>
      <c r="V321" s="89" t="e">
        <f>#REF!</f>
        <v>#REF!</v>
      </c>
      <c r="W321" s="89" t="e">
        <f>#REF!</f>
        <v>#REF!</v>
      </c>
      <c r="X321" s="89" t="e">
        <f>#REF!</f>
        <v>#REF!</v>
      </c>
      <c r="Y321" s="89" t="e">
        <f>#REF!</f>
        <v>#REF!</v>
      </c>
      <c r="Z321" s="89" t="e">
        <f>#REF!</f>
        <v>#REF!</v>
      </c>
      <c r="AA321" s="89" t="e">
        <f>#REF!</f>
        <v>#REF!</v>
      </c>
      <c r="AB321" s="89" t="e">
        <f>#REF!</f>
        <v>#REF!</v>
      </c>
      <c r="AC321" s="89" t="e">
        <f>#REF!</f>
        <v>#REF!</v>
      </c>
      <c r="AD321" s="89" t="e">
        <f>#REF!</f>
        <v>#REF!</v>
      </c>
      <c r="AE321" s="89" t="e">
        <f>#REF!</f>
        <v>#REF!</v>
      </c>
      <c r="AF321" s="89" t="e">
        <f>#REF!</f>
        <v>#REF!</v>
      </c>
      <c r="AG321" s="89" t="e">
        <f>#REF!</f>
        <v>#REF!</v>
      </c>
      <c r="AH321" s="89" t="e">
        <f>#REF!</f>
        <v>#REF!</v>
      </c>
      <c r="AI321" s="89" t="e">
        <f>#REF!</f>
        <v>#REF!</v>
      </c>
      <c r="AJ321" s="89" t="e">
        <f>#REF!</f>
        <v>#REF!</v>
      </c>
      <c r="AK321" s="89" t="e">
        <f>#REF!</f>
        <v>#REF!</v>
      </c>
      <c r="AL321" s="89" t="e">
        <f>#REF!</f>
        <v>#REF!</v>
      </c>
      <c r="AM321" s="89" t="e">
        <f>#REF!</f>
        <v>#REF!</v>
      </c>
      <c r="AN321" s="89" t="e">
        <f>#REF!</f>
        <v>#REF!</v>
      </c>
      <c r="AO321" s="89" t="e">
        <f>#REF!</f>
        <v>#REF!</v>
      </c>
      <c r="AP321" s="89" t="e">
        <f>#REF!</f>
        <v>#REF!</v>
      </c>
      <c r="AQ321" s="89" t="e">
        <f>#REF!</f>
        <v>#REF!</v>
      </c>
      <c r="AR321" s="89" t="e">
        <f>#REF!</f>
        <v>#REF!</v>
      </c>
      <c r="AS321" s="89" t="e">
        <f>#REF!</f>
        <v>#REF!</v>
      </c>
      <c r="AT321" s="89" t="e">
        <f>#REF!</f>
        <v>#REF!</v>
      </c>
      <c r="AU321" s="89" t="e">
        <f>#REF!</f>
        <v>#REF!</v>
      </c>
      <c r="AV321" s="89" t="e">
        <f>#REF!</f>
        <v>#REF!</v>
      </c>
      <c r="AW321" s="89" t="e">
        <f>#REF!</f>
        <v>#REF!</v>
      </c>
      <c r="AX321" s="89" t="e">
        <f>#REF!</f>
        <v>#REF!</v>
      </c>
      <c r="AY321" s="89" t="e">
        <f>#REF!</f>
        <v>#REF!</v>
      </c>
      <c r="AZ321" s="89" t="e">
        <f>#REF!</f>
        <v>#REF!</v>
      </c>
      <c r="BA321" s="89" t="e">
        <f>#REF!</f>
        <v>#REF!</v>
      </c>
      <c r="BB321" s="89" t="e">
        <f>#REF!</f>
        <v>#REF!</v>
      </c>
      <c r="BC321" s="89" t="e">
        <f>#REF!</f>
        <v>#REF!</v>
      </c>
      <c r="BD321" s="89" t="e">
        <f>#REF!</f>
        <v>#REF!</v>
      </c>
      <c r="BE321" s="89" t="e">
        <f>#REF!</f>
        <v>#REF!</v>
      </c>
      <c r="BF321" s="89" t="e">
        <f>#REF!</f>
        <v>#REF!</v>
      </c>
    </row>
    <row r="322" spans="9:58" x14ac:dyDescent="0.25">
      <c r="I322" s="89">
        <f>ABCD!J371</f>
        <v>79.5</v>
      </c>
      <c r="J322" s="89">
        <f>ABCD!K371</f>
        <v>260.76</v>
      </c>
      <c r="K322" s="89">
        <f>ABCD!L371</f>
        <v>-6.0539695891071377</v>
      </c>
      <c r="L322" s="89">
        <f>ABCD!M371</f>
        <v>-1.0952167250862439</v>
      </c>
      <c r="M322" s="89">
        <f>ABCD!N371</f>
        <v>6.1522392233025753</v>
      </c>
      <c r="N322" s="89" t="e">
        <v>#REF!</v>
      </c>
      <c r="O322" s="89" t="e">
        <v>#REF!</v>
      </c>
      <c r="P322" s="89" t="e">
        <v>#REF!</v>
      </c>
      <c r="Q322" s="89" t="e">
        <v>#REF!</v>
      </c>
      <c r="R322" s="89" t="e">
        <v>#REF!</v>
      </c>
      <c r="S322" s="89" t="e">
        <f>#REF!</f>
        <v>#REF!</v>
      </c>
      <c r="T322" s="89" t="e">
        <f>#REF!</f>
        <v>#REF!</v>
      </c>
      <c r="U322" s="89" t="e">
        <f>#REF!</f>
        <v>#REF!</v>
      </c>
      <c r="V322" s="89" t="e">
        <f>#REF!</f>
        <v>#REF!</v>
      </c>
      <c r="W322" s="89" t="e">
        <f>#REF!</f>
        <v>#REF!</v>
      </c>
      <c r="X322" s="89" t="e">
        <f>#REF!</f>
        <v>#REF!</v>
      </c>
      <c r="Y322" s="89" t="e">
        <f>#REF!</f>
        <v>#REF!</v>
      </c>
      <c r="Z322" s="89" t="e">
        <f>#REF!</f>
        <v>#REF!</v>
      </c>
      <c r="AA322" s="89" t="e">
        <f>#REF!</f>
        <v>#REF!</v>
      </c>
      <c r="AB322" s="89" t="e">
        <f>#REF!</f>
        <v>#REF!</v>
      </c>
      <c r="AC322" s="89" t="e">
        <f>#REF!</f>
        <v>#REF!</v>
      </c>
      <c r="AD322" s="89" t="e">
        <f>#REF!</f>
        <v>#REF!</v>
      </c>
      <c r="AE322" s="89" t="e">
        <f>#REF!</f>
        <v>#REF!</v>
      </c>
      <c r="AF322" s="89" t="e">
        <f>#REF!</f>
        <v>#REF!</v>
      </c>
      <c r="AG322" s="89" t="e">
        <f>#REF!</f>
        <v>#REF!</v>
      </c>
      <c r="AH322" s="89" t="e">
        <f>#REF!</f>
        <v>#REF!</v>
      </c>
      <c r="AI322" s="89" t="e">
        <f>#REF!</f>
        <v>#REF!</v>
      </c>
      <c r="AJ322" s="89" t="e">
        <f>#REF!</f>
        <v>#REF!</v>
      </c>
      <c r="AK322" s="89" t="e">
        <f>#REF!</f>
        <v>#REF!</v>
      </c>
      <c r="AL322" s="89" t="e">
        <f>#REF!</f>
        <v>#REF!</v>
      </c>
      <c r="AM322" s="89" t="e">
        <f>#REF!</f>
        <v>#REF!</v>
      </c>
      <c r="AN322" s="89" t="e">
        <f>#REF!</f>
        <v>#REF!</v>
      </c>
      <c r="AO322" s="89" t="e">
        <f>#REF!</f>
        <v>#REF!</v>
      </c>
      <c r="AP322" s="89" t="e">
        <f>#REF!</f>
        <v>#REF!</v>
      </c>
      <c r="AQ322" s="89" t="e">
        <f>#REF!</f>
        <v>#REF!</v>
      </c>
      <c r="AR322" s="89" t="e">
        <f>#REF!</f>
        <v>#REF!</v>
      </c>
      <c r="AS322" s="89" t="e">
        <f>#REF!</f>
        <v>#REF!</v>
      </c>
      <c r="AT322" s="89" t="e">
        <f>#REF!</f>
        <v>#REF!</v>
      </c>
      <c r="AU322" s="89" t="e">
        <f>#REF!</f>
        <v>#REF!</v>
      </c>
      <c r="AV322" s="89" t="e">
        <f>#REF!</f>
        <v>#REF!</v>
      </c>
      <c r="AW322" s="89" t="e">
        <f>#REF!</f>
        <v>#REF!</v>
      </c>
      <c r="AX322" s="89" t="e">
        <f>#REF!</f>
        <v>#REF!</v>
      </c>
      <c r="AY322" s="89" t="e">
        <f>#REF!</f>
        <v>#REF!</v>
      </c>
      <c r="AZ322" s="89" t="e">
        <f>#REF!</f>
        <v>#REF!</v>
      </c>
      <c r="BA322" s="89" t="e">
        <f>#REF!</f>
        <v>#REF!</v>
      </c>
      <c r="BB322" s="89" t="e">
        <f>#REF!</f>
        <v>#REF!</v>
      </c>
      <c r="BC322" s="89" t="e">
        <f>#REF!</f>
        <v>#REF!</v>
      </c>
      <c r="BD322" s="89" t="e">
        <f>#REF!</f>
        <v>#REF!</v>
      </c>
      <c r="BE322" s="89" t="e">
        <f>#REF!</f>
        <v>#REF!</v>
      </c>
      <c r="BF322" s="89" t="e">
        <f>#REF!</f>
        <v>#REF!</v>
      </c>
    </row>
    <row r="323" spans="9:58" x14ac:dyDescent="0.25">
      <c r="I323" s="89">
        <f>ABCD!J372</f>
        <v>79.75</v>
      </c>
      <c r="J323" s="89">
        <f>ABCD!K372</f>
        <v>261.58</v>
      </c>
      <c r="K323" s="89">
        <f>ABCD!L372</f>
        <v>-6.0614824614025178</v>
      </c>
      <c r="L323" s="89">
        <f>ABCD!M372</f>
        <v>-1.097433045368436</v>
      </c>
      <c r="M323" s="89">
        <f>ABCD!N372</f>
        <v>6.1600266979094309</v>
      </c>
      <c r="N323" s="89" t="e">
        <v>#REF!</v>
      </c>
      <c r="O323" s="89" t="e">
        <v>#REF!</v>
      </c>
      <c r="P323" s="89" t="e">
        <v>#REF!</v>
      </c>
      <c r="Q323" s="89" t="e">
        <v>#REF!</v>
      </c>
      <c r="R323" s="89" t="e">
        <v>#REF!</v>
      </c>
      <c r="S323" s="89" t="e">
        <f>#REF!</f>
        <v>#REF!</v>
      </c>
      <c r="T323" s="89" t="e">
        <f>#REF!</f>
        <v>#REF!</v>
      </c>
      <c r="U323" s="89" t="e">
        <f>#REF!</f>
        <v>#REF!</v>
      </c>
      <c r="V323" s="89" t="e">
        <f>#REF!</f>
        <v>#REF!</v>
      </c>
      <c r="W323" s="89" t="e">
        <f>#REF!</f>
        <v>#REF!</v>
      </c>
      <c r="X323" s="89" t="e">
        <f>#REF!</f>
        <v>#REF!</v>
      </c>
      <c r="Y323" s="89" t="e">
        <f>#REF!</f>
        <v>#REF!</v>
      </c>
      <c r="Z323" s="89" t="e">
        <f>#REF!</f>
        <v>#REF!</v>
      </c>
      <c r="AA323" s="89" t="e">
        <f>#REF!</f>
        <v>#REF!</v>
      </c>
      <c r="AB323" s="89" t="e">
        <f>#REF!</f>
        <v>#REF!</v>
      </c>
      <c r="AC323" s="89" t="e">
        <f>#REF!</f>
        <v>#REF!</v>
      </c>
      <c r="AD323" s="89" t="e">
        <f>#REF!</f>
        <v>#REF!</v>
      </c>
      <c r="AE323" s="89" t="e">
        <f>#REF!</f>
        <v>#REF!</v>
      </c>
      <c r="AF323" s="89" t="e">
        <f>#REF!</f>
        <v>#REF!</v>
      </c>
      <c r="AG323" s="89" t="e">
        <f>#REF!</f>
        <v>#REF!</v>
      </c>
      <c r="AH323" s="89" t="e">
        <f>#REF!</f>
        <v>#REF!</v>
      </c>
      <c r="AI323" s="89" t="e">
        <f>#REF!</f>
        <v>#REF!</v>
      </c>
      <c r="AJ323" s="89" t="e">
        <f>#REF!</f>
        <v>#REF!</v>
      </c>
      <c r="AK323" s="89" t="e">
        <f>#REF!</f>
        <v>#REF!</v>
      </c>
      <c r="AL323" s="89" t="e">
        <f>#REF!</f>
        <v>#REF!</v>
      </c>
      <c r="AM323" s="89" t="e">
        <f>#REF!</f>
        <v>#REF!</v>
      </c>
      <c r="AN323" s="89" t="e">
        <f>#REF!</f>
        <v>#REF!</v>
      </c>
      <c r="AO323" s="89" t="e">
        <f>#REF!</f>
        <v>#REF!</v>
      </c>
      <c r="AP323" s="89" t="e">
        <f>#REF!</f>
        <v>#REF!</v>
      </c>
      <c r="AQ323" s="89" t="e">
        <f>#REF!</f>
        <v>#REF!</v>
      </c>
      <c r="AR323" s="89" t="e">
        <f>#REF!</f>
        <v>#REF!</v>
      </c>
      <c r="AS323" s="89" t="e">
        <f>#REF!</f>
        <v>#REF!</v>
      </c>
      <c r="AT323" s="89" t="e">
        <f>#REF!</f>
        <v>#REF!</v>
      </c>
      <c r="AU323" s="89" t="e">
        <f>#REF!</f>
        <v>#REF!</v>
      </c>
      <c r="AV323" s="89" t="e">
        <f>#REF!</f>
        <v>#REF!</v>
      </c>
      <c r="AW323" s="89" t="e">
        <f>#REF!</f>
        <v>#REF!</v>
      </c>
      <c r="AX323" s="89" t="e">
        <f>#REF!</f>
        <v>#REF!</v>
      </c>
      <c r="AY323" s="89" t="e">
        <f>#REF!</f>
        <v>#REF!</v>
      </c>
      <c r="AZ323" s="89" t="e">
        <f>#REF!</f>
        <v>#REF!</v>
      </c>
      <c r="BA323" s="89" t="e">
        <f>#REF!</f>
        <v>#REF!</v>
      </c>
      <c r="BB323" s="89" t="e">
        <f>#REF!</f>
        <v>#REF!</v>
      </c>
      <c r="BC323" s="89" t="e">
        <f>#REF!</f>
        <v>#REF!</v>
      </c>
      <c r="BD323" s="89" t="e">
        <f>#REF!</f>
        <v>#REF!</v>
      </c>
      <c r="BE323" s="89" t="e">
        <f>#REF!</f>
        <v>#REF!</v>
      </c>
      <c r="BF323" s="89" t="e">
        <f>#REF!</f>
        <v>#REF!</v>
      </c>
    </row>
    <row r="324" spans="9:58" x14ac:dyDescent="0.25">
      <c r="I324" s="89">
        <f>ABCD!J373</f>
        <v>80</v>
      </c>
      <c r="J324" s="89">
        <f>ABCD!K373</f>
        <v>262.39999999999998</v>
      </c>
      <c r="K324" s="89">
        <f>ABCD!L373</f>
        <v>-6.0675893360233903</v>
      </c>
      <c r="L324" s="89">
        <f>ABCD!M373</f>
        <v>-1.0993940392351031</v>
      </c>
      <c r="M324" s="89">
        <f>ABCD!N373</f>
        <v>6.1663852948166031</v>
      </c>
      <c r="N324" s="89" t="e">
        <v>#REF!</v>
      </c>
      <c r="O324" s="89" t="e">
        <v>#REF!</v>
      </c>
      <c r="P324" s="89" t="e">
        <v>#REF!</v>
      </c>
      <c r="Q324" s="89" t="e">
        <v>#REF!</v>
      </c>
      <c r="R324" s="89" t="e">
        <v>#REF!</v>
      </c>
      <c r="S324" s="89" t="e">
        <f>#REF!</f>
        <v>#REF!</v>
      </c>
      <c r="T324" s="89" t="e">
        <f>#REF!</f>
        <v>#REF!</v>
      </c>
      <c r="U324" s="89" t="e">
        <f>#REF!</f>
        <v>#REF!</v>
      </c>
      <c r="V324" s="89" t="e">
        <f>#REF!</f>
        <v>#REF!</v>
      </c>
      <c r="W324" s="89" t="e">
        <f>#REF!</f>
        <v>#REF!</v>
      </c>
      <c r="X324" s="89" t="e">
        <f>#REF!</f>
        <v>#REF!</v>
      </c>
      <c r="Y324" s="89" t="e">
        <f>#REF!</f>
        <v>#REF!</v>
      </c>
      <c r="Z324" s="89" t="e">
        <f>#REF!</f>
        <v>#REF!</v>
      </c>
      <c r="AA324" s="89" t="e">
        <f>#REF!</f>
        <v>#REF!</v>
      </c>
      <c r="AB324" s="89" t="e">
        <f>#REF!</f>
        <v>#REF!</v>
      </c>
      <c r="AC324" s="89" t="e">
        <f>#REF!</f>
        <v>#REF!</v>
      </c>
      <c r="AD324" s="89" t="e">
        <f>#REF!</f>
        <v>#REF!</v>
      </c>
      <c r="AE324" s="89" t="e">
        <f>#REF!</f>
        <v>#REF!</v>
      </c>
      <c r="AF324" s="89" t="e">
        <f>#REF!</f>
        <v>#REF!</v>
      </c>
      <c r="AG324" s="89" t="e">
        <f>#REF!</f>
        <v>#REF!</v>
      </c>
      <c r="AH324" s="89" t="e">
        <f>#REF!</f>
        <v>#REF!</v>
      </c>
      <c r="AI324" s="89" t="e">
        <f>#REF!</f>
        <v>#REF!</v>
      </c>
      <c r="AJ324" s="89" t="e">
        <f>#REF!</f>
        <v>#REF!</v>
      </c>
      <c r="AK324" s="89" t="e">
        <f>#REF!</f>
        <v>#REF!</v>
      </c>
      <c r="AL324" s="89" t="e">
        <f>#REF!</f>
        <v>#REF!</v>
      </c>
      <c r="AM324" s="89" t="e">
        <f>#REF!</f>
        <v>#REF!</v>
      </c>
      <c r="AN324" s="89" t="e">
        <f>#REF!</f>
        <v>#REF!</v>
      </c>
      <c r="AO324" s="89" t="e">
        <f>#REF!</f>
        <v>#REF!</v>
      </c>
      <c r="AP324" s="89" t="e">
        <f>#REF!</f>
        <v>#REF!</v>
      </c>
      <c r="AQ324" s="89" t="e">
        <f>#REF!</f>
        <v>#REF!</v>
      </c>
      <c r="AR324" s="89" t="e">
        <f>#REF!</f>
        <v>#REF!</v>
      </c>
      <c r="AS324" s="89" t="e">
        <f>#REF!</f>
        <v>#REF!</v>
      </c>
      <c r="AT324" s="89" t="e">
        <f>#REF!</f>
        <v>#REF!</v>
      </c>
      <c r="AU324" s="89" t="e">
        <f>#REF!</f>
        <v>#REF!</v>
      </c>
      <c r="AV324" s="89" t="e">
        <f>#REF!</f>
        <v>#REF!</v>
      </c>
      <c r="AW324" s="89" t="e">
        <f>#REF!</f>
        <v>#REF!</v>
      </c>
      <c r="AX324" s="89" t="e">
        <f>#REF!</f>
        <v>#REF!</v>
      </c>
      <c r="AY324" s="89" t="e">
        <f>#REF!</f>
        <v>#REF!</v>
      </c>
      <c r="AZ324" s="89" t="e">
        <f>#REF!</f>
        <v>#REF!</v>
      </c>
      <c r="BA324" s="89" t="e">
        <f>#REF!</f>
        <v>#REF!</v>
      </c>
      <c r="BB324" s="89" t="e">
        <f>#REF!</f>
        <v>#REF!</v>
      </c>
      <c r="BC324" s="89" t="e">
        <f>#REF!</f>
        <v>#REF!</v>
      </c>
      <c r="BD324" s="89" t="e">
        <f>#REF!</f>
        <v>#REF!</v>
      </c>
      <c r="BE324" s="89" t="e">
        <f>#REF!</f>
        <v>#REF!</v>
      </c>
      <c r="BF324" s="89" t="e">
        <f>#REF!</f>
        <v>#REF!</v>
      </c>
    </row>
    <row r="325" spans="9:58" x14ac:dyDescent="0.25">
      <c r="I325" s="89">
        <f>ABCD!J374</f>
        <v>80.25</v>
      </c>
      <c r="J325" s="89">
        <f>ABCD!K374</f>
        <v>263.21999999999997</v>
      </c>
      <c r="K325" s="89">
        <f>ABCD!L374</f>
        <v>-6.0722900680808944</v>
      </c>
      <c r="L325" s="89">
        <f>ABCD!M374</f>
        <v>-1.1010994836987056</v>
      </c>
      <c r="M325" s="89">
        <f>ABCD!N374</f>
        <v>6.1713148310481962</v>
      </c>
      <c r="N325" s="89" t="e">
        <v>#REF!</v>
      </c>
      <c r="O325" s="89" t="e">
        <v>#REF!</v>
      </c>
      <c r="P325" s="89" t="e">
        <v>#REF!</v>
      </c>
      <c r="Q325" s="89" t="e">
        <v>#REF!</v>
      </c>
      <c r="R325" s="89" t="e">
        <v>#REF!</v>
      </c>
      <c r="S325" s="89" t="e">
        <f>#REF!</f>
        <v>#REF!</v>
      </c>
      <c r="T325" s="89" t="e">
        <f>#REF!</f>
        <v>#REF!</v>
      </c>
      <c r="U325" s="89" t="e">
        <f>#REF!</f>
        <v>#REF!</v>
      </c>
      <c r="V325" s="89" t="e">
        <f>#REF!</f>
        <v>#REF!</v>
      </c>
      <c r="W325" s="89" t="e">
        <f>#REF!</f>
        <v>#REF!</v>
      </c>
      <c r="X325" s="89" t="e">
        <f>#REF!</f>
        <v>#REF!</v>
      </c>
      <c r="Y325" s="89" t="e">
        <f>#REF!</f>
        <v>#REF!</v>
      </c>
      <c r="Z325" s="89" t="e">
        <f>#REF!</f>
        <v>#REF!</v>
      </c>
      <c r="AA325" s="89" t="e">
        <f>#REF!</f>
        <v>#REF!</v>
      </c>
      <c r="AB325" s="89" t="e">
        <f>#REF!</f>
        <v>#REF!</v>
      </c>
      <c r="AC325" s="89" t="e">
        <f>#REF!</f>
        <v>#REF!</v>
      </c>
      <c r="AD325" s="89" t="e">
        <f>#REF!</f>
        <v>#REF!</v>
      </c>
      <c r="AE325" s="89" t="e">
        <f>#REF!</f>
        <v>#REF!</v>
      </c>
      <c r="AF325" s="89" t="e">
        <f>#REF!</f>
        <v>#REF!</v>
      </c>
      <c r="AG325" s="89" t="e">
        <f>#REF!</f>
        <v>#REF!</v>
      </c>
      <c r="AH325" s="89" t="e">
        <f>#REF!</f>
        <v>#REF!</v>
      </c>
      <c r="AI325" s="89" t="e">
        <f>#REF!</f>
        <v>#REF!</v>
      </c>
      <c r="AJ325" s="89" t="e">
        <f>#REF!</f>
        <v>#REF!</v>
      </c>
      <c r="AK325" s="89" t="e">
        <f>#REF!</f>
        <v>#REF!</v>
      </c>
      <c r="AL325" s="89" t="e">
        <f>#REF!</f>
        <v>#REF!</v>
      </c>
      <c r="AM325" s="89" t="e">
        <f>#REF!</f>
        <v>#REF!</v>
      </c>
      <c r="AN325" s="89" t="e">
        <f>#REF!</f>
        <v>#REF!</v>
      </c>
      <c r="AO325" s="89" t="e">
        <f>#REF!</f>
        <v>#REF!</v>
      </c>
      <c r="AP325" s="89" t="e">
        <f>#REF!</f>
        <v>#REF!</v>
      </c>
      <c r="AQ325" s="89" t="e">
        <f>#REF!</f>
        <v>#REF!</v>
      </c>
      <c r="AR325" s="89" t="e">
        <f>#REF!</f>
        <v>#REF!</v>
      </c>
      <c r="AS325" s="89" t="e">
        <f>#REF!</f>
        <v>#REF!</v>
      </c>
      <c r="AT325" s="89" t="e">
        <f>#REF!</f>
        <v>#REF!</v>
      </c>
      <c r="AU325" s="89" t="e">
        <f>#REF!</f>
        <v>#REF!</v>
      </c>
      <c r="AV325" s="89" t="e">
        <f>#REF!</f>
        <v>#REF!</v>
      </c>
      <c r="AW325" s="89" t="e">
        <f>#REF!</f>
        <v>#REF!</v>
      </c>
      <c r="AX325" s="89" t="e">
        <f>#REF!</f>
        <v>#REF!</v>
      </c>
      <c r="AY325" s="89" t="e">
        <f>#REF!</f>
        <v>#REF!</v>
      </c>
      <c r="AZ325" s="89" t="e">
        <f>#REF!</f>
        <v>#REF!</v>
      </c>
      <c r="BA325" s="89" t="e">
        <f>#REF!</f>
        <v>#REF!</v>
      </c>
      <c r="BB325" s="89" t="e">
        <f>#REF!</f>
        <v>#REF!</v>
      </c>
      <c r="BC325" s="89" t="e">
        <f>#REF!</f>
        <v>#REF!</v>
      </c>
      <c r="BD325" s="89" t="e">
        <f>#REF!</f>
        <v>#REF!</v>
      </c>
      <c r="BE325" s="89" t="e">
        <f>#REF!</f>
        <v>#REF!</v>
      </c>
      <c r="BF325" s="89" t="e">
        <f>#REF!</f>
        <v>#REF!</v>
      </c>
    </row>
    <row r="326" spans="9:58" x14ac:dyDescent="0.25">
      <c r="I326" s="89">
        <f>ABCD!J375</f>
        <v>80.5</v>
      </c>
      <c r="J326" s="89">
        <f>ABCD!K375</f>
        <v>264.03999999999996</v>
      </c>
      <c r="K326" s="89">
        <f>ABCD!L375</f>
        <v>-6.0755848374119781</v>
      </c>
      <c r="L326" s="89">
        <f>ABCD!M375</f>
        <v>-1.1025492149636067</v>
      </c>
      <c r="M326" s="89">
        <f>ABCD!N375</f>
        <v>6.1748154537611244</v>
      </c>
      <c r="N326" s="89" t="e">
        <v>#REF!</v>
      </c>
      <c r="O326" s="89" t="e">
        <v>#REF!</v>
      </c>
      <c r="P326" s="89" t="e">
        <v>#REF!</v>
      </c>
      <c r="Q326" s="89" t="e">
        <v>#REF!</v>
      </c>
      <c r="R326" s="89" t="e">
        <v>#REF!</v>
      </c>
      <c r="S326" s="89" t="e">
        <f>#REF!</f>
        <v>#REF!</v>
      </c>
      <c r="T326" s="89" t="e">
        <f>#REF!</f>
        <v>#REF!</v>
      </c>
      <c r="U326" s="89" t="e">
        <f>#REF!</f>
        <v>#REF!</v>
      </c>
      <c r="V326" s="89" t="e">
        <f>#REF!</f>
        <v>#REF!</v>
      </c>
      <c r="W326" s="89" t="e">
        <f>#REF!</f>
        <v>#REF!</v>
      </c>
      <c r="X326" s="89" t="e">
        <f>#REF!</f>
        <v>#REF!</v>
      </c>
      <c r="Y326" s="89" t="e">
        <f>#REF!</f>
        <v>#REF!</v>
      </c>
      <c r="Z326" s="89" t="e">
        <f>#REF!</f>
        <v>#REF!</v>
      </c>
      <c r="AA326" s="89" t="e">
        <f>#REF!</f>
        <v>#REF!</v>
      </c>
      <c r="AB326" s="89" t="e">
        <f>#REF!</f>
        <v>#REF!</v>
      </c>
      <c r="AC326" s="89" t="e">
        <f>#REF!</f>
        <v>#REF!</v>
      </c>
      <c r="AD326" s="89" t="e">
        <f>#REF!</f>
        <v>#REF!</v>
      </c>
      <c r="AE326" s="89" t="e">
        <f>#REF!</f>
        <v>#REF!</v>
      </c>
      <c r="AF326" s="89" t="e">
        <f>#REF!</f>
        <v>#REF!</v>
      </c>
      <c r="AG326" s="89" t="e">
        <f>#REF!</f>
        <v>#REF!</v>
      </c>
      <c r="AH326" s="89" t="e">
        <f>#REF!</f>
        <v>#REF!</v>
      </c>
      <c r="AI326" s="89" t="e">
        <f>#REF!</f>
        <v>#REF!</v>
      </c>
      <c r="AJ326" s="89" t="e">
        <f>#REF!</f>
        <v>#REF!</v>
      </c>
      <c r="AK326" s="89" t="e">
        <f>#REF!</f>
        <v>#REF!</v>
      </c>
      <c r="AL326" s="89" t="e">
        <f>#REF!</f>
        <v>#REF!</v>
      </c>
      <c r="AM326" s="89" t="e">
        <f>#REF!</f>
        <v>#REF!</v>
      </c>
      <c r="AN326" s="89" t="e">
        <f>#REF!</f>
        <v>#REF!</v>
      </c>
      <c r="AO326" s="89" t="e">
        <f>#REF!</f>
        <v>#REF!</v>
      </c>
      <c r="AP326" s="89" t="e">
        <f>#REF!</f>
        <v>#REF!</v>
      </c>
      <c r="AQ326" s="89" t="e">
        <f>#REF!</f>
        <v>#REF!</v>
      </c>
      <c r="AR326" s="89" t="e">
        <f>#REF!</f>
        <v>#REF!</v>
      </c>
      <c r="AS326" s="89" t="e">
        <f>#REF!</f>
        <v>#REF!</v>
      </c>
      <c r="AT326" s="89" t="e">
        <f>#REF!</f>
        <v>#REF!</v>
      </c>
      <c r="AU326" s="89" t="e">
        <f>#REF!</f>
        <v>#REF!</v>
      </c>
      <c r="AV326" s="89" t="e">
        <f>#REF!</f>
        <v>#REF!</v>
      </c>
      <c r="AW326" s="89" t="e">
        <f>#REF!</f>
        <v>#REF!</v>
      </c>
      <c r="AX326" s="89" t="e">
        <f>#REF!</f>
        <v>#REF!</v>
      </c>
      <c r="AY326" s="89" t="e">
        <f>#REF!</f>
        <v>#REF!</v>
      </c>
      <c r="AZ326" s="89" t="e">
        <f>#REF!</f>
        <v>#REF!</v>
      </c>
      <c r="BA326" s="89" t="e">
        <f>#REF!</f>
        <v>#REF!</v>
      </c>
      <c r="BB326" s="89" t="e">
        <f>#REF!</f>
        <v>#REF!</v>
      </c>
      <c r="BC326" s="89" t="e">
        <f>#REF!</f>
        <v>#REF!</v>
      </c>
      <c r="BD326" s="89" t="e">
        <f>#REF!</f>
        <v>#REF!</v>
      </c>
      <c r="BE326" s="89" t="e">
        <f>#REF!</f>
        <v>#REF!</v>
      </c>
      <c r="BF326" s="89" t="e">
        <f>#REF!</f>
        <v>#REF!</v>
      </c>
    </row>
    <row r="327" spans="9:58" x14ac:dyDescent="0.25">
      <c r="I327" s="89">
        <f>ABCD!J376</f>
        <v>80.75</v>
      </c>
      <c r="J327" s="89">
        <f>ABCD!K376</f>
        <v>264.85999999999996</v>
      </c>
      <c r="K327" s="89">
        <f>ABCD!L376</f>
        <v>-6.0774741482457548</v>
      </c>
      <c r="L327" s="89">
        <f>ABCD!M376</f>
        <v>-1.1037431284106276</v>
      </c>
      <c r="M327" s="89">
        <f>ABCD!N376</f>
        <v>6.1768876399129313</v>
      </c>
      <c r="N327" s="89" t="e">
        <v>#REF!</v>
      </c>
      <c r="O327" s="89" t="e">
        <v>#REF!</v>
      </c>
      <c r="P327" s="89" t="e">
        <v>#REF!</v>
      </c>
      <c r="Q327" s="89" t="e">
        <v>#REF!</v>
      </c>
      <c r="R327" s="89" t="e">
        <v>#REF!</v>
      </c>
      <c r="S327" s="89" t="e">
        <f>#REF!</f>
        <v>#REF!</v>
      </c>
      <c r="T327" s="89" t="e">
        <f>#REF!</f>
        <v>#REF!</v>
      </c>
      <c r="U327" s="89" t="e">
        <f>#REF!</f>
        <v>#REF!</v>
      </c>
      <c r="V327" s="89" t="e">
        <f>#REF!</f>
        <v>#REF!</v>
      </c>
      <c r="W327" s="89" t="e">
        <f>#REF!</f>
        <v>#REF!</v>
      </c>
      <c r="X327" s="89" t="e">
        <f>#REF!</f>
        <v>#REF!</v>
      </c>
      <c r="Y327" s="89" t="e">
        <f>#REF!</f>
        <v>#REF!</v>
      </c>
      <c r="Z327" s="89" t="e">
        <f>#REF!</f>
        <v>#REF!</v>
      </c>
      <c r="AA327" s="89" t="e">
        <f>#REF!</f>
        <v>#REF!</v>
      </c>
      <c r="AB327" s="89" t="e">
        <f>#REF!</f>
        <v>#REF!</v>
      </c>
      <c r="AC327" s="89" t="e">
        <f>#REF!</f>
        <v>#REF!</v>
      </c>
      <c r="AD327" s="89" t="e">
        <f>#REF!</f>
        <v>#REF!</v>
      </c>
      <c r="AE327" s="89" t="e">
        <f>#REF!</f>
        <v>#REF!</v>
      </c>
      <c r="AF327" s="89" t="e">
        <f>#REF!</f>
        <v>#REF!</v>
      </c>
      <c r="AG327" s="89" t="e">
        <f>#REF!</f>
        <v>#REF!</v>
      </c>
      <c r="AH327" s="89" t="e">
        <f>#REF!</f>
        <v>#REF!</v>
      </c>
      <c r="AI327" s="89" t="e">
        <f>#REF!</f>
        <v>#REF!</v>
      </c>
      <c r="AJ327" s="89" t="e">
        <f>#REF!</f>
        <v>#REF!</v>
      </c>
      <c r="AK327" s="89" t="e">
        <f>#REF!</f>
        <v>#REF!</v>
      </c>
      <c r="AL327" s="89" t="e">
        <f>#REF!</f>
        <v>#REF!</v>
      </c>
      <c r="AM327" s="89" t="e">
        <f>#REF!</f>
        <v>#REF!</v>
      </c>
      <c r="AN327" s="89" t="e">
        <f>#REF!</f>
        <v>#REF!</v>
      </c>
      <c r="AO327" s="89" t="e">
        <f>#REF!</f>
        <v>#REF!</v>
      </c>
      <c r="AP327" s="89" t="e">
        <f>#REF!</f>
        <v>#REF!</v>
      </c>
      <c r="AQ327" s="89" t="e">
        <f>#REF!</f>
        <v>#REF!</v>
      </c>
      <c r="AR327" s="89" t="e">
        <f>#REF!</f>
        <v>#REF!</v>
      </c>
      <c r="AS327" s="89" t="e">
        <f>#REF!</f>
        <v>#REF!</v>
      </c>
      <c r="AT327" s="89" t="e">
        <f>#REF!</f>
        <v>#REF!</v>
      </c>
      <c r="AU327" s="89" t="e">
        <f>#REF!</f>
        <v>#REF!</v>
      </c>
      <c r="AV327" s="89" t="e">
        <f>#REF!</f>
        <v>#REF!</v>
      </c>
      <c r="AW327" s="89" t="e">
        <f>#REF!</f>
        <v>#REF!</v>
      </c>
      <c r="AX327" s="89" t="e">
        <f>#REF!</f>
        <v>#REF!</v>
      </c>
      <c r="AY327" s="89" t="e">
        <f>#REF!</f>
        <v>#REF!</v>
      </c>
      <c r="AZ327" s="89" t="e">
        <f>#REF!</f>
        <v>#REF!</v>
      </c>
      <c r="BA327" s="89" t="e">
        <f>#REF!</f>
        <v>#REF!</v>
      </c>
      <c r="BB327" s="89" t="e">
        <f>#REF!</f>
        <v>#REF!</v>
      </c>
      <c r="BC327" s="89" t="e">
        <f>#REF!</f>
        <v>#REF!</v>
      </c>
      <c r="BD327" s="89" t="e">
        <f>#REF!</f>
        <v>#REF!</v>
      </c>
      <c r="BE327" s="89" t="e">
        <f>#REF!</f>
        <v>#REF!</v>
      </c>
      <c r="BF327" s="89" t="e">
        <f>#REF!</f>
        <v>#REF!</v>
      </c>
    </row>
    <row r="328" spans="9:58" x14ac:dyDescent="0.25">
      <c r="I328" s="89">
        <f>ABCD!J377</f>
        <v>81</v>
      </c>
      <c r="J328" s="89">
        <f>ABCD!K377</f>
        <v>265.68</v>
      </c>
      <c r="K328" s="89">
        <f>ABCD!L377</f>
        <v>-6.0779588287952864</v>
      </c>
      <c r="L328" s="89">
        <f>ABCD!M377</f>
        <v>-1.1046811785679658</v>
      </c>
      <c r="M328" s="89">
        <f>ABCD!N377</f>
        <v>6.1775321958540115</v>
      </c>
      <c r="N328" s="89" t="e">
        <v>#REF!</v>
      </c>
      <c r="O328" s="89" t="e">
        <v>#REF!</v>
      </c>
      <c r="P328" s="89" t="e">
        <v>#REF!</v>
      </c>
      <c r="Q328" s="89" t="e">
        <v>#REF!</v>
      </c>
      <c r="R328" s="89" t="e">
        <v>#REF!</v>
      </c>
      <c r="S328" s="89" t="e">
        <f>#REF!</f>
        <v>#REF!</v>
      </c>
      <c r="T328" s="89" t="e">
        <f>#REF!</f>
        <v>#REF!</v>
      </c>
      <c r="U328" s="89" t="e">
        <f>#REF!</f>
        <v>#REF!</v>
      </c>
      <c r="V328" s="89" t="e">
        <f>#REF!</f>
        <v>#REF!</v>
      </c>
      <c r="W328" s="89" t="e">
        <f>#REF!</f>
        <v>#REF!</v>
      </c>
      <c r="X328" s="89" t="e">
        <f>#REF!</f>
        <v>#REF!</v>
      </c>
      <c r="Y328" s="89" t="e">
        <f>#REF!</f>
        <v>#REF!</v>
      </c>
      <c r="Z328" s="89" t="e">
        <f>#REF!</f>
        <v>#REF!</v>
      </c>
      <c r="AA328" s="89" t="e">
        <f>#REF!</f>
        <v>#REF!</v>
      </c>
      <c r="AB328" s="89" t="e">
        <f>#REF!</f>
        <v>#REF!</v>
      </c>
      <c r="AC328" s="89" t="e">
        <f>#REF!</f>
        <v>#REF!</v>
      </c>
      <c r="AD328" s="89" t="e">
        <f>#REF!</f>
        <v>#REF!</v>
      </c>
      <c r="AE328" s="89" t="e">
        <f>#REF!</f>
        <v>#REF!</v>
      </c>
      <c r="AF328" s="89" t="e">
        <f>#REF!</f>
        <v>#REF!</v>
      </c>
      <c r="AG328" s="89" t="e">
        <f>#REF!</f>
        <v>#REF!</v>
      </c>
      <c r="AH328" s="89" t="e">
        <f>#REF!</f>
        <v>#REF!</v>
      </c>
      <c r="AI328" s="89" t="e">
        <f>#REF!</f>
        <v>#REF!</v>
      </c>
      <c r="AJ328" s="89" t="e">
        <f>#REF!</f>
        <v>#REF!</v>
      </c>
      <c r="AK328" s="89" t="e">
        <f>#REF!</f>
        <v>#REF!</v>
      </c>
      <c r="AL328" s="89" t="e">
        <f>#REF!</f>
        <v>#REF!</v>
      </c>
      <c r="AM328" s="89" t="e">
        <f>#REF!</f>
        <v>#REF!</v>
      </c>
      <c r="AN328" s="89" t="e">
        <f>#REF!</f>
        <v>#REF!</v>
      </c>
      <c r="AO328" s="89" t="e">
        <f>#REF!</f>
        <v>#REF!</v>
      </c>
      <c r="AP328" s="89" t="e">
        <f>#REF!</f>
        <v>#REF!</v>
      </c>
      <c r="AQ328" s="89" t="e">
        <f>#REF!</f>
        <v>#REF!</v>
      </c>
      <c r="AR328" s="89" t="e">
        <f>#REF!</f>
        <v>#REF!</v>
      </c>
      <c r="AS328" s="89" t="e">
        <f>#REF!</f>
        <v>#REF!</v>
      </c>
      <c r="AT328" s="89" t="e">
        <f>#REF!</f>
        <v>#REF!</v>
      </c>
      <c r="AU328" s="89" t="e">
        <f>#REF!</f>
        <v>#REF!</v>
      </c>
      <c r="AV328" s="89" t="e">
        <f>#REF!</f>
        <v>#REF!</v>
      </c>
      <c r="AW328" s="89" t="e">
        <f>#REF!</f>
        <v>#REF!</v>
      </c>
      <c r="AX328" s="89" t="e">
        <f>#REF!</f>
        <v>#REF!</v>
      </c>
      <c r="AY328" s="89" t="e">
        <f>#REF!</f>
        <v>#REF!</v>
      </c>
      <c r="AZ328" s="89" t="e">
        <f>#REF!</f>
        <v>#REF!</v>
      </c>
      <c r="BA328" s="89" t="e">
        <f>#REF!</f>
        <v>#REF!</v>
      </c>
      <c r="BB328" s="89" t="e">
        <f>#REF!</f>
        <v>#REF!</v>
      </c>
      <c r="BC328" s="89" t="e">
        <f>#REF!</f>
        <v>#REF!</v>
      </c>
      <c r="BD328" s="89" t="e">
        <f>#REF!</f>
        <v>#REF!</v>
      </c>
      <c r="BE328" s="89" t="e">
        <f>#REF!</f>
        <v>#REF!</v>
      </c>
      <c r="BF328" s="89" t="e">
        <f>#REF!</f>
        <v>#REF!</v>
      </c>
    </row>
    <row r="329" spans="9:58" x14ac:dyDescent="0.25">
      <c r="I329" s="89">
        <f>ABCD!J378</f>
        <v>81.25</v>
      </c>
      <c r="J329" s="89">
        <f>ABCD!K378</f>
        <v>266.5</v>
      </c>
      <c r="K329" s="89">
        <f>ABCD!L378</f>
        <v>-6.0770400307749437</v>
      </c>
      <c r="L329" s="89">
        <f>ABCD!M378</f>
        <v>-1.1053633790684798</v>
      </c>
      <c r="M329" s="89">
        <f>ABCD!N378</f>
        <v>6.1767502568443566</v>
      </c>
      <c r="N329" s="89" t="e">
        <v>#REF!</v>
      </c>
      <c r="O329" s="89" t="e">
        <v>#REF!</v>
      </c>
      <c r="P329" s="89" t="e">
        <v>#REF!</v>
      </c>
      <c r="Q329" s="89" t="e">
        <v>#REF!</v>
      </c>
      <c r="R329" s="89" t="e">
        <v>#REF!</v>
      </c>
      <c r="S329" s="89" t="e">
        <f>#REF!</f>
        <v>#REF!</v>
      </c>
      <c r="T329" s="89" t="e">
        <f>#REF!</f>
        <v>#REF!</v>
      </c>
      <c r="U329" s="89" t="e">
        <f>#REF!</f>
        <v>#REF!</v>
      </c>
      <c r="V329" s="89" t="e">
        <f>#REF!</f>
        <v>#REF!</v>
      </c>
      <c r="W329" s="89" t="e">
        <f>#REF!</f>
        <v>#REF!</v>
      </c>
      <c r="X329" s="89" t="e">
        <f>#REF!</f>
        <v>#REF!</v>
      </c>
      <c r="Y329" s="89" t="e">
        <f>#REF!</f>
        <v>#REF!</v>
      </c>
      <c r="Z329" s="89" t="e">
        <f>#REF!</f>
        <v>#REF!</v>
      </c>
      <c r="AA329" s="89" t="e">
        <f>#REF!</f>
        <v>#REF!</v>
      </c>
      <c r="AB329" s="89" t="e">
        <f>#REF!</f>
        <v>#REF!</v>
      </c>
      <c r="AC329" s="89" t="e">
        <f>#REF!</f>
        <v>#REF!</v>
      </c>
      <c r="AD329" s="89" t="e">
        <f>#REF!</f>
        <v>#REF!</v>
      </c>
      <c r="AE329" s="89" t="e">
        <f>#REF!</f>
        <v>#REF!</v>
      </c>
      <c r="AF329" s="89" t="e">
        <f>#REF!</f>
        <v>#REF!</v>
      </c>
      <c r="AG329" s="89" t="e">
        <f>#REF!</f>
        <v>#REF!</v>
      </c>
      <c r="AH329" s="89" t="e">
        <f>#REF!</f>
        <v>#REF!</v>
      </c>
      <c r="AI329" s="89" t="e">
        <f>#REF!</f>
        <v>#REF!</v>
      </c>
      <c r="AJ329" s="89" t="e">
        <f>#REF!</f>
        <v>#REF!</v>
      </c>
      <c r="AK329" s="89" t="e">
        <f>#REF!</f>
        <v>#REF!</v>
      </c>
      <c r="AL329" s="89" t="e">
        <f>#REF!</f>
        <v>#REF!</v>
      </c>
      <c r="AM329" s="89" t="e">
        <f>#REF!</f>
        <v>#REF!</v>
      </c>
      <c r="AN329" s="89" t="e">
        <f>#REF!</f>
        <v>#REF!</v>
      </c>
      <c r="AO329" s="89" t="e">
        <f>#REF!</f>
        <v>#REF!</v>
      </c>
      <c r="AP329" s="89" t="e">
        <f>#REF!</f>
        <v>#REF!</v>
      </c>
      <c r="AQ329" s="89" t="e">
        <f>#REF!</f>
        <v>#REF!</v>
      </c>
      <c r="AR329" s="89" t="e">
        <f>#REF!</f>
        <v>#REF!</v>
      </c>
      <c r="AS329" s="89" t="e">
        <f>#REF!</f>
        <v>#REF!</v>
      </c>
      <c r="AT329" s="89" t="e">
        <f>#REF!</f>
        <v>#REF!</v>
      </c>
      <c r="AU329" s="89" t="e">
        <f>#REF!</f>
        <v>#REF!</v>
      </c>
      <c r="AV329" s="89" t="e">
        <f>#REF!</f>
        <v>#REF!</v>
      </c>
      <c r="AW329" s="89" t="e">
        <f>#REF!</f>
        <v>#REF!</v>
      </c>
      <c r="AX329" s="89" t="e">
        <f>#REF!</f>
        <v>#REF!</v>
      </c>
      <c r="AY329" s="89" t="e">
        <f>#REF!</f>
        <v>#REF!</v>
      </c>
      <c r="AZ329" s="89" t="e">
        <f>#REF!</f>
        <v>#REF!</v>
      </c>
      <c r="BA329" s="89" t="e">
        <f>#REF!</f>
        <v>#REF!</v>
      </c>
      <c r="BB329" s="89" t="e">
        <f>#REF!</f>
        <v>#REF!</v>
      </c>
      <c r="BC329" s="89" t="e">
        <f>#REF!</f>
        <v>#REF!</v>
      </c>
      <c r="BD329" s="89" t="e">
        <f>#REF!</f>
        <v>#REF!</v>
      </c>
      <c r="BE329" s="89" t="e">
        <f>#REF!</f>
        <v>#REF!</v>
      </c>
      <c r="BF329" s="89" t="e">
        <f>#REF!</f>
        <v>#REF!</v>
      </c>
    </row>
    <row r="330" spans="9:58" x14ac:dyDescent="0.25">
      <c r="I330" s="89">
        <f>ABCD!J379</f>
        <v>81.5</v>
      </c>
      <c r="J330" s="89">
        <f>ABCD!K379</f>
        <v>267.32</v>
      </c>
      <c r="K330" s="89">
        <f>ABCD!L379</f>
        <v>-6.0747192288435246</v>
      </c>
      <c r="L330" s="89">
        <f>ABCD!M379</f>
        <v>-1.1057898025933763</v>
      </c>
      <c r="M330" s="89">
        <f>ABCD!N379</f>
        <v>6.1745432864950232</v>
      </c>
      <c r="N330" s="89" t="e">
        <v>#REF!</v>
      </c>
      <c r="O330" s="89" t="e">
        <v>#REF!</v>
      </c>
      <c r="P330" s="89" t="e">
        <v>#REF!</v>
      </c>
      <c r="Q330" s="89" t="e">
        <v>#REF!</v>
      </c>
      <c r="R330" s="89" t="e">
        <v>#REF!</v>
      </c>
      <c r="S330" s="89" t="e">
        <f>#REF!</f>
        <v>#REF!</v>
      </c>
      <c r="T330" s="89" t="e">
        <f>#REF!</f>
        <v>#REF!</v>
      </c>
      <c r="U330" s="89" t="e">
        <f>#REF!</f>
        <v>#REF!</v>
      </c>
      <c r="V330" s="89" t="e">
        <f>#REF!</f>
        <v>#REF!</v>
      </c>
      <c r="W330" s="89" t="e">
        <f>#REF!</f>
        <v>#REF!</v>
      </c>
      <c r="X330" s="89" t="e">
        <f>#REF!</f>
        <v>#REF!</v>
      </c>
      <c r="Y330" s="89" t="e">
        <f>#REF!</f>
        <v>#REF!</v>
      </c>
      <c r="Z330" s="89" t="e">
        <f>#REF!</f>
        <v>#REF!</v>
      </c>
      <c r="AA330" s="89" t="e">
        <f>#REF!</f>
        <v>#REF!</v>
      </c>
      <c r="AB330" s="89" t="e">
        <f>#REF!</f>
        <v>#REF!</v>
      </c>
      <c r="AC330" s="89" t="e">
        <f>#REF!</f>
        <v>#REF!</v>
      </c>
      <c r="AD330" s="89" t="e">
        <f>#REF!</f>
        <v>#REF!</v>
      </c>
      <c r="AE330" s="89" t="e">
        <f>#REF!</f>
        <v>#REF!</v>
      </c>
      <c r="AF330" s="89" t="e">
        <f>#REF!</f>
        <v>#REF!</v>
      </c>
      <c r="AG330" s="89" t="e">
        <f>#REF!</f>
        <v>#REF!</v>
      </c>
      <c r="AH330" s="89" t="e">
        <f>#REF!</f>
        <v>#REF!</v>
      </c>
      <c r="AI330" s="89" t="e">
        <f>#REF!</f>
        <v>#REF!</v>
      </c>
      <c r="AJ330" s="89" t="e">
        <f>#REF!</f>
        <v>#REF!</v>
      </c>
      <c r="AK330" s="89" t="e">
        <f>#REF!</f>
        <v>#REF!</v>
      </c>
      <c r="AL330" s="89" t="e">
        <f>#REF!</f>
        <v>#REF!</v>
      </c>
      <c r="AM330" s="89" t="e">
        <f>#REF!</f>
        <v>#REF!</v>
      </c>
      <c r="AN330" s="89" t="e">
        <f>#REF!</f>
        <v>#REF!</v>
      </c>
      <c r="AO330" s="89" t="e">
        <f>#REF!</f>
        <v>#REF!</v>
      </c>
      <c r="AP330" s="89" t="e">
        <f>#REF!</f>
        <v>#REF!</v>
      </c>
      <c r="AQ330" s="89" t="e">
        <f>#REF!</f>
        <v>#REF!</v>
      </c>
      <c r="AR330" s="89" t="e">
        <f>#REF!</f>
        <v>#REF!</v>
      </c>
      <c r="AS330" s="89" t="e">
        <f>#REF!</f>
        <v>#REF!</v>
      </c>
      <c r="AT330" s="89" t="e">
        <f>#REF!</f>
        <v>#REF!</v>
      </c>
      <c r="AU330" s="89" t="e">
        <f>#REF!</f>
        <v>#REF!</v>
      </c>
      <c r="AV330" s="89" t="e">
        <f>#REF!</f>
        <v>#REF!</v>
      </c>
      <c r="AW330" s="89" t="e">
        <f>#REF!</f>
        <v>#REF!</v>
      </c>
      <c r="AX330" s="89" t="e">
        <f>#REF!</f>
        <v>#REF!</v>
      </c>
      <c r="AY330" s="89" t="e">
        <f>#REF!</f>
        <v>#REF!</v>
      </c>
      <c r="AZ330" s="89" t="e">
        <f>#REF!</f>
        <v>#REF!</v>
      </c>
      <c r="BA330" s="89" t="e">
        <f>#REF!</f>
        <v>#REF!</v>
      </c>
      <c r="BB330" s="89" t="e">
        <f>#REF!</f>
        <v>#REF!</v>
      </c>
      <c r="BC330" s="89" t="e">
        <f>#REF!</f>
        <v>#REF!</v>
      </c>
      <c r="BD330" s="89" t="e">
        <f>#REF!</f>
        <v>#REF!</v>
      </c>
      <c r="BE330" s="89" t="e">
        <f>#REF!</f>
        <v>#REF!</v>
      </c>
      <c r="BF330" s="89" t="e">
        <f>#REF!</f>
        <v>#REF!</v>
      </c>
    </row>
    <row r="331" spans="9:58" x14ac:dyDescent="0.25">
      <c r="I331" s="89">
        <f>ABCD!J380</f>
        <v>81.75</v>
      </c>
      <c r="J331" s="89">
        <f>ABCD!K380</f>
        <v>268.14</v>
      </c>
      <c r="K331" s="89">
        <f>ABCD!L380</f>
        <v>-6.0709982199733243</v>
      </c>
      <c r="L331" s="89">
        <f>ABCD!M380</f>
        <v>-1.1059605808023096</v>
      </c>
      <c r="M331" s="89">
        <f>ABCD!N380</f>
        <v>6.1709130761345081</v>
      </c>
      <c r="N331" s="89" t="e">
        <v>#REF!</v>
      </c>
      <c r="O331" s="89" t="e">
        <v>#REF!</v>
      </c>
      <c r="P331" s="89" t="e">
        <v>#REF!</v>
      </c>
      <c r="Q331" s="89" t="e">
        <v>#REF!</v>
      </c>
      <c r="R331" s="89" t="e">
        <v>#REF!</v>
      </c>
      <c r="S331" s="89" t="e">
        <f>#REF!</f>
        <v>#REF!</v>
      </c>
      <c r="T331" s="89" t="e">
        <f>#REF!</f>
        <v>#REF!</v>
      </c>
      <c r="U331" s="89" t="e">
        <f>#REF!</f>
        <v>#REF!</v>
      </c>
      <c r="V331" s="89" t="e">
        <f>#REF!</f>
        <v>#REF!</v>
      </c>
      <c r="W331" s="89" t="e">
        <f>#REF!</f>
        <v>#REF!</v>
      </c>
      <c r="X331" s="89" t="e">
        <f>#REF!</f>
        <v>#REF!</v>
      </c>
      <c r="Y331" s="89" t="e">
        <f>#REF!</f>
        <v>#REF!</v>
      </c>
      <c r="Z331" s="89" t="e">
        <f>#REF!</f>
        <v>#REF!</v>
      </c>
      <c r="AA331" s="89" t="e">
        <f>#REF!</f>
        <v>#REF!</v>
      </c>
      <c r="AB331" s="89" t="e">
        <f>#REF!</f>
        <v>#REF!</v>
      </c>
      <c r="AC331" s="89" t="e">
        <f>#REF!</f>
        <v>#REF!</v>
      </c>
      <c r="AD331" s="89" t="e">
        <f>#REF!</f>
        <v>#REF!</v>
      </c>
      <c r="AE331" s="89" t="e">
        <f>#REF!</f>
        <v>#REF!</v>
      </c>
      <c r="AF331" s="89" t="e">
        <f>#REF!</f>
        <v>#REF!</v>
      </c>
      <c r="AG331" s="89" t="e">
        <f>#REF!</f>
        <v>#REF!</v>
      </c>
      <c r="AH331" s="89" t="e">
        <f>#REF!</f>
        <v>#REF!</v>
      </c>
      <c r="AI331" s="89" t="e">
        <f>#REF!</f>
        <v>#REF!</v>
      </c>
      <c r="AJ331" s="89" t="e">
        <f>#REF!</f>
        <v>#REF!</v>
      </c>
      <c r="AK331" s="89" t="e">
        <f>#REF!</f>
        <v>#REF!</v>
      </c>
      <c r="AL331" s="89" t="e">
        <f>#REF!</f>
        <v>#REF!</v>
      </c>
      <c r="AM331" s="89" t="e">
        <f>#REF!</f>
        <v>#REF!</v>
      </c>
      <c r="AN331" s="89" t="e">
        <f>#REF!</f>
        <v>#REF!</v>
      </c>
      <c r="AO331" s="89" t="e">
        <f>#REF!</f>
        <v>#REF!</v>
      </c>
      <c r="AP331" s="89" t="e">
        <f>#REF!</f>
        <v>#REF!</v>
      </c>
      <c r="AQ331" s="89" t="e">
        <f>#REF!</f>
        <v>#REF!</v>
      </c>
      <c r="AR331" s="89" t="e">
        <f>#REF!</f>
        <v>#REF!</v>
      </c>
      <c r="AS331" s="89" t="e">
        <f>#REF!</f>
        <v>#REF!</v>
      </c>
      <c r="AT331" s="89" t="e">
        <f>#REF!</f>
        <v>#REF!</v>
      </c>
      <c r="AU331" s="89" t="e">
        <f>#REF!</f>
        <v>#REF!</v>
      </c>
      <c r="AV331" s="89" t="e">
        <f>#REF!</f>
        <v>#REF!</v>
      </c>
      <c r="AW331" s="89" t="e">
        <f>#REF!</f>
        <v>#REF!</v>
      </c>
      <c r="AX331" s="89" t="e">
        <f>#REF!</f>
        <v>#REF!</v>
      </c>
      <c r="AY331" s="89" t="e">
        <f>#REF!</f>
        <v>#REF!</v>
      </c>
      <c r="AZ331" s="89" t="e">
        <f>#REF!</f>
        <v>#REF!</v>
      </c>
      <c r="BA331" s="89" t="e">
        <f>#REF!</f>
        <v>#REF!</v>
      </c>
      <c r="BB331" s="89" t="e">
        <f>#REF!</f>
        <v>#REF!</v>
      </c>
      <c r="BC331" s="89" t="e">
        <f>#REF!</f>
        <v>#REF!</v>
      </c>
      <c r="BD331" s="89" t="e">
        <f>#REF!</f>
        <v>#REF!</v>
      </c>
      <c r="BE331" s="89" t="e">
        <f>#REF!</f>
        <v>#REF!</v>
      </c>
      <c r="BF331" s="89" t="e">
        <f>#REF!</f>
        <v>#REF!</v>
      </c>
    </row>
    <row r="332" spans="9:58" x14ac:dyDescent="0.25">
      <c r="I332" s="89">
        <f>ABCD!J381</f>
        <v>82</v>
      </c>
      <c r="J332" s="89">
        <f>ABCD!K381</f>
        <v>268.95999999999998</v>
      </c>
      <c r="K332" s="89">
        <f>ABCD!L381</f>
        <v>-6.0658791227453612</v>
      </c>
      <c r="L332" s="89">
        <f>ABCD!M381</f>
        <v>-1.1058759042499329</v>
      </c>
      <c r="M332" s="89">
        <f>ABCD!N381</f>
        <v>6.1658617441002228</v>
      </c>
      <c r="N332" s="89" t="e">
        <v>#REF!</v>
      </c>
      <c r="O332" s="89" t="e">
        <v>#REF!</v>
      </c>
      <c r="P332" s="89" t="e">
        <v>#REF!</v>
      </c>
      <c r="Q332" s="89" t="e">
        <v>#REF!</v>
      </c>
      <c r="R332" s="89" t="e">
        <v>#REF!</v>
      </c>
      <c r="S332" s="89" t="e">
        <f>#REF!</f>
        <v>#REF!</v>
      </c>
      <c r="T332" s="89" t="e">
        <f>#REF!</f>
        <v>#REF!</v>
      </c>
      <c r="U332" s="89" t="e">
        <f>#REF!</f>
        <v>#REF!</v>
      </c>
      <c r="V332" s="89" t="e">
        <f>#REF!</f>
        <v>#REF!</v>
      </c>
      <c r="W332" s="89" t="e">
        <f>#REF!</f>
        <v>#REF!</v>
      </c>
      <c r="X332" s="89" t="e">
        <f>#REF!</f>
        <v>#REF!</v>
      </c>
      <c r="Y332" s="89" t="e">
        <f>#REF!</f>
        <v>#REF!</v>
      </c>
      <c r="Z332" s="89" t="e">
        <f>#REF!</f>
        <v>#REF!</v>
      </c>
      <c r="AA332" s="89" t="e">
        <f>#REF!</f>
        <v>#REF!</v>
      </c>
      <c r="AB332" s="89" t="e">
        <f>#REF!</f>
        <v>#REF!</v>
      </c>
      <c r="AC332" s="89" t="e">
        <f>#REF!</f>
        <v>#REF!</v>
      </c>
      <c r="AD332" s="89" t="e">
        <f>#REF!</f>
        <v>#REF!</v>
      </c>
      <c r="AE332" s="89" t="e">
        <f>#REF!</f>
        <v>#REF!</v>
      </c>
      <c r="AF332" s="89" t="e">
        <f>#REF!</f>
        <v>#REF!</v>
      </c>
      <c r="AG332" s="89" t="e">
        <f>#REF!</f>
        <v>#REF!</v>
      </c>
      <c r="AH332" s="89" t="e">
        <f>#REF!</f>
        <v>#REF!</v>
      </c>
      <c r="AI332" s="89" t="e">
        <f>#REF!</f>
        <v>#REF!</v>
      </c>
      <c r="AJ332" s="89" t="e">
        <f>#REF!</f>
        <v>#REF!</v>
      </c>
      <c r="AK332" s="89" t="e">
        <f>#REF!</f>
        <v>#REF!</v>
      </c>
      <c r="AL332" s="89" t="e">
        <f>#REF!</f>
        <v>#REF!</v>
      </c>
      <c r="AM332" s="89" t="e">
        <f>#REF!</f>
        <v>#REF!</v>
      </c>
      <c r="AN332" s="89" t="e">
        <f>#REF!</f>
        <v>#REF!</v>
      </c>
      <c r="AO332" s="89" t="e">
        <f>#REF!</f>
        <v>#REF!</v>
      </c>
      <c r="AP332" s="89" t="e">
        <f>#REF!</f>
        <v>#REF!</v>
      </c>
      <c r="AQ332" s="89" t="e">
        <f>#REF!</f>
        <v>#REF!</v>
      </c>
      <c r="AR332" s="89" t="e">
        <f>#REF!</f>
        <v>#REF!</v>
      </c>
      <c r="AS332" s="89" t="e">
        <f>#REF!</f>
        <v>#REF!</v>
      </c>
      <c r="AT332" s="89" t="e">
        <f>#REF!</f>
        <v>#REF!</v>
      </c>
      <c r="AU332" s="89" t="e">
        <f>#REF!</f>
        <v>#REF!</v>
      </c>
      <c r="AV332" s="89" t="e">
        <f>#REF!</f>
        <v>#REF!</v>
      </c>
      <c r="AW332" s="89" t="e">
        <f>#REF!</f>
        <v>#REF!</v>
      </c>
      <c r="AX332" s="89" t="e">
        <f>#REF!</f>
        <v>#REF!</v>
      </c>
      <c r="AY332" s="89" t="e">
        <f>#REF!</f>
        <v>#REF!</v>
      </c>
      <c r="AZ332" s="89" t="e">
        <f>#REF!</f>
        <v>#REF!</v>
      </c>
      <c r="BA332" s="89" t="e">
        <f>#REF!</f>
        <v>#REF!</v>
      </c>
      <c r="BB332" s="89" t="e">
        <f>#REF!</f>
        <v>#REF!</v>
      </c>
      <c r="BC332" s="89" t="e">
        <f>#REF!</f>
        <v>#REF!</v>
      </c>
      <c r="BD332" s="89" t="e">
        <f>#REF!</f>
        <v>#REF!</v>
      </c>
      <c r="BE332" s="89" t="e">
        <f>#REF!</f>
        <v>#REF!</v>
      </c>
      <c r="BF332" s="89" t="e">
        <f>#REF!</f>
        <v>#REF!</v>
      </c>
    </row>
    <row r="333" spans="9:58" x14ac:dyDescent="0.25">
      <c r="I333" s="89">
        <f>ABCD!J382</f>
        <v>82.25</v>
      </c>
      <c r="J333" s="89">
        <f>ABCD!K382</f>
        <v>269.77999999999997</v>
      </c>
      <c r="K333" s="89">
        <f>ABCD!L382</f>
        <v>-6.059364376571013</v>
      </c>
      <c r="L333" s="89">
        <f>ABCD!M382</f>
        <v>-1.1055360222889299</v>
      </c>
      <c r="M333" s="89">
        <f>ABCD!N382</f>
        <v>6.1593917349553475</v>
      </c>
      <c r="N333" s="89" t="e">
        <v>#REF!</v>
      </c>
      <c r="O333" s="89" t="e">
        <v>#REF!</v>
      </c>
      <c r="P333" s="89" t="e">
        <v>#REF!</v>
      </c>
      <c r="Q333" s="89" t="e">
        <v>#REF!</v>
      </c>
      <c r="R333" s="89" t="e">
        <v>#REF!</v>
      </c>
      <c r="S333" s="89" t="e">
        <f>#REF!</f>
        <v>#REF!</v>
      </c>
      <c r="T333" s="89" t="e">
        <f>#REF!</f>
        <v>#REF!</v>
      </c>
      <c r="U333" s="89" t="e">
        <f>#REF!</f>
        <v>#REF!</v>
      </c>
      <c r="V333" s="89" t="e">
        <f>#REF!</f>
        <v>#REF!</v>
      </c>
      <c r="W333" s="89" t="e">
        <f>#REF!</f>
        <v>#REF!</v>
      </c>
      <c r="X333" s="89" t="e">
        <f>#REF!</f>
        <v>#REF!</v>
      </c>
      <c r="Y333" s="89" t="e">
        <f>#REF!</f>
        <v>#REF!</v>
      </c>
      <c r="Z333" s="89" t="e">
        <f>#REF!</f>
        <v>#REF!</v>
      </c>
      <c r="AA333" s="89" t="e">
        <f>#REF!</f>
        <v>#REF!</v>
      </c>
      <c r="AB333" s="89" t="e">
        <f>#REF!</f>
        <v>#REF!</v>
      </c>
      <c r="AC333" s="89" t="e">
        <f>#REF!</f>
        <v>#REF!</v>
      </c>
      <c r="AD333" s="89" t="e">
        <f>#REF!</f>
        <v>#REF!</v>
      </c>
      <c r="AE333" s="89" t="e">
        <f>#REF!</f>
        <v>#REF!</v>
      </c>
      <c r="AF333" s="89" t="e">
        <f>#REF!</f>
        <v>#REF!</v>
      </c>
      <c r="AG333" s="89" t="e">
        <f>#REF!</f>
        <v>#REF!</v>
      </c>
      <c r="AH333" s="89" t="e">
        <f>#REF!</f>
        <v>#REF!</v>
      </c>
      <c r="AI333" s="89" t="e">
        <f>#REF!</f>
        <v>#REF!</v>
      </c>
      <c r="AJ333" s="89" t="e">
        <f>#REF!</f>
        <v>#REF!</v>
      </c>
      <c r="AK333" s="89" t="e">
        <f>#REF!</f>
        <v>#REF!</v>
      </c>
      <c r="AL333" s="89" t="e">
        <f>#REF!</f>
        <v>#REF!</v>
      </c>
      <c r="AM333" s="89" t="e">
        <f>#REF!</f>
        <v>#REF!</v>
      </c>
      <c r="AN333" s="89" t="e">
        <f>#REF!</f>
        <v>#REF!</v>
      </c>
      <c r="AO333" s="89" t="e">
        <f>#REF!</f>
        <v>#REF!</v>
      </c>
      <c r="AP333" s="89" t="e">
        <f>#REF!</f>
        <v>#REF!</v>
      </c>
      <c r="AQ333" s="89" t="e">
        <f>#REF!</f>
        <v>#REF!</v>
      </c>
      <c r="AR333" s="89" t="e">
        <f>#REF!</f>
        <v>#REF!</v>
      </c>
      <c r="AS333" s="89" t="e">
        <f>#REF!</f>
        <v>#REF!</v>
      </c>
      <c r="AT333" s="89" t="e">
        <f>#REF!</f>
        <v>#REF!</v>
      </c>
      <c r="AU333" s="89" t="e">
        <f>#REF!</f>
        <v>#REF!</v>
      </c>
      <c r="AV333" s="89" t="e">
        <f>#REF!</f>
        <v>#REF!</v>
      </c>
      <c r="AW333" s="89" t="e">
        <f>#REF!</f>
        <v>#REF!</v>
      </c>
      <c r="AX333" s="89" t="e">
        <f>#REF!</f>
        <v>#REF!</v>
      </c>
      <c r="AY333" s="89" t="e">
        <f>#REF!</f>
        <v>#REF!</v>
      </c>
      <c r="AZ333" s="89" t="e">
        <f>#REF!</f>
        <v>#REF!</v>
      </c>
      <c r="BA333" s="89" t="e">
        <f>#REF!</f>
        <v>#REF!</v>
      </c>
      <c r="BB333" s="89" t="e">
        <f>#REF!</f>
        <v>#REF!</v>
      </c>
      <c r="BC333" s="89" t="e">
        <f>#REF!</f>
        <v>#REF!</v>
      </c>
      <c r="BD333" s="89" t="e">
        <f>#REF!</f>
        <v>#REF!</v>
      </c>
      <c r="BE333" s="89" t="e">
        <f>#REF!</f>
        <v>#REF!</v>
      </c>
      <c r="BF333" s="89" t="e">
        <f>#REF!</f>
        <v>#REF!</v>
      </c>
    </row>
    <row r="334" spans="9:58" x14ac:dyDescent="0.25">
      <c r="I334" s="89">
        <f>ABCD!J383</f>
        <v>82.5</v>
      </c>
      <c r="J334" s="89">
        <f>ABCD!K383</f>
        <v>270.59999999999997</v>
      </c>
      <c r="K334" s="89">
        <f>ABCD!L383</f>
        <v>-6.051456740840278</v>
      </c>
      <c r="L334" s="89">
        <f>ABCD!M383</f>
        <v>-1.1049412429595575</v>
      </c>
      <c r="M334" s="89">
        <f>ABCD!N383</f>
        <v>6.1515058186312599</v>
      </c>
      <c r="N334" s="89" t="e">
        <v>#REF!</v>
      </c>
      <c r="O334" s="89" t="e">
        <v>#REF!</v>
      </c>
      <c r="P334" s="89" t="e">
        <v>#REF!</v>
      </c>
      <c r="Q334" s="89" t="e">
        <v>#REF!</v>
      </c>
      <c r="R334" s="89" t="e">
        <v>#REF!</v>
      </c>
      <c r="S334" s="89" t="e">
        <f>#REF!</f>
        <v>#REF!</v>
      </c>
      <c r="T334" s="89" t="e">
        <f>#REF!</f>
        <v>#REF!</v>
      </c>
      <c r="U334" s="89" t="e">
        <f>#REF!</f>
        <v>#REF!</v>
      </c>
      <c r="V334" s="89" t="e">
        <f>#REF!</f>
        <v>#REF!</v>
      </c>
      <c r="W334" s="89" t="e">
        <f>#REF!</f>
        <v>#REF!</v>
      </c>
      <c r="X334" s="89" t="e">
        <f>#REF!</f>
        <v>#REF!</v>
      </c>
      <c r="Y334" s="89" t="e">
        <f>#REF!</f>
        <v>#REF!</v>
      </c>
      <c r="Z334" s="89" t="e">
        <f>#REF!</f>
        <v>#REF!</v>
      </c>
      <c r="AA334" s="89" t="e">
        <f>#REF!</f>
        <v>#REF!</v>
      </c>
      <c r="AB334" s="89" t="e">
        <f>#REF!</f>
        <v>#REF!</v>
      </c>
      <c r="AC334" s="89" t="e">
        <f>#REF!</f>
        <v>#REF!</v>
      </c>
      <c r="AD334" s="89" t="e">
        <f>#REF!</f>
        <v>#REF!</v>
      </c>
      <c r="AE334" s="89" t="e">
        <f>#REF!</f>
        <v>#REF!</v>
      </c>
      <c r="AF334" s="89" t="e">
        <f>#REF!</f>
        <v>#REF!</v>
      </c>
      <c r="AG334" s="89" t="e">
        <f>#REF!</f>
        <v>#REF!</v>
      </c>
      <c r="AH334" s="89" t="e">
        <f>#REF!</f>
        <v>#REF!</v>
      </c>
      <c r="AI334" s="89" t="e">
        <f>#REF!</f>
        <v>#REF!</v>
      </c>
      <c r="AJ334" s="89" t="e">
        <f>#REF!</f>
        <v>#REF!</v>
      </c>
      <c r="AK334" s="89" t="e">
        <f>#REF!</f>
        <v>#REF!</v>
      </c>
      <c r="AL334" s="89" t="e">
        <f>#REF!</f>
        <v>#REF!</v>
      </c>
      <c r="AM334" s="89" t="e">
        <f>#REF!</f>
        <v>#REF!</v>
      </c>
      <c r="AN334" s="89" t="e">
        <f>#REF!</f>
        <v>#REF!</v>
      </c>
      <c r="AO334" s="89" t="e">
        <f>#REF!</f>
        <v>#REF!</v>
      </c>
      <c r="AP334" s="89" t="e">
        <f>#REF!</f>
        <v>#REF!</v>
      </c>
      <c r="AQ334" s="89" t="e">
        <f>#REF!</f>
        <v>#REF!</v>
      </c>
      <c r="AR334" s="89" t="e">
        <f>#REF!</f>
        <v>#REF!</v>
      </c>
      <c r="AS334" s="89" t="e">
        <f>#REF!</f>
        <v>#REF!</v>
      </c>
      <c r="AT334" s="89" t="e">
        <f>#REF!</f>
        <v>#REF!</v>
      </c>
      <c r="AU334" s="89" t="e">
        <f>#REF!</f>
        <v>#REF!</v>
      </c>
      <c r="AV334" s="89" t="e">
        <f>#REF!</f>
        <v>#REF!</v>
      </c>
      <c r="AW334" s="89" t="e">
        <f>#REF!</f>
        <v>#REF!</v>
      </c>
      <c r="AX334" s="89" t="e">
        <f>#REF!</f>
        <v>#REF!</v>
      </c>
      <c r="AY334" s="89" t="e">
        <f>#REF!</f>
        <v>#REF!</v>
      </c>
      <c r="AZ334" s="89" t="e">
        <f>#REF!</f>
        <v>#REF!</v>
      </c>
      <c r="BA334" s="89" t="e">
        <f>#REF!</f>
        <v>#REF!</v>
      </c>
      <c r="BB334" s="89" t="e">
        <f>#REF!</f>
        <v>#REF!</v>
      </c>
      <c r="BC334" s="89" t="e">
        <f>#REF!</f>
        <v>#REF!</v>
      </c>
      <c r="BD334" s="89" t="e">
        <f>#REF!</f>
        <v>#REF!</v>
      </c>
      <c r="BE334" s="89" t="e">
        <f>#REF!</f>
        <v>#REF!</v>
      </c>
      <c r="BF334" s="89" t="e">
        <f>#REF!</f>
        <v>#REF!</v>
      </c>
    </row>
    <row r="335" spans="9:58" x14ac:dyDescent="0.25">
      <c r="I335" s="89">
        <f>ABCD!J384</f>
        <v>82.75</v>
      </c>
      <c r="J335" s="89">
        <f>ABCD!K384</f>
        <v>271.41999999999996</v>
      </c>
      <c r="K335" s="89">
        <f>ABCD!L384</f>
        <v>-6.042159293996944</v>
      </c>
      <c r="L335" s="89">
        <f>ABCD!M384</f>
        <v>-1.1040919328657484</v>
      </c>
      <c r="M335" s="89">
        <f>ABCD!N384</f>
        <v>6.1422070894958329</v>
      </c>
      <c r="N335" s="89" t="e">
        <v>#REF!</v>
      </c>
      <c r="O335" s="89" t="e">
        <v>#REF!</v>
      </c>
      <c r="P335" s="89" t="e">
        <v>#REF!</v>
      </c>
      <c r="Q335" s="89" t="e">
        <v>#REF!</v>
      </c>
      <c r="R335" s="89" t="e">
        <v>#REF!</v>
      </c>
      <c r="S335" s="89" t="e">
        <f>#REF!</f>
        <v>#REF!</v>
      </c>
      <c r="T335" s="89" t="e">
        <f>#REF!</f>
        <v>#REF!</v>
      </c>
      <c r="U335" s="89" t="e">
        <f>#REF!</f>
        <v>#REF!</v>
      </c>
      <c r="V335" s="89" t="e">
        <f>#REF!</f>
        <v>#REF!</v>
      </c>
      <c r="W335" s="89" t="e">
        <f>#REF!</f>
        <v>#REF!</v>
      </c>
      <c r="X335" s="89" t="e">
        <f>#REF!</f>
        <v>#REF!</v>
      </c>
      <c r="Y335" s="89" t="e">
        <f>#REF!</f>
        <v>#REF!</v>
      </c>
      <c r="Z335" s="89" t="e">
        <f>#REF!</f>
        <v>#REF!</v>
      </c>
      <c r="AA335" s="89" t="e">
        <f>#REF!</f>
        <v>#REF!</v>
      </c>
      <c r="AB335" s="89" t="e">
        <f>#REF!</f>
        <v>#REF!</v>
      </c>
      <c r="AC335" s="89" t="e">
        <f>#REF!</f>
        <v>#REF!</v>
      </c>
      <c r="AD335" s="89" t="e">
        <f>#REF!</f>
        <v>#REF!</v>
      </c>
      <c r="AE335" s="89" t="e">
        <f>#REF!</f>
        <v>#REF!</v>
      </c>
      <c r="AF335" s="89" t="e">
        <f>#REF!</f>
        <v>#REF!</v>
      </c>
      <c r="AG335" s="89" t="e">
        <f>#REF!</f>
        <v>#REF!</v>
      </c>
      <c r="AH335" s="89" t="e">
        <f>#REF!</f>
        <v>#REF!</v>
      </c>
      <c r="AI335" s="89" t="e">
        <f>#REF!</f>
        <v>#REF!</v>
      </c>
      <c r="AJ335" s="89" t="e">
        <f>#REF!</f>
        <v>#REF!</v>
      </c>
      <c r="AK335" s="89" t="e">
        <f>#REF!</f>
        <v>#REF!</v>
      </c>
      <c r="AL335" s="89" t="e">
        <f>#REF!</f>
        <v>#REF!</v>
      </c>
      <c r="AM335" s="89" t="e">
        <f>#REF!</f>
        <v>#REF!</v>
      </c>
      <c r="AN335" s="89" t="e">
        <f>#REF!</f>
        <v>#REF!</v>
      </c>
      <c r="AO335" s="89" t="e">
        <f>#REF!</f>
        <v>#REF!</v>
      </c>
      <c r="AP335" s="89" t="e">
        <f>#REF!</f>
        <v>#REF!</v>
      </c>
      <c r="AQ335" s="89" t="e">
        <f>#REF!</f>
        <v>#REF!</v>
      </c>
      <c r="AR335" s="89" t="e">
        <f>#REF!</f>
        <v>#REF!</v>
      </c>
      <c r="AS335" s="89" t="e">
        <f>#REF!</f>
        <v>#REF!</v>
      </c>
      <c r="AT335" s="89" t="e">
        <f>#REF!</f>
        <v>#REF!</v>
      </c>
      <c r="AU335" s="89" t="e">
        <f>#REF!</f>
        <v>#REF!</v>
      </c>
      <c r="AV335" s="89" t="e">
        <f>#REF!</f>
        <v>#REF!</v>
      </c>
      <c r="AW335" s="89" t="e">
        <f>#REF!</f>
        <v>#REF!</v>
      </c>
      <c r="AX335" s="89" t="e">
        <f>#REF!</f>
        <v>#REF!</v>
      </c>
      <c r="AY335" s="89" t="e">
        <f>#REF!</f>
        <v>#REF!</v>
      </c>
      <c r="AZ335" s="89" t="e">
        <f>#REF!</f>
        <v>#REF!</v>
      </c>
      <c r="BA335" s="89" t="e">
        <f>#REF!</f>
        <v>#REF!</v>
      </c>
      <c r="BB335" s="89" t="e">
        <f>#REF!</f>
        <v>#REF!</v>
      </c>
      <c r="BC335" s="89" t="e">
        <f>#REF!</f>
        <v>#REF!</v>
      </c>
      <c r="BD335" s="89" t="e">
        <f>#REF!</f>
        <v>#REF!</v>
      </c>
      <c r="BE335" s="89" t="e">
        <f>#REF!</f>
        <v>#REF!</v>
      </c>
      <c r="BF335" s="89" t="e">
        <f>#REF!</f>
        <v>#REF!</v>
      </c>
    </row>
    <row r="336" spans="9:58" x14ac:dyDescent="0.25">
      <c r="I336" s="89">
        <f>ABCD!J385</f>
        <v>83</v>
      </c>
      <c r="J336" s="89">
        <f>ABCD!K385</f>
        <v>272.24</v>
      </c>
      <c r="K336" s="89">
        <f>ABCD!L385</f>
        <v>-6.0314754325409341</v>
      </c>
      <c r="L336" s="89">
        <f>ABCD!M385</f>
        <v>-1.1029885170377887</v>
      </c>
      <c r="M336" s="89">
        <f>ABCD!N385</f>
        <v>6.1314989653478751</v>
      </c>
      <c r="N336" s="89" t="e">
        <v>#REF!</v>
      </c>
      <c r="O336" s="89" t="e">
        <v>#REF!</v>
      </c>
      <c r="P336" s="89" t="e">
        <v>#REF!</v>
      </c>
      <c r="Q336" s="89" t="e">
        <v>#REF!</v>
      </c>
      <c r="R336" s="89" t="e">
        <v>#REF!</v>
      </c>
      <c r="S336" s="89" t="e">
        <f>#REF!</f>
        <v>#REF!</v>
      </c>
      <c r="T336" s="89" t="e">
        <f>#REF!</f>
        <v>#REF!</v>
      </c>
      <c r="U336" s="89" t="e">
        <f>#REF!</f>
        <v>#REF!</v>
      </c>
      <c r="V336" s="89" t="e">
        <f>#REF!</f>
        <v>#REF!</v>
      </c>
      <c r="W336" s="89" t="e">
        <f>#REF!</f>
        <v>#REF!</v>
      </c>
      <c r="X336" s="89" t="e">
        <f>#REF!</f>
        <v>#REF!</v>
      </c>
      <c r="Y336" s="89" t="e">
        <f>#REF!</f>
        <v>#REF!</v>
      </c>
      <c r="Z336" s="89" t="e">
        <f>#REF!</f>
        <v>#REF!</v>
      </c>
      <c r="AA336" s="89" t="e">
        <f>#REF!</f>
        <v>#REF!</v>
      </c>
      <c r="AB336" s="89" t="e">
        <f>#REF!</f>
        <v>#REF!</v>
      </c>
      <c r="AC336" s="89" t="e">
        <f>#REF!</f>
        <v>#REF!</v>
      </c>
      <c r="AD336" s="89" t="e">
        <f>#REF!</f>
        <v>#REF!</v>
      </c>
      <c r="AE336" s="89" t="e">
        <f>#REF!</f>
        <v>#REF!</v>
      </c>
      <c r="AF336" s="89" t="e">
        <f>#REF!</f>
        <v>#REF!</v>
      </c>
      <c r="AG336" s="89" t="e">
        <f>#REF!</f>
        <v>#REF!</v>
      </c>
      <c r="AH336" s="89" t="e">
        <f>#REF!</f>
        <v>#REF!</v>
      </c>
      <c r="AI336" s="89" t="e">
        <f>#REF!</f>
        <v>#REF!</v>
      </c>
      <c r="AJ336" s="89" t="e">
        <f>#REF!</f>
        <v>#REF!</v>
      </c>
      <c r="AK336" s="89" t="e">
        <f>#REF!</f>
        <v>#REF!</v>
      </c>
      <c r="AL336" s="89" t="e">
        <f>#REF!</f>
        <v>#REF!</v>
      </c>
      <c r="AM336" s="89" t="e">
        <f>#REF!</f>
        <v>#REF!</v>
      </c>
      <c r="AN336" s="89" t="e">
        <f>#REF!</f>
        <v>#REF!</v>
      </c>
      <c r="AO336" s="89" t="e">
        <f>#REF!</f>
        <v>#REF!</v>
      </c>
      <c r="AP336" s="89" t="e">
        <f>#REF!</f>
        <v>#REF!</v>
      </c>
      <c r="AQ336" s="89" t="e">
        <f>#REF!</f>
        <v>#REF!</v>
      </c>
      <c r="AR336" s="89" t="e">
        <f>#REF!</f>
        <v>#REF!</v>
      </c>
      <c r="AS336" s="89" t="e">
        <f>#REF!</f>
        <v>#REF!</v>
      </c>
      <c r="AT336" s="89" t="e">
        <f>#REF!</f>
        <v>#REF!</v>
      </c>
      <c r="AU336" s="89" t="e">
        <f>#REF!</f>
        <v>#REF!</v>
      </c>
      <c r="AV336" s="89" t="e">
        <f>#REF!</f>
        <v>#REF!</v>
      </c>
      <c r="AW336" s="89" t="e">
        <f>#REF!</f>
        <v>#REF!</v>
      </c>
      <c r="AX336" s="89" t="e">
        <f>#REF!</f>
        <v>#REF!</v>
      </c>
      <c r="AY336" s="89" t="e">
        <f>#REF!</f>
        <v>#REF!</v>
      </c>
      <c r="AZ336" s="89" t="e">
        <f>#REF!</f>
        <v>#REF!</v>
      </c>
      <c r="BA336" s="89" t="e">
        <f>#REF!</f>
        <v>#REF!</v>
      </c>
      <c r="BB336" s="89" t="e">
        <f>#REF!</f>
        <v>#REF!</v>
      </c>
      <c r="BC336" s="89" t="e">
        <f>#REF!</f>
        <v>#REF!</v>
      </c>
      <c r="BD336" s="89" t="e">
        <f>#REF!</f>
        <v>#REF!</v>
      </c>
      <c r="BE336" s="89" t="e">
        <f>#REF!</f>
        <v>#REF!</v>
      </c>
      <c r="BF336" s="89" t="e">
        <f>#REF!</f>
        <v>#REF!</v>
      </c>
    </row>
    <row r="337" spans="9:58" x14ac:dyDescent="0.25">
      <c r="I337" s="89">
        <f>ABCD!J386</f>
        <v>83.25</v>
      </c>
      <c r="J337" s="89">
        <f>ABCD!K386</f>
        <v>273.06</v>
      </c>
      <c r="K337" s="89">
        <f>ABCD!L386</f>
        <v>-6.0194088699581441</v>
      </c>
      <c r="L337" s="89">
        <f>ABCD!M386</f>
        <v>-1.1016314787816548</v>
      </c>
      <c r="M337" s="89">
        <f>ABCD!N386</f>
        <v>6.1193851863380386</v>
      </c>
      <c r="N337" s="89" t="e">
        <v>#REF!</v>
      </c>
      <c r="O337" s="89" t="e">
        <v>#REF!</v>
      </c>
      <c r="P337" s="89" t="e">
        <v>#REF!</v>
      </c>
      <c r="Q337" s="89" t="e">
        <v>#REF!</v>
      </c>
      <c r="R337" s="89" t="e">
        <v>#REF!</v>
      </c>
      <c r="S337" s="89" t="e">
        <f>#REF!</f>
        <v>#REF!</v>
      </c>
      <c r="T337" s="89" t="e">
        <f>#REF!</f>
        <v>#REF!</v>
      </c>
      <c r="U337" s="89" t="e">
        <f>#REF!</f>
        <v>#REF!</v>
      </c>
      <c r="V337" s="89" t="e">
        <f>#REF!</f>
        <v>#REF!</v>
      </c>
      <c r="W337" s="89" t="e">
        <f>#REF!</f>
        <v>#REF!</v>
      </c>
      <c r="X337" s="89" t="e">
        <f>#REF!</f>
        <v>#REF!</v>
      </c>
      <c r="Y337" s="89" t="e">
        <f>#REF!</f>
        <v>#REF!</v>
      </c>
      <c r="Z337" s="89" t="e">
        <f>#REF!</f>
        <v>#REF!</v>
      </c>
      <c r="AA337" s="89" t="e">
        <f>#REF!</f>
        <v>#REF!</v>
      </c>
      <c r="AB337" s="89" t="e">
        <f>#REF!</f>
        <v>#REF!</v>
      </c>
      <c r="AC337" s="89" t="e">
        <f>#REF!</f>
        <v>#REF!</v>
      </c>
      <c r="AD337" s="89" t="e">
        <f>#REF!</f>
        <v>#REF!</v>
      </c>
      <c r="AE337" s="89" t="e">
        <f>#REF!</f>
        <v>#REF!</v>
      </c>
      <c r="AF337" s="89" t="e">
        <f>#REF!</f>
        <v>#REF!</v>
      </c>
      <c r="AG337" s="89" t="e">
        <f>#REF!</f>
        <v>#REF!</v>
      </c>
      <c r="AH337" s="89" t="e">
        <f>#REF!</f>
        <v>#REF!</v>
      </c>
      <c r="AI337" s="89" t="e">
        <f>#REF!</f>
        <v>#REF!</v>
      </c>
      <c r="AJ337" s="89" t="e">
        <f>#REF!</f>
        <v>#REF!</v>
      </c>
      <c r="AK337" s="89" t="e">
        <f>#REF!</f>
        <v>#REF!</v>
      </c>
      <c r="AL337" s="89" t="e">
        <f>#REF!</f>
        <v>#REF!</v>
      </c>
      <c r="AM337" s="89" t="e">
        <f>#REF!</f>
        <v>#REF!</v>
      </c>
      <c r="AN337" s="89" t="e">
        <f>#REF!</f>
        <v>#REF!</v>
      </c>
      <c r="AO337" s="89" t="e">
        <f>#REF!</f>
        <v>#REF!</v>
      </c>
      <c r="AP337" s="89" t="e">
        <f>#REF!</f>
        <v>#REF!</v>
      </c>
      <c r="AQ337" s="89" t="e">
        <f>#REF!</f>
        <v>#REF!</v>
      </c>
      <c r="AR337" s="89" t="e">
        <f>#REF!</f>
        <v>#REF!</v>
      </c>
      <c r="AS337" s="89" t="e">
        <f>#REF!</f>
        <v>#REF!</v>
      </c>
      <c r="AT337" s="89" t="e">
        <f>#REF!</f>
        <v>#REF!</v>
      </c>
      <c r="AU337" s="89" t="e">
        <f>#REF!</f>
        <v>#REF!</v>
      </c>
      <c r="AV337" s="89" t="e">
        <f>#REF!</f>
        <v>#REF!</v>
      </c>
      <c r="AW337" s="89" t="e">
        <f>#REF!</f>
        <v>#REF!</v>
      </c>
      <c r="AX337" s="89" t="e">
        <f>#REF!</f>
        <v>#REF!</v>
      </c>
      <c r="AY337" s="89" t="e">
        <f>#REF!</f>
        <v>#REF!</v>
      </c>
      <c r="AZ337" s="89" t="e">
        <f>#REF!</f>
        <v>#REF!</v>
      </c>
      <c r="BA337" s="89" t="e">
        <f>#REF!</f>
        <v>#REF!</v>
      </c>
      <c r="BB337" s="89" t="e">
        <f>#REF!</f>
        <v>#REF!</v>
      </c>
      <c r="BC337" s="89" t="e">
        <f>#REF!</f>
        <v>#REF!</v>
      </c>
      <c r="BD337" s="89" t="e">
        <f>#REF!</f>
        <v>#REF!</v>
      </c>
      <c r="BE337" s="89" t="e">
        <f>#REF!</f>
        <v>#REF!</v>
      </c>
      <c r="BF337" s="89" t="e">
        <f>#REF!</f>
        <v>#REF!</v>
      </c>
    </row>
    <row r="338" spans="9:58" x14ac:dyDescent="0.25">
      <c r="I338" s="89">
        <f>ABCD!J387</f>
        <v>83.5</v>
      </c>
      <c r="J338" s="89">
        <f>ABCD!K387</f>
        <v>273.88</v>
      </c>
      <c r="K338" s="89">
        <f>ABCD!L387</f>
        <v>-6.0059636355780448</v>
      </c>
      <c r="L338" s="89">
        <f>ABCD!M387</f>
        <v>-1.1000213595150163</v>
      </c>
      <c r="M338" s="89">
        <f>ABCD!N387</f>
        <v>6.1058698138164642</v>
      </c>
      <c r="N338" s="89" t="e">
        <v>#REF!</v>
      </c>
      <c r="O338" s="89" t="e">
        <v>#REF!</v>
      </c>
      <c r="P338" s="89" t="e">
        <v>#REF!</v>
      </c>
      <c r="Q338" s="89" t="e">
        <v>#REF!</v>
      </c>
      <c r="R338" s="89" t="e">
        <v>#REF!</v>
      </c>
      <c r="S338" s="89" t="e">
        <f>#REF!</f>
        <v>#REF!</v>
      </c>
      <c r="T338" s="89" t="e">
        <f>#REF!</f>
        <v>#REF!</v>
      </c>
      <c r="U338" s="89" t="e">
        <f>#REF!</f>
        <v>#REF!</v>
      </c>
      <c r="V338" s="89" t="e">
        <f>#REF!</f>
        <v>#REF!</v>
      </c>
      <c r="W338" s="89" t="e">
        <f>#REF!</f>
        <v>#REF!</v>
      </c>
      <c r="X338" s="89" t="e">
        <f>#REF!</f>
        <v>#REF!</v>
      </c>
      <c r="Y338" s="89" t="e">
        <f>#REF!</f>
        <v>#REF!</v>
      </c>
      <c r="Z338" s="89" t="e">
        <f>#REF!</f>
        <v>#REF!</v>
      </c>
      <c r="AA338" s="89" t="e">
        <f>#REF!</f>
        <v>#REF!</v>
      </c>
      <c r="AB338" s="89" t="e">
        <f>#REF!</f>
        <v>#REF!</v>
      </c>
      <c r="AC338" s="89" t="e">
        <f>#REF!</f>
        <v>#REF!</v>
      </c>
      <c r="AD338" s="89" t="e">
        <f>#REF!</f>
        <v>#REF!</v>
      </c>
      <c r="AE338" s="89" t="e">
        <f>#REF!</f>
        <v>#REF!</v>
      </c>
      <c r="AF338" s="89" t="e">
        <f>#REF!</f>
        <v>#REF!</v>
      </c>
      <c r="AG338" s="89" t="e">
        <f>#REF!</f>
        <v>#REF!</v>
      </c>
      <c r="AH338" s="89" t="e">
        <f>#REF!</f>
        <v>#REF!</v>
      </c>
      <c r="AI338" s="89" t="e">
        <f>#REF!</f>
        <v>#REF!</v>
      </c>
      <c r="AJ338" s="89" t="e">
        <f>#REF!</f>
        <v>#REF!</v>
      </c>
      <c r="AK338" s="89" t="e">
        <f>#REF!</f>
        <v>#REF!</v>
      </c>
      <c r="AL338" s="89" t="e">
        <f>#REF!</f>
        <v>#REF!</v>
      </c>
      <c r="AM338" s="89" t="e">
        <f>#REF!</f>
        <v>#REF!</v>
      </c>
      <c r="AN338" s="89" t="e">
        <f>#REF!</f>
        <v>#REF!</v>
      </c>
      <c r="AO338" s="89" t="e">
        <f>#REF!</f>
        <v>#REF!</v>
      </c>
      <c r="AP338" s="89" t="e">
        <f>#REF!</f>
        <v>#REF!</v>
      </c>
      <c r="AQ338" s="89" t="e">
        <f>#REF!</f>
        <v>#REF!</v>
      </c>
      <c r="AR338" s="89" t="e">
        <f>#REF!</f>
        <v>#REF!</v>
      </c>
      <c r="AS338" s="89" t="e">
        <f>#REF!</f>
        <v>#REF!</v>
      </c>
      <c r="AT338" s="89" t="e">
        <f>#REF!</f>
        <v>#REF!</v>
      </c>
      <c r="AU338" s="89" t="e">
        <f>#REF!</f>
        <v>#REF!</v>
      </c>
      <c r="AV338" s="89" t="e">
        <f>#REF!</f>
        <v>#REF!</v>
      </c>
      <c r="AW338" s="89" t="e">
        <f>#REF!</f>
        <v>#REF!</v>
      </c>
      <c r="AX338" s="89" t="e">
        <f>#REF!</f>
        <v>#REF!</v>
      </c>
      <c r="AY338" s="89" t="e">
        <f>#REF!</f>
        <v>#REF!</v>
      </c>
      <c r="AZ338" s="89" t="e">
        <f>#REF!</f>
        <v>#REF!</v>
      </c>
      <c r="BA338" s="89" t="e">
        <f>#REF!</f>
        <v>#REF!</v>
      </c>
      <c r="BB338" s="89" t="e">
        <f>#REF!</f>
        <v>#REF!</v>
      </c>
      <c r="BC338" s="89" t="e">
        <f>#REF!</f>
        <v>#REF!</v>
      </c>
      <c r="BD338" s="89" t="e">
        <f>#REF!</f>
        <v>#REF!</v>
      </c>
      <c r="BE338" s="89" t="e">
        <f>#REF!</f>
        <v>#REF!</v>
      </c>
      <c r="BF338" s="89" t="e">
        <f>#REF!</f>
        <v>#REF!</v>
      </c>
    </row>
    <row r="339" spans="9:58" x14ac:dyDescent="0.25">
      <c r="I339" s="89">
        <f>ABCD!J388</f>
        <v>83.75</v>
      </c>
      <c r="J339" s="89">
        <f>ABCD!K388</f>
        <v>274.7</v>
      </c>
      <c r="K339" s="89">
        <f>ABCD!L388</f>
        <v>-5.991144073359429</v>
      </c>
      <c r="L339" s="89">
        <f>ABCD!M388</f>
        <v>-1.0981587585899792</v>
      </c>
      <c r="M339" s="89">
        <f>ABCD!N388</f>
        <v>6.0909572291075635</v>
      </c>
      <c r="N339" s="89" t="e">
        <v>#REF!</v>
      </c>
      <c r="O339" s="89" t="e">
        <v>#REF!</v>
      </c>
      <c r="P339" s="89" t="e">
        <v>#REF!</v>
      </c>
      <c r="Q339" s="89" t="e">
        <v>#REF!</v>
      </c>
      <c r="R339" s="89" t="e">
        <v>#REF!</v>
      </c>
      <c r="S339" s="89" t="e">
        <f>#REF!</f>
        <v>#REF!</v>
      </c>
      <c r="T339" s="89" t="e">
        <f>#REF!</f>
        <v>#REF!</v>
      </c>
      <c r="U339" s="89" t="e">
        <f>#REF!</f>
        <v>#REF!</v>
      </c>
      <c r="V339" s="89" t="e">
        <f>#REF!</f>
        <v>#REF!</v>
      </c>
      <c r="W339" s="89" t="e">
        <f>#REF!</f>
        <v>#REF!</v>
      </c>
      <c r="X339" s="89" t="e">
        <f>#REF!</f>
        <v>#REF!</v>
      </c>
      <c r="Y339" s="89" t="e">
        <f>#REF!</f>
        <v>#REF!</v>
      </c>
      <c r="Z339" s="89" t="e">
        <f>#REF!</f>
        <v>#REF!</v>
      </c>
      <c r="AA339" s="89" t="e">
        <f>#REF!</f>
        <v>#REF!</v>
      </c>
      <c r="AB339" s="89" t="e">
        <f>#REF!</f>
        <v>#REF!</v>
      </c>
      <c r="AC339" s="89" t="e">
        <f>#REF!</f>
        <v>#REF!</v>
      </c>
      <c r="AD339" s="89" t="e">
        <f>#REF!</f>
        <v>#REF!</v>
      </c>
      <c r="AE339" s="89" t="e">
        <f>#REF!</f>
        <v>#REF!</v>
      </c>
      <c r="AF339" s="89" t="e">
        <f>#REF!</f>
        <v>#REF!</v>
      </c>
      <c r="AG339" s="89" t="e">
        <f>#REF!</f>
        <v>#REF!</v>
      </c>
      <c r="AH339" s="89" t="e">
        <f>#REF!</f>
        <v>#REF!</v>
      </c>
      <c r="AI339" s="89" t="e">
        <f>#REF!</f>
        <v>#REF!</v>
      </c>
      <c r="AJ339" s="89" t="e">
        <f>#REF!</f>
        <v>#REF!</v>
      </c>
      <c r="AK339" s="89" t="e">
        <f>#REF!</f>
        <v>#REF!</v>
      </c>
      <c r="AL339" s="89" t="e">
        <f>#REF!</f>
        <v>#REF!</v>
      </c>
      <c r="AM339" s="89" t="e">
        <f>#REF!</f>
        <v>#REF!</v>
      </c>
      <c r="AN339" s="89" t="e">
        <f>#REF!</f>
        <v>#REF!</v>
      </c>
      <c r="AO339" s="89" t="e">
        <f>#REF!</f>
        <v>#REF!</v>
      </c>
      <c r="AP339" s="89" t="e">
        <f>#REF!</f>
        <v>#REF!</v>
      </c>
      <c r="AQ339" s="89" t="e">
        <f>#REF!</f>
        <v>#REF!</v>
      </c>
      <c r="AR339" s="89" t="e">
        <f>#REF!</f>
        <v>#REF!</v>
      </c>
      <c r="AS339" s="89" t="e">
        <f>#REF!</f>
        <v>#REF!</v>
      </c>
      <c r="AT339" s="89" t="e">
        <f>#REF!</f>
        <v>#REF!</v>
      </c>
      <c r="AU339" s="89" t="e">
        <f>#REF!</f>
        <v>#REF!</v>
      </c>
      <c r="AV339" s="89" t="e">
        <f>#REF!</f>
        <v>#REF!</v>
      </c>
      <c r="AW339" s="89" t="e">
        <f>#REF!</f>
        <v>#REF!</v>
      </c>
      <c r="AX339" s="89" t="e">
        <f>#REF!</f>
        <v>#REF!</v>
      </c>
      <c r="AY339" s="89" t="e">
        <f>#REF!</f>
        <v>#REF!</v>
      </c>
      <c r="AZ339" s="89" t="e">
        <f>#REF!</f>
        <v>#REF!</v>
      </c>
      <c r="BA339" s="89" t="e">
        <f>#REF!</f>
        <v>#REF!</v>
      </c>
      <c r="BB339" s="89" t="e">
        <f>#REF!</f>
        <v>#REF!</v>
      </c>
      <c r="BC339" s="89" t="e">
        <f>#REF!</f>
        <v>#REF!</v>
      </c>
      <c r="BD339" s="89" t="e">
        <f>#REF!</f>
        <v>#REF!</v>
      </c>
      <c r="BE339" s="89" t="e">
        <f>#REF!</f>
        <v>#REF!</v>
      </c>
      <c r="BF339" s="89" t="e">
        <f>#REF!</f>
        <v>#REF!</v>
      </c>
    </row>
    <row r="340" spans="9:58" x14ac:dyDescent="0.25">
      <c r="I340" s="89">
        <f>ABCD!J389</f>
        <v>84</v>
      </c>
      <c r="J340" s="89">
        <f>ABCD!K389</f>
        <v>275.52</v>
      </c>
      <c r="K340" s="89">
        <f>ABCD!L389</f>
        <v>-5.9749548406045951</v>
      </c>
      <c r="L340" s="89">
        <f>ABCD!M389</f>
        <v>-1.0960443331026131</v>
      </c>
      <c r="M340" s="89">
        <f>ABCD!N389</f>
        <v>6.0746521322122335</v>
      </c>
      <c r="N340" s="89" t="e">
        <v>#REF!</v>
      </c>
      <c r="O340" s="89" t="e">
        <v>#REF!</v>
      </c>
      <c r="P340" s="89" t="e">
        <v>#REF!</v>
      </c>
      <c r="Q340" s="89" t="e">
        <v>#REF!</v>
      </c>
      <c r="R340" s="89" t="e">
        <v>#REF!</v>
      </c>
      <c r="S340" s="89" t="e">
        <f>#REF!</f>
        <v>#REF!</v>
      </c>
      <c r="T340" s="89" t="e">
        <f>#REF!</f>
        <v>#REF!</v>
      </c>
      <c r="U340" s="89" t="e">
        <f>#REF!</f>
        <v>#REF!</v>
      </c>
      <c r="V340" s="89" t="e">
        <f>#REF!</f>
        <v>#REF!</v>
      </c>
      <c r="W340" s="89" t="e">
        <f>#REF!</f>
        <v>#REF!</v>
      </c>
      <c r="X340" s="89" t="e">
        <f>#REF!</f>
        <v>#REF!</v>
      </c>
      <c r="Y340" s="89" t="e">
        <f>#REF!</f>
        <v>#REF!</v>
      </c>
      <c r="Z340" s="89" t="e">
        <f>#REF!</f>
        <v>#REF!</v>
      </c>
      <c r="AA340" s="89" t="e">
        <f>#REF!</f>
        <v>#REF!</v>
      </c>
      <c r="AB340" s="89" t="e">
        <f>#REF!</f>
        <v>#REF!</v>
      </c>
      <c r="AC340" s="89" t="e">
        <f>#REF!</f>
        <v>#REF!</v>
      </c>
      <c r="AD340" s="89" t="e">
        <f>#REF!</f>
        <v>#REF!</v>
      </c>
      <c r="AE340" s="89" t="e">
        <f>#REF!</f>
        <v>#REF!</v>
      </c>
      <c r="AF340" s="89" t="e">
        <f>#REF!</f>
        <v>#REF!</v>
      </c>
      <c r="AG340" s="89" t="e">
        <f>#REF!</f>
        <v>#REF!</v>
      </c>
      <c r="AH340" s="89" t="e">
        <f>#REF!</f>
        <v>#REF!</v>
      </c>
      <c r="AI340" s="89" t="e">
        <f>#REF!</f>
        <v>#REF!</v>
      </c>
      <c r="AJ340" s="89" t="e">
        <f>#REF!</f>
        <v>#REF!</v>
      </c>
      <c r="AK340" s="89" t="e">
        <f>#REF!</f>
        <v>#REF!</v>
      </c>
      <c r="AL340" s="89" t="e">
        <f>#REF!</f>
        <v>#REF!</v>
      </c>
      <c r="AM340" s="89" t="e">
        <f>#REF!</f>
        <v>#REF!</v>
      </c>
      <c r="AN340" s="89" t="e">
        <f>#REF!</f>
        <v>#REF!</v>
      </c>
      <c r="AO340" s="89" t="e">
        <f>#REF!</f>
        <v>#REF!</v>
      </c>
      <c r="AP340" s="89" t="e">
        <f>#REF!</f>
        <v>#REF!</v>
      </c>
      <c r="AQ340" s="89" t="e">
        <f>#REF!</f>
        <v>#REF!</v>
      </c>
      <c r="AR340" s="89" t="e">
        <f>#REF!</f>
        <v>#REF!</v>
      </c>
      <c r="AS340" s="89" t="e">
        <f>#REF!</f>
        <v>#REF!</v>
      </c>
      <c r="AT340" s="89" t="e">
        <f>#REF!</f>
        <v>#REF!</v>
      </c>
      <c r="AU340" s="89" t="e">
        <f>#REF!</f>
        <v>#REF!</v>
      </c>
      <c r="AV340" s="89" t="e">
        <f>#REF!</f>
        <v>#REF!</v>
      </c>
      <c r="AW340" s="89" t="e">
        <f>#REF!</f>
        <v>#REF!</v>
      </c>
      <c r="AX340" s="89" t="e">
        <f>#REF!</f>
        <v>#REF!</v>
      </c>
      <c r="AY340" s="89" t="e">
        <f>#REF!</f>
        <v>#REF!</v>
      </c>
      <c r="AZ340" s="89" t="e">
        <f>#REF!</f>
        <v>#REF!</v>
      </c>
      <c r="BA340" s="89" t="e">
        <f>#REF!</f>
        <v>#REF!</v>
      </c>
      <c r="BB340" s="89" t="e">
        <f>#REF!</f>
        <v>#REF!</v>
      </c>
      <c r="BC340" s="89" t="e">
        <f>#REF!</f>
        <v>#REF!</v>
      </c>
      <c r="BD340" s="89" t="e">
        <f>#REF!</f>
        <v>#REF!</v>
      </c>
      <c r="BE340" s="89" t="e">
        <f>#REF!</f>
        <v>#REF!</v>
      </c>
      <c r="BF340" s="89" t="e">
        <f>#REF!</f>
        <v>#REF!</v>
      </c>
    </row>
    <row r="341" spans="9:58" x14ac:dyDescent="0.25">
      <c r="I341" s="89">
        <f>ABCD!J390</f>
        <v>84.25</v>
      </c>
      <c r="J341" s="89">
        <f>ABCD!K390</f>
        <v>276.33999999999997</v>
      </c>
      <c r="K341" s="89">
        <f>ABCD!L390</f>
        <v>-5.9574009066023796</v>
      </c>
      <c r="L341" s="89">
        <f>ABCD!M390</f>
        <v>-1.0936787976893185</v>
      </c>
      <c r="M341" s="89">
        <f>ABCD!N390</f>
        <v>6.0569595404379255</v>
      </c>
      <c r="N341" s="89" t="e">
        <v>#REF!</v>
      </c>
      <c r="O341" s="89" t="e">
        <v>#REF!</v>
      </c>
      <c r="P341" s="89" t="e">
        <v>#REF!</v>
      </c>
      <c r="Q341" s="89" t="e">
        <v>#REF!</v>
      </c>
      <c r="R341" s="89" t="e">
        <v>#REF!</v>
      </c>
      <c r="S341" s="89" t="e">
        <f>#REF!</f>
        <v>#REF!</v>
      </c>
      <c r="T341" s="89" t="e">
        <f>#REF!</f>
        <v>#REF!</v>
      </c>
      <c r="U341" s="89" t="e">
        <f>#REF!</f>
        <v>#REF!</v>
      </c>
      <c r="V341" s="89" t="e">
        <f>#REF!</f>
        <v>#REF!</v>
      </c>
      <c r="W341" s="89" t="e">
        <f>#REF!</f>
        <v>#REF!</v>
      </c>
      <c r="X341" s="89" t="e">
        <f>#REF!</f>
        <v>#REF!</v>
      </c>
      <c r="Y341" s="89" t="e">
        <f>#REF!</f>
        <v>#REF!</v>
      </c>
      <c r="Z341" s="89" t="e">
        <f>#REF!</f>
        <v>#REF!</v>
      </c>
      <c r="AA341" s="89" t="e">
        <f>#REF!</f>
        <v>#REF!</v>
      </c>
      <c r="AB341" s="89" t="e">
        <f>#REF!</f>
        <v>#REF!</v>
      </c>
      <c r="AC341" s="89" t="e">
        <f>#REF!</f>
        <v>#REF!</v>
      </c>
      <c r="AD341" s="89" t="e">
        <f>#REF!</f>
        <v>#REF!</v>
      </c>
      <c r="AE341" s="89" t="e">
        <f>#REF!</f>
        <v>#REF!</v>
      </c>
      <c r="AF341" s="89" t="e">
        <f>#REF!</f>
        <v>#REF!</v>
      </c>
      <c r="AG341" s="89" t="e">
        <f>#REF!</f>
        <v>#REF!</v>
      </c>
      <c r="AH341" s="89" t="e">
        <f>#REF!</f>
        <v>#REF!</v>
      </c>
      <c r="AI341" s="89" t="e">
        <f>#REF!</f>
        <v>#REF!</v>
      </c>
      <c r="AJ341" s="89" t="e">
        <f>#REF!</f>
        <v>#REF!</v>
      </c>
      <c r="AK341" s="89" t="e">
        <f>#REF!</f>
        <v>#REF!</v>
      </c>
      <c r="AL341" s="89" t="e">
        <f>#REF!</f>
        <v>#REF!</v>
      </c>
      <c r="AM341" s="89" t="e">
        <f>#REF!</f>
        <v>#REF!</v>
      </c>
      <c r="AN341" s="89" t="e">
        <f>#REF!</f>
        <v>#REF!</v>
      </c>
      <c r="AO341" s="89" t="e">
        <f>#REF!</f>
        <v>#REF!</v>
      </c>
      <c r="AP341" s="89" t="e">
        <f>#REF!</f>
        <v>#REF!</v>
      </c>
      <c r="AQ341" s="89" t="e">
        <f>#REF!</f>
        <v>#REF!</v>
      </c>
      <c r="AR341" s="89" t="e">
        <f>#REF!</f>
        <v>#REF!</v>
      </c>
      <c r="AS341" s="89" t="e">
        <f>#REF!</f>
        <v>#REF!</v>
      </c>
      <c r="AT341" s="89" t="e">
        <f>#REF!</f>
        <v>#REF!</v>
      </c>
      <c r="AU341" s="89" t="e">
        <f>#REF!</f>
        <v>#REF!</v>
      </c>
      <c r="AV341" s="89" t="e">
        <f>#REF!</f>
        <v>#REF!</v>
      </c>
      <c r="AW341" s="89" t="e">
        <f>#REF!</f>
        <v>#REF!</v>
      </c>
      <c r="AX341" s="89" t="e">
        <f>#REF!</f>
        <v>#REF!</v>
      </c>
      <c r="AY341" s="89" t="e">
        <f>#REF!</f>
        <v>#REF!</v>
      </c>
      <c r="AZ341" s="89" t="e">
        <f>#REF!</f>
        <v>#REF!</v>
      </c>
      <c r="BA341" s="89" t="e">
        <f>#REF!</f>
        <v>#REF!</v>
      </c>
      <c r="BB341" s="89" t="e">
        <f>#REF!</f>
        <v>#REF!</v>
      </c>
      <c r="BC341" s="89" t="e">
        <f>#REF!</f>
        <v>#REF!</v>
      </c>
      <c r="BD341" s="89" t="e">
        <f>#REF!</f>
        <v>#REF!</v>
      </c>
      <c r="BE341" s="89" t="e">
        <f>#REF!</f>
        <v>#REF!</v>
      </c>
      <c r="BF341" s="89" t="e">
        <f>#REF!</f>
        <v>#REF!</v>
      </c>
    </row>
    <row r="342" spans="9:58" x14ac:dyDescent="0.25">
      <c r="I342" s="89">
        <f>ABCD!J391</f>
        <v>84.5</v>
      </c>
      <c r="J342" s="89">
        <f>ABCD!K391</f>
        <v>277.15999999999997</v>
      </c>
      <c r="K342" s="89">
        <f>ABCD!L391</f>
        <v>-5.9384875512003745</v>
      </c>
      <c r="L342" s="89">
        <f>ABCD!M391</f>
        <v>-1.0910629243101</v>
      </c>
      <c r="M342" s="89">
        <f>ABCD!N391</f>
        <v>6.0378847869569299</v>
      </c>
      <c r="N342" s="89" t="e">
        <v>#REF!</v>
      </c>
      <c r="O342" s="89" t="e">
        <v>#REF!</v>
      </c>
      <c r="P342" s="89" t="e">
        <v>#REF!</v>
      </c>
      <c r="Q342" s="89" t="e">
        <v>#REF!</v>
      </c>
      <c r="R342" s="89" t="e">
        <v>#REF!</v>
      </c>
      <c r="S342" s="89" t="e">
        <f>#REF!</f>
        <v>#REF!</v>
      </c>
      <c r="T342" s="89" t="e">
        <f>#REF!</f>
        <v>#REF!</v>
      </c>
      <c r="U342" s="89" t="e">
        <f>#REF!</f>
        <v>#REF!</v>
      </c>
      <c r="V342" s="89" t="e">
        <f>#REF!</f>
        <v>#REF!</v>
      </c>
      <c r="W342" s="89" t="e">
        <f>#REF!</f>
        <v>#REF!</v>
      </c>
      <c r="X342" s="89" t="e">
        <f>#REF!</f>
        <v>#REF!</v>
      </c>
      <c r="Y342" s="89" t="e">
        <f>#REF!</f>
        <v>#REF!</v>
      </c>
      <c r="Z342" s="89" t="e">
        <f>#REF!</f>
        <v>#REF!</v>
      </c>
      <c r="AA342" s="89" t="e">
        <f>#REF!</f>
        <v>#REF!</v>
      </c>
      <c r="AB342" s="89" t="e">
        <f>#REF!</f>
        <v>#REF!</v>
      </c>
      <c r="AC342" s="89" t="e">
        <f>#REF!</f>
        <v>#REF!</v>
      </c>
      <c r="AD342" s="89" t="e">
        <f>#REF!</f>
        <v>#REF!</v>
      </c>
      <c r="AE342" s="89" t="e">
        <f>#REF!</f>
        <v>#REF!</v>
      </c>
      <c r="AF342" s="89" t="e">
        <f>#REF!</f>
        <v>#REF!</v>
      </c>
      <c r="AG342" s="89" t="e">
        <f>#REF!</f>
        <v>#REF!</v>
      </c>
      <c r="AH342" s="89" t="e">
        <f>#REF!</f>
        <v>#REF!</v>
      </c>
      <c r="AI342" s="89" t="e">
        <f>#REF!</f>
        <v>#REF!</v>
      </c>
      <c r="AJ342" s="89" t="e">
        <f>#REF!</f>
        <v>#REF!</v>
      </c>
      <c r="AK342" s="89" t="e">
        <f>#REF!</f>
        <v>#REF!</v>
      </c>
      <c r="AL342" s="89" t="e">
        <f>#REF!</f>
        <v>#REF!</v>
      </c>
      <c r="AM342" s="89" t="e">
        <f>#REF!</f>
        <v>#REF!</v>
      </c>
      <c r="AN342" s="89" t="e">
        <f>#REF!</f>
        <v>#REF!</v>
      </c>
      <c r="AO342" s="89" t="e">
        <f>#REF!</f>
        <v>#REF!</v>
      </c>
      <c r="AP342" s="89" t="e">
        <f>#REF!</f>
        <v>#REF!</v>
      </c>
      <c r="AQ342" s="89" t="e">
        <f>#REF!</f>
        <v>#REF!</v>
      </c>
      <c r="AR342" s="89" t="e">
        <f>#REF!</f>
        <v>#REF!</v>
      </c>
      <c r="AS342" s="89" t="e">
        <f>#REF!</f>
        <v>#REF!</v>
      </c>
      <c r="AT342" s="89" t="e">
        <f>#REF!</f>
        <v>#REF!</v>
      </c>
      <c r="AU342" s="89" t="e">
        <f>#REF!</f>
        <v>#REF!</v>
      </c>
      <c r="AV342" s="89" t="e">
        <f>#REF!</f>
        <v>#REF!</v>
      </c>
      <c r="AW342" s="89" t="e">
        <f>#REF!</f>
        <v>#REF!</v>
      </c>
      <c r="AX342" s="89" t="e">
        <f>#REF!</f>
        <v>#REF!</v>
      </c>
      <c r="AY342" s="89" t="e">
        <f>#REF!</f>
        <v>#REF!</v>
      </c>
      <c r="AZ342" s="89" t="e">
        <f>#REF!</f>
        <v>#REF!</v>
      </c>
      <c r="BA342" s="89" t="e">
        <f>#REF!</f>
        <v>#REF!</v>
      </c>
      <c r="BB342" s="89" t="e">
        <f>#REF!</f>
        <v>#REF!</v>
      </c>
      <c r="BC342" s="89" t="e">
        <f>#REF!</f>
        <v>#REF!</v>
      </c>
      <c r="BD342" s="89" t="e">
        <f>#REF!</f>
        <v>#REF!</v>
      </c>
      <c r="BE342" s="89" t="e">
        <f>#REF!</f>
        <v>#REF!</v>
      </c>
      <c r="BF342" s="89" t="e">
        <f>#REF!</f>
        <v>#REF!</v>
      </c>
    </row>
    <row r="343" spans="9:58" x14ac:dyDescent="0.25">
      <c r="I343" s="89">
        <f>ABCD!J392</f>
        <v>84.75</v>
      </c>
      <c r="J343" s="89">
        <f>ABCD!K392</f>
        <v>277.97999999999996</v>
      </c>
      <c r="K343" s="89">
        <f>ABCD!L392</f>
        <v>-5.9182203633067401</v>
      </c>
      <c r="L343" s="89">
        <f>ABCD!M392</f>
        <v>-1.0881975420187944</v>
      </c>
      <c r="M343" s="89">
        <f>ABCD!N392</f>
        <v>6.01743351929328</v>
      </c>
      <c r="N343" s="89" t="e">
        <v>#REF!</v>
      </c>
      <c r="O343" s="89" t="e">
        <v>#REF!</v>
      </c>
      <c r="P343" s="89" t="e">
        <v>#REF!</v>
      </c>
      <c r="Q343" s="89" t="e">
        <v>#REF!</v>
      </c>
      <c r="R343" s="89" t="e">
        <v>#REF!</v>
      </c>
      <c r="S343" s="89" t="e">
        <f>#REF!</f>
        <v>#REF!</v>
      </c>
      <c r="T343" s="89" t="e">
        <f>#REF!</f>
        <v>#REF!</v>
      </c>
      <c r="U343" s="89" t="e">
        <f>#REF!</f>
        <v>#REF!</v>
      </c>
      <c r="V343" s="89" t="e">
        <f>#REF!</f>
        <v>#REF!</v>
      </c>
      <c r="W343" s="89" t="e">
        <f>#REF!</f>
        <v>#REF!</v>
      </c>
      <c r="X343" s="89" t="e">
        <f>#REF!</f>
        <v>#REF!</v>
      </c>
      <c r="Y343" s="89" t="e">
        <f>#REF!</f>
        <v>#REF!</v>
      </c>
      <c r="Z343" s="89" t="e">
        <f>#REF!</f>
        <v>#REF!</v>
      </c>
      <c r="AA343" s="89" t="e">
        <f>#REF!</f>
        <v>#REF!</v>
      </c>
      <c r="AB343" s="89" t="e">
        <f>#REF!</f>
        <v>#REF!</v>
      </c>
      <c r="AC343" s="89" t="e">
        <f>#REF!</f>
        <v>#REF!</v>
      </c>
      <c r="AD343" s="89" t="e">
        <f>#REF!</f>
        <v>#REF!</v>
      </c>
      <c r="AE343" s="89" t="e">
        <f>#REF!</f>
        <v>#REF!</v>
      </c>
      <c r="AF343" s="89" t="e">
        <f>#REF!</f>
        <v>#REF!</v>
      </c>
      <c r="AG343" s="89" t="e">
        <f>#REF!</f>
        <v>#REF!</v>
      </c>
      <c r="AH343" s="89" t="e">
        <f>#REF!</f>
        <v>#REF!</v>
      </c>
      <c r="AI343" s="89" t="e">
        <f>#REF!</f>
        <v>#REF!</v>
      </c>
      <c r="AJ343" s="89" t="e">
        <f>#REF!</f>
        <v>#REF!</v>
      </c>
      <c r="AK343" s="89" t="e">
        <f>#REF!</f>
        <v>#REF!</v>
      </c>
      <c r="AL343" s="89" t="e">
        <f>#REF!</f>
        <v>#REF!</v>
      </c>
      <c r="AM343" s="89" t="e">
        <f>#REF!</f>
        <v>#REF!</v>
      </c>
      <c r="AN343" s="89" t="e">
        <f>#REF!</f>
        <v>#REF!</v>
      </c>
      <c r="AO343" s="89" t="e">
        <f>#REF!</f>
        <v>#REF!</v>
      </c>
      <c r="AP343" s="89" t="e">
        <f>#REF!</f>
        <v>#REF!</v>
      </c>
      <c r="AQ343" s="89" t="e">
        <f>#REF!</f>
        <v>#REF!</v>
      </c>
      <c r="AR343" s="89" t="e">
        <f>#REF!</f>
        <v>#REF!</v>
      </c>
      <c r="AS343" s="89" t="e">
        <f>#REF!</f>
        <v>#REF!</v>
      </c>
      <c r="AT343" s="89" t="e">
        <f>#REF!</f>
        <v>#REF!</v>
      </c>
      <c r="AU343" s="89" t="e">
        <f>#REF!</f>
        <v>#REF!</v>
      </c>
      <c r="AV343" s="89" t="e">
        <f>#REF!</f>
        <v>#REF!</v>
      </c>
      <c r="AW343" s="89" t="e">
        <f>#REF!</f>
        <v>#REF!</v>
      </c>
      <c r="AX343" s="89" t="e">
        <f>#REF!</f>
        <v>#REF!</v>
      </c>
      <c r="AY343" s="89" t="e">
        <f>#REF!</f>
        <v>#REF!</v>
      </c>
      <c r="AZ343" s="89" t="e">
        <f>#REF!</f>
        <v>#REF!</v>
      </c>
      <c r="BA343" s="89" t="e">
        <f>#REF!</f>
        <v>#REF!</v>
      </c>
      <c r="BB343" s="89" t="e">
        <f>#REF!</f>
        <v>#REF!</v>
      </c>
      <c r="BC343" s="89" t="e">
        <f>#REF!</f>
        <v>#REF!</v>
      </c>
      <c r="BD343" s="89" t="e">
        <f>#REF!</f>
        <v>#REF!</v>
      </c>
      <c r="BE343" s="89" t="e">
        <f>#REF!</f>
        <v>#REF!</v>
      </c>
      <c r="BF343" s="89" t="e">
        <f>#REF!</f>
        <v>#REF!</v>
      </c>
    </row>
    <row r="344" spans="9:58" x14ac:dyDescent="0.25">
      <c r="I344" s="89">
        <f>ABCD!J393</f>
        <v>85</v>
      </c>
      <c r="J344" s="89">
        <f>ABCD!K393</f>
        <v>278.8</v>
      </c>
      <c r="K344" s="89">
        <f>ABCD!L393</f>
        <v>-5.8966052393220378</v>
      </c>
      <c r="L344" s="89">
        <f>ABCD!M393</f>
        <v>-1.0850835367203309</v>
      </c>
      <c r="M344" s="89">
        <f>ABCD!N393</f>
        <v>5.9956116977387399</v>
      </c>
      <c r="N344" s="89" t="e">
        <v>#REF!</v>
      </c>
      <c r="O344" s="89" t="e">
        <v>#REF!</v>
      </c>
      <c r="P344" s="89" t="e">
        <v>#REF!</v>
      </c>
      <c r="Q344" s="89" t="e">
        <v>#REF!</v>
      </c>
      <c r="R344" s="89" t="e">
        <v>#REF!</v>
      </c>
      <c r="S344" s="89" t="e">
        <f>#REF!</f>
        <v>#REF!</v>
      </c>
      <c r="T344" s="89" t="e">
        <f>#REF!</f>
        <v>#REF!</v>
      </c>
      <c r="U344" s="89" t="e">
        <f>#REF!</f>
        <v>#REF!</v>
      </c>
      <c r="V344" s="89" t="e">
        <f>#REF!</f>
        <v>#REF!</v>
      </c>
      <c r="W344" s="89" t="e">
        <f>#REF!</f>
        <v>#REF!</v>
      </c>
      <c r="X344" s="89" t="e">
        <f>#REF!</f>
        <v>#REF!</v>
      </c>
      <c r="Y344" s="89" t="e">
        <f>#REF!</f>
        <v>#REF!</v>
      </c>
      <c r="Z344" s="89" t="e">
        <f>#REF!</f>
        <v>#REF!</v>
      </c>
      <c r="AA344" s="89" t="e">
        <f>#REF!</f>
        <v>#REF!</v>
      </c>
      <c r="AB344" s="89" t="e">
        <f>#REF!</f>
        <v>#REF!</v>
      </c>
      <c r="AC344" s="89" t="e">
        <f>#REF!</f>
        <v>#REF!</v>
      </c>
      <c r="AD344" s="89" t="e">
        <f>#REF!</f>
        <v>#REF!</v>
      </c>
      <c r="AE344" s="89" t="e">
        <f>#REF!</f>
        <v>#REF!</v>
      </c>
      <c r="AF344" s="89" t="e">
        <f>#REF!</f>
        <v>#REF!</v>
      </c>
      <c r="AG344" s="89" t="e">
        <f>#REF!</f>
        <v>#REF!</v>
      </c>
      <c r="AH344" s="89" t="e">
        <f>#REF!</f>
        <v>#REF!</v>
      </c>
      <c r="AI344" s="89" t="e">
        <f>#REF!</f>
        <v>#REF!</v>
      </c>
      <c r="AJ344" s="89" t="e">
        <f>#REF!</f>
        <v>#REF!</v>
      </c>
      <c r="AK344" s="89" t="e">
        <f>#REF!</f>
        <v>#REF!</v>
      </c>
      <c r="AL344" s="89" t="e">
        <f>#REF!</f>
        <v>#REF!</v>
      </c>
      <c r="AM344" s="89" t="e">
        <f>#REF!</f>
        <v>#REF!</v>
      </c>
      <c r="AN344" s="89" t="e">
        <f>#REF!</f>
        <v>#REF!</v>
      </c>
      <c r="AO344" s="89" t="e">
        <f>#REF!</f>
        <v>#REF!</v>
      </c>
      <c r="AP344" s="89" t="e">
        <f>#REF!</f>
        <v>#REF!</v>
      </c>
      <c r="AQ344" s="89" t="e">
        <f>#REF!</f>
        <v>#REF!</v>
      </c>
      <c r="AR344" s="89" t="e">
        <f>#REF!</f>
        <v>#REF!</v>
      </c>
      <c r="AS344" s="89" t="e">
        <f>#REF!</f>
        <v>#REF!</v>
      </c>
      <c r="AT344" s="89" t="e">
        <f>#REF!</f>
        <v>#REF!</v>
      </c>
      <c r="AU344" s="89" t="e">
        <f>#REF!</f>
        <v>#REF!</v>
      </c>
      <c r="AV344" s="89" t="e">
        <f>#REF!</f>
        <v>#REF!</v>
      </c>
      <c r="AW344" s="89" t="e">
        <f>#REF!</f>
        <v>#REF!</v>
      </c>
      <c r="AX344" s="89" t="e">
        <f>#REF!</f>
        <v>#REF!</v>
      </c>
      <c r="AY344" s="89" t="e">
        <f>#REF!</f>
        <v>#REF!</v>
      </c>
      <c r="AZ344" s="89" t="e">
        <f>#REF!</f>
        <v>#REF!</v>
      </c>
      <c r="BA344" s="89" t="e">
        <f>#REF!</f>
        <v>#REF!</v>
      </c>
      <c r="BB344" s="89" t="e">
        <f>#REF!</f>
        <v>#REF!</v>
      </c>
      <c r="BC344" s="89" t="e">
        <f>#REF!</f>
        <v>#REF!</v>
      </c>
      <c r="BD344" s="89" t="e">
        <f>#REF!</f>
        <v>#REF!</v>
      </c>
      <c r="BE344" s="89" t="e">
        <f>#REF!</f>
        <v>#REF!</v>
      </c>
      <c r="BF344" s="89" t="e">
        <f>#REF!</f>
        <v>#REF!</v>
      </c>
    </row>
    <row r="345" spans="9:58" x14ac:dyDescent="0.25">
      <c r="I345" s="89">
        <f>ABCD!J394</f>
        <v>85.25</v>
      </c>
      <c r="J345" s="89">
        <f>ABCD!K394</f>
        <v>279.62</v>
      </c>
      <c r="K345" s="89">
        <f>ABCD!L394</f>
        <v>-5.8736483815014697</v>
      </c>
      <c r="L345" s="89">
        <f>ABCD!M394</f>
        <v>-1.0817218509150901</v>
      </c>
      <c r="M345" s="89">
        <f>ABCD!N394</f>
        <v>5.9724255936982598</v>
      </c>
      <c r="N345" s="89" t="e">
        <v>#REF!</v>
      </c>
      <c r="O345" s="89" t="e">
        <v>#REF!</v>
      </c>
      <c r="P345" s="89" t="e">
        <v>#REF!</v>
      </c>
      <c r="Q345" s="89" t="e">
        <v>#REF!</v>
      </c>
      <c r="R345" s="89" t="e">
        <v>#REF!</v>
      </c>
      <c r="S345" s="89" t="e">
        <f>#REF!</f>
        <v>#REF!</v>
      </c>
      <c r="T345" s="89" t="e">
        <f>#REF!</f>
        <v>#REF!</v>
      </c>
      <c r="U345" s="89" t="e">
        <f>#REF!</f>
        <v>#REF!</v>
      </c>
      <c r="V345" s="89" t="e">
        <f>#REF!</f>
        <v>#REF!</v>
      </c>
      <c r="W345" s="89" t="e">
        <f>#REF!</f>
        <v>#REF!</v>
      </c>
      <c r="X345" s="89" t="e">
        <f>#REF!</f>
        <v>#REF!</v>
      </c>
      <c r="Y345" s="89" t="e">
        <f>#REF!</f>
        <v>#REF!</v>
      </c>
      <c r="Z345" s="89" t="e">
        <f>#REF!</f>
        <v>#REF!</v>
      </c>
      <c r="AA345" s="89" t="e">
        <f>#REF!</f>
        <v>#REF!</v>
      </c>
      <c r="AB345" s="89" t="e">
        <f>#REF!</f>
        <v>#REF!</v>
      </c>
      <c r="AC345" s="89" t="e">
        <f>#REF!</f>
        <v>#REF!</v>
      </c>
      <c r="AD345" s="89" t="e">
        <f>#REF!</f>
        <v>#REF!</v>
      </c>
      <c r="AE345" s="89" t="e">
        <f>#REF!</f>
        <v>#REF!</v>
      </c>
      <c r="AF345" s="89" t="e">
        <f>#REF!</f>
        <v>#REF!</v>
      </c>
      <c r="AG345" s="89" t="e">
        <f>#REF!</f>
        <v>#REF!</v>
      </c>
      <c r="AH345" s="89" t="e">
        <f>#REF!</f>
        <v>#REF!</v>
      </c>
      <c r="AI345" s="89" t="e">
        <f>#REF!</f>
        <v>#REF!</v>
      </c>
      <c r="AJ345" s="89" t="e">
        <f>#REF!</f>
        <v>#REF!</v>
      </c>
      <c r="AK345" s="89" t="e">
        <f>#REF!</f>
        <v>#REF!</v>
      </c>
      <c r="AL345" s="89" t="e">
        <f>#REF!</f>
        <v>#REF!</v>
      </c>
      <c r="AM345" s="89" t="e">
        <f>#REF!</f>
        <v>#REF!</v>
      </c>
      <c r="AN345" s="89" t="e">
        <f>#REF!</f>
        <v>#REF!</v>
      </c>
      <c r="AO345" s="89" t="e">
        <f>#REF!</f>
        <v>#REF!</v>
      </c>
      <c r="AP345" s="89" t="e">
        <f>#REF!</f>
        <v>#REF!</v>
      </c>
      <c r="AQ345" s="89" t="e">
        <f>#REF!</f>
        <v>#REF!</v>
      </c>
      <c r="AR345" s="89" t="e">
        <f>#REF!</f>
        <v>#REF!</v>
      </c>
      <c r="AS345" s="89" t="e">
        <f>#REF!</f>
        <v>#REF!</v>
      </c>
      <c r="AT345" s="89" t="e">
        <f>#REF!</f>
        <v>#REF!</v>
      </c>
      <c r="AU345" s="89" t="e">
        <f>#REF!</f>
        <v>#REF!</v>
      </c>
      <c r="AV345" s="89" t="e">
        <f>#REF!</f>
        <v>#REF!</v>
      </c>
      <c r="AW345" s="89" t="e">
        <f>#REF!</f>
        <v>#REF!</v>
      </c>
      <c r="AX345" s="89" t="e">
        <f>#REF!</f>
        <v>#REF!</v>
      </c>
      <c r="AY345" s="89" t="e">
        <f>#REF!</f>
        <v>#REF!</v>
      </c>
      <c r="AZ345" s="89" t="e">
        <f>#REF!</f>
        <v>#REF!</v>
      </c>
      <c r="BA345" s="89" t="e">
        <f>#REF!</f>
        <v>#REF!</v>
      </c>
      <c r="BB345" s="89" t="e">
        <f>#REF!</f>
        <v>#REF!</v>
      </c>
      <c r="BC345" s="89" t="e">
        <f>#REF!</f>
        <v>#REF!</v>
      </c>
      <c r="BD345" s="89" t="e">
        <f>#REF!</f>
        <v>#REF!</v>
      </c>
      <c r="BE345" s="89" t="e">
        <f>#REF!</f>
        <v>#REF!</v>
      </c>
      <c r="BF345" s="89" t="e">
        <f>#REF!</f>
        <v>#REF!</v>
      </c>
    </row>
    <row r="346" spans="9:58" x14ac:dyDescent="0.25">
      <c r="I346" s="89">
        <f>ABCD!J395</f>
        <v>85.5</v>
      </c>
      <c r="J346" s="89">
        <f>ABCD!K395</f>
        <v>280.44</v>
      </c>
      <c r="K346" s="89">
        <f>ABCD!L395</f>
        <v>-5.8493562962479961</v>
      </c>
      <c r="L346" s="89">
        <f>ABCD!M395</f>
        <v>-1.0781134834304109</v>
      </c>
      <c r="M346" s="89">
        <f>ABCD!N395</f>
        <v>5.9478817879654038</v>
      </c>
      <c r="N346" s="89" t="e">
        <v>#REF!</v>
      </c>
      <c r="O346" s="89" t="e">
        <v>#REF!</v>
      </c>
      <c r="P346" s="89" t="e">
        <v>#REF!</v>
      </c>
      <c r="Q346" s="89" t="e">
        <v>#REF!</v>
      </c>
      <c r="R346" s="89" t="e">
        <v>#REF!</v>
      </c>
      <c r="S346" s="89" t="e">
        <f>#REF!</f>
        <v>#REF!</v>
      </c>
      <c r="T346" s="89" t="e">
        <f>#REF!</f>
        <v>#REF!</v>
      </c>
      <c r="U346" s="89" t="e">
        <f>#REF!</f>
        <v>#REF!</v>
      </c>
      <c r="V346" s="89" t="e">
        <f>#REF!</f>
        <v>#REF!</v>
      </c>
      <c r="W346" s="89" t="e">
        <f>#REF!</f>
        <v>#REF!</v>
      </c>
      <c r="X346" s="89" t="e">
        <f>#REF!</f>
        <v>#REF!</v>
      </c>
      <c r="Y346" s="89" t="e">
        <f>#REF!</f>
        <v>#REF!</v>
      </c>
      <c r="Z346" s="89" t="e">
        <f>#REF!</f>
        <v>#REF!</v>
      </c>
      <c r="AA346" s="89" t="e">
        <f>#REF!</f>
        <v>#REF!</v>
      </c>
      <c r="AB346" s="89" t="e">
        <f>#REF!</f>
        <v>#REF!</v>
      </c>
      <c r="AC346" s="89" t="e">
        <f>#REF!</f>
        <v>#REF!</v>
      </c>
      <c r="AD346" s="89" t="e">
        <f>#REF!</f>
        <v>#REF!</v>
      </c>
      <c r="AE346" s="89" t="e">
        <f>#REF!</f>
        <v>#REF!</v>
      </c>
      <c r="AF346" s="89" t="e">
        <f>#REF!</f>
        <v>#REF!</v>
      </c>
      <c r="AG346" s="89" t="e">
        <f>#REF!</f>
        <v>#REF!</v>
      </c>
      <c r="AH346" s="89" t="e">
        <f>#REF!</f>
        <v>#REF!</v>
      </c>
      <c r="AI346" s="89" t="e">
        <f>#REF!</f>
        <v>#REF!</v>
      </c>
      <c r="AJ346" s="89" t="e">
        <f>#REF!</f>
        <v>#REF!</v>
      </c>
      <c r="AK346" s="89" t="e">
        <f>#REF!</f>
        <v>#REF!</v>
      </c>
      <c r="AL346" s="89" t="e">
        <f>#REF!</f>
        <v>#REF!</v>
      </c>
      <c r="AM346" s="89" t="e">
        <f>#REF!</f>
        <v>#REF!</v>
      </c>
      <c r="AN346" s="89" t="e">
        <f>#REF!</f>
        <v>#REF!</v>
      </c>
      <c r="AO346" s="89" t="e">
        <f>#REF!</f>
        <v>#REF!</v>
      </c>
      <c r="AP346" s="89" t="e">
        <f>#REF!</f>
        <v>#REF!</v>
      </c>
      <c r="AQ346" s="89" t="e">
        <f>#REF!</f>
        <v>#REF!</v>
      </c>
      <c r="AR346" s="89" t="e">
        <f>#REF!</f>
        <v>#REF!</v>
      </c>
      <c r="AS346" s="89" t="e">
        <f>#REF!</f>
        <v>#REF!</v>
      </c>
      <c r="AT346" s="89" t="e">
        <f>#REF!</f>
        <v>#REF!</v>
      </c>
      <c r="AU346" s="89" t="e">
        <f>#REF!</f>
        <v>#REF!</v>
      </c>
      <c r="AV346" s="89" t="e">
        <f>#REF!</f>
        <v>#REF!</v>
      </c>
      <c r="AW346" s="89" t="e">
        <f>#REF!</f>
        <v>#REF!</v>
      </c>
      <c r="AX346" s="89" t="e">
        <f>#REF!</f>
        <v>#REF!</v>
      </c>
      <c r="AY346" s="89" t="e">
        <f>#REF!</f>
        <v>#REF!</v>
      </c>
      <c r="AZ346" s="89" t="e">
        <f>#REF!</f>
        <v>#REF!</v>
      </c>
      <c r="BA346" s="89" t="e">
        <f>#REF!</f>
        <v>#REF!</v>
      </c>
      <c r="BB346" s="89" t="e">
        <f>#REF!</f>
        <v>#REF!</v>
      </c>
      <c r="BC346" s="89" t="e">
        <f>#REF!</f>
        <v>#REF!</v>
      </c>
      <c r="BD346" s="89" t="e">
        <f>#REF!</f>
        <v>#REF!</v>
      </c>
      <c r="BE346" s="89" t="e">
        <f>#REF!</f>
        <v>#REF!</v>
      </c>
      <c r="BF346" s="89" t="e">
        <f>#REF!</f>
        <v>#REF!</v>
      </c>
    </row>
    <row r="347" spans="9:58" x14ac:dyDescent="0.25">
      <c r="I347" s="89">
        <f>ABCD!J396</f>
        <v>85.75</v>
      </c>
      <c r="J347" s="89">
        <f>ABCD!K396</f>
        <v>281.26</v>
      </c>
      <c r="K347" s="89">
        <f>ABCD!L396</f>
        <v>-5.8237357923367963</v>
      </c>
      <c r="L347" s="89">
        <f>ABCD!M396</f>
        <v>-1.0742594891393615</v>
      </c>
      <c r="M347" s="89">
        <f>ABCD!N396</f>
        <v>5.9219871689282355</v>
      </c>
      <c r="N347" s="89" t="e">
        <v>#REF!</v>
      </c>
      <c r="O347" s="89" t="e">
        <v>#REF!</v>
      </c>
      <c r="P347" s="89" t="e">
        <v>#REF!</v>
      </c>
      <c r="Q347" s="89" t="e">
        <v>#REF!</v>
      </c>
      <c r="R347" s="89" t="e">
        <v>#REF!</v>
      </c>
      <c r="S347" s="89" t="e">
        <f>#REF!</f>
        <v>#REF!</v>
      </c>
      <c r="T347" s="89" t="e">
        <f>#REF!</f>
        <v>#REF!</v>
      </c>
      <c r="U347" s="89" t="e">
        <f>#REF!</f>
        <v>#REF!</v>
      </c>
      <c r="V347" s="89" t="e">
        <f>#REF!</f>
        <v>#REF!</v>
      </c>
      <c r="W347" s="89" t="e">
        <f>#REF!</f>
        <v>#REF!</v>
      </c>
      <c r="X347" s="89" t="e">
        <f>#REF!</f>
        <v>#REF!</v>
      </c>
      <c r="Y347" s="89" t="e">
        <f>#REF!</f>
        <v>#REF!</v>
      </c>
      <c r="Z347" s="89" t="e">
        <f>#REF!</f>
        <v>#REF!</v>
      </c>
      <c r="AA347" s="89" t="e">
        <f>#REF!</f>
        <v>#REF!</v>
      </c>
      <c r="AB347" s="89" t="e">
        <f>#REF!</f>
        <v>#REF!</v>
      </c>
      <c r="AC347" s="89" t="e">
        <f>#REF!</f>
        <v>#REF!</v>
      </c>
      <c r="AD347" s="89" t="e">
        <f>#REF!</f>
        <v>#REF!</v>
      </c>
      <c r="AE347" s="89" t="e">
        <f>#REF!</f>
        <v>#REF!</v>
      </c>
      <c r="AF347" s="89" t="e">
        <f>#REF!</f>
        <v>#REF!</v>
      </c>
      <c r="AG347" s="89" t="e">
        <f>#REF!</f>
        <v>#REF!</v>
      </c>
      <c r="AH347" s="89" t="e">
        <f>#REF!</f>
        <v>#REF!</v>
      </c>
      <c r="AI347" s="89" t="e">
        <f>#REF!</f>
        <v>#REF!</v>
      </c>
      <c r="AJ347" s="89" t="e">
        <f>#REF!</f>
        <v>#REF!</v>
      </c>
      <c r="AK347" s="89" t="e">
        <f>#REF!</f>
        <v>#REF!</v>
      </c>
      <c r="AL347" s="89" t="e">
        <f>#REF!</f>
        <v>#REF!</v>
      </c>
      <c r="AM347" s="89" t="e">
        <f>#REF!</f>
        <v>#REF!</v>
      </c>
      <c r="AN347" s="89" t="e">
        <f>#REF!</f>
        <v>#REF!</v>
      </c>
      <c r="AO347" s="89" t="e">
        <f>#REF!</f>
        <v>#REF!</v>
      </c>
      <c r="AP347" s="89" t="e">
        <f>#REF!</f>
        <v>#REF!</v>
      </c>
      <c r="AQ347" s="89" t="e">
        <f>#REF!</f>
        <v>#REF!</v>
      </c>
      <c r="AR347" s="89" t="e">
        <f>#REF!</f>
        <v>#REF!</v>
      </c>
      <c r="AS347" s="89" t="e">
        <f>#REF!</f>
        <v>#REF!</v>
      </c>
      <c r="AT347" s="89" t="e">
        <f>#REF!</f>
        <v>#REF!</v>
      </c>
      <c r="AU347" s="89" t="e">
        <f>#REF!</f>
        <v>#REF!</v>
      </c>
      <c r="AV347" s="89" t="e">
        <f>#REF!</f>
        <v>#REF!</v>
      </c>
      <c r="AW347" s="89" t="e">
        <f>#REF!</f>
        <v>#REF!</v>
      </c>
      <c r="AX347" s="89" t="e">
        <f>#REF!</f>
        <v>#REF!</v>
      </c>
      <c r="AY347" s="89" t="e">
        <f>#REF!</f>
        <v>#REF!</v>
      </c>
      <c r="AZ347" s="89" t="e">
        <f>#REF!</f>
        <v>#REF!</v>
      </c>
      <c r="BA347" s="89" t="e">
        <f>#REF!</f>
        <v>#REF!</v>
      </c>
      <c r="BB347" s="89" t="e">
        <f>#REF!</f>
        <v>#REF!</v>
      </c>
      <c r="BC347" s="89" t="e">
        <f>#REF!</f>
        <v>#REF!</v>
      </c>
      <c r="BD347" s="89" t="e">
        <f>#REF!</f>
        <v>#REF!</v>
      </c>
      <c r="BE347" s="89" t="e">
        <f>#REF!</f>
        <v>#REF!</v>
      </c>
      <c r="BF347" s="89" t="e">
        <f>#REF!</f>
        <v>#REF!</v>
      </c>
    </row>
    <row r="348" spans="9:58" x14ac:dyDescent="0.25">
      <c r="I348" s="89">
        <f>ABCD!J397</f>
        <v>86</v>
      </c>
      <c r="J348" s="89">
        <f>ABCD!K397</f>
        <v>282.08</v>
      </c>
      <c r="K348" s="89">
        <f>ABCD!L397</f>
        <v>-5.7967939790714915</v>
      </c>
      <c r="L348" s="89">
        <f>ABCD!M397</f>
        <v>-1.0701609786668063</v>
      </c>
      <c r="M348" s="89">
        <f>ABCD!N397</f>
        <v>5.8947489307060899</v>
      </c>
      <c r="N348" s="89" t="e">
        <v>#REF!</v>
      </c>
      <c r="O348" s="89" t="e">
        <v>#REF!</v>
      </c>
      <c r="P348" s="89" t="e">
        <v>#REF!</v>
      </c>
      <c r="Q348" s="89" t="e">
        <v>#REF!</v>
      </c>
      <c r="R348" s="89" t="e">
        <v>#REF!</v>
      </c>
      <c r="S348" s="89" t="e">
        <f>#REF!</f>
        <v>#REF!</v>
      </c>
      <c r="T348" s="89" t="e">
        <f>#REF!</f>
        <v>#REF!</v>
      </c>
      <c r="U348" s="89" t="e">
        <f>#REF!</f>
        <v>#REF!</v>
      </c>
      <c r="V348" s="89" t="e">
        <f>#REF!</f>
        <v>#REF!</v>
      </c>
      <c r="W348" s="89" t="e">
        <f>#REF!</f>
        <v>#REF!</v>
      </c>
      <c r="X348" s="89" t="e">
        <f>#REF!</f>
        <v>#REF!</v>
      </c>
      <c r="Y348" s="89" t="e">
        <f>#REF!</f>
        <v>#REF!</v>
      </c>
      <c r="Z348" s="89" t="e">
        <f>#REF!</f>
        <v>#REF!</v>
      </c>
      <c r="AA348" s="89" t="e">
        <f>#REF!</f>
        <v>#REF!</v>
      </c>
      <c r="AB348" s="89" t="e">
        <f>#REF!</f>
        <v>#REF!</v>
      </c>
      <c r="AC348" s="89" t="e">
        <f>#REF!</f>
        <v>#REF!</v>
      </c>
      <c r="AD348" s="89" t="e">
        <f>#REF!</f>
        <v>#REF!</v>
      </c>
      <c r="AE348" s="89" t="e">
        <f>#REF!</f>
        <v>#REF!</v>
      </c>
      <c r="AF348" s="89" t="e">
        <f>#REF!</f>
        <v>#REF!</v>
      </c>
      <c r="AG348" s="89" t="e">
        <f>#REF!</f>
        <v>#REF!</v>
      </c>
      <c r="AH348" s="89" t="e">
        <f>#REF!</f>
        <v>#REF!</v>
      </c>
      <c r="AI348" s="89" t="e">
        <f>#REF!</f>
        <v>#REF!</v>
      </c>
      <c r="AJ348" s="89" t="e">
        <f>#REF!</f>
        <v>#REF!</v>
      </c>
      <c r="AK348" s="89" t="e">
        <f>#REF!</f>
        <v>#REF!</v>
      </c>
      <c r="AL348" s="89" t="e">
        <f>#REF!</f>
        <v>#REF!</v>
      </c>
      <c r="AM348" s="89" t="e">
        <f>#REF!</f>
        <v>#REF!</v>
      </c>
      <c r="AN348" s="89" t="e">
        <f>#REF!</f>
        <v>#REF!</v>
      </c>
      <c r="AO348" s="89" t="e">
        <f>#REF!</f>
        <v>#REF!</v>
      </c>
      <c r="AP348" s="89" t="e">
        <f>#REF!</f>
        <v>#REF!</v>
      </c>
      <c r="AQ348" s="89" t="e">
        <f>#REF!</f>
        <v>#REF!</v>
      </c>
      <c r="AR348" s="89" t="e">
        <f>#REF!</f>
        <v>#REF!</v>
      </c>
      <c r="AS348" s="89" t="e">
        <f>#REF!</f>
        <v>#REF!</v>
      </c>
      <c r="AT348" s="89" t="e">
        <f>#REF!</f>
        <v>#REF!</v>
      </c>
      <c r="AU348" s="89" t="e">
        <f>#REF!</f>
        <v>#REF!</v>
      </c>
      <c r="AV348" s="89" t="e">
        <f>#REF!</f>
        <v>#REF!</v>
      </c>
      <c r="AW348" s="89" t="e">
        <f>#REF!</f>
        <v>#REF!</v>
      </c>
      <c r="AX348" s="89" t="e">
        <f>#REF!</f>
        <v>#REF!</v>
      </c>
      <c r="AY348" s="89" t="e">
        <f>#REF!</f>
        <v>#REF!</v>
      </c>
      <c r="AZ348" s="89" t="e">
        <f>#REF!</f>
        <v>#REF!</v>
      </c>
      <c r="BA348" s="89" t="e">
        <f>#REF!</f>
        <v>#REF!</v>
      </c>
      <c r="BB348" s="89" t="e">
        <f>#REF!</f>
        <v>#REF!</v>
      </c>
      <c r="BC348" s="89" t="e">
        <f>#REF!</f>
        <v>#REF!</v>
      </c>
      <c r="BD348" s="89" t="e">
        <f>#REF!</f>
        <v>#REF!</v>
      </c>
      <c r="BE348" s="89" t="e">
        <f>#REF!</f>
        <v>#REF!</v>
      </c>
      <c r="BF348" s="89" t="e">
        <f>#REF!</f>
        <v>#REF!</v>
      </c>
    </row>
    <row r="349" spans="9:58" x14ac:dyDescent="0.25">
      <c r="I349" s="89">
        <f>ABCD!J398</f>
        <v>86.25</v>
      </c>
      <c r="J349" s="89">
        <f>ABCD!K398</f>
        <v>282.89999999999998</v>
      </c>
      <c r="K349" s="89">
        <f>ABCD!L398</f>
        <v>-5.7685382643726868</v>
      </c>
      <c r="L349" s="89">
        <f>ABCD!M398</f>
        <v>-1.0658191180828753</v>
      </c>
      <c r="M349" s="89">
        <f>ABCD!N398</f>
        <v>5.8661745712178401</v>
      </c>
      <c r="N349" s="89" t="e">
        <v>#REF!</v>
      </c>
      <c r="O349" s="89" t="e">
        <v>#REF!</v>
      </c>
      <c r="P349" s="89" t="e">
        <v>#REF!</v>
      </c>
      <c r="Q349" s="89" t="e">
        <v>#REF!</v>
      </c>
      <c r="R349" s="89" t="e">
        <v>#REF!</v>
      </c>
      <c r="S349" s="89" t="e">
        <f>#REF!</f>
        <v>#REF!</v>
      </c>
      <c r="T349" s="89" t="e">
        <f>#REF!</f>
        <v>#REF!</v>
      </c>
      <c r="U349" s="89" t="e">
        <f>#REF!</f>
        <v>#REF!</v>
      </c>
      <c r="V349" s="89" t="e">
        <f>#REF!</f>
        <v>#REF!</v>
      </c>
      <c r="W349" s="89" t="e">
        <f>#REF!</f>
        <v>#REF!</v>
      </c>
      <c r="X349" s="89" t="e">
        <f>#REF!</f>
        <v>#REF!</v>
      </c>
      <c r="Y349" s="89" t="e">
        <f>#REF!</f>
        <v>#REF!</v>
      </c>
      <c r="Z349" s="89" t="e">
        <f>#REF!</f>
        <v>#REF!</v>
      </c>
      <c r="AA349" s="89" t="e">
        <f>#REF!</f>
        <v>#REF!</v>
      </c>
      <c r="AB349" s="89" t="e">
        <f>#REF!</f>
        <v>#REF!</v>
      </c>
      <c r="AC349" s="89" t="e">
        <f>#REF!</f>
        <v>#REF!</v>
      </c>
      <c r="AD349" s="89" t="e">
        <f>#REF!</f>
        <v>#REF!</v>
      </c>
      <c r="AE349" s="89" t="e">
        <f>#REF!</f>
        <v>#REF!</v>
      </c>
      <c r="AF349" s="89" t="e">
        <f>#REF!</f>
        <v>#REF!</v>
      </c>
      <c r="AG349" s="89" t="e">
        <f>#REF!</f>
        <v>#REF!</v>
      </c>
      <c r="AH349" s="89" t="e">
        <f>#REF!</f>
        <v>#REF!</v>
      </c>
      <c r="AI349" s="89" t="e">
        <f>#REF!</f>
        <v>#REF!</v>
      </c>
      <c r="AJ349" s="89" t="e">
        <f>#REF!</f>
        <v>#REF!</v>
      </c>
      <c r="AK349" s="89" t="e">
        <f>#REF!</f>
        <v>#REF!</v>
      </c>
      <c r="AL349" s="89" t="e">
        <f>#REF!</f>
        <v>#REF!</v>
      </c>
      <c r="AM349" s="89" t="e">
        <f>#REF!</f>
        <v>#REF!</v>
      </c>
      <c r="AN349" s="89" t="e">
        <f>#REF!</f>
        <v>#REF!</v>
      </c>
      <c r="AO349" s="89" t="e">
        <f>#REF!</f>
        <v>#REF!</v>
      </c>
      <c r="AP349" s="89" t="e">
        <f>#REF!</f>
        <v>#REF!</v>
      </c>
      <c r="AQ349" s="89" t="e">
        <f>#REF!</f>
        <v>#REF!</v>
      </c>
      <c r="AR349" s="89" t="e">
        <f>#REF!</f>
        <v>#REF!</v>
      </c>
      <c r="AS349" s="89" t="e">
        <f>#REF!</f>
        <v>#REF!</v>
      </c>
      <c r="AT349" s="89" t="e">
        <f>#REF!</f>
        <v>#REF!</v>
      </c>
      <c r="AU349" s="89" t="e">
        <f>#REF!</f>
        <v>#REF!</v>
      </c>
      <c r="AV349" s="89" t="e">
        <f>#REF!</f>
        <v>#REF!</v>
      </c>
      <c r="AW349" s="89" t="e">
        <f>#REF!</f>
        <v>#REF!</v>
      </c>
      <c r="AX349" s="89" t="e">
        <f>#REF!</f>
        <v>#REF!</v>
      </c>
      <c r="AY349" s="89" t="e">
        <f>#REF!</f>
        <v>#REF!</v>
      </c>
      <c r="AZ349" s="89" t="e">
        <f>#REF!</f>
        <v>#REF!</v>
      </c>
      <c r="BA349" s="89" t="e">
        <f>#REF!</f>
        <v>#REF!</v>
      </c>
      <c r="BB349" s="89" t="e">
        <f>#REF!</f>
        <v>#REF!</v>
      </c>
      <c r="BC349" s="89" t="e">
        <f>#REF!</f>
        <v>#REF!</v>
      </c>
      <c r="BD349" s="89" t="e">
        <f>#REF!</f>
        <v>#REF!</v>
      </c>
      <c r="BE349" s="89" t="e">
        <f>#REF!</f>
        <v>#REF!</v>
      </c>
      <c r="BF349" s="89" t="e">
        <f>#REF!</f>
        <v>#REF!</v>
      </c>
    </row>
    <row r="350" spans="9:58" x14ac:dyDescent="0.25">
      <c r="I350" s="89">
        <f>ABCD!J399</f>
        <v>86.5</v>
      </c>
      <c r="J350" s="89">
        <f>ABCD!K399</f>
        <v>283.71999999999997</v>
      </c>
      <c r="K350" s="89">
        <f>ABCD!L399</f>
        <v>-5.7389763527992717</v>
      </c>
      <c r="L350" s="89">
        <f>ABCD!M399</f>
        <v>-1.0612351285839083</v>
      </c>
      <c r="M350" s="89">
        <f>ABCD!N399</f>
        <v>5.8362718901820996</v>
      </c>
      <c r="N350" s="89" t="e">
        <v>#REF!</v>
      </c>
      <c r="O350" s="89" t="e">
        <v>#REF!</v>
      </c>
      <c r="P350" s="89" t="e">
        <v>#REF!</v>
      </c>
      <c r="Q350" s="89" t="e">
        <v>#REF!</v>
      </c>
      <c r="R350" s="89" t="e">
        <v>#REF!</v>
      </c>
      <c r="S350" s="89" t="e">
        <f>#REF!</f>
        <v>#REF!</v>
      </c>
      <c r="T350" s="89" t="e">
        <f>#REF!</f>
        <v>#REF!</v>
      </c>
      <c r="U350" s="89" t="e">
        <f>#REF!</f>
        <v>#REF!</v>
      </c>
      <c r="V350" s="89" t="e">
        <f>#REF!</f>
        <v>#REF!</v>
      </c>
      <c r="W350" s="89" t="e">
        <f>#REF!</f>
        <v>#REF!</v>
      </c>
      <c r="X350" s="89" t="e">
        <f>#REF!</f>
        <v>#REF!</v>
      </c>
      <c r="Y350" s="89" t="e">
        <f>#REF!</f>
        <v>#REF!</v>
      </c>
      <c r="Z350" s="89" t="e">
        <f>#REF!</f>
        <v>#REF!</v>
      </c>
      <c r="AA350" s="89" t="e">
        <f>#REF!</f>
        <v>#REF!</v>
      </c>
      <c r="AB350" s="89" t="e">
        <f>#REF!</f>
        <v>#REF!</v>
      </c>
      <c r="AC350" s="89" t="e">
        <f>#REF!</f>
        <v>#REF!</v>
      </c>
      <c r="AD350" s="89" t="e">
        <f>#REF!</f>
        <v>#REF!</v>
      </c>
      <c r="AE350" s="89" t="e">
        <f>#REF!</f>
        <v>#REF!</v>
      </c>
      <c r="AF350" s="89" t="e">
        <f>#REF!</f>
        <v>#REF!</v>
      </c>
      <c r="AG350" s="89" t="e">
        <f>#REF!</f>
        <v>#REF!</v>
      </c>
      <c r="AH350" s="89" t="e">
        <f>#REF!</f>
        <v>#REF!</v>
      </c>
      <c r="AI350" s="89" t="e">
        <f>#REF!</f>
        <v>#REF!</v>
      </c>
      <c r="AJ350" s="89" t="e">
        <f>#REF!</f>
        <v>#REF!</v>
      </c>
      <c r="AK350" s="89" t="e">
        <f>#REF!</f>
        <v>#REF!</v>
      </c>
      <c r="AL350" s="89" t="e">
        <f>#REF!</f>
        <v>#REF!</v>
      </c>
      <c r="AM350" s="89" t="e">
        <f>#REF!</f>
        <v>#REF!</v>
      </c>
      <c r="AN350" s="89" t="e">
        <f>#REF!</f>
        <v>#REF!</v>
      </c>
      <c r="AO350" s="89" t="e">
        <f>#REF!</f>
        <v>#REF!</v>
      </c>
      <c r="AP350" s="89" t="e">
        <f>#REF!</f>
        <v>#REF!</v>
      </c>
      <c r="AQ350" s="89" t="e">
        <f>#REF!</f>
        <v>#REF!</v>
      </c>
      <c r="AR350" s="89" t="e">
        <f>#REF!</f>
        <v>#REF!</v>
      </c>
      <c r="AS350" s="89" t="e">
        <f>#REF!</f>
        <v>#REF!</v>
      </c>
      <c r="AT350" s="89" t="e">
        <f>#REF!</f>
        <v>#REF!</v>
      </c>
      <c r="AU350" s="89" t="e">
        <f>#REF!</f>
        <v>#REF!</v>
      </c>
      <c r="AV350" s="89" t="e">
        <f>#REF!</f>
        <v>#REF!</v>
      </c>
      <c r="AW350" s="89" t="e">
        <f>#REF!</f>
        <v>#REF!</v>
      </c>
      <c r="AX350" s="89" t="e">
        <f>#REF!</f>
        <v>#REF!</v>
      </c>
      <c r="AY350" s="89" t="e">
        <f>#REF!</f>
        <v>#REF!</v>
      </c>
      <c r="AZ350" s="89" t="e">
        <f>#REF!</f>
        <v>#REF!</v>
      </c>
      <c r="BA350" s="89" t="e">
        <f>#REF!</f>
        <v>#REF!</v>
      </c>
      <c r="BB350" s="89" t="e">
        <f>#REF!</f>
        <v>#REF!</v>
      </c>
      <c r="BC350" s="89" t="e">
        <f>#REF!</f>
        <v>#REF!</v>
      </c>
      <c r="BD350" s="89" t="e">
        <f>#REF!</f>
        <v>#REF!</v>
      </c>
      <c r="BE350" s="89" t="e">
        <f>#REF!</f>
        <v>#REF!</v>
      </c>
      <c r="BF350" s="89" t="e">
        <f>#REF!</f>
        <v>#REF!</v>
      </c>
    </row>
    <row r="351" spans="9:58" x14ac:dyDescent="0.25">
      <c r="I351" s="89">
        <f>ABCD!J400</f>
        <v>86.75</v>
      </c>
      <c r="J351" s="89">
        <f>ABCD!K400</f>
        <v>284.53999999999996</v>
      </c>
      <c r="K351" s="89">
        <f>ABCD!L400</f>
        <v>-5.7081162435030492</v>
      </c>
      <c r="L351" s="89">
        <f>ABCD!M400</f>
        <v>-1.0564102861609632</v>
      </c>
      <c r="M351" s="89">
        <f>ABCD!N400</f>
        <v>5.8050489870499842</v>
      </c>
      <c r="N351" s="89" t="e">
        <v>#REF!</v>
      </c>
      <c r="O351" s="89" t="e">
        <v>#REF!</v>
      </c>
      <c r="P351" s="89" t="e">
        <v>#REF!</v>
      </c>
      <c r="Q351" s="89" t="e">
        <v>#REF!</v>
      </c>
      <c r="R351" s="89" t="e">
        <v>#REF!</v>
      </c>
      <c r="S351" s="89" t="e">
        <f>#REF!</f>
        <v>#REF!</v>
      </c>
      <c r="T351" s="89" t="e">
        <f>#REF!</f>
        <v>#REF!</v>
      </c>
      <c r="U351" s="89" t="e">
        <f>#REF!</f>
        <v>#REF!</v>
      </c>
      <c r="V351" s="89" t="e">
        <f>#REF!</f>
        <v>#REF!</v>
      </c>
      <c r="W351" s="89" t="e">
        <f>#REF!</f>
        <v>#REF!</v>
      </c>
      <c r="X351" s="89" t="e">
        <f>#REF!</f>
        <v>#REF!</v>
      </c>
      <c r="Y351" s="89" t="e">
        <f>#REF!</f>
        <v>#REF!</v>
      </c>
      <c r="Z351" s="89" t="e">
        <f>#REF!</f>
        <v>#REF!</v>
      </c>
      <c r="AA351" s="89" t="e">
        <f>#REF!</f>
        <v>#REF!</v>
      </c>
      <c r="AB351" s="89" t="e">
        <f>#REF!</f>
        <v>#REF!</v>
      </c>
      <c r="AC351" s="89" t="e">
        <f>#REF!</f>
        <v>#REF!</v>
      </c>
      <c r="AD351" s="89" t="e">
        <f>#REF!</f>
        <v>#REF!</v>
      </c>
      <c r="AE351" s="89" t="e">
        <f>#REF!</f>
        <v>#REF!</v>
      </c>
      <c r="AF351" s="89" t="e">
        <f>#REF!</f>
        <v>#REF!</v>
      </c>
      <c r="AG351" s="89" t="e">
        <f>#REF!</f>
        <v>#REF!</v>
      </c>
      <c r="AH351" s="89" t="e">
        <f>#REF!</f>
        <v>#REF!</v>
      </c>
      <c r="AI351" s="89" t="e">
        <f>#REF!</f>
        <v>#REF!</v>
      </c>
      <c r="AJ351" s="89" t="e">
        <f>#REF!</f>
        <v>#REF!</v>
      </c>
      <c r="AK351" s="89" t="e">
        <f>#REF!</f>
        <v>#REF!</v>
      </c>
      <c r="AL351" s="89" t="e">
        <f>#REF!</f>
        <v>#REF!</v>
      </c>
      <c r="AM351" s="89" t="e">
        <f>#REF!</f>
        <v>#REF!</v>
      </c>
      <c r="AN351" s="89" t="e">
        <f>#REF!</f>
        <v>#REF!</v>
      </c>
      <c r="AO351" s="89" t="e">
        <f>#REF!</f>
        <v>#REF!</v>
      </c>
      <c r="AP351" s="89" t="e">
        <f>#REF!</f>
        <v>#REF!</v>
      </c>
      <c r="AQ351" s="89" t="e">
        <f>#REF!</f>
        <v>#REF!</v>
      </c>
      <c r="AR351" s="89" t="e">
        <f>#REF!</f>
        <v>#REF!</v>
      </c>
      <c r="AS351" s="89" t="e">
        <f>#REF!</f>
        <v>#REF!</v>
      </c>
      <c r="AT351" s="89" t="e">
        <f>#REF!</f>
        <v>#REF!</v>
      </c>
      <c r="AU351" s="89" t="e">
        <f>#REF!</f>
        <v>#REF!</v>
      </c>
      <c r="AV351" s="89" t="e">
        <f>#REF!</f>
        <v>#REF!</v>
      </c>
      <c r="AW351" s="89" t="e">
        <f>#REF!</f>
        <v>#REF!</v>
      </c>
      <c r="AX351" s="89" t="e">
        <f>#REF!</f>
        <v>#REF!</v>
      </c>
      <c r="AY351" s="89" t="e">
        <f>#REF!</f>
        <v>#REF!</v>
      </c>
      <c r="AZ351" s="89" t="e">
        <f>#REF!</f>
        <v>#REF!</v>
      </c>
      <c r="BA351" s="89" t="e">
        <f>#REF!</f>
        <v>#REF!</v>
      </c>
      <c r="BB351" s="89" t="e">
        <f>#REF!</f>
        <v>#REF!</v>
      </c>
      <c r="BC351" s="89" t="e">
        <f>#REF!</f>
        <v>#REF!</v>
      </c>
      <c r="BD351" s="89" t="e">
        <f>#REF!</f>
        <v>#REF!</v>
      </c>
      <c r="BE351" s="89" t="e">
        <f>#REF!</f>
        <v>#REF!</v>
      </c>
      <c r="BF351" s="89" t="e">
        <f>#REF!</f>
        <v>#REF!</v>
      </c>
    </row>
    <row r="352" spans="9:58" x14ac:dyDescent="0.25">
      <c r="I352" s="89">
        <f>ABCD!J401</f>
        <v>87</v>
      </c>
      <c r="J352" s="89">
        <f>ABCD!K401</f>
        <v>285.35999999999996</v>
      </c>
      <c r="K352" s="89">
        <f>ABCD!L401</f>
        <v>-5.6759662281171845</v>
      </c>
      <c r="L352" s="89">
        <f>ABCD!M401</f>
        <v>-1.0513459212559697</v>
      </c>
      <c r="M352" s="89">
        <f>ABCD!N401</f>
        <v>5.7725142588709453</v>
      </c>
      <c r="N352" s="89" t="e">
        <v>#REF!</v>
      </c>
      <c r="O352" s="89" t="e">
        <v>#REF!</v>
      </c>
      <c r="P352" s="89" t="e">
        <v>#REF!</v>
      </c>
      <c r="Q352" s="89" t="e">
        <v>#REF!</v>
      </c>
      <c r="R352" s="89" t="e">
        <v>#REF!</v>
      </c>
      <c r="S352" s="89" t="e">
        <f>#REF!</f>
        <v>#REF!</v>
      </c>
      <c r="T352" s="89" t="e">
        <f>#REF!</f>
        <v>#REF!</v>
      </c>
      <c r="U352" s="89" t="e">
        <f>#REF!</f>
        <v>#REF!</v>
      </c>
      <c r="V352" s="89" t="e">
        <f>#REF!</f>
        <v>#REF!</v>
      </c>
      <c r="W352" s="89" t="e">
        <f>#REF!</f>
        <v>#REF!</v>
      </c>
      <c r="X352" s="89" t="e">
        <f>#REF!</f>
        <v>#REF!</v>
      </c>
      <c r="Y352" s="89" t="e">
        <f>#REF!</f>
        <v>#REF!</v>
      </c>
      <c r="Z352" s="89" t="e">
        <f>#REF!</f>
        <v>#REF!</v>
      </c>
      <c r="AA352" s="89" t="e">
        <f>#REF!</f>
        <v>#REF!</v>
      </c>
      <c r="AB352" s="89" t="e">
        <f>#REF!</f>
        <v>#REF!</v>
      </c>
      <c r="AC352" s="89" t="e">
        <f>#REF!</f>
        <v>#REF!</v>
      </c>
      <c r="AD352" s="89" t="e">
        <f>#REF!</f>
        <v>#REF!</v>
      </c>
      <c r="AE352" s="89" t="e">
        <f>#REF!</f>
        <v>#REF!</v>
      </c>
      <c r="AF352" s="89" t="e">
        <f>#REF!</f>
        <v>#REF!</v>
      </c>
      <c r="AG352" s="89" t="e">
        <f>#REF!</f>
        <v>#REF!</v>
      </c>
      <c r="AH352" s="89" t="e">
        <f>#REF!</f>
        <v>#REF!</v>
      </c>
      <c r="AI352" s="89" t="e">
        <f>#REF!</f>
        <v>#REF!</v>
      </c>
      <c r="AJ352" s="89" t="e">
        <f>#REF!</f>
        <v>#REF!</v>
      </c>
      <c r="AK352" s="89" t="e">
        <f>#REF!</f>
        <v>#REF!</v>
      </c>
      <c r="AL352" s="89" t="e">
        <f>#REF!</f>
        <v>#REF!</v>
      </c>
      <c r="AM352" s="89" t="e">
        <f>#REF!</f>
        <v>#REF!</v>
      </c>
      <c r="AN352" s="89" t="e">
        <f>#REF!</f>
        <v>#REF!</v>
      </c>
      <c r="AO352" s="89" t="e">
        <f>#REF!</f>
        <v>#REF!</v>
      </c>
      <c r="AP352" s="89" t="e">
        <f>#REF!</f>
        <v>#REF!</v>
      </c>
      <c r="AQ352" s="89" t="e">
        <f>#REF!</f>
        <v>#REF!</v>
      </c>
      <c r="AR352" s="89" t="e">
        <f>#REF!</f>
        <v>#REF!</v>
      </c>
      <c r="AS352" s="89" t="e">
        <f>#REF!</f>
        <v>#REF!</v>
      </c>
      <c r="AT352" s="89" t="e">
        <f>#REF!</f>
        <v>#REF!</v>
      </c>
      <c r="AU352" s="89" t="e">
        <f>#REF!</f>
        <v>#REF!</v>
      </c>
      <c r="AV352" s="89" t="e">
        <f>#REF!</f>
        <v>#REF!</v>
      </c>
      <c r="AW352" s="89" t="e">
        <f>#REF!</f>
        <v>#REF!</v>
      </c>
      <c r="AX352" s="89" t="e">
        <f>#REF!</f>
        <v>#REF!</v>
      </c>
      <c r="AY352" s="89" t="e">
        <f>#REF!</f>
        <v>#REF!</v>
      </c>
      <c r="AZ352" s="89" t="e">
        <f>#REF!</f>
        <v>#REF!</v>
      </c>
      <c r="BA352" s="89" t="e">
        <f>#REF!</f>
        <v>#REF!</v>
      </c>
      <c r="BB352" s="89" t="e">
        <f>#REF!</f>
        <v>#REF!</v>
      </c>
      <c r="BC352" s="89" t="e">
        <f>#REF!</f>
        <v>#REF!</v>
      </c>
      <c r="BD352" s="89" t="e">
        <f>#REF!</f>
        <v>#REF!</v>
      </c>
      <c r="BE352" s="89" t="e">
        <f>#REF!</f>
        <v>#REF!</v>
      </c>
      <c r="BF352" s="89" t="e">
        <f>#REF!</f>
        <v>#REF!</v>
      </c>
    </row>
    <row r="353" spans="9:58" x14ac:dyDescent="0.25">
      <c r="I353" s="89">
        <f>ABCD!J402</f>
        <v>87.25</v>
      </c>
      <c r="J353" s="89">
        <f>ABCD!K402</f>
        <v>286.18</v>
      </c>
      <c r="K353" s="89">
        <f>ABCD!L402</f>
        <v>-5.6425348885790294</v>
      </c>
      <c r="L353" s="89">
        <f>ABCD!M402</f>
        <v>-1.0460434184056266</v>
      </c>
      <c r="M353" s="89">
        <f>ABCD!N402</f>
        <v>5.7386763980922719</v>
      </c>
      <c r="N353" s="89" t="e">
        <v>#REF!</v>
      </c>
      <c r="O353" s="89" t="e">
        <v>#REF!</v>
      </c>
      <c r="P353" s="89" t="e">
        <v>#REF!</v>
      </c>
      <c r="Q353" s="89" t="e">
        <v>#REF!</v>
      </c>
      <c r="R353" s="89" t="e">
        <v>#REF!</v>
      </c>
      <c r="S353" s="89" t="e">
        <f>#REF!</f>
        <v>#REF!</v>
      </c>
      <c r="T353" s="89" t="e">
        <f>#REF!</f>
        <v>#REF!</v>
      </c>
      <c r="U353" s="89" t="e">
        <f>#REF!</f>
        <v>#REF!</v>
      </c>
      <c r="V353" s="89" t="e">
        <f>#REF!</f>
        <v>#REF!</v>
      </c>
      <c r="W353" s="89" t="e">
        <f>#REF!</f>
        <v>#REF!</v>
      </c>
      <c r="X353" s="89" t="e">
        <f>#REF!</f>
        <v>#REF!</v>
      </c>
      <c r="Y353" s="89" t="e">
        <f>#REF!</f>
        <v>#REF!</v>
      </c>
      <c r="Z353" s="89" t="e">
        <f>#REF!</f>
        <v>#REF!</v>
      </c>
      <c r="AA353" s="89" t="e">
        <f>#REF!</f>
        <v>#REF!</v>
      </c>
      <c r="AB353" s="89" t="e">
        <f>#REF!</f>
        <v>#REF!</v>
      </c>
      <c r="AC353" s="89" t="e">
        <f>#REF!</f>
        <v>#REF!</v>
      </c>
      <c r="AD353" s="89" t="e">
        <f>#REF!</f>
        <v>#REF!</v>
      </c>
      <c r="AE353" s="89" t="e">
        <f>#REF!</f>
        <v>#REF!</v>
      </c>
      <c r="AF353" s="89" t="e">
        <f>#REF!</f>
        <v>#REF!</v>
      </c>
      <c r="AG353" s="89" t="e">
        <f>#REF!</f>
        <v>#REF!</v>
      </c>
      <c r="AH353" s="89" t="e">
        <f>#REF!</f>
        <v>#REF!</v>
      </c>
      <c r="AI353" s="89" t="e">
        <f>#REF!</f>
        <v>#REF!</v>
      </c>
      <c r="AJ353" s="89" t="e">
        <f>#REF!</f>
        <v>#REF!</v>
      </c>
      <c r="AK353" s="89" t="e">
        <f>#REF!</f>
        <v>#REF!</v>
      </c>
      <c r="AL353" s="89" t="e">
        <f>#REF!</f>
        <v>#REF!</v>
      </c>
      <c r="AM353" s="89" t="e">
        <f>#REF!</f>
        <v>#REF!</v>
      </c>
      <c r="AN353" s="89" t="e">
        <f>#REF!</f>
        <v>#REF!</v>
      </c>
      <c r="AO353" s="89" t="e">
        <f>#REF!</f>
        <v>#REF!</v>
      </c>
      <c r="AP353" s="89" t="e">
        <f>#REF!</f>
        <v>#REF!</v>
      </c>
      <c r="AQ353" s="89" t="e">
        <f>#REF!</f>
        <v>#REF!</v>
      </c>
      <c r="AR353" s="89" t="e">
        <f>#REF!</f>
        <v>#REF!</v>
      </c>
      <c r="AS353" s="89" t="e">
        <f>#REF!</f>
        <v>#REF!</v>
      </c>
      <c r="AT353" s="89" t="e">
        <f>#REF!</f>
        <v>#REF!</v>
      </c>
      <c r="AU353" s="89" t="e">
        <f>#REF!</f>
        <v>#REF!</v>
      </c>
      <c r="AV353" s="89" t="e">
        <f>#REF!</f>
        <v>#REF!</v>
      </c>
      <c r="AW353" s="89" t="e">
        <f>#REF!</f>
        <v>#REF!</v>
      </c>
      <c r="AX353" s="89" t="e">
        <f>#REF!</f>
        <v>#REF!</v>
      </c>
      <c r="AY353" s="89" t="e">
        <f>#REF!</f>
        <v>#REF!</v>
      </c>
      <c r="AZ353" s="89" t="e">
        <f>#REF!</f>
        <v>#REF!</v>
      </c>
      <c r="BA353" s="89" t="e">
        <f>#REF!</f>
        <v>#REF!</v>
      </c>
      <c r="BB353" s="89" t="e">
        <f>#REF!</f>
        <v>#REF!</v>
      </c>
      <c r="BC353" s="89" t="e">
        <f>#REF!</f>
        <v>#REF!</v>
      </c>
      <c r="BD353" s="89" t="e">
        <f>#REF!</f>
        <v>#REF!</v>
      </c>
      <c r="BE353" s="89" t="e">
        <f>#REF!</f>
        <v>#REF!</v>
      </c>
      <c r="BF353" s="89" t="e">
        <f>#REF!</f>
        <v>#REF!</v>
      </c>
    </row>
    <row r="354" spans="9:58" x14ac:dyDescent="0.25">
      <c r="I354" s="89">
        <f>ABCD!J403</f>
        <v>87.5</v>
      </c>
      <c r="J354" s="89">
        <f>ABCD!K403</f>
        <v>287</v>
      </c>
      <c r="K354" s="89">
        <f>ABCD!L403</f>
        <v>-5.6078310948879224</v>
      </c>
      <c r="L354" s="89">
        <f>ABCD!M403</f>
        <v>-1.040504215873127</v>
      </c>
      <c r="M354" s="89">
        <f>ABCD!N403</f>
        <v>5.7035443902929019</v>
      </c>
      <c r="N354" s="89" t="e">
        <v>#REF!</v>
      </c>
      <c r="O354" s="89" t="e">
        <v>#REF!</v>
      </c>
      <c r="P354" s="89" t="e">
        <v>#REF!</v>
      </c>
      <c r="Q354" s="89" t="e">
        <v>#REF!</v>
      </c>
      <c r="R354" s="89" t="e">
        <v>#REF!</v>
      </c>
      <c r="S354" s="89" t="e">
        <f>#REF!</f>
        <v>#REF!</v>
      </c>
      <c r="T354" s="89" t="e">
        <f>#REF!</f>
        <v>#REF!</v>
      </c>
      <c r="U354" s="89" t="e">
        <f>#REF!</f>
        <v>#REF!</v>
      </c>
      <c r="V354" s="89" t="e">
        <f>#REF!</f>
        <v>#REF!</v>
      </c>
      <c r="W354" s="89" t="e">
        <f>#REF!</f>
        <v>#REF!</v>
      </c>
      <c r="X354" s="89" t="e">
        <f>#REF!</f>
        <v>#REF!</v>
      </c>
      <c r="Y354" s="89" t="e">
        <f>#REF!</f>
        <v>#REF!</v>
      </c>
      <c r="Z354" s="89" t="e">
        <f>#REF!</f>
        <v>#REF!</v>
      </c>
      <c r="AA354" s="89" t="e">
        <f>#REF!</f>
        <v>#REF!</v>
      </c>
      <c r="AB354" s="89" t="e">
        <f>#REF!</f>
        <v>#REF!</v>
      </c>
      <c r="AC354" s="89" t="e">
        <f>#REF!</f>
        <v>#REF!</v>
      </c>
      <c r="AD354" s="89" t="e">
        <f>#REF!</f>
        <v>#REF!</v>
      </c>
      <c r="AE354" s="89" t="e">
        <f>#REF!</f>
        <v>#REF!</v>
      </c>
      <c r="AF354" s="89" t="e">
        <f>#REF!</f>
        <v>#REF!</v>
      </c>
      <c r="AG354" s="89" t="e">
        <f>#REF!</f>
        <v>#REF!</v>
      </c>
      <c r="AH354" s="89" t="e">
        <f>#REF!</f>
        <v>#REF!</v>
      </c>
      <c r="AI354" s="89" t="e">
        <f>#REF!</f>
        <v>#REF!</v>
      </c>
      <c r="AJ354" s="89" t="e">
        <f>#REF!</f>
        <v>#REF!</v>
      </c>
      <c r="AK354" s="89" t="e">
        <f>#REF!</f>
        <v>#REF!</v>
      </c>
      <c r="AL354" s="89" t="e">
        <f>#REF!</f>
        <v>#REF!</v>
      </c>
      <c r="AM354" s="89" t="e">
        <f>#REF!</f>
        <v>#REF!</v>
      </c>
      <c r="AN354" s="89" t="e">
        <f>#REF!</f>
        <v>#REF!</v>
      </c>
      <c r="AO354" s="89" t="e">
        <f>#REF!</f>
        <v>#REF!</v>
      </c>
      <c r="AP354" s="89" t="e">
        <f>#REF!</f>
        <v>#REF!</v>
      </c>
      <c r="AQ354" s="89" t="e">
        <f>#REF!</f>
        <v>#REF!</v>
      </c>
      <c r="AR354" s="89" t="e">
        <f>#REF!</f>
        <v>#REF!</v>
      </c>
      <c r="AS354" s="89" t="e">
        <f>#REF!</f>
        <v>#REF!</v>
      </c>
      <c r="AT354" s="89" t="e">
        <f>#REF!</f>
        <v>#REF!</v>
      </c>
      <c r="AU354" s="89" t="e">
        <f>#REF!</f>
        <v>#REF!</v>
      </c>
      <c r="AV354" s="89" t="e">
        <f>#REF!</f>
        <v>#REF!</v>
      </c>
      <c r="AW354" s="89" t="e">
        <f>#REF!</f>
        <v>#REF!</v>
      </c>
      <c r="AX354" s="89" t="e">
        <f>#REF!</f>
        <v>#REF!</v>
      </c>
      <c r="AY354" s="89" t="e">
        <f>#REF!</f>
        <v>#REF!</v>
      </c>
      <c r="AZ354" s="89" t="e">
        <f>#REF!</f>
        <v>#REF!</v>
      </c>
      <c r="BA354" s="89" t="e">
        <f>#REF!</f>
        <v>#REF!</v>
      </c>
      <c r="BB354" s="89" t="e">
        <f>#REF!</f>
        <v>#REF!</v>
      </c>
      <c r="BC354" s="89" t="e">
        <f>#REF!</f>
        <v>#REF!</v>
      </c>
      <c r="BD354" s="89" t="e">
        <f>#REF!</f>
        <v>#REF!</v>
      </c>
      <c r="BE354" s="89" t="e">
        <f>#REF!</f>
        <v>#REF!</v>
      </c>
      <c r="BF354" s="89" t="e">
        <f>#REF!</f>
        <v>#REF!</v>
      </c>
    </row>
    <row r="355" spans="9:58" x14ac:dyDescent="0.25">
      <c r="I355" s="89">
        <f>ABCD!J404</f>
        <v>87.75</v>
      </c>
      <c r="J355" s="89">
        <f>ABCD!K404</f>
        <v>287.82</v>
      </c>
      <c r="K355" s="89">
        <f>ABCD!L404</f>
        <v>-5.5718640027984776</v>
      </c>
      <c r="L355" s="89">
        <f>ABCD!M404</f>
        <v>-1.034729805267826</v>
      </c>
      <c r="M355" s="89">
        <f>ABCD!N404</f>
        <v>5.6671275118521081</v>
      </c>
      <c r="N355" s="89" t="e">
        <v>#REF!</v>
      </c>
      <c r="O355" s="89" t="e">
        <v>#REF!</v>
      </c>
      <c r="P355" s="89" t="e">
        <v>#REF!</v>
      </c>
      <c r="Q355" s="89" t="e">
        <v>#REF!</v>
      </c>
      <c r="R355" s="89" t="e">
        <v>#REF!</v>
      </c>
      <c r="S355" s="89" t="e">
        <f>#REF!</f>
        <v>#REF!</v>
      </c>
      <c r="T355" s="89" t="e">
        <f>#REF!</f>
        <v>#REF!</v>
      </c>
      <c r="U355" s="89" t="e">
        <f>#REF!</f>
        <v>#REF!</v>
      </c>
      <c r="V355" s="89" t="e">
        <f>#REF!</f>
        <v>#REF!</v>
      </c>
      <c r="W355" s="89" t="e">
        <f>#REF!</f>
        <v>#REF!</v>
      </c>
      <c r="X355" s="89" t="e">
        <f>#REF!</f>
        <v>#REF!</v>
      </c>
      <c r="Y355" s="89" t="e">
        <f>#REF!</f>
        <v>#REF!</v>
      </c>
      <c r="Z355" s="89" t="e">
        <f>#REF!</f>
        <v>#REF!</v>
      </c>
      <c r="AA355" s="89" t="e">
        <f>#REF!</f>
        <v>#REF!</v>
      </c>
      <c r="AB355" s="89" t="e">
        <f>#REF!</f>
        <v>#REF!</v>
      </c>
      <c r="AC355" s="89" t="e">
        <f>#REF!</f>
        <v>#REF!</v>
      </c>
      <c r="AD355" s="89" t="e">
        <f>#REF!</f>
        <v>#REF!</v>
      </c>
      <c r="AE355" s="89" t="e">
        <f>#REF!</f>
        <v>#REF!</v>
      </c>
      <c r="AF355" s="89" t="e">
        <f>#REF!</f>
        <v>#REF!</v>
      </c>
      <c r="AG355" s="89" t="e">
        <f>#REF!</f>
        <v>#REF!</v>
      </c>
      <c r="AH355" s="89" t="e">
        <f>#REF!</f>
        <v>#REF!</v>
      </c>
      <c r="AI355" s="89" t="e">
        <f>#REF!</f>
        <v>#REF!</v>
      </c>
      <c r="AJ355" s="89" t="e">
        <f>#REF!</f>
        <v>#REF!</v>
      </c>
      <c r="AK355" s="89" t="e">
        <f>#REF!</f>
        <v>#REF!</v>
      </c>
      <c r="AL355" s="89" t="e">
        <f>#REF!</f>
        <v>#REF!</v>
      </c>
      <c r="AM355" s="89" t="e">
        <f>#REF!</f>
        <v>#REF!</v>
      </c>
      <c r="AN355" s="89" t="e">
        <f>#REF!</f>
        <v>#REF!</v>
      </c>
      <c r="AO355" s="89" t="e">
        <f>#REF!</f>
        <v>#REF!</v>
      </c>
      <c r="AP355" s="89" t="e">
        <f>#REF!</f>
        <v>#REF!</v>
      </c>
      <c r="AQ355" s="89" t="e">
        <f>#REF!</f>
        <v>#REF!</v>
      </c>
      <c r="AR355" s="89" t="e">
        <f>#REF!</f>
        <v>#REF!</v>
      </c>
      <c r="AS355" s="89" t="e">
        <f>#REF!</f>
        <v>#REF!</v>
      </c>
      <c r="AT355" s="89" t="e">
        <f>#REF!</f>
        <v>#REF!</v>
      </c>
      <c r="AU355" s="89" t="e">
        <f>#REF!</f>
        <v>#REF!</v>
      </c>
      <c r="AV355" s="89" t="e">
        <f>#REF!</f>
        <v>#REF!</v>
      </c>
      <c r="AW355" s="89" t="e">
        <f>#REF!</f>
        <v>#REF!</v>
      </c>
      <c r="AX355" s="89" t="e">
        <f>#REF!</f>
        <v>#REF!</v>
      </c>
      <c r="AY355" s="89" t="e">
        <f>#REF!</f>
        <v>#REF!</v>
      </c>
      <c r="AZ355" s="89" t="e">
        <f>#REF!</f>
        <v>#REF!</v>
      </c>
      <c r="BA355" s="89" t="e">
        <f>#REF!</f>
        <v>#REF!</v>
      </c>
      <c r="BB355" s="89" t="e">
        <f>#REF!</f>
        <v>#REF!</v>
      </c>
      <c r="BC355" s="89" t="e">
        <f>#REF!</f>
        <v>#REF!</v>
      </c>
      <c r="BD355" s="89" t="e">
        <f>#REF!</f>
        <v>#REF!</v>
      </c>
      <c r="BE355" s="89" t="e">
        <f>#REF!</f>
        <v>#REF!</v>
      </c>
      <c r="BF355" s="89" t="e">
        <f>#REF!</f>
        <v>#REF!</v>
      </c>
    </row>
    <row r="356" spans="9:58" x14ac:dyDescent="0.25">
      <c r="I356" s="89">
        <f>ABCD!J405</f>
        <v>88</v>
      </c>
      <c r="J356" s="89">
        <f>ABCD!K405</f>
        <v>288.64</v>
      </c>
      <c r="K356" s="89">
        <f>ABCD!L405</f>
        <v>-5.53464305144999</v>
      </c>
      <c r="L356" s="89">
        <f>ABCD!M405</f>
        <v>-1.0287217311529084</v>
      </c>
      <c r="M356" s="89">
        <f>ABCD!N405</f>
        <v>5.6294353275537228</v>
      </c>
      <c r="N356" s="89" t="e">
        <v>#REF!</v>
      </c>
      <c r="O356" s="89" t="e">
        <v>#REF!</v>
      </c>
      <c r="P356" s="89" t="e">
        <v>#REF!</v>
      </c>
      <c r="Q356" s="89" t="e">
        <v>#REF!</v>
      </c>
      <c r="R356" s="89" t="e">
        <v>#REF!</v>
      </c>
      <c r="S356" s="89" t="e">
        <f>#REF!</f>
        <v>#REF!</v>
      </c>
      <c r="T356" s="89" t="e">
        <f>#REF!</f>
        <v>#REF!</v>
      </c>
      <c r="U356" s="89" t="e">
        <f>#REF!</f>
        <v>#REF!</v>
      </c>
      <c r="V356" s="89" t="e">
        <f>#REF!</f>
        <v>#REF!</v>
      </c>
      <c r="W356" s="89" t="e">
        <f>#REF!</f>
        <v>#REF!</v>
      </c>
      <c r="X356" s="89" t="e">
        <f>#REF!</f>
        <v>#REF!</v>
      </c>
      <c r="Y356" s="89" t="e">
        <f>#REF!</f>
        <v>#REF!</v>
      </c>
      <c r="Z356" s="89" t="e">
        <f>#REF!</f>
        <v>#REF!</v>
      </c>
      <c r="AA356" s="89" t="e">
        <f>#REF!</f>
        <v>#REF!</v>
      </c>
      <c r="AB356" s="89" t="e">
        <f>#REF!</f>
        <v>#REF!</v>
      </c>
      <c r="AC356" s="89" t="e">
        <f>#REF!</f>
        <v>#REF!</v>
      </c>
      <c r="AD356" s="89" t="e">
        <f>#REF!</f>
        <v>#REF!</v>
      </c>
      <c r="AE356" s="89" t="e">
        <f>#REF!</f>
        <v>#REF!</v>
      </c>
      <c r="AF356" s="89" t="e">
        <f>#REF!</f>
        <v>#REF!</v>
      </c>
      <c r="AG356" s="89" t="e">
        <f>#REF!</f>
        <v>#REF!</v>
      </c>
      <c r="AH356" s="89" t="e">
        <f>#REF!</f>
        <v>#REF!</v>
      </c>
      <c r="AI356" s="89" t="e">
        <f>#REF!</f>
        <v>#REF!</v>
      </c>
      <c r="AJ356" s="89" t="e">
        <f>#REF!</f>
        <v>#REF!</v>
      </c>
      <c r="AK356" s="89" t="e">
        <f>#REF!</f>
        <v>#REF!</v>
      </c>
      <c r="AL356" s="89" t="e">
        <f>#REF!</f>
        <v>#REF!</v>
      </c>
      <c r="AM356" s="89" t="e">
        <f>#REF!</f>
        <v>#REF!</v>
      </c>
      <c r="AN356" s="89" t="e">
        <f>#REF!</f>
        <v>#REF!</v>
      </c>
      <c r="AO356" s="89" t="e">
        <f>#REF!</f>
        <v>#REF!</v>
      </c>
      <c r="AP356" s="89" t="e">
        <f>#REF!</f>
        <v>#REF!</v>
      </c>
      <c r="AQ356" s="89" t="e">
        <f>#REF!</f>
        <v>#REF!</v>
      </c>
      <c r="AR356" s="89" t="e">
        <f>#REF!</f>
        <v>#REF!</v>
      </c>
      <c r="AS356" s="89" t="e">
        <f>#REF!</f>
        <v>#REF!</v>
      </c>
      <c r="AT356" s="89" t="e">
        <f>#REF!</f>
        <v>#REF!</v>
      </c>
      <c r="AU356" s="89" t="e">
        <f>#REF!</f>
        <v>#REF!</v>
      </c>
      <c r="AV356" s="89" t="e">
        <f>#REF!</f>
        <v>#REF!</v>
      </c>
      <c r="AW356" s="89" t="e">
        <f>#REF!</f>
        <v>#REF!</v>
      </c>
      <c r="AX356" s="89" t="e">
        <f>#REF!</f>
        <v>#REF!</v>
      </c>
      <c r="AY356" s="89" t="e">
        <f>#REF!</f>
        <v>#REF!</v>
      </c>
      <c r="AZ356" s="89" t="e">
        <f>#REF!</f>
        <v>#REF!</v>
      </c>
      <c r="BA356" s="89" t="e">
        <f>#REF!</f>
        <v>#REF!</v>
      </c>
      <c r="BB356" s="89" t="e">
        <f>#REF!</f>
        <v>#REF!</v>
      </c>
      <c r="BC356" s="89" t="e">
        <f>#REF!</f>
        <v>#REF!</v>
      </c>
      <c r="BD356" s="89" t="e">
        <f>#REF!</f>
        <v>#REF!</v>
      </c>
      <c r="BE356" s="89" t="e">
        <f>#REF!</f>
        <v>#REF!</v>
      </c>
      <c r="BF356" s="89" t="e">
        <f>#REF!</f>
        <v>#REF!</v>
      </c>
    </row>
    <row r="357" spans="9:58" x14ac:dyDescent="0.25">
      <c r="I357" s="89">
        <f>ABCD!J406</f>
        <v>88.25</v>
      </c>
      <c r="J357" s="89">
        <f>ABCD!K406</f>
        <v>289.45999999999998</v>
      </c>
      <c r="K357" s="89">
        <f>ABCD!L406</f>
        <v>-5.4961779609325809</v>
      </c>
      <c r="L357" s="89">
        <f>ABCD!M406</f>
        <v>-1.0224815906412208</v>
      </c>
      <c r="M357" s="89">
        <f>ABCD!N406</f>
        <v>5.5904776881265903</v>
      </c>
      <c r="N357" s="89" t="e">
        <v>#REF!</v>
      </c>
      <c r="O357" s="89" t="e">
        <v>#REF!</v>
      </c>
      <c r="P357" s="89" t="e">
        <v>#REF!</v>
      </c>
      <c r="Q357" s="89" t="e">
        <v>#REF!</v>
      </c>
      <c r="R357" s="89" t="e">
        <v>#REF!</v>
      </c>
      <c r="S357" s="89" t="e">
        <f>#REF!</f>
        <v>#REF!</v>
      </c>
      <c r="T357" s="89" t="e">
        <f>#REF!</f>
        <v>#REF!</v>
      </c>
      <c r="U357" s="89" t="e">
        <f>#REF!</f>
        <v>#REF!</v>
      </c>
      <c r="V357" s="89" t="e">
        <f>#REF!</f>
        <v>#REF!</v>
      </c>
      <c r="W357" s="89" t="e">
        <f>#REF!</f>
        <v>#REF!</v>
      </c>
      <c r="X357" s="89" t="e">
        <f>#REF!</f>
        <v>#REF!</v>
      </c>
      <c r="Y357" s="89" t="e">
        <f>#REF!</f>
        <v>#REF!</v>
      </c>
      <c r="Z357" s="89" t="e">
        <f>#REF!</f>
        <v>#REF!</v>
      </c>
      <c r="AA357" s="89" t="e">
        <f>#REF!</f>
        <v>#REF!</v>
      </c>
      <c r="AB357" s="89" t="e">
        <f>#REF!</f>
        <v>#REF!</v>
      </c>
      <c r="AC357" s="89" t="e">
        <f>#REF!</f>
        <v>#REF!</v>
      </c>
      <c r="AD357" s="89" t="e">
        <f>#REF!</f>
        <v>#REF!</v>
      </c>
      <c r="AE357" s="89" t="e">
        <f>#REF!</f>
        <v>#REF!</v>
      </c>
      <c r="AF357" s="89" t="e">
        <f>#REF!</f>
        <v>#REF!</v>
      </c>
      <c r="AG357" s="89" t="e">
        <f>#REF!</f>
        <v>#REF!</v>
      </c>
      <c r="AH357" s="89" t="e">
        <f>#REF!</f>
        <v>#REF!</v>
      </c>
      <c r="AI357" s="89" t="e">
        <f>#REF!</f>
        <v>#REF!</v>
      </c>
      <c r="AJ357" s="89" t="e">
        <f>#REF!</f>
        <v>#REF!</v>
      </c>
      <c r="AK357" s="89" t="e">
        <f>#REF!</f>
        <v>#REF!</v>
      </c>
      <c r="AL357" s="89" t="e">
        <f>#REF!</f>
        <v>#REF!</v>
      </c>
      <c r="AM357" s="89" t="e">
        <f>#REF!</f>
        <v>#REF!</v>
      </c>
      <c r="AN357" s="89" t="e">
        <f>#REF!</f>
        <v>#REF!</v>
      </c>
      <c r="AO357" s="89" t="e">
        <f>#REF!</f>
        <v>#REF!</v>
      </c>
      <c r="AP357" s="89" t="e">
        <f>#REF!</f>
        <v>#REF!</v>
      </c>
      <c r="AQ357" s="89" t="e">
        <f>#REF!</f>
        <v>#REF!</v>
      </c>
      <c r="AR357" s="89" t="e">
        <f>#REF!</f>
        <v>#REF!</v>
      </c>
      <c r="AS357" s="89" t="e">
        <f>#REF!</f>
        <v>#REF!</v>
      </c>
      <c r="AT357" s="89" t="e">
        <f>#REF!</f>
        <v>#REF!</v>
      </c>
      <c r="AU357" s="89" t="e">
        <f>#REF!</f>
        <v>#REF!</v>
      </c>
      <c r="AV357" s="89" t="e">
        <f>#REF!</f>
        <v>#REF!</v>
      </c>
      <c r="AW357" s="89" t="e">
        <f>#REF!</f>
        <v>#REF!</v>
      </c>
      <c r="AX357" s="89" t="e">
        <f>#REF!</f>
        <v>#REF!</v>
      </c>
      <c r="AY357" s="89" t="e">
        <f>#REF!</f>
        <v>#REF!</v>
      </c>
      <c r="AZ357" s="89" t="e">
        <f>#REF!</f>
        <v>#REF!</v>
      </c>
      <c r="BA357" s="89" t="e">
        <f>#REF!</f>
        <v>#REF!</v>
      </c>
      <c r="BB357" s="89" t="e">
        <f>#REF!</f>
        <v>#REF!</v>
      </c>
      <c r="BC357" s="89" t="e">
        <f>#REF!</f>
        <v>#REF!</v>
      </c>
      <c r="BD357" s="89" t="e">
        <f>#REF!</f>
        <v>#REF!</v>
      </c>
      <c r="BE357" s="89" t="e">
        <f>#REF!</f>
        <v>#REF!</v>
      </c>
      <c r="BF357" s="89" t="e">
        <f>#REF!</f>
        <v>#REF!</v>
      </c>
    </row>
    <row r="358" spans="9:58" x14ac:dyDescent="0.25">
      <c r="I358" s="89">
        <f>ABCD!J407</f>
        <v>88.5</v>
      </c>
      <c r="J358" s="89">
        <f>ABCD!K407</f>
        <v>290.27999999999997</v>
      </c>
      <c r="K358" s="89">
        <f>ABCD!L407</f>
        <v>-5.4564787297906454</v>
      </c>
      <c r="L358" s="89">
        <f>ABCD!M407</f>
        <v>-1.0160110329793093</v>
      </c>
      <c r="M358" s="89">
        <f>ABCD!N407</f>
        <v>5.5502647277218609</v>
      </c>
      <c r="N358" s="89" t="e">
        <v>#REF!</v>
      </c>
      <c r="O358" s="89" t="e">
        <v>#REF!</v>
      </c>
      <c r="P358" s="89" t="e">
        <v>#REF!</v>
      </c>
      <c r="Q358" s="89" t="e">
        <v>#REF!</v>
      </c>
      <c r="R358" s="89" t="e">
        <v>#REF!</v>
      </c>
      <c r="S358" s="89" t="e">
        <f>#REF!</f>
        <v>#REF!</v>
      </c>
      <c r="T358" s="89" t="e">
        <f>#REF!</f>
        <v>#REF!</v>
      </c>
      <c r="U358" s="89" t="e">
        <f>#REF!</f>
        <v>#REF!</v>
      </c>
      <c r="V358" s="89" t="e">
        <f>#REF!</f>
        <v>#REF!</v>
      </c>
      <c r="W358" s="89" t="e">
        <f>#REF!</f>
        <v>#REF!</v>
      </c>
      <c r="X358" s="89" t="e">
        <f>#REF!</f>
        <v>#REF!</v>
      </c>
      <c r="Y358" s="89" t="e">
        <f>#REF!</f>
        <v>#REF!</v>
      </c>
      <c r="Z358" s="89" t="e">
        <f>#REF!</f>
        <v>#REF!</v>
      </c>
      <c r="AA358" s="89" t="e">
        <f>#REF!</f>
        <v>#REF!</v>
      </c>
      <c r="AB358" s="89" t="e">
        <f>#REF!</f>
        <v>#REF!</v>
      </c>
      <c r="AC358" s="89" t="e">
        <f>#REF!</f>
        <v>#REF!</v>
      </c>
      <c r="AD358" s="89" t="e">
        <f>#REF!</f>
        <v>#REF!</v>
      </c>
      <c r="AE358" s="89" t="e">
        <f>#REF!</f>
        <v>#REF!</v>
      </c>
      <c r="AF358" s="89" t="e">
        <f>#REF!</f>
        <v>#REF!</v>
      </c>
      <c r="AG358" s="89" t="e">
        <f>#REF!</f>
        <v>#REF!</v>
      </c>
      <c r="AH358" s="89" t="e">
        <f>#REF!</f>
        <v>#REF!</v>
      </c>
      <c r="AI358" s="89" t="e">
        <f>#REF!</f>
        <v>#REF!</v>
      </c>
      <c r="AJ358" s="89" t="e">
        <f>#REF!</f>
        <v>#REF!</v>
      </c>
      <c r="AK358" s="89" t="e">
        <f>#REF!</f>
        <v>#REF!</v>
      </c>
      <c r="AL358" s="89" t="e">
        <f>#REF!</f>
        <v>#REF!</v>
      </c>
      <c r="AM358" s="89" t="e">
        <f>#REF!</f>
        <v>#REF!</v>
      </c>
      <c r="AN358" s="89" t="e">
        <f>#REF!</f>
        <v>#REF!</v>
      </c>
      <c r="AO358" s="89" t="e">
        <f>#REF!</f>
        <v>#REF!</v>
      </c>
      <c r="AP358" s="89" t="e">
        <f>#REF!</f>
        <v>#REF!</v>
      </c>
      <c r="AQ358" s="89" t="e">
        <f>#REF!</f>
        <v>#REF!</v>
      </c>
      <c r="AR358" s="89" t="e">
        <f>#REF!</f>
        <v>#REF!</v>
      </c>
      <c r="AS358" s="89" t="e">
        <f>#REF!</f>
        <v>#REF!</v>
      </c>
      <c r="AT358" s="89" t="e">
        <f>#REF!</f>
        <v>#REF!</v>
      </c>
      <c r="AU358" s="89" t="e">
        <f>#REF!</f>
        <v>#REF!</v>
      </c>
      <c r="AV358" s="89" t="e">
        <f>#REF!</f>
        <v>#REF!</v>
      </c>
      <c r="AW358" s="89" t="e">
        <f>#REF!</f>
        <v>#REF!</v>
      </c>
      <c r="AX358" s="89" t="e">
        <f>#REF!</f>
        <v>#REF!</v>
      </c>
      <c r="AY358" s="89" t="e">
        <f>#REF!</f>
        <v>#REF!</v>
      </c>
      <c r="AZ358" s="89" t="e">
        <f>#REF!</f>
        <v>#REF!</v>
      </c>
      <c r="BA358" s="89" t="e">
        <f>#REF!</f>
        <v>#REF!</v>
      </c>
      <c r="BB358" s="89" t="e">
        <f>#REF!</f>
        <v>#REF!</v>
      </c>
      <c r="BC358" s="89" t="e">
        <f>#REF!</f>
        <v>#REF!</v>
      </c>
      <c r="BD358" s="89" t="e">
        <f>#REF!</f>
        <v>#REF!</v>
      </c>
      <c r="BE358" s="89" t="e">
        <f>#REF!</f>
        <v>#REF!</v>
      </c>
      <c r="BF358" s="89" t="e">
        <f>#REF!</f>
        <v>#REF!</v>
      </c>
    </row>
    <row r="359" spans="9:58" x14ac:dyDescent="0.25">
      <c r="I359" s="89">
        <f>ABCD!J408</f>
        <v>88.75</v>
      </c>
      <c r="J359" s="89">
        <f>ABCD!K408</f>
        <v>291.09999999999997</v>
      </c>
      <c r="K359" s="89">
        <f>ABCD!L408</f>
        <v>-5.4155556324642902</v>
      </c>
      <c r="L359" s="89">
        <f>ABCD!M408</f>
        <v>-1.0093117591198077</v>
      </c>
      <c r="M359" s="89">
        <f>ABCD!N408</f>
        <v>5.508806861327888</v>
      </c>
      <c r="N359" s="89" t="e">
        <v>#REF!</v>
      </c>
      <c r="O359" s="89" t="e">
        <v>#REF!</v>
      </c>
      <c r="P359" s="89" t="e">
        <v>#REF!</v>
      </c>
      <c r="Q359" s="89" t="e">
        <v>#REF!</v>
      </c>
      <c r="R359" s="89" t="e">
        <v>#REF!</v>
      </c>
      <c r="S359" s="89" t="e">
        <f>#REF!</f>
        <v>#REF!</v>
      </c>
      <c r="T359" s="89" t="e">
        <f>#REF!</f>
        <v>#REF!</v>
      </c>
      <c r="U359" s="89" t="e">
        <f>#REF!</f>
        <v>#REF!</v>
      </c>
      <c r="V359" s="89" t="e">
        <f>#REF!</f>
        <v>#REF!</v>
      </c>
      <c r="W359" s="89" t="e">
        <f>#REF!</f>
        <v>#REF!</v>
      </c>
      <c r="X359" s="89" t="e">
        <f>#REF!</f>
        <v>#REF!</v>
      </c>
      <c r="Y359" s="89" t="e">
        <f>#REF!</f>
        <v>#REF!</v>
      </c>
      <c r="Z359" s="89" t="e">
        <f>#REF!</f>
        <v>#REF!</v>
      </c>
      <c r="AA359" s="89" t="e">
        <f>#REF!</f>
        <v>#REF!</v>
      </c>
      <c r="AB359" s="89" t="e">
        <f>#REF!</f>
        <v>#REF!</v>
      </c>
      <c r="AC359" s="89" t="e">
        <f>#REF!</f>
        <v>#REF!</v>
      </c>
      <c r="AD359" s="89" t="e">
        <f>#REF!</f>
        <v>#REF!</v>
      </c>
      <c r="AE359" s="89" t="e">
        <f>#REF!</f>
        <v>#REF!</v>
      </c>
      <c r="AF359" s="89" t="e">
        <f>#REF!</f>
        <v>#REF!</v>
      </c>
      <c r="AG359" s="89" t="e">
        <f>#REF!</f>
        <v>#REF!</v>
      </c>
      <c r="AH359" s="89" t="e">
        <f>#REF!</f>
        <v>#REF!</v>
      </c>
      <c r="AI359" s="89" t="e">
        <f>#REF!</f>
        <v>#REF!</v>
      </c>
      <c r="AJ359" s="89" t="e">
        <f>#REF!</f>
        <v>#REF!</v>
      </c>
      <c r="AK359" s="89" t="e">
        <f>#REF!</f>
        <v>#REF!</v>
      </c>
      <c r="AL359" s="89" t="e">
        <f>#REF!</f>
        <v>#REF!</v>
      </c>
      <c r="AM359" s="89" t="e">
        <f>#REF!</f>
        <v>#REF!</v>
      </c>
      <c r="AN359" s="89" t="e">
        <f>#REF!</f>
        <v>#REF!</v>
      </c>
      <c r="AO359" s="89" t="e">
        <f>#REF!</f>
        <v>#REF!</v>
      </c>
      <c r="AP359" s="89" t="e">
        <f>#REF!</f>
        <v>#REF!</v>
      </c>
      <c r="AQ359" s="89" t="e">
        <f>#REF!</f>
        <v>#REF!</v>
      </c>
      <c r="AR359" s="89" t="e">
        <f>#REF!</f>
        <v>#REF!</v>
      </c>
      <c r="AS359" s="89" t="e">
        <f>#REF!</f>
        <v>#REF!</v>
      </c>
      <c r="AT359" s="89" t="e">
        <f>#REF!</f>
        <v>#REF!</v>
      </c>
      <c r="AU359" s="89" t="e">
        <f>#REF!</f>
        <v>#REF!</v>
      </c>
      <c r="AV359" s="89" t="e">
        <f>#REF!</f>
        <v>#REF!</v>
      </c>
      <c r="AW359" s="89" t="e">
        <f>#REF!</f>
        <v>#REF!</v>
      </c>
      <c r="AX359" s="89" t="e">
        <f>#REF!</f>
        <v>#REF!</v>
      </c>
      <c r="AY359" s="89" t="e">
        <f>#REF!</f>
        <v>#REF!</v>
      </c>
      <c r="AZ359" s="89" t="e">
        <f>#REF!</f>
        <v>#REF!</v>
      </c>
      <c r="BA359" s="89" t="e">
        <f>#REF!</f>
        <v>#REF!</v>
      </c>
      <c r="BB359" s="89" t="e">
        <f>#REF!</f>
        <v>#REF!</v>
      </c>
      <c r="BC359" s="89" t="e">
        <f>#REF!</f>
        <v>#REF!</v>
      </c>
      <c r="BD359" s="89" t="e">
        <f>#REF!</f>
        <v>#REF!</v>
      </c>
      <c r="BE359" s="89" t="e">
        <f>#REF!</f>
        <v>#REF!</v>
      </c>
      <c r="BF359" s="89" t="e">
        <f>#REF!</f>
        <v>#REF!</v>
      </c>
    </row>
    <row r="360" spans="9:58" x14ac:dyDescent="0.25">
      <c r="I360" s="89">
        <f>ABCD!J409</f>
        <v>89</v>
      </c>
      <c r="J360" s="89">
        <f>ABCD!K409</f>
        <v>291.91999999999996</v>
      </c>
      <c r="K360" s="89">
        <f>ABCD!L409</f>
        <v>-5.3734192166693608</v>
      </c>
      <c r="L360" s="89">
        <f>ABCD!M409</f>
        <v>-1.0023855212822776</v>
      </c>
      <c r="M360" s="89">
        <f>ABCD!N409</f>
        <v>5.4661147821233973</v>
      </c>
      <c r="N360" s="89" t="e">
        <v>#REF!</v>
      </c>
      <c r="O360" s="89" t="e">
        <v>#REF!</v>
      </c>
      <c r="P360" s="89" t="e">
        <v>#REF!</v>
      </c>
      <c r="Q360" s="89" t="e">
        <v>#REF!</v>
      </c>
      <c r="R360" s="89" t="e">
        <v>#REF!</v>
      </c>
      <c r="S360" s="89" t="e">
        <f>#REF!</f>
        <v>#REF!</v>
      </c>
      <c r="T360" s="89" t="e">
        <f>#REF!</f>
        <v>#REF!</v>
      </c>
      <c r="U360" s="89" t="e">
        <f>#REF!</f>
        <v>#REF!</v>
      </c>
      <c r="V360" s="89" t="e">
        <f>#REF!</f>
        <v>#REF!</v>
      </c>
      <c r="W360" s="89" t="e">
        <f>#REF!</f>
        <v>#REF!</v>
      </c>
      <c r="X360" s="89" t="e">
        <f>#REF!</f>
        <v>#REF!</v>
      </c>
      <c r="Y360" s="89" t="e">
        <f>#REF!</f>
        <v>#REF!</v>
      </c>
      <c r="Z360" s="89" t="e">
        <f>#REF!</f>
        <v>#REF!</v>
      </c>
      <c r="AA360" s="89" t="e">
        <f>#REF!</f>
        <v>#REF!</v>
      </c>
      <c r="AB360" s="89" t="e">
        <f>#REF!</f>
        <v>#REF!</v>
      </c>
      <c r="AC360" s="89" t="e">
        <f>#REF!</f>
        <v>#REF!</v>
      </c>
      <c r="AD360" s="89" t="e">
        <f>#REF!</f>
        <v>#REF!</v>
      </c>
      <c r="AE360" s="89" t="e">
        <f>#REF!</f>
        <v>#REF!</v>
      </c>
      <c r="AF360" s="89" t="e">
        <f>#REF!</f>
        <v>#REF!</v>
      </c>
      <c r="AG360" s="89" t="e">
        <f>#REF!</f>
        <v>#REF!</v>
      </c>
      <c r="AH360" s="89" t="e">
        <f>#REF!</f>
        <v>#REF!</v>
      </c>
      <c r="AI360" s="89" t="e">
        <f>#REF!</f>
        <v>#REF!</v>
      </c>
      <c r="AJ360" s="89" t="e">
        <f>#REF!</f>
        <v>#REF!</v>
      </c>
      <c r="AK360" s="89" t="e">
        <f>#REF!</f>
        <v>#REF!</v>
      </c>
      <c r="AL360" s="89" t="e">
        <f>#REF!</f>
        <v>#REF!</v>
      </c>
      <c r="AM360" s="89" t="e">
        <f>#REF!</f>
        <v>#REF!</v>
      </c>
      <c r="AN360" s="89" t="e">
        <f>#REF!</f>
        <v>#REF!</v>
      </c>
      <c r="AO360" s="89" t="e">
        <f>#REF!</f>
        <v>#REF!</v>
      </c>
      <c r="AP360" s="89" t="e">
        <f>#REF!</f>
        <v>#REF!</v>
      </c>
      <c r="AQ360" s="89" t="e">
        <f>#REF!</f>
        <v>#REF!</v>
      </c>
      <c r="AR360" s="89" t="e">
        <f>#REF!</f>
        <v>#REF!</v>
      </c>
      <c r="AS360" s="89" t="e">
        <f>#REF!</f>
        <v>#REF!</v>
      </c>
      <c r="AT360" s="89" t="e">
        <f>#REF!</f>
        <v>#REF!</v>
      </c>
      <c r="AU360" s="89" t="e">
        <f>#REF!</f>
        <v>#REF!</v>
      </c>
      <c r="AV360" s="89" t="e">
        <f>#REF!</f>
        <v>#REF!</v>
      </c>
      <c r="AW360" s="89" t="e">
        <f>#REF!</f>
        <v>#REF!</v>
      </c>
      <c r="AX360" s="89" t="e">
        <f>#REF!</f>
        <v>#REF!</v>
      </c>
      <c r="AY360" s="89" t="e">
        <f>#REF!</f>
        <v>#REF!</v>
      </c>
      <c r="AZ360" s="89" t="e">
        <f>#REF!</f>
        <v>#REF!</v>
      </c>
      <c r="BA360" s="89" t="e">
        <f>#REF!</f>
        <v>#REF!</v>
      </c>
      <c r="BB360" s="89" t="e">
        <f>#REF!</f>
        <v>#REF!</v>
      </c>
      <c r="BC360" s="89" t="e">
        <f>#REF!</f>
        <v>#REF!</v>
      </c>
      <c r="BD360" s="89" t="e">
        <f>#REF!</f>
        <v>#REF!</v>
      </c>
      <c r="BE360" s="89" t="e">
        <f>#REF!</f>
        <v>#REF!</v>
      </c>
      <c r="BF360" s="89" t="e">
        <f>#REF!</f>
        <v>#REF!</v>
      </c>
    </row>
    <row r="361" spans="9:58" x14ac:dyDescent="0.25">
      <c r="I361" s="89">
        <f>ABCD!J410</f>
        <v>89.25</v>
      </c>
      <c r="J361" s="89">
        <f>ABCD!K410</f>
        <v>292.74</v>
      </c>
      <c r="K361" s="89">
        <f>ABCD!L410</f>
        <v>-5.3300803007167818</v>
      </c>
      <c r="L361" s="89">
        <f>ABCD!M410</f>
        <v>-0.99523412250259657</v>
      </c>
      <c r="M361" s="89">
        <f>ABCD!N410</f>
        <v>5.4221994587697173</v>
      </c>
      <c r="N361" s="89" t="e">
        <v>#REF!</v>
      </c>
      <c r="O361" s="89" t="e">
        <v>#REF!</v>
      </c>
      <c r="P361" s="89" t="e">
        <v>#REF!</v>
      </c>
      <c r="Q361" s="89" t="e">
        <v>#REF!</v>
      </c>
      <c r="R361" s="89" t="e">
        <v>#REF!</v>
      </c>
      <c r="S361" s="89" t="e">
        <f>#REF!</f>
        <v>#REF!</v>
      </c>
      <c r="T361" s="89" t="e">
        <f>#REF!</f>
        <v>#REF!</v>
      </c>
      <c r="U361" s="89" t="e">
        <f>#REF!</f>
        <v>#REF!</v>
      </c>
      <c r="V361" s="89" t="e">
        <f>#REF!</f>
        <v>#REF!</v>
      </c>
      <c r="W361" s="89" t="e">
        <f>#REF!</f>
        <v>#REF!</v>
      </c>
      <c r="X361" s="89" t="e">
        <f>#REF!</f>
        <v>#REF!</v>
      </c>
      <c r="Y361" s="89" t="e">
        <f>#REF!</f>
        <v>#REF!</v>
      </c>
      <c r="Z361" s="89" t="e">
        <f>#REF!</f>
        <v>#REF!</v>
      </c>
      <c r="AA361" s="89" t="e">
        <f>#REF!</f>
        <v>#REF!</v>
      </c>
      <c r="AB361" s="89" t="e">
        <f>#REF!</f>
        <v>#REF!</v>
      </c>
      <c r="AC361" s="89" t="e">
        <f>#REF!</f>
        <v>#REF!</v>
      </c>
      <c r="AD361" s="89" t="e">
        <f>#REF!</f>
        <v>#REF!</v>
      </c>
      <c r="AE361" s="89" t="e">
        <f>#REF!</f>
        <v>#REF!</v>
      </c>
      <c r="AF361" s="89" t="e">
        <f>#REF!</f>
        <v>#REF!</v>
      </c>
      <c r="AG361" s="89" t="e">
        <f>#REF!</f>
        <v>#REF!</v>
      </c>
      <c r="AH361" s="89" t="e">
        <f>#REF!</f>
        <v>#REF!</v>
      </c>
      <c r="AI361" s="89" t="e">
        <f>#REF!</f>
        <v>#REF!</v>
      </c>
      <c r="AJ361" s="89" t="e">
        <f>#REF!</f>
        <v>#REF!</v>
      </c>
      <c r="AK361" s="89" t="e">
        <f>#REF!</f>
        <v>#REF!</v>
      </c>
      <c r="AL361" s="89" t="e">
        <f>#REF!</f>
        <v>#REF!</v>
      </c>
      <c r="AM361" s="89" t="e">
        <f>#REF!</f>
        <v>#REF!</v>
      </c>
      <c r="AN361" s="89" t="e">
        <f>#REF!</f>
        <v>#REF!</v>
      </c>
      <c r="AO361" s="89" t="e">
        <f>#REF!</f>
        <v>#REF!</v>
      </c>
      <c r="AP361" s="89" t="e">
        <f>#REF!</f>
        <v>#REF!</v>
      </c>
      <c r="AQ361" s="89" t="e">
        <f>#REF!</f>
        <v>#REF!</v>
      </c>
      <c r="AR361" s="89" t="e">
        <f>#REF!</f>
        <v>#REF!</v>
      </c>
      <c r="AS361" s="89" t="e">
        <f>#REF!</f>
        <v>#REF!</v>
      </c>
      <c r="AT361" s="89" t="e">
        <f>#REF!</f>
        <v>#REF!</v>
      </c>
      <c r="AU361" s="89" t="e">
        <f>#REF!</f>
        <v>#REF!</v>
      </c>
      <c r="AV361" s="89" t="e">
        <f>#REF!</f>
        <v>#REF!</v>
      </c>
      <c r="AW361" s="89" t="e">
        <f>#REF!</f>
        <v>#REF!</v>
      </c>
      <c r="AX361" s="89" t="e">
        <f>#REF!</f>
        <v>#REF!</v>
      </c>
      <c r="AY361" s="89" t="e">
        <f>#REF!</f>
        <v>#REF!</v>
      </c>
      <c r="AZ361" s="89" t="e">
        <f>#REF!</f>
        <v>#REF!</v>
      </c>
      <c r="BA361" s="89" t="e">
        <f>#REF!</f>
        <v>#REF!</v>
      </c>
      <c r="BB361" s="89" t="e">
        <f>#REF!</f>
        <v>#REF!</v>
      </c>
      <c r="BC361" s="89" t="e">
        <f>#REF!</f>
        <v>#REF!</v>
      </c>
      <c r="BD361" s="89" t="e">
        <f>#REF!</f>
        <v>#REF!</v>
      </c>
      <c r="BE361" s="89" t="e">
        <f>#REF!</f>
        <v>#REF!</v>
      </c>
      <c r="BF361" s="89" t="e">
        <f>#REF!</f>
        <v>#REF!</v>
      </c>
    </row>
    <row r="362" spans="9:58" x14ac:dyDescent="0.25">
      <c r="I362" s="89">
        <f>ABCD!J411</f>
        <v>89.5</v>
      </c>
      <c r="J362" s="89">
        <f>ABCD!K411</f>
        <v>293.56</v>
      </c>
      <c r="K362" s="89">
        <f>ABCD!L411</f>
        <v>-5.2855499707718074</v>
      </c>
      <c r="L362" s="89">
        <f>ABCD!M411</f>
        <v>-0.98785941617103723</v>
      </c>
      <c r="M362" s="89">
        <f>ABCD!N411</f>
        <v>5.3770721326427857</v>
      </c>
      <c r="N362" s="89" t="e">
        <v>#REF!</v>
      </c>
      <c r="O362" s="89" t="e">
        <v>#REF!</v>
      </c>
      <c r="P362" s="89" t="e">
        <v>#REF!</v>
      </c>
      <c r="Q362" s="89" t="e">
        <v>#REF!</v>
      </c>
      <c r="R362" s="89" t="e">
        <v>#REF!</v>
      </c>
      <c r="S362" s="89" t="e">
        <f>#REF!</f>
        <v>#REF!</v>
      </c>
      <c r="T362" s="89" t="e">
        <f>#REF!</f>
        <v>#REF!</v>
      </c>
      <c r="U362" s="89" t="e">
        <f>#REF!</f>
        <v>#REF!</v>
      </c>
      <c r="V362" s="89" t="e">
        <f>#REF!</f>
        <v>#REF!</v>
      </c>
      <c r="W362" s="89" t="e">
        <f>#REF!</f>
        <v>#REF!</v>
      </c>
      <c r="X362" s="89" t="e">
        <f>#REF!</f>
        <v>#REF!</v>
      </c>
      <c r="Y362" s="89" t="e">
        <f>#REF!</f>
        <v>#REF!</v>
      </c>
      <c r="Z362" s="89" t="e">
        <f>#REF!</f>
        <v>#REF!</v>
      </c>
      <c r="AA362" s="89" t="e">
        <f>#REF!</f>
        <v>#REF!</v>
      </c>
      <c r="AB362" s="89" t="e">
        <f>#REF!</f>
        <v>#REF!</v>
      </c>
      <c r="AC362" s="89" t="e">
        <f>#REF!</f>
        <v>#REF!</v>
      </c>
      <c r="AD362" s="89" t="e">
        <f>#REF!</f>
        <v>#REF!</v>
      </c>
      <c r="AE362" s="89" t="e">
        <f>#REF!</f>
        <v>#REF!</v>
      </c>
      <c r="AF362" s="89" t="e">
        <f>#REF!</f>
        <v>#REF!</v>
      </c>
      <c r="AG362" s="89" t="e">
        <f>#REF!</f>
        <v>#REF!</v>
      </c>
      <c r="AH362" s="89" t="e">
        <f>#REF!</f>
        <v>#REF!</v>
      </c>
      <c r="AI362" s="89" t="e">
        <f>#REF!</f>
        <v>#REF!</v>
      </c>
      <c r="AJ362" s="89" t="e">
        <f>#REF!</f>
        <v>#REF!</v>
      </c>
      <c r="AK362" s="89" t="e">
        <f>#REF!</f>
        <v>#REF!</v>
      </c>
      <c r="AL362" s="89" t="e">
        <f>#REF!</f>
        <v>#REF!</v>
      </c>
      <c r="AM362" s="89" t="e">
        <f>#REF!</f>
        <v>#REF!</v>
      </c>
      <c r="AN362" s="89" t="e">
        <f>#REF!</f>
        <v>#REF!</v>
      </c>
      <c r="AO362" s="89" t="e">
        <f>#REF!</f>
        <v>#REF!</v>
      </c>
      <c r="AP362" s="89" t="e">
        <f>#REF!</f>
        <v>#REF!</v>
      </c>
      <c r="AQ362" s="89" t="e">
        <f>#REF!</f>
        <v>#REF!</v>
      </c>
      <c r="AR362" s="89" t="e">
        <f>#REF!</f>
        <v>#REF!</v>
      </c>
      <c r="AS362" s="89" t="e">
        <f>#REF!</f>
        <v>#REF!</v>
      </c>
      <c r="AT362" s="89" t="e">
        <f>#REF!</f>
        <v>#REF!</v>
      </c>
      <c r="AU362" s="89" t="e">
        <f>#REF!</f>
        <v>#REF!</v>
      </c>
      <c r="AV362" s="89" t="e">
        <f>#REF!</f>
        <v>#REF!</v>
      </c>
      <c r="AW362" s="89" t="e">
        <f>#REF!</f>
        <v>#REF!</v>
      </c>
      <c r="AX362" s="89" t="e">
        <f>#REF!</f>
        <v>#REF!</v>
      </c>
      <c r="AY362" s="89" t="e">
        <f>#REF!</f>
        <v>#REF!</v>
      </c>
      <c r="AZ362" s="89" t="e">
        <f>#REF!</f>
        <v>#REF!</v>
      </c>
      <c r="BA362" s="89" t="e">
        <f>#REF!</f>
        <v>#REF!</v>
      </c>
      <c r="BB362" s="89" t="e">
        <f>#REF!</f>
        <v>#REF!</v>
      </c>
      <c r="BC362" s="89" t="e">
        <f>#REF!</f>
        <v>#REF!</v>
      </c>
      <c r="BD362" s="89" t="e">
        <f>#REF!</f>
        <v>#REF!</v>
      </c>
      <c r="BE362" s="89" t="e">
        <f>#REF!</f>
        <v>#REF!</v>
      </c>
      <c r="BF362" s="89" t="e">
        <f>#REF!</f>
        <v>#REF!</v>
      </c>
    </row>
    <row r="363" spans="9:58" x14ac:dyDescent="0.25">
      <c r="I363" s="89">
        <f>ABCD!J412</f>
        <v>89.75</v>
      </c>
      <c r="J363" s="89">
        <f>ABCD!K412</f>
        <v>294.38</v>
      </c>
      <c r="K363" s="89">
        <f>ABCD!L412</f>
        <v>-5.2398395780539069</v>
      </c>
      <c r="L363" s="89">
        <f>ABCD!M412</f>
        <v>-0.98026330555912422</v>
      </c>
      <c r="M363" s="89">
        <f>ABCD!N412</f>
        <v>5.3307443150057239</v>
      </c>
      <c r="N363" s="89" t="e">
        <v>#REF!</v>
      </c>
      <c r="O363" s="89" t="e">
        <v>#REF!</v>
      </c>
      <c r="P363" s="89" t="e">
        <v>#REF!</v>
      </c>
      <c r="Q363" s="89" t="e">
        <v>#REF!</v>
      </c>
      <c r="R363" s="89" t="e">
        <v>#REF!</v>
      </c>
      <c r="S363" s="89" t="e">
        <f>#REF!</f>
        <v>#REF!</v>
      </c>
      <c r="T363" s="89" t="e">
        <f>#REF!</f>
        <v>#REF!</v>
      </c>
      <c r="U363" s="89" t="e">
        <f>#REF!</f>
        <v>#REF!</v>
      </c>
      <c r="V363" s="89" t="e">
        <f>#REF!</f>
        <v>#REF!</v>
      </c>
      <c r="W363" s="89" t="e">
        <f>#REF!</f>
        <v>#REF!</v>
      </c>
      <c r="X363" s="89" t="e">
        <f>#REF!</f>
        <v>#REF!</v>
      </c>
      <c r="Y363" s="89" t="e">
        <f>#REF!</f>
        <v>#REF!</v>
      </c>
      <c r="Z363" s="89" t="e">
        <f>#REF!</f>
        <v>#REF!</v>
      </c>
      <c r="AA363" s="89" t="e">
        <f>#REF!</f>
        <v>#REF!</v>
      </c>
      <c r="AB363" s="89" t="e">
        <f>#REF!</f>
        <v>#REF!</v>
      </c>
      <c r="AC363" s="89" t="e">
        <f>#REF!</f>
        <v>#REF!</v>
      </c>
      <c r="AD363" s="89" t="e">
        <f>#REF!</f>
        <v>#REF!</v>
      </c>
      <c r="AE363" s="89" t="e">
        <f>#REF!</f>
        <v>#REF!</v>
      </c>
      <c r="AF363" s="89" t="e">
        <f>#REF!</f>
        <v>#REF!</v>
      </c>
      <c r="AG363" s="89" t="e">
        <f>#REF!</f>
        <v>#REF!</v>
      </c>
      <c r="AH363" s="89" t="e">
        <f>#REF!</f>
        <v>#REF!</v>
      </c>
      <c r="AI363" s="89" t="e">
        <f>#REF!</f>
        <v>#REF!</v>
      </c>
      <c r="AJ363" s="89" t="e">
        <f>#REF!</f>
        <v>#REF!</v>
      </c>
      <c r="AK363" s="89" t="e">
        <f>#REF!</f>
        <v>#REF!</v>
      </c>
      <c r="AL363" s="89" t="e">
        <f>#REF!</f>
        <v>#REF!</v>
      </c>
      <c r="AM363" s="89" t="e">
        <f>#REF!</f>
        <v>#REF!</v>
      </c>
      <c r="AN363" s="89" t="e">
        <f>#REF!</f>
        <v>#REF!</v>
      </c>
      <c r="AO363" s="89" t="e">
        <f>#REF!</f>
        <v>#REF!</v>
      </c>
      <c r="AP363" s="89" t="e">
        <f>#REF!</f>
        <v>#REF!</v>
      </c>
      <c r="AQ363" s="89" t="e">
        <f>#REF!</f>
        <v>#REF!</v>
      </c>
      <c r="AR363" s="89" t="e">
        <f>#REF!</f>
        <v>#REF!</v>
      </c>
      <c r="AS363" s="89" t="e">
        <f>#REF!</f>
        <v>#REF!</v>
      </c>
      <c r="AT363" s="89" t="e">
        <f>#REF!</f>
        <v>#REF!</v>
      </c>
      <c r="AU363" s="89" t="e">
        <f>#REF!</f>
        <v>#REF!</v>
      </c>
      <c r="AV363" s="89" t="e">
        <f>#REF!</f>
        <v>#REF!</v>
      </c>
      <c r="AW363" s="89" t="e">
        <f>#REF!</f>
        <v>#REF!</v>
      </c>
      <c r="AX363" s="89" t="e">
        <f>#REF!</f>
        <v>#REF!</v>
      </c>
      <c r="AY363" s="89" t="e">
        <f>#REF!</f>
        <v>#REF!</v>
      </c>
      <c r="AZ363" s="89" t="e">
        <f>#REF!</f>
        <v>#REF!</v>
      </c>
      <c r="BA363" s="89" t="e">
        <f>#REF!</f>
        <v>#REF!</v>
      </c>
      <c r="BB363" s="89" t="e">
        <f>#REF!</f>
        <v>#REF!</v>
      </c>
      <c r="BC363" s="89" t="e">
        <f>#REF!</f>
        <v>#REF!</v>
      </c>
      <c r="BD363" s="89" t="e">
        <f>#REF!</f>
        <v>#REF!</v>
      </c>
      <c r="BE363" s="89" t="e">
        <f>#REF!</f>
        <v>#REF!</v>
      </c>
      <c r="BF363" s="89" t="e">
        <f>#REF!</f>
        <v>#REF!</v>
      </c>
    </row>
    <row r="364" spans="9:58" x14ac:dyDescent="0.25">
      <c r="I364" s="89">
        <f>ABCD!J413</f>
        <v>90</v>
      </c>
      <c r="J364" s="89">
        <f>ABCD!K413</f>
        <v>295.2</v>
      </c>
      <c r="K364" s="89">
        <f>ABCD!L413</f>
        <v>-5.1929607359780192</v>
      </c>
      <c r="L364" s="89">
        <f>ABCD!M413</f>
        <v>-0.97244774333541395</v>
      </c>
      <c r="M364" s="89">
        <f>ABCD!N413</f>
        <v>5.2832277841228379</v>
      </c>
      <c r="N364" s="89" t="e">
        <v>#REF!</v>
      </c>
      <c r="O364" s="89" t="e">
        <v>#REF!</v>
      </c>
      <c r="P364" s="89" t="e">
        <v>#REF!</v>
      </c>
      <c r="Q364" s="89" t="e">
        <v>#REF!</v>
      </c>
      <c r="R364" s="89" t="e">
        <v>#REF!</v>
      </c>
      <c r="S364" s="89" t="e">
        <f>#REF!</f>
        <v>#REF!</v>
      </c>
      <c r="T364" s="89" t="e">
        <f>#REF!</f>
        <v>#REF!</v>
      </c>
      <c r="U364" s="89" t="e">
        <f>#REF!</f>
        <v>#REF!</v>
      </c>
      <c r="V364" s="89" t="e">
        <f>#REF!</f>
        <v>#REF!</v>
      </c>
      <c r="W364" s="89" t="e">
        <f>#REF!</f>
        <v>#REF!</v>
      </c>
      <c r="X364" s="89" t="e">
        <f>#REF!</f>
        <v>#REF!</v>
      </c>
      <c r="Y364" s="89" t="e">
        <f>#REF!</f>
        <v>#REF!</v>
      </c>
      <c r="Z364" s="89" t="e">
        <f>#REF!</f>
        <v>#REF!</v>
      </c>
      <c r="AA364" s="89" t="e">
        <f>#REF!</f>
        <v>#REF!</v>
      </c>
      <c r="AB364" s="89" t="e">
        <f>#REF!</f>
        <v>#REF!</v>
      </c>
      <c r="AC364" s="89" t="e">
        <f>#REF!</f>
        <v>#REF!</v>
      </c>
      <c r="AD364" s="89" t="e">
        <f>#REF!</f>
        <v>#REF!</v>
      </c>
      <c r="AE364" s="89" t="e">
        <f>#REF!</f>
        <v>#REF!</v>
      </c>
      <c r="AF364" s="89" t="e">
        <f>#REF!</f>
        <v>#REF!</v>
      </c>
      <c r="AG364" s="89" t="e">
        <f>#REF!</f>
        <v>#REF!</v>
      </c>
      <c r="AH364" s="89" t="e">
        <f>#REF!</f>
        <v>#REF!</v>
      </c>
      <c r="AI364" s="89" t="e">
        <f>#REF!</f>
        <v>#REF!</v>
      </c>
      <c r="AJ364" s="89" t="e">
        <f>#REF!</f>
        <v>#REF!</v>
      </c>
      <c r="AK364" s="89" t="e">
        <f>#REF!</f>
        <v>#REF!</v>
      </c>
      <c r="AL364" s="89" t="e">
        <f>#REF!</f>
        <v>#REF!</v>
      </c>
      <c r="AM364" s="89" t="e">
        <f>#REF!</f>
        <v>#REF!</v>
      </c>
      <c r="AN364" s="89" t="e">
        <f>#REF!</f>
        <v>#REF!</v>
      </c>
      <c r="AO364" s="89" t="e">
        <f>#REF!</f>
        <v>#REF!</v>
      </c>
      <c r="AP364" s="89" t="e">
        <f>#REF!</f>
        <v>#REF!</v>
      </c>
      <c r="AQ364" s="89" t="e">
        <f>#REF!</f>
        <v>#REF!</v>
      </c>
      <c r="AR364" s="89" t="e">
        <f>#REF!</f>
        <v>#REF!</v>
      </c>
      <c r="AS364" s="89" t="e">
        <f>#REF!</f>
        <v>#REF!</v>
      </c>
      <c r="AT364" s="89" t="e">
        <f>#REF!</f>
        <v>#REF!</v>
      </c>
      <c r="AU364" s="89" t="e">
        <f>#REF!</f>
        <v>#REF!</v>
      </c>
      <c r="AV364" s="89" t="e">
        <f>#REF!</f>
        <v>#REF!</v>
      </c>
      <c r="AW364" s="89" t="e">
        <f>#REF!</f>
        <v>#REF!</v>
      </c>
      <c r="AX364" s="89" t="e">
        <f>#REF!</f>
        <v>#REF!</v>
      </c>
      <c r="AY364" s="89" t="e">
        <f>#REF!</f>
        <v>#REF!</v>
      </c>
      <c r="AZ364" s="89" t="e">
        <f>#REF!</f>
        <v>#REF!</v>
      </c>
      <c r="BA364" s="89" t="e">
        <f>#REF!</f>
        <v>#REF!</v>
      </c>
      <c r="BB364" s="89" t="e">
        <f>#REF!</f>
        <v>#REF!</v>
      </c>
      <c r="BC364" s="89" t="e">
        <f>#REF!</f>
        <v>#REF!</v>
      </c>
      <c r="BD364" s="89" t="e">
        <f>#REF!</f>
        <v>#REF!</v>
      </c>
      <c r="BE364" s="89" t="e">
        <f>#REF!</f>
        <v>#REF!</v>
      </c>
      <c r="BF364" s="89" t="e">
        <f>#REF!</f>
        <v>#REF!</v>
      </c>
    </row>
    <row r="365" spans="9:58" x14ac:dyDescent="0.25">
      <c r="I365" s="89">
        <f>ABCD!J414</f>
        <v>90.25</v>
      </c>
      <c r="J365" s="89">
        <f>ABCD!K414</f>
        <v>296.02</v>
      </c>
      <c r="K365" s="89">
        <f>ABCD!L414</f>
        <v>-5.1449253172378207</v>
      </c>
      <c r="L365" s="89">
        <f>ABCD!M414</f>
        <v>-0.96441473107029596</v>
      </c>
      <c r="M365" s="89">
        <f>ABCD!N414</f>
        <v>5.2345345823158036</v>
      </c>
      <c r="N365" s="89" t="e">
        <v>#REF!</v>
      </c>
      <c r="O365" s="89" t="e">
        <v>#REF!</v>
      </c>
      <c r="P365" s="89" t="e">
        <v>#REF!</v>
      </c>
      <c r="Q365" s="89" t="e">
        <v>#REF!</v>
      </c>
      <c r="R365" s="89" t="e">
        <v>#REF!</v>
      </c>
      <c r="S365" s="89" t="e">
        <f>#REF!</f>
        <v>#REF!</v>
      </c>
      <c r="T365" s="89" t="e">
        <f>#REF!</f>
        <v>#REF!</v>
      </c>
      <c r="U365" s="89" t="e">
        <f>#REF!</f>
        <v>#REF!</v>
      </c>
      <c r="V365" s="89" t="e">
        <f>#REF!</f>
        <v>#REF!</v>
      </c>
      <c r="W365" s="89" t="e">
        <f>#REF!</f>
        <v>#REF!</v>
      </c>
      <c r="X365" s="89" t="e">
        <f>#REF!</f>
        <v>#REF!</v>
      </c>
      <c r="Y365" s="89" t="e">
        <f>#REF!</f>
        <v>#REF!</v>
      </c>
      <c r="Z365" s="89" t="e">
        <f>#REF!</f>
        <v>#REF!</v>
      </c>
      <c r="AA365" s="89" t="e">
        <f>#REF!</f>
        <v>#REF!</v>
      </c>
      <c r="AB365" s="89" t="e">
        <f>#REF!</f>
        <v>#REF!</v>
      </c>
      <c r="AC365" s="89" t="e">
        <f>#REF!</f>
        <v>#REF!</v>
      </c>
      <c r="AD365" s="89" t="e">
        <f>#REF!</f>
        <v>#REF!</v>
      </c>
      <c r="AE365" s="89" t="e">
        <f>#REF!</f>
        <v>#REF!</v>
      </c>
      <c r="AF365" s="89" t="e">
        <f>#REF!</f>
        <v>#REF!</v>
      </c>
      <c r="AG365" s="89" t="e">
        <f>#REF!</f>
        <v>#REF!</v>
      </c>
      <c r="AH365" s="89" t="e">
        <f>#REF!</f>
        <v>#REF!</v>
      </c>
      <c r="AI365" s="89" t="e">
        <f>#REF!</f>
        <v>#REF!</v>
      </c>
      <c r="AJ365" s="89" t="e">
        <f>#REF!</f>
        <v>#REF!</v>
      </c>
      <c r="AK365" s="89" t="e">
        <f>#REF!</f>
        <v>#REF!</v>
      </c>
      <c r="AL365" s="89" t="e">
        <f>#REF!</f>
        <v>#REF!</v>
      </c>
      <c r="AM365" s="89" t="e">
        <f>#REF!</f>
        <v>#REF!</v>
      </c>
      <c r="AN365" s="89" t="e">
        <f>#REF!</f>
        <v>#REF!</v>
      </c>
      <c r="AO365" s="89" t="e">
        <f>#REF!</f>
        <v>#REF!</v>
      </c>
      <c r="AP365" s="89" t="e">
        <f>#REF!</f>
        <v>#REF!</v>
      </c>
      <c r="AQ365" s="89" t="e">
        <f>#REF!</f>
        <v>#REF!</v>
      </c>
      <c r="AR365" s="89" t="e">
        <f>#REF!</f>
        <v>#REF!</v>
      </c>
      <c r="AS365" s="89" t="e">
        <f>#REF!</f>
        <v>#REF!</v>
      </c>
      <c r="AT365" s="89" t="e">
        <f>#REF!</f>
        <v>#REF!</v>
      </c>
      <c r="AU365" s="89" t="e">
        <f>#REF!</f>
        <v>#REF!</v>
      </c>
      <c r="AV365" s="89" t="e">
        <f>#REF!</f>
        <v>#REF!</v>
      </c>
      <c r="AW365" s="89" t="e">
        <f>#REF!</f>
        <v>#REF!</v>
      </c>
      <c r="AX365" s="89" t="e">
        <f>#REF!</f>
        <v>#REF!</v>
      </c>
      <c r="AY365" s="89" t="e">
        <f>#REF!</f>
        <v>#REF!</v>
      </c>
      <c r="AZ365" s="89" t="e">
        <f>#REF!</f>
        <v>#REF!</v>
      </c>
      <c r="BA365" s="89" t="e">
        <f>#REF!</f>
        <v>#REF!</v>
      </c>
      <c r="BB365" s="89" t="e">
        <f>#REF!</f>
        <v>#REF!</v>
      </c>
      <c r="BC365" s="89" t="e">
        <f>#REF!</f>
        <v>#REF!</v>
      </c>
      <c r="BD365" s="89" t="e">
        <f>#REF!</f>
        <v>#REF!</v>
      </c>
      <c r="BE365" s="89" t="e">
        <f>#REF!</f>
        <v>#REF!</v>
      </c>
      <c r="BF365" s="89" t="e">
        <f>#REF!</f>
        <v>#REF!</v>
      </c>
    </row>
    <row r="366" spans="9:58" x14ac:dyDescent="0.25">
      <c r="I366" s="89">
        <f>ABCD!J415</f>
        <v>90.5</v>
      </c>
      <c r="J366" s="89">
        <f>ABCD!K415</f>
        <v>296.83999999999997</v>
      </c>
      <c r="K366" s="89">
        <f>ABCD!L415</f>
        <v>-5.0957454508317568</v>
      </c>
      <c r="L366" s="89">
        <f>ABCD!M415</f>
        <v>-0.95616631872995717</v>
      </c>
      <c r="M366" s="89">
        <f>ABCD!N415</f>
        <v>5.1846770129629229</v>
      </c>
      <c r="N366" s="89" t="e">
        <v>#REF!</v>
      </c>
      <c r="O366" s="89" t="e">
        <v>#REF!</v>
      </c>
      <c r="P366" s="89" t="e">
        <v>#REF!</v>
      </c>
      <c r="Q366" s="89" t="e">
        <v>#REF!</v>
      </c>
      <c r="R366" s="89" t="e">
        <v>#REF!</v>
      </c>
      <c r="S366" s="89" t="e">
        <f>#REF!</f>
        <v>#REF!</v>
      </c>
      <c r="T366" s="89" t="e">
        <f>#REF!</f>
        <v>#REF!</v>
      </c>
      <c r="U366" s="89" t="e">
        <f>#REF!</f>
        <v>#REF!</v>
      </c>
      <c r="V366" s="89" t="e">
        <f>#REF!</f>
        <v>#REF!</v>
      </c>
      <c r="W366" s="89" t="e">
        <f>#REF!</f>
        <v>#REF!</v>
      </c>
      <c r="X366" s="89" t="e">
        <f>#REF!</f>
        <v>#REF!</v>
      </c>
      <c r="Y366" s="89" t="e">
        <f>#REF!</f>
        <v>#REF!</v>
      </c>
      <c r="Z366" s="89" t="e">
        <f>#REF!</f>
        <v>#REF!</v>
      </c>
      <c r="AA366" s="89" t="e">
        <f>#REF!</f>
        <v>#REF!</v>
      </c>
      <c r="AB366" s="89" t="e">
        <f>#REF!</f>
        <v>#REF!</v>
      </c>
      <c r="AC366" s="89" t="e">
        <f>#REF!</f>
        <v>#REF!</v>
      </c>
      <c r="AD366" s="89" t="e">
        <f>#REF!</f>
        <v>#REF!</v>
      </c>
      <c r="AE366" s="89" t="e">
        <f>#REF!</f>
        <v>#REF!</v>
      </c>
      <c r="AF366" s="89" t="e">
        <f>#REF!</f>
        <v>#REF!</v>
      </c>
      <c r="AG366" s="89" t="e">
        <f>#REF!</f>
        <v>#REF!</v>
      </c>
      <c r="AH366" s="89" t="e">
        <f>#REF!</f>
        <v>#REF!</v>
      </c>
      <c r="AI366" s="89" t="e">
        <f>#REF!</f>
        <v>#REF!</v>
      </c>
      <c r="AJ366" s="89" t="e">
        <f>#REF!</f>
        <v>#REF!</v>
      </c>
      <c r="AK366" s="89" t="e">
        <f>#REF!</f>
        <v>#REF!</v>
      </c>
      <c r="AL366" s="89" t="e">
        <f>#REF!</f>
        <v>#REF!</v>
      </c>
      <c r="AM366" s="89" t="e">
        <f>#REF!</f>
        <v>#REF!</v>
      </c>
      <c r="AN366" s="89" t="e">
        <f>#REF!</f>
        <v>#REF!</v>
      </c>
      <c r="AO366" s="89" t="e">
        <f>#REF!</f>
        <v>#REF!</v>
      </c>
      <c r="AP366" s="89" t="e">
        <f>#REF!</f>
        <v>#REF!</v>
      </c>
      <c r="AQ366" s="89" t="e">
        <f>#REF!</f>
        <v>#REF!</v>
      </c>
      <c r="AR366" s="89" t="e">
        <f>#REF!</f>
        <v>#REF!</v>
      </c>
      <c r="AS366" s="89" t="e">
        <f>#REF!</f>
        <v>#REF!</v>
      </c>
      <c r="AT366" s="89" t="e">
        <f>#REF!</f>
        <v>#REF!</v>
      </c>
      <c r="AU366" s="89" t="e">
        <f>#REF!</f>
        <v>#REF!</v>
      </c>
      <c r="AV366" s="89" t="e">
        <f>#REF!</f>
        <v>#REF!</v>
      </c>
      <c r="AW366" s="89" t="e">
        <f>#REF!</f>
        <v>#REF!</v>
      </c>
      <c r="AX366" s="89" t="e">
        <f>#REF!</f>
        <v>#REF!</v>
      </c>
      <c r="AY366" s="89" t="e">
        <f>#REF!</f>
        <v>#REF!</v>
      </c>
      <c r="AZ366" s="89" t="e">
        <f>#REF!</f>
        <v>#REF!</v>
      </c>
      <c r="BA366" s="89" t="e">
        <f>#REF!</f>
        <v>#REF!</v>
      </c>
      <c r="BB366" s="89" t="e">
        <f>#REF!</f>
        <v>#REF!</v>
      </c>
      <c r="BC366" s="89" t="e">
        <f>#REF!</f>
        <v>#REF!</v>
      </c>
      <c r="BD366" s="89" t="e">
        <f>#REF!</f>
        <v>#REF!</v>
      </c>
      <c r="BE366" s="89" t="e">
        <f>#REF!</f>
        <v>#REF!</v>
      </c>
      <c r="BF366" s="89" t="e">
        <f>#REF!</f>
        <v>#REF!</v>
      </c>
    </row>
    <row r="367" spans="9:58" x14ac:dyDescent="0.25">
      <c r="I367" s="89">
        <f>ABCD!J416</f>
        <v>90.75</v>
      </c>
      <c r="J367" s="89">
        <f>ABCD!K416</f>
        <v>297.65999999999997</v>
      </c>
      <c r="K367" s="89">
        <f>ABCD!L416</f>
        <v>-5.0454335190326276</v>
      </c>
      <c r="L367" s="89">
        <f>ABCD!M416</f>
        <v>-0.94770460415963287</v>
      </c>
      <c r="M367" s="89">
        <f>ABCD!N416</f>
        <v>5.1336676374423904</v>
      </c>
      <c r="N367" s="89" t="e">
        <v>#REF!</v>
      </c>
      <c r="O367" s="89" t="e">
        <v>#REF!</v>
      </c>
      <c r="P367" s="89" t="e">
        <v>#REF!</v>
      </c>
      <c r="Q367" s="89" t="e">
        <v>#REF!</v>
      </c>
      <c r="R367" s="89" t="e">
        <v>#REF!</v>
      </c>
      <c r="S367" s="89" t="e">
        <f>#REF!</f>
        <v>#REF!</v>
      </c>
      <c r="T367" s="89" t="e">
        <f>#REF!</f>
        <v>#REF!</v>
      </c>
      <c r="U367" s="89" t="e">
        <f>#REF!</f>
        <v>#REF!</v>
      </c>
      <c r="V367" s="89" t="e">
        <f>#REF!</f>
        <v>#REF!</v>
      </c>
      <c r="W367" s="89" t="e">
        <f>#REF!</f>
        <v>#REF!</v>
      </c>
      <c r="X367" s="89" t="e">
        <f>#REF!</f>
        <v>#REF!</v>
      </c>
      <c r="Y367" s="89" t="e">
        <f>#REF!</f>
        <v>#REF!</v>
      </c>
      <c r="Z367" s="89" t="e">
        <f>#REF!</f>
        <v>#REF!</v>
      </c>
      <c r="AA367" s="89" t="e">
        <f>#REF!</f>
        <v>#REF!</v>
      </c>
      <c r="AB367" s="89" t="e">
        <f>#REF!</f>
        <v>#REF!</v>
      </c>
      <c r="AC367" s="89" t="e">
        <f>#REF!</f>
        <v>#REF!</v>
      </c>
      <c r="AD367" s="89" t="e">
        <f>#REF!</f>
        <v>#REF!</v>
      </c>
      <c r="AE367" s="89" t="e">
        <f>#REF!</f>
        <v>#REF!</v>
      </c>
      <c r="AF367" s="89" t="e">
        <f>#REF!</f>
        <v>#REF!</v>
      </c>
      <c r="AG367" s="89" t="e">
        <f>#REF!</f>
        <v>#REF!</v>
      </c>
      <c r="AH367" s="89" t="e">
        <f>#REF!</f>
        <v>#REF!</v>
      </c>
      <c r="AI367" s="89" t="e">
        <f>#REF!</f>
        <v>#REF!</v>
      </c>
      <c r="AJ367" s="89" t="e">
        <f>#REF!</f>
        <v>#REF!</v>
      </c>
      <c r="AK367" s="89" t="e">
        <f>#REF!</f>
        <v>#REF!</v>
      </c>
      <c r="AL367" s="89" t="e">
        <f>#REF!</f>
        <v>#REF!</v>
      </c>
      <c r="AM367" s="89" t="e">
        <f>#REF!</f>
        <v>#REF!</v>
      </c>
      <c r="AN367" s="89" t="e">
        <f>#REF!</f>
        <v>#REF!</v>
      </c>
      <c r="AO367" s="89" t="e">
        <f>#REF!</f>
        <v>#REF!</v>
      </c>
      <c r="AP367" s="89" t="e">
        <f>#REF!</f>
        <v>#REF!</v>
      </c>
      <c r="AQ367" s="89" t="e">
        <f>#REF!</f>
        <v>#REF!</v>
      </c>
      <c r="AR367" s="89" t="e">
        <f>#REF!</f>
        <v>#REF!</v>
      </c>
      <c r="AS367" s="89" t="e">
        <f>#REF!</f>
        <v>#REF!</v>
      </c>
      <c r="AT367" s="89" t="e">
        <f>#REF!</f>
        <v>#REF!</v>
      </c>
      <c r="AU367" s="89" t="e">
        <f>#REF!</f>
        <v>#REF!</v>
      </c>
      <c r="AV367" s="89" t="e">
        <f>#REF!</f>
        <v>#REF!</v>
      </c>
      <c r="AW367" s="89" t="e">
        <f>#REF!</f>
        <v>#REF!</v>
      </c>
      <c r="AX367" s="89" t="e">
        <f>#REF!</f>
        <v>#REF!</v>
      </c>
      <c r="AY367" s="89" t="e">
        <f>#REF!</f>
        <v>#REF!</v>
      </c>
      <c r="AZ367" s="89" t="e">
        <f>#REF!</f>
        <v>#REF!</v>
      </c>
      <c r="BA367" s="89" t="e">
        <f>#REF!</f>
        <v>#REF!</v>
      </c>
      <c r="BB367" s="89" t="e">
        <f>#REF!</f>
        <v>#REF!</v>
      </c>
      <c r="BC367" s="89" t="e">
        <f>#REF!</f>
        <v>#REF!</v>
      </c>
      <c r="BD367" s="89" t="e">
        <f>#REF!</f>
        <v>#REF!</v>
      </c>
      <c r="BE367" s="89" t="e">
        <f>#REF!</f>
        <v>#REF!</v>
      </c>
      <c r="BF367" s="89" t="e">
        <f>#REF!</f>
        <v>#REF!</v>
      </c>
    </row>
    <row r="368" spans="9:58" x14ac:dyDescent="0.25">
      <c r="I368" s="89">
        <f>ABCD!J417</f>
        <v>91</v>
      </c>
      <c r="J368" s="89">
        <f>ABCD!K417</f>
        <v>298.47999999999996</v>
      </c>
      <c r="K368" s="89">
        <f>ABCD!L417</f>
        <v>-4.994002154301393</v>
      </c>
      <c r="L368" s="89">
        <f>ABCD!M417</f>
        <v>-0.93903173255625982</v>
      </c>
      <c r="M368" s="89">
        <f>ABCD!N417</f>
        <v>5.0815192720203832</v>
      </c>
      <c r="N368" s="89" t="e">
        <v>#REF!</v>
      </c>
      <c r="O368" s="89" t="e">
        <v>#REF!</v>
      </c>
      <c r="P368" s="89" t="e">
        <v>#REF!</v>
      </c>
      <c r="Q368" s="89" t="e">
        <v>#REF!</v>
      </c>
      <c r="R368" s="89" t="e">
        <v>#REF!</v>
      </c>
      <c r="S368" s="89" t="e">
        <f>#REF!</f>
        <v>#REF!</v>
      </c>
      <c r="T368" s="89" t="e">
        <f>#REF!</f>
        <v>#REF!</v>
      </c>
      <c r="U368" s="89" t="e">
        <f>#REF!</f>
        <v>#REF!</v>
      </c>
      <c r="V368" s="89" t="e">
        <f>#REF!</f>
        <v>#REF!</v>
      </c>
      <c r="W368" s="89" t="e">
        <f>#REF!</f>
        <v>#REF!</v>
      </c>
      <c r="X368" s="89" t="e">
        <f>#REF!</f>
        <v>#REF!</v>
      </c>
      <c r="Y368" s="89" t="e">
        <f>#REF!</f>
        <v>#REF!</v>
      </c>
      <c r="Z368" s="89" t="e">
        <f>#REF!</f>
        <v>#REF!</v>
      </c>
      <c r="AA368" s="89" t="e">
        <f>#REF!</f>
        <v>#REF!</v>
      </c>
      <c r="AB368" s="89" t="e">
        <f>#REF!</f>
        <v>#REF!</v>
      </c>
      <c r="AC368" s="89" t="e">
        <f>#REF!</f>
        <v>#REF!</v>
      </c>
      <c r="AD368" s="89" t="e">
        <f>#REF!</f>
        <v>#REF!</v>
      </c>
      <c r="AE368" s="89" t="e">
        <f>#REF!</f>
        <v>#REF!</v>
      </c>
      <c r="AF368" s="89" t="e">
        <f>#REF!</f>
        <v>#REF!</v>
      </c>
      <c r="AG368" s="89" t="e">
        <f>#REF!</f>
        <v>#REF!</v>
      </c>
      <c r="AH368" s="89" t="e">
        <f>#REF!</f>
        <v>#REF!</v>
      </c>
      <c r="AI368" s="89" t="e">
        <f>#REF!</f>
        <v>#REF!</v>
      </c>
      <c r="AJ368" s="89" t="e">
        <f>#REF!</f>
        <v>#REF!</v>
      </c>
      <c r="AK368" s="89" t="e">
        <f>#REF!</f>
        <v>#REF!</v>
      </c>
      <c r="AL368" s="89" t="e">
        <f>#REF!</f>
        <v>#REF!</v>
      </c>
      <c r="AM368" s="89" t="e">
        <f>#REF!</f>
        <v>#REF!</v>
      </c>
      <c r="AN368" s="89" t="e">
        <f>#REF!</f>
        <v>#REF!</v>
      </c>
      <c r="AO368" s="89" t="e">
        <f>#REF!</f>
        <v>#REF!</v>
      </c>
      <c r="AP368" s="89" t="e">
        <f>#REF!</f>
        <v>#REF!</v>
      </c>
      <c r="AQ368" s="89" t="e">
        <f>#REF!</f>
        <v>#REF!</v>
      </c>
      <c r="AR368" s="89" t="e">
        <f>#REF!</f>
        <v>#REF!</v>
      </c>
      <c r="AS368" s="89" t="e">
        <f>#REF!</f>
        <v>#REF!</v>
      </c>
      <c r="AT368" s="89" t="e">
        <f>#REF!</f>
        <v>#REF!</v>
      </c>
      <c r="AU368" s="89" t="e">
        <f>#REF!</f>
        <v>#REF!</v>
      </c>
      <c r="AV368" s="89" t="e">
        <f>#REF!</f>
        <v>#REF!</v>
      </c>
      <c r="AW368" s="89" t="e">
        <f>#REF!</f>
        <v>#REF!</v>
      </c>
      <c r="AX368" s="89" t="e">
        <f>#REF!</f>
        <v>#REF!</v>
      </c>
      <c r="AY368" s="89" t="e">
        <f>#REF!</f>
        <v>#REF!</v>
      </c>
      <c r="AZ368" s="89" t="e">
        <f>#REF!</f>
        <v>#REF!</v>
      </c>
      <c r="BA368" s="89" t="e">
        <f>#REF!</f>
        <v>#REF!</v>
      </c>
      <c r="BB368" s="89" t="e">
        <f>#REF!</f>
        <v>#REF!</v>
      </c>
      <c r="BC368" s="89" t="e">
        <f>#REF!</f>
        <v>#REF!</v>
      </c>
      <c r="BD368" s="89" t="e">
        <f>#REF!</f>
        <v>#REF!</v>
      </c>
      <c r="BE368" s="89" t="e">
        <f>#REF!</f>
        <v>#REF!</v>
      </c>
      <c r="BF368" s="89" t="e">
        <f>#REF!</f>
        <v>#REF!</v>
      </c>
    </row>
    <row r="369" spans="9:58" x14ac:dyDescent="0.25">
      <c r="I369" s="89">
        <f>ABCD!J418</f>
        <v>91.25</v>
      </c>
      <c r="J369" s="89">
        <f>ABCD!K418</f>
        <v>299.29999999999995</v>
      </c>
      <c r="K369" s="89">
        <f>ABCD!L418</f>
        <v>-4.9414642361460146</v>
      </c>
      <c r="L369" s="89">
        <f>ABCD!M418</f>
        <v>-0.93014989593068487</v>
      </c>
      <c r="M369" s="89">
        <f>ABCD!N418</f>
        <v>5.0282449846850126</v>
      </c>
      <c r="N369" s="89" t="e">
        <v>#REF!</v>
      </c>
      <c r="O369" s="89" t="e">
        <v>#REF!</v>
      </c>
      <c r="P369" s="89" t="e">
        <v>#REF!</v>
      </c>
      <c r="Q369" s="89" t="e">
        <v>#REF!</v>
      </c>
      <c r="R369" s="89" t="e">
        <v>#REF!</v>
      </c>
      <c r="S369" s="89" t="e">
        <f>#REF!</f>
        <v>#REF!</v>
      </c>
      <c r="T369" s="89" t="e">
        <f>#REF!</f>
        <v>#REF!</v>
      </c>
      <c r="U369" s="89" t="e">
        <f>#REF!</f>
        <v>#REF!</v>
      </c>
      <c r="V369" s="89" t="e">
        <f>#REF!</f>
        <v>#REF!</v>
      </c>
      <c r="W369" s="89" t="e">
        <f>#REF!</f>
        <v>#REF!</v>
      </c>
      <c r="X369" s="89" t="e">
        <f>#REF!</f>
        <v>#REF!</v>
      </c>
      <c r="Y369" s="89" t="e">
        <f>#REF!</f>
        <v>#REF!</v>
      </c>
      <c r="Z369" s="89" t="e">
        <f>#REF!</f>
        <v>#REF!</v>
      </c>
      <c r="AA369" s="89" t="e">
        <f>#REF!</f>
        <v>#REF!</v>
      </c>
      <c r="AB369" s="89" t="e">
        <f>#REF!</f>
        <v>#REF!</v>
      </c>
      <c r="AC369" s="89" t="e">
        <f>#REF!</f>
        <v>#REF!</v>
      </c>
      <c r="AD369" s="89" t="e">
        <f>#REF!</f>
        <v>#REF!</v>
      </c>
      <c r="AE369" s="89" t="e">
        <f>#REF!</f>
        <v>#REF!</v>
      </c>
      <c r="AF369" s="89" t="e">
        <f>#REF!</f>
        <v>#REF!</v>
      </c>
      <c r="AG369" s="89" t="e">
        <f>#REF!</f>
        <v>#REF!</v>
      </c>
      <c r="AH369" s="89" t="e">
        <f>#REF!</f>
        <v>#REF!</v>
      </c>
      <c r="AI369" s="89" t="e">
        <f>#REF!</f>
        <v>#REF!</v>
      </c>
      <c r="AJ369" s="89" t="e">
        <f>#REF!</f>
        <v>#REF!</v>
      </c>
      <c r="AK369" s="89" t="e">
        <f>#REF!</f>
        <v>#REF!</v>
      </c>
      <c r="AL369" s="89" t="e">
        <f>#REF!</f>
        <v>#REF!</v>
      </c>
      <c r="AM369" s="89" t="e">
        <f>#REF!</f>
        <v>#REF!</v>
      </c>
      <c r="AN369" s="89" t="e">
        <f>#REF!</f>
        <v>#REF!</v>
      </c>
      <c r="AO369" s="89" t="e">
        <f>#REF!</f>
        <v>#REF!</v>
      </c>
      <c r="AP369" s="89" t="e">
        <f>#REF!</f>
        <v>#REF!</v>
      </c>
      <c r="AQ369" s="89" t="e">
        <f>#REF!</f>
        <v>#REF!</v>
      </c>
      <c r="AR369" s="89" t="e">
        <f>#REF!</f>
        <v>#REF!</v>
      </c>
      <c r="AS369" s="89" t="e">
        <f>#REF!</f>
        <v>#REF!</v>
      </c>
      <c r="AT369" s="89" t="e">
        <f>#REF!</f>
        <v>#REF!</v>
      </c>
      <c r="AU369" s="89" t="e">
        <f>#REF!</f>
        <v>#REF!</v>
      </c>
      <c r="AV369" s="89" t="e">
        <f>#REF!</f>
        <v>#REF!</v>
      </c>
      <c r="AW369" s="89" t="e">
        <f>#REF!</f>
        <v>#REF!</v>
      </c>
      <c r="AX369" s="89" t="e">
        <f>#REF!</f>
        <v>#REF!</v>
      </c>
      <c r="AY369" s="89" t="e">
        <f>#REF!</f>
        <v>#REF!</v>
      </c>
      <c r="AZ369" s="89" t="e">
        <f>#REF!</f>
        <v>#REF!</v>
      </c>
      <c r="BA369" s="89" t="e">
        <f>#REF!</f>
        <v>#REF!</v>
      </c>
      <c r="BB369" s="89" t="e">
        <f>#REF!</f>
        <v>#REF!</v>
      </c>
      <c r="BC369" s="89" t="e">
        <f>#REF!</f>
        <v>#REF!</v>
      </c>
      <c r="BD369" s="89" t="e">
        <f>#REF!</f>
        <v>#REF!</v>
      </c>
      <c r="BE369" s="89" t="e">
        <f>#REF!</f>
        <v>#REF!</v>
      </c>
      <c r="BF369" s="89" t="e">
        <f>#REF!</f>
        <v>#REF!</v>
      </c>
    </row>
    <row r="370" spans="9:58" x14ac:dyDescent="0.25">
      <c r="I370" s="89">
        <f>ABCD!J419</f>
        <v>91.5</v>
      </c>
      <c r="J370" s="89">
        <f>ABCD!K419</f>
        <v>300.12</v>
      </c>
      <c r="K370" s="89">
        <f>ABCD!L419</f>
        <v>-4.8878328879260877</v>
      </c>
      <c r="L370" s="89">
        <f>ABCD!M419</f>
        <v>-0.92106133255954492</v>
      </c>
      <c r="M370" s="89">
        <f>ABCD!N419</f>
        <v>4.9738580919270552</v>
      </c>
      <c r="N370" s="89" t="e">
        <v>#REF!</v>
      </c>
      <c r="O370" s="89" t="e">
        <v>#REF!</v>
      </c>
      <c r="P370" s="89" t="e">
        <v>#REF!</v>
      </c>
      <c r="Q370" s="89" t="e">
        <v>#REF!</v>
      </c>
      <c r="R370" s="89" t="e">
        <v>#REF!</v>
      </c>
      <c r="S370" s="89" t="e">
        <f>#REF!</f>
        <v>#REF!</v>
      </c>
      <c r="T370" s="89" t="e">
        <f>#REF!</f>
        <v>#REF!</v>
      </c>
      <c r="U370" s="89" t="e">
        <f>#REF!</f>
        <v>#REF!</v>
      </c>
      <c r="V370" s="89" t="e">
        <f>#REF!</f>
        <v>#REF!</v>
      </c>
      <c r="W370" s="89" t="e">
        <f>#REF!</f>
        <v>#REF!</v>
      </c>
      <c r="X370" s="89" t="e">
        <f>#REF!</f>
        <v>#REF!</v>
      </c>
      <c r="Y370" s="89" t="e">
        <f>#REF!</f>
        <v>#REF!</v>
      </c>
      <c r="Z370" s="89" t="e">
        <f>#REF!</f>
        <v>#REF!</v>
      </c>
      <c r="AA370" s="89" t="e">
        <f>#REF!</f>
        <v>#REF!</v>
      </c>
      <c r="AB370" s="89" t="e">
        <f>#REF!</f>
        <v>#REF!</v>
      </c>
      <c r="AC370" s="89" t="e">
        <f>#REF!</f>
        <v>#REF!</v>
      </c>
      <c r="AD370" s="89" t="e">
        <f>#REF!</f>
        <v>#REF!</v>
      </c>
      <c r="AE370" s="89" t="e">
        <f>#REF!</f>
        <v>#REF!</v>
      </c>
      <c r="AF370" s="89" t="e">
        <f>#REF!</f>
        <v>#REF!</v>
      </c>
      <c r="AG370" s="89" t="e">
        <f>#REF!</f>
        <v>#REF!</v>
      </c>
      <c r="AH370" s="89" t="e">
        <f>#REF!</f>
        <v>#REF!</v>
      </c>
      <c r="AI370" s="89" t="e">
        <f>#REF!</f>
        <v>#REF!</v>
      </c>
      <c r="AJ370" s="89" t="e">
        <f>#REF!</f>
        <v>#REF!</v>
      </c>
      <c r="AK370" s="89" t="e">
        <f>#REF!</f>
        <v>#REF!</v>
      </c>
      <c r="AL370" s="89" t="e">
        <f>#REF!</f>
        <v>#REF!</v>
      </c>
      <c r="AM370" s="89" t="e">
        <f>#REF!</f>
        <v>#REF!</v>
      </c>
      <c r="AN370" s="89" t="e">
        <f>#REF!</f>
        <v>#REF!</v>
      </c>
      <c r="AO370" s="89" t="e">
        <f>#REF!</f>
        <v>#REF!</v>
      </c>
      <c r="AP370" s="89" t="e">
        <f>#REF!</f>
        <v>#REF!</v>
      </c>
      <c r="AQ370" s="89" t="e">
        <f>#REF!</f>
        <v>#REF!</v>
      </c>
      <c r="AR370" s="89" t="e">
        <f>#REF!</f>
        <v>#REF!</v>
      </c>
      <c r="AS370" s="89" t="e">
        <f>#REF!</f>
        <v>#REF!</v>
      </c>
      <c r="AT370" s="89" t="e">
        <f>#REF!</f>
        <v>#REF!</v>
      </c>
      <c r="AU370" s="89" t="e">
        <f>#REF!</f>
        <v>#REF!</v>
      </c>
      <c r="AV370" s="89" t="e">
        <f>#REF!</f>
        <v>#REF!</v>
      </c>
      <c r="AW370" s="89" t="e">
        <f>#REF!</f>
        <v>#REF!</v>
      </c>
      <c r="AX370" s="89" t="e">
        <f>#REF!</f>
        <v>#REF!</v>
      </c>
      <c r="AY370" s="89" t="e">
        <f>#REF!</f>
        <v>#REF!</v>
      </c>
      <c r="AZ370" s="89" t="e">
        <f>#REF!</f>
        <v>#REF!</v>
      </c>
      <c r="BA370" s="89" t="e">
        <f>#REF!</f>
        <v>#REF!</v>
      </c>
      <c r="BB370" s="89" t="e">
        <f>#REF!</f>
        <v>#REF!</v>
      </c>
      <c r="BC370" s="89" t="e">
        <f>#REF!</f>
        <v>#REF!</v>
      </c>
      <c r="BD370" s="89" t="e">
        <f>#REF!</f>
        <v>#REF!</v>
      </c>
      <c r="BE370" s="89" t="e">
        <f>#REF!</f>
        <v>#REF!</v>
      </c>
      <c r="BF370" s="89" t="e">
        <f>#REF!</f>
        <v>#REF!</v>
      </c>
    </row>
    <row r="371" spans="9:58" x14ac:dyDescent="0.25">
      <c r="I371" s="89">
        <f>ABCD!J420</f>
        <v>91.75</v>
      </c>
      <c r="J371" s="89">
        <f>ABCD!K420</f>
        <v>300.94</v>
      </c>
      <c r="K371" s="89">
        <f>ABCD!L420</f>
        <v>-4.8331214736040735</v>
      </c>
      <c r="L371" s="89">
        <f>ABCD!M420</f>
        <v>-0.9117683264269536</v>
      </c>
      <c r="M371" s="89">
        <f>ABCD!N420</f>
        <v>4.9183721554685365</v>
      </c>
      <c r="N371" s="89" t="e">
        <v>#REF!</v>
      </c>
      <c r="O371" s="89" t="e">
        <v>#REF!</v>
      </c>
      <c r="P371" s="89" t="e">
        <v>#REF!</v>
      </c>
      <c r="Q371" s="89" t="e">
        <v>#REF!</v>
      </c>
      <c r="R371" s="89" t="e">
        <v>#REF!</v>
      </c>
      <c r="S371" s="89" t="e">
        <f>#REF!</f>
        <v>#REF!</v>
      </c>
      <c r="T371" s="89" t="e">
        <f>#REF!</f>
        <v>#REF!</v>
      </c>
      <c r="U371" s="89" t="e">
        <f>#REF!</f>
        <v>#REF!</v>
      </c>
      <c r="V371" s="89" t="e">
        <f>#REF!</f>
        <v>#REF!</v>
      </c>
      <c r="W371" s="89" t="e">
        <f>#REF!</f>
        <v>#REF!</v>
      </c>
      <c r="X371" s="89" t="e">
        <f>#REF!</f>
        <v>#REF!</v>
      </c>
      <c r="Y371" s="89" t="e">
        <f>#REF!</f>
        <v>#REF!</v>
      </c>
      <c r="Z371" s="89" t="e">
        <f>#REF!</f>
        <v>#REF!</v>
      </c>
      <c r="AA371" s="89" t="e">
        <f>#REF!</f>
        <v>#REF!</v>
      </c>
      <c r="AB371" s="89" t="e">
        <f>#REF!</f>
        <v>#REF!</v>
      </c>
      <c r="AC371" s="89" t="e">
        <f>#REF!</f>
        <v>#REF!</v>
      </c>
      <c r="AD371" s="89" t="e">
        <f>#REF!</f>
        <v>#REF!</v>
      </c>
      <c r="AE371" s="89" t="e">
        <f>#REF!</f>
        <v>#REF!</v>
      </c>
      <c r="AF371" s="89" t="e">
        <f>#REF!</f>
        <v>#REF!</v>
      </c>
      <c r="AG371" s="89" t="e">
        <f>#REF!</f>
        <v>#REF!</v>
      </c>
      <c r="AH371" s="89" t="e">
        <f>#REF!</f>
        <v>#REF!</v>
      </c>
      <c r="AI371" s="89" t="e">
        <f>#REF!</f>
        <v>#REF!</v>
      </c>
      <c r="AJ371" s="89" t="e">
        <f>#REF!</f>
        <v>#REF!</v>
      </c>
      <c r="AK371" s="89" t="e">
        <f>#REF!</f>
        <v>#REF!</v>
      </c>
      <c r="AL371" s="89" t="e">
        <f>#REF!</f>
        <v>#REF!</v>
      </c>
      <c r="AM371" s="89" t="e">
        <f>#REF!</f>
        <v>#REF!</v>
      </c>
      <c r="AN371" s="89" t="e">
        <f>#REF!</f>
        <v>#REF!</v>
      </c>
      <c r="AO371" s="89" t="e">
        <f>#REF!</f>
        <v>#REF!</v>
      </c>
      <c r="AP371" s="89" t="e">
        <f>#REF!</f>
        <v>#REF!</v>
      </c>
      <c r="AQ371" s="89" t="e">
        <f>#REF!</f>
        <v>#REF!</v>
      </c>
      <c r="AR371" s="89" t="e">
        <f>#REF!</f>
        <v>#REF!</v>
      </c>
      <c r="AS371" s="89" t="e">
        <f>#REF!</f>
        <v>#REF!</v>
      </c>
      <c r="AT371" s="89" t="e">
        <f>#REF!</f>
        <v>#REF!</v>
      </c>
      <c r="AU371" s="89" t="e">
        <f>#REF!</f>
        <v>#REF!</v>
      </c>
      <c r="AV371" s="89" t="e">
        <f>#REF!</f>
        <v>#REF!</v>
      </c>
      <c r="AW371" s="89" t="e">
        <f>#REF!</f>
        <v>#REF!</v>
      </c>
      <c r="AX371" s="89" t="e">
        <f>#REF!</f>
        <v>#REF!</v>
      </c>
      <c r="AY371" s="89" t="e">
        <f>#REF!</f>
        <v>#REF!</v>
      </c>
      <c r="AZ371" s="89" t="e">
        <f>#REF!</f>
        <v>#REF!</v>
      </c>
      <c r="BA371" s="89" t="e">
        <f>#REF!</f>
        <v>#REF!</v>
      </c>
      <c r="BB371" s="89" t="e">
        <f>#REF!</f>
        <v>#REF!</v>
      </c>
      <c r="BC371" s="89" t="e">
        <f>#REF!</f>
        <v>#REF!</v>
      </c>
      <c r="BD371" s="89" t="e">
        <f>#REF!</f>
        <v>#REF!</v>
      </c>
      <c r="BE371" s="89" t="e">
        <f>#REF!</f>
        <v>#REF!</v>
      </c>
      <c r="BF371" s="89" t="e">
        <f>#REF!</f>
        <v>#REF!</v>
      </c>
    </row>
    <row r="372" spans="9:58" x14ac:dyDescent="0.25">
      <c r="I372" s="89">
        <f>ABCD!J421</f>
        <v>92</v>
      </c>
      <c r="J372" s="89">
        <f>ABCD!K421</f>
        <v>301.76</v>
      </c>
      <c r="K372" s="89">
        <f>ABCD!L421</f>
        <v>-4.7773435944439067</v>
      </c>
      <c r="L372" s="89">
        <f>ABCD!M421</f>
        <v>-0.90227320665615407</v>
      </c>
      <c r="M372" s="89">
        <f>ABCD!N421</f>
        <v>4.8618009789401917</v>
      </c>
      <c r="N372" s="89" t="e">
        <v>#REF!</v>
      </c>
      <c r="O372" s="89" t="e">
        <v>#REF!</v>
      </c>
      <c r="P372" s="89" t="e">
        <v>#REF!</v>
      </c>
      <c r="Q372" s="89" t="e">
        <v>#REF!</v>
      </c>
      <c r="R372" s="89" t="e">
        <v>#REF!</v>
      </c>
      <c r="S372" s="89" t="e">
        <f>#REF!</f>
        <v>#REF!</v>
      </c>
      <c r="T372" s="89" t="e">
        <f>#REF!</f>
        <v>#REF!</v>
      </c>
      <c r="U372" s="89" t="e">
        <f>#REF!</f>
        <v>#REF!</v>
      </c>
      <c r="V372" s="89" t="e">
        <f>#REF!</f>
        <v>#REF!</v>
      </c>
      <c r="W372" s="89" t="e">
        <f>#REF!</f>
        <v>#REF!</v>
      </c>
      <c r="X372" s="89" t="e">
        <f>#REF!</f>
        <v>#REF!</v>
      </c>
      <c r="Y372" s="89" t="e">
        <f>#REF!</f>
        <v>#REF!</v>
      </c>
      <c r="Z372" s="89" t="e">
        <f>#REF!</f>
        <v>#REF!</v>
      </c>
      <c r="AA372" s="89" t="e">
        <f>#REF!</f>
        <v>#REF!</v>
      </c>
      <c r="AB372" s="89" t="e">
        <f>#REF!</f>
        <v>#REF!</v>
      </c>
      <c r="AC372" s="89" t="e">
        <f>#REF!</f>
        <v>#REF!</v>
      </c>
      <c r="AD372" s="89" t="e">
        <f>#REF!</f>
        <v>#REF!</v>
      </c>
      <c r="AE372" s="89" t="e">
        <f>#REF!</f>
        <v>#REF!</v>
      </c>
      <c r="AF372" s="89" t="e">
        <f>#REF!</f>
        <v>#REF!</v>
      </c>
      <c r="AG372" s="89" t="e">
        <f>#REF!</f>
        <v>#REF!</v>
      </c>
      <c r="AH372" s="89" t="e">
        <f>#REF!</f>
        <v>#REF!</v>
      </c>
      <c r="AI372" s="89" t="e">
        <f>#REF!</f>
        <v>#REF!</v>
      </c>
      <c r="AJ372" s="89" t="e">
        <f>#REF!</f>
        <v>#REF!</v>
      </c>
      <c r="AK372" s="89" t="e">
        <f>#REF!</f>
        <v>#REF!</v>
      </c>
      <c r="AL372" s="89" t="e">
        <f>#REF!</f>
        <v>#REF!</v>
      </c>
      <c r="AM372" s="89" t="e">
        <f>#REF!</f>
        <v>#REF!</v>
      </c>
      <c r="AN372" s="89" t="e">
        <f>#REF!</f>
        <v>#REF!</v>
      </c>
      <c r="AO372" s="89" t="e">
        <f>#REF!</f>
        <v>#REF!</v>
      </c>
      <c r="AP372" s="89" t="e">
        <f>#REF!</f>
        <v>#REF!</v>
      </c>
      <c r="AQ372" s="89" t="e">
        <f>#REF!</f>
        <v>#REF!</v>
      </c>
      <c r="AR372" s="89" t="e">
        <f>#REF!</f>
        <v>#REF!</v>
      </c>
      <c r="AS372" s="89" t="e">
        <f>#REF!</f>
        <v>#REF!</v>
      </c>
      <c r="AT372" s="89" t="e">
        <f>#REF!</f>
        <v>#REF!</v>
      </c>
      <c r="AU372" s="89" t="e">
        <f>#REF!</f>
        <v>#REF!</v>
      </c>
      <c r="AV372" s="89" t="e">
        <f>#REF!</f>
        <v>#REF!</v>
      </c>
      <c r="AW372" s="89" t="e">
        <f>#REF!</f>
        <v>#REF!</v>
      </c>
      <c r="AX372" s="89" t="e">
        <f>#REF!</f>
        <v>#REF!</v>
      </c>
      <c r="AY372" s="89" t="e">
        <f>#REF!</f>
        <v>#REF!</v>
      </c>
      <c r="AZ372" s="89" t="e">
        <f>#REF!</f>
        <v>#REF!</v>
      </c>
      <c r="BA372" s="89" t="e">
        <f>#REF!</f>
        <v>#REF!</v>
      </c>
      <c r="BB372" s="89" t="e">
        <f>#REF!</f>
        <v>#REF!</v>
      </c>
      <c r="BC372" s="89" t="e">
        <f>#REF!</f>
        <v>#REF!</v>
      </c>
      <c r="BD372" s="89" t="e">
        <f>#REF!</f>
        <v>#REF!</v>
      </c>
      <c r="BE372" s="89" t="e">
        <f>#REF!</f>
        <v>#REF!</v>
      </c>
      <c r="BF372" s="89" t="e">
        <f>#REF!</f>
        <v>#REF!</v>
      </c>
    </row>
    <row r="373" spans="9:58" x14ac:dyDescent="0.25">
      <c r="I373" s="89">
        <f>ABCD!J422</f>
        <v>92.25</v>
      </c>
      <c r="J373" s="89">
        <f>ABCD!K422</f>
        <v>302.58</v>
      </c>
      <c r="K373" s="89">
        <f>ABCD!L422</f>
        <v>-4.720513085657764</v>
      </c>
      <c r="L373" s="89">
        <f>ABCD!M422</f>
        <v>-0.89257834693125004</v>
      </c>
      <c r="M373" s="89">
        <f>ABCD!N422</f>
        <v>4.8041586045088795</v>
      </c>
      <c r="N373" s="89" t="e">
        <v>#REF!</v>
      </c>
      <c r="O373" s="89" t="e">
        <v>#REF!</v>
      </c>
      <c r="P373" s="89" t="e">
        <v>#REF!</v>
      </c>
      <c r="Q373" s="89" t="e">
        <v>#REF!</v>
      </c>
      <c r="R373" s="89" t="e">
        <v>#REF!</v>
      </c>
      <c r="S373" s="89" t="e">
        <f>#REF!</f>
        <v>#REF!</v>
      </c>
      <c r="T373" s="89" t="e">
        <f>#REF!</f>
        <v>#REF!</v>
      </c>
      <c r="U373" s="89" t="e">
        <f>#REF!</f>
        <v>#REF!</v>
      </c>
      <c r="V373" s="89" t="e">
        <f>#REF!</f>
        <v>#REF!</v>
      </c>
      <c r="W373" s="89" t="e">
        <f>#REF!</f>
        <v>#REF!</v>
      </c>
      <c r="X373" s="89" t="e">
        <f>#REF!</f>
        <v>#REF!</v>
      </c>
      <c r="Y373" s="89" t="e">
        <f>#REF!</f>
        <v>#REF!</v>
      </c>
      <c r="Z373" s="89" t="e">
        <f>#REF!</f>
        <v>#REF!</v>
      </c>
      <c r="AA373" s="89" t="e">
        <f>#REF!</f>
        <v>#REF!</v>
      </c>
      <c r="AB373" s="89" t="e">
        <f>#REF!</f>
        <v>#REF!</v>
      </c>
      <c r="AC373" s="89" t="e">
        <f>#REF!</f>
        <v>#REF!</v>
      </c>
      <c r="AD373" s="89" t="e">
        <f>#REF!</f>
        <v>#REF!</v>
      </c>
      <c r="AE373" s="89" t="e">
        <f>#REF!</f>
        <v>#REF!</v>
      </c>
      <c r="AF373" s="89" t="e">
        <f>#REF!</f>
        <v>#REF!</v>
      </c>
      <c r="AG373" s="89" t="e">
        <f>#REF!</f>
        <v>#REF!</v>
      </c>
      <c r="AH373" s="89" t="e">
        <f>#REF!</f>
        <v>#REF!</v>
      </c>
      <c r="AI373" s="89" t="e">
        <f>#REF!</f>
        <v>#REF!</v>
      </c>
      <c r="AJ373" s="89" t="e">
        <f>#REF!</f>
        <v>#REF!</v>
      </c>
      <c r="AK373" s="89" t="e">
        <f>#REF!</f>
        <v>#REF!</v>
      </c>
      <c r="AL373" s="89" t="e">
        <f>#REF!</f>
        <v>#REF!</v>
      </c>
      <c r="AM373" s="89" t="e">
        <f>#REF!</f>
        <v>#REF!</v>
      </c>
      <c r="AN373" s="89" t="e">
        <f>#REF!</f>
        <v>#REF!</v>
      </c>
      <c r="AO373" s="89" t="e">
        <f>#REF!</f>
        <v>#REF!</v>
      </c>
      <c r="AP373" s="89" t="e">
        <f>#REF!</f>
        <v>#REF!</v>
      </c>
      <c r="AQ373" s="89" t="e">
        <f>#REF!</f>
        <v>#REF!</v>
      </c>
      <c r="AR373" s="89" t="e">
        <f>#REF!</f>
        <v>#REF!</v>
      </c>
      <c r="AS373" s="89" t="e">
        <f>#REF!</f>
        <v>#REF!</v>
      </c>
      <c r="AT373" s="89" t="e">
        <f>#REF!</f>
        <v>#REF!</v>
      </c>
      <c r="AU373" s="89" t="e">
        <f>#REF!</f>
        <v>#REF!</v>
      </c>
      <c r="AV373" s="89" t="e">
        <f>#REF!</f>
        <v>#REF!</v>
      </c>
      <c r="AW373" s="89" t="e">
        <f>#REF!</f>
        <v>#REF!</v>
      </c>
      <c r="AX373" s="89" t="e">
        <f>#REF!</f>
        <v>#REF!</v>
      </c>
      <c r="AY373" s="89" t="e">
        <f>#REF!</f>
        <v>#REF!</v>
      </c>
      <c r="AZ373" s="89" t="e">
        <f>#REF!</f>
        <v>#REF!</v>
      </c>
      <c r="BA373" s="89" t="e">
        <f>#REF!</f>
        <v>#REF!</v>
      </c>
      <c r="BB373" s="89" t="e">
        <f>#REF!</f>
        <v>#REF!</v>
      </c>
      <c r="BC373" s="89" t="e">
        <f>#REF!</f>
        <v>#REF!</v>
      </c>
      <c r="BD373" s="89" t="e">
        <f>#REF!</f>
        <v>#REF!</v>
      </c>
      <c r="BE373" s="89" t="e">
        <f>#REF!</f>
        <v>#REF!</v>
      </c>
      <c r="BF373" s="89" t="e">
        <f>#REF!</f>
        <v>#REF!</v>
      </c>
    </row>
    <row r="374" spans="9:58" x14ac:dyDescent="0.25">
      <c r="I374" s="89">
        <f>ABCD!J423</f>
        <v>92.5</v>
      </c>
      <c r="J374" s="89">
        <f>ABCD!K423</f>
        <v>303.39999999999998</v>
      </c>
      <c r="K374" s="89">
        <f>ABCD!L423</f>
        <v>-4.6626440130019029</v>
      </c>
      <c r="L374" s="89">
        <f>ABCD!M423</f>
        <v>-0.8826861649091764</v>
      </c>
      <c r="M374" s="89">
        <f>ABCD!N423</f>
        <v>4.745459309456205</v>
      </c>
      <c r="N374" s="89" t="e">
        <v>#REF!</v>
      </c>
      <c r="O374" s="89" t="e">
        <v>#REF!</v>
      </c>
      <c r="P374" s="89" t="e">
        <v>#REF!</v>
      </c>
      <c r="Q374" s="89" t="e">
        <v>#REF!</v>
      </c>
      <c r="R374" s="89" t="e">
        <v>#REF!</v>
      </c>
      <c r="S374" s="89" t="e">
        <f>#REF!</f>
        <v>#REF!</v>
      </c>
      <c r="T374" s="89" t="e">
        <f>#REF!</f>
        <v>#REF!</v>
      </c>
      <c r="U374" s="89" t="e">
        <f>#REF!</f>
        <v>#REF!</v>
      </c>
      <c r="V374" s="89" t="e">
        <f>#REF!</f>
        <v>#REF!</v>
      </c>
      <c r="W374" s="89" t="e">
        <f>#REF!</f>
        <v>#REF!</v>
      </c>
      <c r="X374" s="89" t="e">
        <f>#REF!</f>
        <v>#REF!</v>
      </c>
      <c r="Y374" s="89" t="e">
        <f>#REF!</f>
        <v>#REF!</v>
      </c>
      <c r="Z374" s="89" t="e">
        <f>#REF!</f>
        <v>#REF!</v>
      </c>
      <c r="AA374" s="89" t="e">
        <f>#REF!</f>
        <v>#REF!</v>
      </c>
      <c r="AB374" s="89" t="e">
        <f>#REF!</f>
        <v>#REF!</v>
      </c>
      <c r="AC374" s="89" t="e">
        <f>#REF!</f>
        <v>#REF!</v>
      </c>
      <c r="AD374" s="89" t="e">
        <f>#REF!</f>
        <v>#REF!</v>
      </c>
      <c r="AE374" s="89" t="e">
        <f>#REF!</f>
        <v>#REF!</v>
      </c>
      <c r="AF374" s="89" t="e">
        <f>#REF!</f>
        <v>#REF!</v>
      </c>
      <c r="AG374" s="89" t="e">
        <f>#REF!</f>
        <v>#REF!</v>
      </c>
      <c r="AH374" s="89" t="e">
        <f>#REF!</f>
        <v>#REF!</v>
      </c>
      <c r="AI374" s="89" t="e">
        <f>#REF!</f>
        <v>#REF!</v>
      </c>
      <c r="AJ374" s="89" t="e">
        <f>#REF!</f>
        <v>#REF!</v>
      </c>
      <c r="AK374" s="89" t="e">
        <f>#REF!</f>
        <v>#REF!</v>
      </c>
      <c r="AL374" s="89" t="e">
        <f>#REF!</f>
        <v>#REF!</v>
      </c>
      <c r="AM374" s="89" t="e">
        <f>#REF!</f>
        <v>#REF!</v>
      </c>
      <c r="AN374" s="89" t="e">
        <f>#REF!</f>
        <v>#REF!</v>
      </c>
      <c r="AO374" s="89" t="e">
        <f>#REF!</f>
        <v>#REF!</v>
      </c>
      <c r="AP374" s="89" t="e">
        <f>#REF!</f>
        <v>#REF!</v>
      </c>
      <c r="AQ374" s="89" t="e">
        <f>#REF!</f>
        <v>#REF!</v>
      </c>
      <c r="AR374" s="89" t="e">
        <f>#REF!</f>
        <v>#REF!</v>
      </c>
      <c r="AS374" s="89" t="e">
        <f>#REF!</f>
        <v>#REF!</v>
      </c>
      <c r="AT374" s="89" t="e">
        <f>#REF!</f>
        <v>#REF!</v>
      </c>
      <c r="AU374" s="89" t="e">
        <f>#REF!</f>
        <v>#REF!</v>
      </c>
      <c r="AV374" s="89" t="e">
        <f>#REF!</f>
        <v>#REF!</v>
      </c>
      <c r="AW374" s="89" t="e">
        <f>#REF!</f>
        <v>#REF!</v>
      </c>
      <c r="AX374" s="89" t="e">
        <f>#REF!</f>
        <v>#REF!</v>
      </c>
      <c r="AY374" s="89" t="e">
        <f>#REF!</f>
        <v>#REF!</v>
      </c>
      <c r="AZ374" s="89" t="e">
        <f>#REF!</f>
        <v>#REF!</v>
      </c>
      <c r="BA374" s="89" t="e">
        <f>#REF!</f>
        <v>#REF!</v>
      </c>
      <c r="BB374" s="89" t="e">
        <f>#REF!</f>
        <v>#REF!</v>
      </c>
      <c r="BC374" s="89" t="e">
        <f>#REF!</f>
        <v>#REF!</v>
      </c>
      <c r="BD374" s="89" t="e">
        <f>#REF!</f>
        <v>#REF!</v>
      </c>
      <c r="BE374" s="89" t="e">
        <f>#REF!</f>
        <v>#REF!</v>
      </c>
      <c r="BF374" s="89" t="e">
        <f>#REF!</f>
        <v>#REF!</v>
      </c>
    </row>
    <row r="375" spans="9:58" x14ac:dyDescent="0.25">
      <c r="I375" s="89">
        <f>ABCD!J424</f>
        <v>92.75</v>
      </c>
      <c r="J375" s="89">
        <f>ABCD!K424</f>
        <v>304.21999999999997</v>
      </c>
      <c r="K375" s="89">
        <f>ABCD!L424</f>
        <v>-4.6037506693222969</v>
      </c>
      <c r="L375" s="89">
        <f>ABCD!M424</f>
        <v>-0.872599121622049</v>
      </c>
      <c r="M375" s="89">
        <f>ABCD!N424</f>
        <v>4.6857176027094365</v>
      </c>
      <c r="N375" s="89" t="e">
        <v>#REF!</v>
      </c>
      <c r="O375" s="89" t="e">
        <v>#REF!</v>
      </c>
      <c r="P375" s="89" t="e">
        <v>#REF!</v>
      </c>
      <c r="Q375" s="89" t="e">
        <v>#REF!</v>
      </c>
      <c r="R375" s="89" t="e">
        <v>#REF!</v>
      </c>
      <c r="S375" s="89" t="e">
        <f>#REF!</f>
        <v>#REF!</v>
      </c>
      <c r="T375" s="89" t="e">
        <f>#REF!</f>
        <v>#REF!</v>
      </c>
      <c r="U375" s="89" t="e">
        <f>#REF!</f>
        <v>#REF!</v>
      </c>
      <c r="V375" s="89" t="e">
        <f>#REF!</f>
        <v>#REF!</v>
      </c>
      <c r="W375" s="89" t="e">
        <f>#REF!</f>
        <v>#REF!</v>
      </c>
      <c r="X375" s="89" t="e">
        <f>#REF!</f>
        <v>#REF!</v>
      </c>
      <c r="Y375" s="89" t="e">
        <f>#REF!</f>
        <v>#REF!</v>
      </c>
      <c r="Z375" s="89" t="e">
        <f>#REF!</f>
        <v>#REF!</v>
      </c>
      <c r="AA375" s="89" t="e">
        <f>#REF!</f>
        <v>#REF!</v>
      </c>
      <c r="AB375" s="89" t="e">
        <f>#REF!</f>
        <v>#REF!</v>
      </c>
      <c r="AC375" s="89" t="e">
        <f>#REF!</f>
        <v>#REF!</v>
      </c>
      <c r="AD375" s="89" t="e">
        <f>#REF!</f>
        <v>#REF!</v>
      </c>
      <c r="AE375" s="89" t="e">
        <f>#REF!</f>
        <v>#REF!</v>
      </c>
      <c r="AF375" s="89" t="e">
        <f>#REF!</f>
        <v>#REF!</v>
      </c>
      <c r="AG375" s="89" t="e">
        <f>#REF!</f>
        <v>#REF!</v>
      </c>
      <c r="AH375" s="89" t="e">
        <f>#REF!</f>
        <v>#REF!</v>
      </c>
      <c r="AI375" s="89" t="e">
        <f>#REF!</f>
        <v>#REF!</v>
      </c>
      <c r="AJ375" s="89" t="e">
        <f>#REF!</f>
        <v>#REF!</v>
      </c>
      <c r="AK375" s="89" t="e">
        <f>#REF!</f>
        <v>#REF!</v>
      </c>
      <c r="AL375" s="89" t="e">
        <f>#REF!</f>
        <v>#REF!</v>
      </c>
      <c r="AM375" s="89" t="e">
        <f>#REF!</f>
        <v>#REF!</v>
      </c>
      <c r="AN375" s="89" t="e">
        <f>#REF!</f>
        <v>#REF!</v>
      </c>
      <c r="AO375" s="89" t="e">
        <f>#REF!</f>
        <v>#REF!</v>
      </c>
      <c r="AP375" s="89" t="e">
        <f>#REF!</f>
        <v>#REF!</v>
      </c>
      <c r="AQ375" s="89" t="e">
        <f>#REF!</f>
        <v>#REF!</v>
      </c>
      <c r="AR375" s="89" t="e">
        <f>#REF!</f>
        <v>#REF!</v>
      </c>
      <c r="AS375" s="89" t="e">
        <f>#REF!</f>
        <v>#REF!</v>
      </c>
      <c r="AT375" s="89" t="e">
        <f>#REF!</f>
        <v>#REF!</v>
      </c>
      <c r="AU375" s="89" t="e">
        <f>#REF!</f>
        <v>#REF!</v>
      </c>
      <c r="AV375" s="89" t="e">
        <f>#REF!</f>
        <v>#REF!</v>
      </c>
      <c r="AW375" s="89" t="e">
        <f>#REF!</f>
        <v>#REF!</v>
      </c>
      <c r="AX375" s="89" t="e">
        <f>#REF!</f>
        <v>#REF!</v>
      </c>
      <c r="AY375" s="89" t="e">
        <f>#REF!</f>
        <v>#REF!</v>
      </c>
      <c r="AZ375" s="89" t="e">
        <f>#REF!</f>
        <v>#REF!</v>
      </c>
      <c r="BA375" s="89" t="e">
        <f>#REF!</f>
        <v>#REF!</v>
      </c>
      <c r="BB375" s="89" t="e">
        <f>#REF!</f>
        <v>#REF!</v>
      </c>
      <c r="BC375" s="89" t="e">
        <f>#REF!</f>
        <v>#REF!</v>
      </c>
      <c r="BD375" s="89" t="e">
        <f>#REF!</f>
        <v>#REF!</v>
      </c>
      <c r="BE375" s="89" t="e">
        <f>#REF!</f>
        <v>#REF!</v>
      </c>
      <c r="BF375" s="89" t="e">
        <f>#REF!</f>
        <v>#REF!</v>
      </c>
    </row>
    <row r="376" spans="9:58" x14ac:dyDescent="0.25">
      <c r="I376" s="89">
        <f>ABCD!J425</f>
        <v>93</v>
      </c>
      <c r="J376" s="89">
        <f>ABCD!K425</f>
        <v>305.03999999999996</v>
      </c>
      <c r="K376" s="89">
        <f>ABCD!L425</f>
        <v>-4.5438475710509509</v>
      </c>
      <c r="L376" s="89">
        <f>ABCD!M425</f>
        <v>-0.86231972087003195</v>
      </c>
      <c r="M376" s="89">
        <f>ABCD!N425</f>
        <v>4.6249482213260498</v>
      </c>
      <c r="N376" s="89" t="e">
        <v>#REF!</v>
      </c>
      <c r="O376" s="89" t="e">
        <v>#REF!</v>
      </c>
      <c r="P376" s="89" t="e">
        <v>#REF!</v>
      </c>
      <c r="Q376" s="89" t="e">
        <v>#REF!</v>
      </c>
      <c r="R376" s="89" t="e">
        <v>#REF!</v>
      </c>
      <c r="S376" s="89" t="e">
        <f>#REF!</f>
        <v>#REF!</v>
      </c>
      <c r="T376" s="89" t="e">
        <f>#REF!</f>
        <v>#REF!</v>
      </c>
      <c r="U376" s="89" t="e">
        <f>#REF!</f>
        <v>#REF!</v>
      </c>
      <c r="V376" s="89" t="e">
        <f>#REF!</f>
        <v>#REF!</v>
      </c>
      <c r="W376" s="89" t="e">
        <f>#REF!</f>
        <v>#REF!</v>
      </c>
      <c r="X376" s="89" t="e">
        <f>#REF!</f>
        <v>#REF!</v>
      </c>
      <c r="Y376" s="89" t="e">
        <f>#REF!</f>
        <v>#REF!</v>
      </c>
      <c r="Z376" s="89" t="e">
        <f>#REF!</f>
        <v>#REF!</v>
      </c>
      <c r="AA376" s="89" t="e">
        <f>#REF!</f>
        <v>#REF!</v>
      </c>
      <c r="AB376" s="89" t="e">
        <f>#REF!</f>
        <v>#REF!</v>
      </c>
      <c r="AC376" s="89" t="e">
        <f>#REF!</f>
        <v>#REF!</v>
      </c>
      <c r="AD376" s="89" t="e">
        <f>#REF!</f>
        <v>#REF!</v>
      </c>
      <c r="AE376" s="89" t="e">
        <f>#REF!</f>
        <v>#REF!</v>
      </c>
      <c r="AF376" s="89" t="e">
        <f>#REF!</f>
        <v>#REF!</v>
      </c>
      <c r="AG376" s="89" t="e">
        <f>#REF!</f>
        <v>#REF!</v>
      </c>
      <c r="AH376" s="89" t="e">
        <f>#REF!</f>
        <v>#REF!</v>
      </c>
      <c r="AI376" s="89" t="e">
        <f>#REF!</f>
        <v>#REF!</v>
      </c>
      <c r="AJ376" s="89" t="e">
        <f>#REF!</f>
        <v>#REF!</v>
      </c>
      <c r="AK376" s="89" t="e">
        <f>#REF!</f>
        <v>#REF!</v>
      </c>
      <c r="AL376" s="89" t="e">
        <f>#REF!</f>
        <v>#REF!</v>
      </c>
      <c r="AM376" s="89" t="e">
        <f>#REF!</f>
        <v>#REF!</v>
      </c>
      <c r="AN376" s="89" t="e">
        <f>#REF!</f>
        <v>#REF!</v>
      </c>
      <c r="AO376" s="89" t="e">
        <f>#REF!</f>
        <v>#REF!</v>
      </c>
      <c r="AP376" s="89" t="e">
        <f>#REF!</f>
        <v>#REF!</v>
      </c>
      <c r="AQ376" s="89" t="e">
        <f>#REF!</f>
        <v>#REF!</v>
      </c>
      <c r="AR376" s="89" t="e">
        <f>#REF!</f>
        <v>#REF!</v>
      </c>
      <c r="AS376" s="89" t="e">
        <f>#REF!</f>
        <v>#REF!</v>
      </c>
      <c r="AT376" s="89" t="e">
        <f>#REF!</f>
        <v>#REF!</v>
      </c>
      <c r="AU376" s="89" t="e">
        <f>#REF!</f>
        <v>#REF!</v>
      </c>
      <c r="AV376" s="89" t="e">
        <f>#REF!</f>
        <v>#REF!</v>
      </c>
      <c r="AW376" s="89" t="e">
        <f>#REF!</f>
        <v>#REF!</v>
      </c>
      <c r="AX376" s="89" t="e">
        <f>#REF!</f>
        <v>#REF!</v>
      </c>
      <c r="AY376" s="89" t="e">
        <f>#REF!</f>
        <v>#REF!</v>
      </c>
      <c r="AZ376" s="89" t="e">
        <f>#REF!</f>
        <v>#REF!</v>
      </c>
      <c r="BA376" s="89" t="e">
        <f>#REF!</f>
        <v>#REF!</v>
      </c>
      <c r="BB376" s="89" t="e">
        <f>#REF!</f>
        <v>#REF!</v>
      </c>
      <c r="BC376" s="89" t="e">
        <f>#REF!</f>
        <v>#REF!</v>
      </c>
      <c r="BD376" s="89" t="e">
        <f>#REF!</f>
        <v>#REF!</v>
      </c>
      <c r="BE376" s="89" t="e">
        <f>#REF!</f>
        <v>#REF!</v>
      </c>
      <c r="BF376" s="89" t="e">
        <f>#REF!</f>
        <v>#REF!</v>
      </c>
    </row>
    <row r="377" spans="9:58" x14ac:dyDescent="0.25">
      <c r="I377" s="89">
        <f>ABCD!J426</f>
        <v>93.25</v>
      </c>
      <c r="J377" s="89">
        <f>ABCD!K426</f>
        <v>305.85999999999996</v>
      </c>
      <c r="K377" s="89">
        <f>ABCD!L426</f>
        <v>-4.4829494546538156</v>
      </c>
      <c r="L377" s="89">
        <f>ABCD!M426</f>
        <v>-0.85185050860488709</v>
      </c>
      <c r="M377" s="89">
        <f>ABCD!N426</f>
        <v>4.5631661269332886</v>
      </c>
      <c r="N377" s="89" t="e">
        <v>#REF!</v>
      </c>
      <c r="O377" s="89" t="e">
        <v>#REF!</v>
      </c>
      <c r="P377" s="89" t="e">
        <v>#REF!</v>
      </c>
      <c r="Q377" s="89" t="e">
        <v>#REF!</v>
      </c>
      <c r="R377" s="89" t="e">
        <v>#REF!</v>
      </c>
      <c r="S377" s="89" t="e">
        <f>#REF!</f>
        <v>#REF!</v>
      </c>
      <c r="T377" s="89" t="e">
        <f>#REF!</f>
        <v>#REF!</v>
      </c>
      <c r="U377" s="89" t="e">
        <f>#REF!</f>
        <v>#REF!</v>
      </c>
      <c r="V377" s="89" t="e">
        <f>#REF!</f>
        <v>#REF!</v>
      </c>
      <c r="W377" s="89" t="e">
        <f>#REF!</f>
        <v>#REF!</v>
      </c>
      <c r="X377" s="89" t="e">
        <f>#REF!</f>
        <v>#REF!</v>
      </c>
      <c r="Y377" s="89" t="e">
        <f>#REF!</f>
        <v>#REF!</v>
      </c>
      <c r="Z377" s="89" t="e">
        <f>#REF!</f>
        <v>#REF!</v>
      </c>
      <c r="AA377" s="89" t="e">
        <f>#REF!</f>
        <v>#REF!</v>
      </c>
      <c r="AB377" s="89" t="e">
        <f>#REF!</f>
        <v>#REF!</v>
      </c>
      <c r="AC377" s="89" t="e">
        <f>#REF!</f>
        <v>#REF!</v>
      </c>
      <c r="AD377" s="89" t="e">
        <f>#REF!</f>
        <v>#REF!</v>
      </c>
      <c r="AE377" s="89" t="e">
        <f>#REF!</f>
        <v>#REF!</v>
      </c>
      <c r="AF377" s="89" t="e">
        <f>#REF!</f>
        <v>#REF!</v>
      </c>
      <c r="AG377" s="89" t="e">
        <f>#REF!</f>
        <v>#REF!</v>
      </c>
      <c r="AH377" s="89" t="e">
        <f>#REF!</f>
        <v>#REF!</v>
      </c>
      <c r="AI377" s="89" t="e">
        <f>#REF!</f>
        <v>#REF!</v>
      </c>
      <c r="AJ377" s="89" t="e">
        <f>#REF!</f>
        <v>#REF!</v>
      </c>
      <c r="AK377" s="89" t="e">
        <f>#REF!</f>
        <v>#REF!</v>
      </c>
      <c r="AL377" s="89" t="e">
        <f>#REF!</f>
        <v>#REF!</v>
      </c>
      <c r="AM377" s="89" t="e">
        <f>#REF!</f>
        <v>#REF!</v>
      </c>
      <c r="AN377" s="89" t="e">
        <f>#REF!</f>
        <v>#REF!</v>
      </c>
      <c r="AO377" s="89" t="e">
        <f>#REF!</f>
        <v>#REF!</v>
      </c>
      <c r="AP377" s="89" t="e">
        <f>#REF!</f>
        <v>#REF!</v>
      </c>
      <c r="AQ377" s="89" t="e">
        <f>#REF!</f>
        <v>#REF!</v>
      </c>
      <c r="AR377" s="89" t="e">
        <f>#REF!</f>
        <v>#REF!</v>
      </c>
      <c r="AS377" s="89" t="e">
        <f>#REF!</f>
        <v>#REF!</v>
      </c>
      <c r="AT377" s="89" t="e">
        <f>#REF!</f>
        <v>#REF!</v>
      </c>
      <c r="AU377" s="89" t="e">
        <f>#REF!</f>
        <v>#REF!</v>
      </c>
      <c r="AV377" s="89" t="e">
        <f>#REF!</f>
        <v>#REF!</v>
      </c>
      <c r="AW377" s="89" t="e">
        <f>#REF!</f>
        <v>#REF!</v>
      </c>
      <c r="AX377" s="89" t="e">
        <f>#REF!</f>
        <v>#REF!</v>
      </c>
      <c r="AY377" s="89" t="e">
        <f>#REF!</f>
        <v>#REF!</v>
      </c>
      <c r="AZ377" s="89" t="e">
        <f>#REF!</f>
        <v>#REF!</v>
      </c>
      <c r="BA377" s="89" t="e">
        <f>#REF!</f>
        <v>#REF!</v>
      </c>
      <c r="BB377" s="89" t="e">
        <f>#REF!</f>
        <v>#REF!</v>
      </c>
      <c r="BC377" s="89" t="e">
        <f>#REF!</f>
        <v>#REF!</v>
      </c>
      <c r="BD377" s="89" t="e">
        <f>#REF!</f>
        <v>#REF!</v>
      </c>
      <c r="BE377" s="89" t="e">
        <f>#REF!</f>
        <v>#REF!</v>
      </c>
      <c r="BF377" s="89" t="e">
        <f>#REF!</f>
        <v>#REF!</v>
      </c>
    </row>
    <row r="378" spans="9:58" x14ac:dyDescent="0.25">
      <c r="I378" s="89">
        <f>ABCD!J427</f>
        <v>93.5</v>
      </c>
      <c r="J378" s="89">
        <f>ABCD!K427</f>
        <v>306.68</v>
      </c>
      <c r="K378" s="89">
        <f>ABCD!L427</f>
        <v>-4.4210712730310338</v>
      </c>
      <c r="L378" s="89">
        <f>ABCD!M427</f>
        <v>-0.84119407230434717</v>
      </c>
      <c r="M378" s="89">
        <f>ABCD!N427</f>
        <v>4.5003865021240355</v>
      </c>
      <c r="N378" s="89" t="e">
        <v>#REF!</v>
      </c>
      <c r="O378" s="89" t="e">
        <v>#REF!</v>
      </c>
      <c r="P378" s="89" t="e">
        <v>#REF!</v>
      </c>
      <c r="Q378" s="89" t="e">
        <v>#REF!</v>
      </c>
      <c r="R378" s="89" t="e">
        <v>#REF!</v>
      </c>
      <c r="S378" s="89" t="e">
        <f>#REF!</f>
        <v>#REF!</v>
      </c>
      <c r="T378" s="89" t="e">
        <f>#REF!</f>
        <v>#REF!</v>
      </c>
      <c r="U378" s="89" t="e">
        <f>#REF!</f>
        <v>#REF!</v>
      </c>
      <c r="V378" s="89" t="e">
        <f>#REF!</f>
        <v>#REF!</v>
      </c>
      <c r="W378" s="89" t="e">
        <f>#REF!</f>
        <v>#REF!</v>
      </c>
      <c r="X378" s="89" t="e">
        <f>#REF!</f>
        <v>#REF!</v>
      </c>
      <c r="Y378" s="89" t="e">
        <f>#REF!</f>
        <v>#REF!</v>
      </c>
      <c r="Z378" s="89" t="e">
        <f>#REF!</f>
        <v>#REF!</v>
      </c>
      <c r="AA378" s="89" t="e">
        <f>#REF!</f>
        <v>#REF!</v>
      </c>
      <c r="AB378" s="89" t="e">
        <f>#REF!</f>
        <v>#REF!</v>
      </c>
      <c r="AC378" s="89" t="e">
        <f>#REF!</f>
        <v>#REF!</v>
      </c>
      <c r="AD378" s="89" t="e">
        <f>#REF!</f>
        <v>#REF!</v>
      </c>
      <c r="AE378" s="89" t="e">
        <f>#REF!</f>
        <v>#REF!</v>
      </c>
      <c r="AF378" s="89" t="e">
        <f>#REF!</f>
        <v>#REF!</v>
      </c>
      <c r="AG378" s="89" t="e">
        <f>#REF!</f>
        <v>#REF!</v>
      </c>
      <c r="AH378" s="89" t="e">
        <f>#REF!</f>
        <v>#REF!</v>
      </c>
      <c r="AI378" s="89" t="e">
        <f>#REF!</f>
        <v>#REF!</v>
      </c>
      <c r="AJ378" s="89" t="e">
        <f>#REF!</f>
        <v>#REF!</v>
      </c>
      <c r="AK378" s="89" t="e">
        <f>#REF!</f>
        <v>#REF!</v>
      </c>
      <c r="AL378" s="89" t="e">
        <f>#REF!</f>
        <v>#REF!</v>
      </c>
      <c r="AM378" s="89" t="e">
        <f>#REF!</f>
        <v>#REF!</v>
      </c>
      <c r="AN378" s="89" t="e">
        <f>#REF!</f>
        <v>#REF!</v>
      </c>
      <c r="AO378" s="89" t="e">
        <f>#REF!</f>
        <v>#REF!</v>
      </c>
      <c r="AP378" s="89" t="e">
        <f>#REF!</f>
        <v>#REF!</v>
      </c>
      <c r="AQ378" s="89" t="e">
        <f>#REF!</f>
        <v>#REF!</v>
      </c>
      <c r="AR378" s="89" t="e">
        <f>#REF!</f>
        <v>#REF!</v>
      </c>
      <c r="AS378" s="89" t="e">
        <f>#REF!</f>
        <v>#REF!</v>
      </c>
      <c r="AT378" s="89" t="e">
        <f>#REF!</f>
        <v>#REF!</v>
      </c>
      <c r="AU378" s="89" t="e">
        <f>#REF!</f>
        <v>#REF!</v>
      </c>
      <c r="AV378" s="89" t="e">
        <f>#REF!</f>
        <v>#REF!</v>
      </c>
      <c r="AW378" s="89" t="e">
        <f>#REF!</f>
        <v>#REF!</v>
      </c>
      <c r="AX378" s="89" t="e">
        <f>#REF!</f>
        <v>#REF!</v>
      </c>
      <c r="AY378" s="89" t="e">
        <f>#REF!</f>
        <v>#REF!</v>
      </c>
      <c r="AZ378" s="89" t="e">
        <f>#REF!</f>
        <v>#REF!</v>
      </c>
      <c r="BA378" s="89" t="e">
        <f>#REF!</f>
        <v>#REF!</v>
      </c>
      <c r="BB378" s="89" t="e">
        <f>#REF!</f>
        <v>#REF!</v>
      </c>
      <c r="BC378" s="89" t="e">
        <f>#REF!</f>
        <v>#REF!</v>
      </c>
      <c r="BD378" s="89" t="e">
        <f>#REF!</f>
        <v>#REF!</v>
      </c>
      <c r="BE378" s="89" t="e">
        <f>#REF!</f>
        <v>#REF!</v>
      </c>
      <c r="BF378" s="89" t="e">
        <f>#REF!</f>
        <v>#REF!</v>
      </c>
    </row>
    <row r="379" spans="9:58" x14ac:dyDescent="0.25">
      <c r="I379" s="89">
        <f>ABCD!J428</f>
        <v>93.75</v>
      </c>
      <c r="J379" s="89">
        <f>ABCD!K428</f>
        <v>307.5</v>
      </c>
      <c r="K379" s="89">
        <f>ABCD!L428</f>
        <v>-4.3582281918705075</v>
      </c>
      <c r="L379" s="89">
        <f>ABCD!M428</f>
        <v>-0.83035304033746193</v>
      </c>
      <c r="M379" s="89">
        <f>ABCD!N428</f>
        <v>4.4366247468106366</v>
      </c>
      <c r="N379" s="89" t="e">
        <v>#REF!</v>
      </c>
      <c r="O379" s="89" t="e">
        <v>#REF!</v>
      </c>
      <c r="P379" s="89" t="e">
        <v>#REF!</v>
      </c>
      <c r="Q379" s="89" t="e">
        <v>#REF!</v>
      </c>
      <c r="R379" s="89" t="e">
        <v>#REF!</v>
      </c>
      <c r="S379" s="89" t="e">
        <f>#REF!</f>
        <v>#REF!</v>
      </c>
      <c r="T379" s="89" t="e">
        <f>#REF!</f>
        <v>#REF!</v>
      </c>
      <c r="U379" s="89" t="e">
        <f>#REF!</f>
        <v>#REF!</v>
      </c>
      <c r="V379" s="89" t="e">
        <f>#REF!</f>
        <v>#REF!</v>
      </c>
      <c r="W379" s="89" t="e">
        <f>#REF!</f>
        <v>#REF!</v>
      </c>
      <c r="X379" s="89" t="e">
        <f>#REF!</f>
        <v>#REF!</v>
      </c>
      <c r="Y379" s="89" t="e">
        <f>#REF!</f>
        <v>#REF!</v>
      </c>
      <c r="Z379" s="89" t="e">
        <f>#REF!</f>
        <v>#REF!</v>
      </c>
      <c r="AA379" s="89" t="e">
        <f>#REF!</f>
        <v>#REF!</v>
      </c>
      <c r="AB379" s="89" t="e">
        <f>#REF!</f>
        <v>#REF!</v>
      </c>
      <c r="AC379" s="89" t="e">
        <f>#REF!</f>
        <v>#REF!</v>
      </c>
      <c r="AD379" s="89" t="e">
        <f>#REF!</f>
        <v>#REF!</v>
      </c>
      <c r="AE379" s="89" t="e">
        <f>#REF!</f>
        <v>#REF!</v>
      </c>
      <c r="AF379" s="89" t="e">
        <f>#REF!</f>
        <v>#REF!</v>
      </c>
      <c r="AG379" s="89" t="e">
        <f>#REF!</f>
        <v>#REF!</v>
      </c>
      <c r="AH379" s="89" t="e">
        <f>#REF!</f>
        <v>#REF!</v>
      </c>
      <c r="AI379" s="89" t="e">
        <f>#REF!</f>
        <v>#REF!</v>
      </c>
      <c r="AJ379" s="89" t="e">
        <f>#REF!</f>
        <v>#REF!</v>
      </c>
      <c r="AK379" s="89" t="e">
        <f>#REF!</f>
        <v>#REF!</v>
      </c>
      <c r="AL379" s="89" t="e">
        <f>#REF!</f>
        <v>#REF!</v>
      </c>
      <c r="AM379" s="89" t="e">
        <f>#REF!</f>
        <v>#REF!</v>
      </c>
      <c r="AN379" s="89" t="e">
        <f>#REF!</f>
        <v>#REF!</v>
      </c>
      <c r="AO379" s="89" t="e">
        <f>#REF!</f>
        <v>#REF!</v>
      </c>
      <c r="AP379" s="89" t="e">
        <f>#REF!</f>
        <v>#REF!</v>
      </c>
      <c r="AQ379" s="89" t="e">
        <f>#REF!</f>
        <v>#REF!</v>
      </c>
      <c r="AR379" s="89" t="e">
        <f>#REF!</f>
        <v>#REF!</v>
      </c>
      <c r="AS379" s="89" t="e">
        <f>#REF!</f>
        <v>#REF!</v>
      </c>
      <c r="AT379" s="89" t="e">
        <f>#REF!</f>
        <v>#REF!</v>
      </c>
      <c r="AU379" s="89" t="e">
        <f>#REF!</f>
        <v>#REF!</v>
      </c>
      <c r="AV379" s="89" t="e">
        <f>#REF!</f>
        <v>#REF!</v>
      </c>
      <c r="AW379" s="89" t="e">
        <f>#REF!</f>
        <v>#REF!</v>
      </c>
      <c r="AX379" s="89" t="e">
        <f>#REF!</f>
        <v>#REF!</v>
      </c>
      <c r="AY379" s="89" t="e">
        <f>#REF!</f>
        <v>#REF!</v>
      </c>
      <c r="AZ379" s="89" t="e">
        <f>#REF!</f>
        <v>#REF!</v>
      </c>
      <c r="BA379" s="89" t="e">
        <f>#REF!</f>
        <v>#REF!</v>
      </c>
      <c r="BB379" s="89" t="e">
        <f>#REF!</f>
        <v>#REF!</v>
      </c>
      <c r="BC379" s="89" t="e">
        <f>#REF!</f>
        <v>#REF!</v>
      </c>
      <c r="BD379" s="89" t="e">
        <f>#REF!</f>
        <v>#REF!</v>
      </c>
      <c r="BE379" s="89" t="e">
        <f>#REF!</f>
        <v>#REF!</v>
      </c>
      <c r="BF379" s="89" t="e">
        <f>#REF!</f>
        <v>#REF!</v>
      </c>
    </row>
    <row r="380" spans="9:58" x14ac:dyDescent="0.25">
      <c r="I380" s="89">
        <f>ABCD!J429</f>
        <v>94</v>
      </c>
      <c r="J380" s="89">
        <f>ABCD!K429</f>
        <v>308.32</v>
      </c>
      <c r="K380" s="89">
        <f>ABCD!L429</f>
        <v>-4.2944355859555996</v>
      </c>
      <c r="L380" s="89">
        <f>ABCD!M429</f>
        <v>-0.81933008132106844</v>
      </c>
      <c r="M380" s="89">
        <f>ABCD!N429</f>
        <v>4.3718964745381843</v>
      </c>
      <c r="N380" s="89" t="e">
        <v>#REF!</v>
      </c>
      <c r="O380" s="89" t="e">
        <v>#REF!</v>
      </c>
      <c r="P380" s="89" t="e">
        <v>#REF!</v>
      </c>
      <c r="Q380" s="89" t="e">
        <v>#REF!</v>
      </c>
      <c r="R380" s="89" t="e">
        <v>#REF!</v>
      </c>
      <c r="S380" s="89" t="e">
        <f>#REF!</f>
        <v>#REF!</v>
      </c>
      <c r="T380" s="89" t="e">
        <f>#REF!</f>
        <v>#REF!</v>
      </c>
      <c r="U380" s="89" t="e">
        <f>#REF!</f>
        <v>#REF!</v>
      </c>
      <c r="V380" s="89" t="e">
        <f>#REF!</f>
        <v>#REF!</v>
      </c>
      <c r="W380" s="89" t="e">
        <f>#REF!</f>
        <v>#REF!</v>
      </c>
      <c r="X380" s="89" t="e">
        <f>#REF!</f>
        <v>#REF!</v>
      </c>
      <c r="Y380" s="89" t="e">
        <f>#REF!</f>
        <v>#REF!</v>
      </c>
      <c r="Z380" s="89" t="e">
        <f>#REF!</f>
        <v>#REF!</v>
      </c>
      <c r="AA380" s="89" t="e">
        <f>#REF!</f>
        <v>#REF!</v>
      </c>
      <c r="AB380" s="89" t="e">
        <f>#REF!</f>
        <v>#REF!</v>
      </c>
      <c r="AC380" s="89" t="e">
        <f>#REF!</f>
        <v>#REF!</v>
      </c>
      <c r="AD380" s="89" t="e">
        <f>#REF!</f>
        <v>#REF!</v>
      </c>
      <c r="AE380" s="89" t="e">
        <f>#REF!</f>
        <v>#REF!</v>
      </c>
      <c r="AF380" s="89" t="e">
        <f>#REF!</f>
        <v>#REF!</v>
      </c>
      <c r="AG380" s="89" t="e">
        <f>#REF!</f>
        <v>#REF!</v>
      </c>
      <c r="AH380" s="89" t="e">
        <f>#REF!</f>
        <v>#REF!</v>
      </c>
      <c r="AI380" s="89" t="e">
        <f>#REF!</f>
        <v>#REF!</v>
      </c>
      <c r="AJ380" s="89" t="e">
        <f>#REF!</f>
        <v>#REF!</v>
      </c>
      <c r="AK380" s="89" t="e">
        <f>#REF!</f>
        <v>#REF!</v>
      </c>
      <c r="AL380" s="89" t="e">
        <f>#REF!</f>
        <v>#REF!</v>
      </c>
      <c r="AM380" s="89" t="e">
        <f>#REF!</f>
        <v>#REF!</v>
      </c>
      <c r="AN380" s="89" t="e">
        <f>#REF!</f>
        <v>#REF!</v>
      </c>
      <c r="AO380" s="89" t="e">
        <f>#REF!</f>
        <v>#REF!</v>
      </c>
      <c r="AP380" s="89" t="e">
        <f>#REF!</f>
        <v>#REF!</v>
      </c>
      <c r="AQ380" s="89" t="e">
        <f>#REF!</f>
        <v>#REF!</v>
      </c>
      <c r="AR380" s="89" t="e">
        <f>#REF!</f>
        <v>#REF!</v>
      </c>
      <c r="AS380" s="89" t="e">
        <f>#REF!</f>
        <v>#REF!</v>
      </c>
      <c r="AT380" s="89" t="e">
        <f>#REF!</f>
        <v>#REF!</v>
      </c>
      <c r="AU380" s="89" t="e">
        <f>#REF!</f>
        <v>#REF!</v>
      </c>
      <c r="AV380" s="89" t="e">
        <f>#REF!</f>
        <v>#REF!</v>
      </c>
      <c r="AW380" s="89" t="e">
        <f>#REF!</f>
        <v>#REF!</v>
      </c>
      <c r="AX380" s="89" t="e">
        <f>#REF!</f>
        <v>#REF!</v>
      </c>
      <c r="AY380" s="89" t="e">
        <f>#REF!</f>
        <v>#REF!</v>
      </c>
      <c r="AZ380" s="89" t="e">
        <f>#REF!</f>
        <v>#REF!</v>
      </c>
      <c r="BA380" s="89" t="e">
        <f>#REF!</f>
        <v>#REF!</v>
      </c>
      <c r="BB380" s="89" t="e">
        <f>#REF!</f>
        <v>#REF!</v>
      </c>
      <c r="BC380" s="89" t="e">
        <f>#REF!</f>
        <v>#REF!</v>
      </c>
      <c r="BD380" s="89" t="e">
        <f>#REF!</f>
        <v>#REF!</v>
      </c>
      <c r="BE380" s="89" t="e">
        <f>#REF!</f>
        <v>#REF!</v>
      </c>
      <c r="BF380" s="89" t="e">
        <f>#REF!</f>
        <v>#REF!</v>
      </c>
    </row>
    <row r="381" spans="9:58" x14ac:dyDescent="0.25">
      <c r="I381" s="89">
        <f>ABCD!J430</f>
        <v>94.25</v>
      </c>
      <c r="J381" s="89">
        <f>ABCD!K430</f>
        <v>309.14</v>
      </c>
      <c r="K381" s="89">
        <f>ABCD!L430</f>
        <v>-4.229709035427911</v>
      </c>
      <c r="L381" s="89">
        <f>ABCD!M430</f>
        <v>-0.80812790346756969</v>
      </c>
      <c r="M381" s="89">
        <f>ABCD!N430</f>
        <v>4.3062175087590964</v>
      </c>
      <c r="N381" s="89" t="e">
        <v>#REF!</v>
      </c>
      <c r="O381" s="89" t="e">
        <v>#REF!</v>
      </c>
      <c r="P381" s="89" t="e">
        <v>#REF!</v>
      </c>
      <c r="Q381" s="89" t="e">
        <v>#REF!</v>
      </c>
      <c r="R381" s="89" t="e">
        <v>#REF!</v>
      </c>
      <c r="S381" s="89" t="e">
        <f>#REF!</f>
        <v>#REF!</v>
      </c>
      <c r="T381" s="89" t="e">
        <f>#REF!</f>
        <v>#REF!</v>
      </c>
      <c r="U381" s="89" t="e">
        <f>#REF!</f>
        <v>#REF!</v>
      </c>
      <c r="V381" s="89" t="e">
        <f>#REF!</f>
        <v>#REF!</v>
      </c>
      <c r="W381" s="89" t="e">
        <f>#REF!</f>
        <v>#REF!</v>
      </c>
      <c r="X381" s="89" t="e">
        <f>#REF!</f>
        <v>#REF!</v>
      </c>
      <c r="Y381" s="89" t="e">
        <f>#REF!</f>
        <v>#REF!</v>
      </c>
      <c r="Z381" s="89" t="e">
        <f>#REF!</f>
        <v>#REF!</v>
      </c>
      <c r="AA381" s="89" t="e">
        <f>#REF!</f>
        <v>#REF!</v>
      </c>
      <c r="AB381" s="89" t="e">
        <f>#REF!</f>
        <v>#REF!</v>
      </c>
      <c r="AC381" s="89" t="e">
        <f>#REF!</f>
        <v>#REF!</v>
      </c>
      <c r="AD381" s="89" t="e">
        <f>#REF!</f>
        <v>#REF!</v>
      </c>
      <c r="AE381" s="89" t="e">
        <f>#REF!</f>
        <v>#REF!</v>
      </c>
      <c r="AF381" s="89" t="e">
        <f>#REF!</f>
        <v>#REF!</v>
      </c>
      <c r="AG381" s="89" t="e">
        <f>#REF!</f>
        <v>#REF!</v>
      </c>
      <c r="AH381" s="89" t="e">
        <f>#REF!</f>
        <v>#REF!</v>
      </c>
      <c r="AI381" s="89" t="e">
        <f>#REF!</f>
        <v>#REF!</v>
      </c>
      <c r="AJ381" s="89" t="e">
        <f>#REF!</f>
        <v>#REF!</v>
      </c>
      <c r="AK381" s="89" t="e">
        <f>#REF!</f>
        <v>#REF!</v>
      </c>
      <c r="AL381" s="89" t="e">
        <f>#REF!</f>
        <v>#REF!</v>
      </c>
      <c r="AM381" s="89" t="e">
        <f>#REF!</f>
        <v>#REF!</v>
      </c>
      <c r="AN381" s="89" t="e">
        <f>#REF!</f>
        <v>#REF!</v>
      </c>
      <c r="AO381" s="89" t="e">
        <f>#REF!</f>
        <v>#REF!</v>
      </c>
      <c r="AP381" s="89" t="e">
        <f>#REF!</f>
        <v>#REF!</v>
      </c>
      <c r="AQ381" s="89" t="e">
        <f>#REF!</f>
        <v>#REF!</v>
      </c>
      <c r="AR381" s="89" t="e">
        <f>#REF!</f>
        <v>#REF!</v>
      </c>
      <c r="AS381" s="89" t="e">
        <f>#REF!</f>
        <v>#REF!</v>
      </c>
      <c r="AT381" s="89" t="e">
        <f>#REF!</f>
        <v>#REF!</v>
      </c>
      <c r="AU381" s="89" t="e">
        <f>#REF!</f>
        <v>#REF!</v>
      </c>
      <c r="AV381" s="89" t="e">
        <f>#REF!</f>
        <v>#REF!</v>
      </c>
      <c r="AW381" s="89" t="e">
        <f>#REF!</f>
        <v>#REF!</v>
      </c>
      <c r="AX381" s="89" t="e">
        <f>#REF!</f>
        <v>#REF!</v>
      </c>
      <c r="AY381" s="89" t="e">
        <f>#REF!</f>
        <v>#REF!</v>
      </c>
      <c r="AZ381" s="89" t="e">
        <f>#REF!</f>
        <v>#REF!</v>
      </c>
      <c r="BA381" s="89" t="e">
        <f>#REF!</f>
        <v>#REF!</v>
      </c>
      <c r="BB381" s="89" t="e">
        <f>#REF!</f>
        <v>#REF!</v>
      </c>
      <c r="BC381" s="89" t="e">
        <f>#REF!</f>
        <v>#REF!</v>
      </c>
      <c r="BD381" s="89" t="e">
        <f>#REF!</f>
        <v>#REF!</v>
      </c>
      <c r="BE381" s="89" t="e">
        <f>#REF!</f>
        <v>#REF!</v>
      </c>
      <c r="BF381" s="89" t="e">
        <f>#REF!</f>
        <v>#REF!</v>
      </c>
    </row>
    <row r="382" spans="9:58" x14ac:dyDescent="0.25">
      <c r="I382" s="89">
        <f>ABCD!J431</f>
        <v>94.5</v>
      </c>
      <c r="J382" s="89">
        <f>ABCD!K431</f>
        <v>309.95999999999998</v>
      </c>
      <c r="K382" s="89">
        <f>ABCD!L431</f>
        <v>-4.1640643220060145</v>
      </c>
      <c r="L382" s="89">
        <f>ABCD!M431</f>
        <v>-0.79674925392414275</v>
      </c>
      <c r="M382" s="89">
        <f>ABCD!N431</f>
        <v>4.2396038790707902</v>
      </c>
      <c r="N382" s="89" t="e">
        <v>#REF!</v>
      </c>
      <c r="O382" s="89" t="e">
        <v>#REF!</v>
      </c>
      <c r="P382" s="89" t="e">
        <v>#REF!</v>
      </c>
      <c r="Q382" s="89" t="e">
        <v>#REF!</v>
      </c>
      <c r="R382" s="89" t="e">
        <v>#REF!</v>
      </c>
      <c r="S382" s="89" t="e">
        <f>#REF!</f>
        <v>#REF!</v>
      </c>
      <c r="T382" s="89" t="e">
        <f>#REF!</f>
        <v>#REF!</v>
      </c>
      <c r="U382" s="89" t="e">
        <f>#REF!</f>
        <v>#REF!</v>
      </c>
      <c r="V382" s="89" t="e">
        <f>#REF!</f>
        <v>#REF!</v>
      </c>
      <c r="W382" s="89" t="e">
        <f>#REF!</f>
        <v>#REF!</v>
      </c>
      <c r="X382" s="89" t="e">
        <f>#REF!</f>
        <v>#REF!</v>
      </c>
      <c r="Y382" s="89" t="e">
        <f>#REF!</f>
        <v>#REF!</v>
      </c>
      <c r="Z382" s="89" t="e">
        <f>#REF!</f>
        <v>#REF!</v>
      </c>
      <c r="AA382" s="89" t="e">
        <f>#REF!</f>
        <v>#REF!</v>
      </c>
      <c r="AB382" s="89" t="e">
        <f>#REF!</f>
        <v>#REF!</v>
      </c>
      <c r="AC382" s="89" t="e">
        <f>#REF!</f>
        <v>#REF!</v>
      </c>
      <c r="AD382" s="89" t="e">
        <f>#REF!</f>
        <v>#REF!</v>
      </c>
      <c r="AE382" s="89" t="e">
        <f>#REF!</f>
        <v>#REF!</v>
      </c>
      <c r="AF382" s="89" t="e">
        <f>#REF!</f>
        <v>#REF!</v>
      </c>
      <c r="AG382" s="89" t="e">
        <f>#REF!</f>
        <v>#REF!</v>
      </c>
      <c r="AH382" s="89" t="e">
        <f>#REF!</f>
        <v>#REF!</v>
      </c>
      <c r="AI382" s="89" t="e">
        <f>#REF!</f>
        <v>#REF!</v>
      </c>
      <c r="AJ382" s="89" t="e">
        <f>#REF!</f>
        <v>#REF!</v>
      </c>
      <c r="AK382" s="89" t="e">
        <f>#REF!</f>
        <v>#REF!</v>
      </c>
      <c r="AL382" s="89" t="e">
        <f>#REF!</f>
        <v>#REF!</v>
      </c>
      <c r="AM382" s="89" t="e">
        <f>#REF!</f>
        <v>#REF!</v>
      </c>
      <c r="AN382" s="89" t="e">
        <f>#REF!</f>
        <v>#REF!</v>
      </c>
      <c r="AO382" s="89" t="e">
        <f>#REF!</f>
        <v>#REF!</v>
      </c>
      <c r="AP382" s="89" t="e">
        <f>#REF!</f>
        <v>#REF!</v>
      </c>
      <c r="AQ382" s="89" t="e">
        <f>#REF!</f>
        <v>#REF!</v>
      </c>
      <c r="AR382" s="89" t="e">
        <f>#REF!</f>
        <v>#REF!</v>
      </c>
      <c r="AS382" s="89" t="e">
        <f>#REF!</f>
        <v>#REF!</v>
      </c>
      <c r="AT382" s="89" t="e">
        <f>#REF!</f>
        <v>#REF!</v>
      </c>
      <c r="AU382" s="89" t="e">
        <f>#REF!</f>
        <v>#REF!</v>
      </c>
      <c r="AV382" s="89" t="e">
        <f>#REF!</f>
        <v>#REF!</v>
      </c>
      <c r="AW382" s="89" t="e">
        <f>#REF!</f>
        <v>#REF!</v>
      </c>
      <c r="AX382" s="89" t="e">
        <f>#REF!</f>
        <v>#REF!</v>
      </c>
      <c r="AY382" s="89" t="e">
        <f>#REF!</f>
        <v>#REF!</v>
      </c>
      <c r="AZ382" s="89" t="e">
        <f>#REF!</f>
        <v>#REF!</v>
      </c>
      <c r="BA382" s="89" t="e">
        <f>#REF!</f>
        <v>#REF!</v>
      </c>
      <c r="BB382" s="89" t="e">
        <f>#REF!</f>
        <v>#REF!</v>
      </c>
      <c r="BC382" s="89" t="e">
        <f>#REF!</f>
        <v>#REF!</v>
      </c>
      <c r="BD382" s="89" t="e">
        <f>#REF!</f>
        <v>#REF!</v>
      </c>
      <c r="BE382" s="89" t="e">
        <f>#REF!</f>
        <v>#REF!</v>
      </c>
      <c r="BF382" s="89" t="e">
        <f>#REF!</f>
        <v>#REF!</v>
      </c>
    </row>
    <row r="383" spans="9:58" x14ac:dyDescent="0.25">
      <c r="I383" s="89">
        <f>ABCD!J432</f>
        <v>94.75</v>
      </c>
      <c r="J383" s="89">
        <f>ABCD!K432</f>
        <v>310.77999999999997</v>
      </c>
      <c r="K383" s="89">
        <f>ABCD!L432</f>
        <v>-4.0975174251610138</v>
      </c>
      <c r="L383" s="89">
        <f>ABCD!M432</f>
        <v>-0.78519691810355696</v>
      </c>
      <c r="M383" s="89">
        <f>ABCD!N432</f>
        <v>4.1720718174184714</v>
      </c>
      <c r="N383" s="89" t="e">
        <v>#REF!</v>
      </c>
      <c r="O383" s="89" t="e">
        <v>#REF!</v>
      </c>
      <c r="P383" s="89" t="e">
        <v>#REF!</v>
      </c>
      <c r="Q383" s="89" t="e">
        <v>#REF!</v>
      </c>
      <c r="R383" s="89" t="e">
        <v>#REF!</v>
      </c>
      <c r="S383" s="89" t="e">
        <f>#REF!</f>
        <v>#REF!</v>
      </c>
      <c r="T383" s="89" t="e">
        <f>#REF!</f>
        <v>#REF!</v>
      </c>
      <c r="U383" s="89" t="e">
        <f>#REF!</f>
        <v>#REF!</v>
      </c>
      <c r="V383" s="89" t="e">
        <f>#REF!</f>
        <v>#REF!</v>
      </c>
      <c r="W383" s="89" t="e">
        <f>#REF!</f>
        <v>#REF!</v>
      </c>
      <c r="X383" s="89" t="e">
        <f>#REF!</f>
        <v>#REF!</v>
      </c>
      <c r="Y383" s="89" t="e">
        <f>#REF!</f>
        <v>#REF!</v>
      </c>
      <c r="Z383" s="89" t="e">
        <f>#REF!</f>
        <v>#REF!</v>
      </c>
      <c r="AA383" s="89" t="e">
        <f>#REF!</f>
        <v>#REF!</v>
      </c>
      <c r="AB383" s="89" t="e">
        <f>#REF!</f>
        <v>#REF!</v>
      </c>
      <c r="AC383" s="89" t="e">
        <f>#REF!</f>
        <v>#REF!</v>
      </c>
      <c r="AD383" s="89" t="e">
        <f>#REF!</f>
        <v>#REF!</v>
      </c>
      <c r="AE383" s="89" t="e">
        <f>#REF!</f>
        <v>#REF!</v>
      </c>
      <c r="AF383" s="89" t="e">
        <f>#REF!</f>
        <v>#REF!</v>
      </c>
      <c r="AG383" s="89" t="e">
        <f>#REF!</f>
        <v>#REF!</v>
      </c>
      <c r="AH383" s="89" t="e">
        <f>#REF!</f>
        <v>#REF!</v>
      </c>
      <c r="AI383" s="89" t="e">
        <f>#REF!</f>
        <v>#REF!</v>
      </c>
      <c r="AJ383" s="89" t="e">
        <f>#REF!</f>
        <v>#REF!</v>
      </c>
      <c r="AK383" s="89" t="e">
        <f>#REF!</f>
        <v>#REF!</v>
      </c>
      <c r="AL383" s="89" t="e">
        <f>#REF!</f>
        <v>#REF!</v>
      </c>
      <c r="AM383" s="89" t="e">
        <f>#REF!</f>
        <v>#REF!</v>
      </c>
      <c r="AN383" s="89" t="e">
        <f>#REF!</f>
        <v>#REF!</v>
      </c>
      <c r="AO383" s="89" t="e">
        <f>#REF!</f>
        <v>#REF!</v>
      </c>
      <c r="AP383" s="89" t="e">
        <f>#REF!</f>
        <v>#REF!</v>
      </c>
      <c r="AQ383" s="89" t="e">
        <f>#REF!</f>
        <v>#REF!</v>
      </c>
      <c r="AR383" s="89" t="e">
        <f>#REF!</f>
        <v>#REF!</v>
      </c>
      <c r="AS383" s="89" t="e">
        <f>#REF!</f>
        <v>#REF!</v>
      </c>
      <c r="AT383" s="89" t="e">
        <f>#REF!</f>
        <v>#REF!</v>
      </c>
      <c r="AU383" s="89" t="e">
        <f>#REF!</f>
        <v>#REF!</v>
      </c>
      <c r="AV383" s="89" t="e">
        <f>#REF!</f>
        <v>#REF!</v>
      </c>
      <c r="AW383" s="89" t="e">
        <f>#REF!</f>
        <v>#REF!</v>
      </c>
      <c r="AX383" s="89" t="e">
        <f>#REF!</f>
        <v>#REF!</v>
      </c>
      <c r="AY383" s="89" t="e">
        <f>#REF!</f>
        <v>#REF!</v>
      </c>
      <c r="AZ383" s="89" t="e">
        <f>#REF!</f>
        <v>#REF!</v>
      </c>
      <c r="BA383" s="89" t="e">
        <f>#REF!</f>
        <v>#REF!</v>
      </c>
      <c r="BB383" s="89" t="e">
        <f>#REF!</f>
        <v>#REF!</v>
      </c>
      <c r="BC383" s="89" t="e">
        <f>#REF!</f>
        <v>#REF!</v>
      </c>
      <c r="BD383" s="89" t="e">
        <f>#REF!</f>
        <v>#REF!</v>
      </c>
      <c r="BE383" s="89" t="e">
        <f>#REF!</f>
        <v>#REF!</v>
      </c>
      <c r="BF383" s="89" t="e">
        <f>#REF!</f>
        <v>#REF!</v>
      </c>
    </row>
    <row r="384" spans="9:58" x14ac:dyDescent="0.25">
      <c r="I384" s="89">
        <f>ABCD!J433</f>
        <v>95</v>
      </c>
      <c r="J384" s="89">
        <f>ABCD!K433</f>
        <v>311.59999999999997</v>
      </c>
      <c r="K384" s="89">
        <f>ABCD!L433</f>
        <v>-4.0300845182499634</v>
      </c>
      <c r="L384" s="89">
        <f>ABCD!M433</f>
        <v>-0.7734737190067702</v>
      </c>
      <c r="M384" s="89">
        <f>ABCD!N433</f>
        <v>4.103637754265379</v>
      </c>
      <c r="N384" s="89" t="e">
        <v>#REF!</v>
      </c>
      <c r="O384" s="89" t="e">
        <v>#REF!</v>
      </c>
      <c r="P384" s="89" t="e">
        <v>#REF!</v>
      </c>
      <c r="Q384" s="89" t="e">
        <v>#REF!</v>
      </c>
      <c r="R384" s="89" t="e">
        <v>#REF!</v>
      </c>
      <c r="S384" s="89" t="e">
        <f>#REF!</f>
        <v>#REF!</v>
      </c>
      <c r="T384" s="89" t="e">
        <f>#REF!</f>
        <v>#REF!</v>
      </c>
      <c r="U384" s="89" t="e">
        <f>#REF!</f>
        <v>#REF!</v>
      </c>
      <c r="V384" s="89" t="e">
        <f>#REF!</f>
        <v>#REF!</v>
      </c>
      <c r="W384" s="89" t="e">
        <f>#REF!</f>
        <v>#REF!</v>
      </c>
      <c r="X384" s="89" t="e">
        <f>#REF!</f>
        <v>#REF!</v>
      </c>
      <c r="Y384" s="89" t="e">
        <f>#REF!</f>
        <v>#REF!</v>
      </c>
      <c r="Z384" s="89" t="e">
        <f>#REF!</f>
        <v>#REF!</v>
      </c>
      <c r="AA384" s="89" t="e">
        <f>#REF!</f>
        <v>#REF!</v>
      </c>
      <c r="AB384" s="89" t="e">
        <f>#REF!</f>
        <v>#REF!</v>
      </c>
      <c r="AC384" s="89" t="e">
        <f>#REF!</f>
        <v>#REF!</v>
      </c>
      <c r="AD384" s="89" t="e">
        <f>#REF!</f>
        <v>#REF!</v>
      </c>
      <c r="AE384" s="89" t="e">
        <f>#REF!</f>
        <v>#REF!</v>
      </c>
      <c r="AF384" s="89" t="e">
        <f>#REF!</f>
        <v>#REF!</v>
      </c>
      <c r="AG384" s="89" t="e">
        <f>#REF!</f>
        <v>#REF!</v>
      </c>
      <c r="AH384" s="89" t="e">
        <f>#REF!</f>
        <v>#REF!</v>
      </c>
      <c r="AI384" s="89" t="e">
        <f>#REF!</f>
        <v>#REF!</v>
      </c>
      <c r="AJ384" s="89" t="e">
        <f>#REF!</f>
        <v>#REF!</v>
      </c>
      <c r="AK384" s="89" t="e">
        <f>#REF!</f>
        <v>#REF!</v>
      </c>
      <c r="AL384" s="89" t="e">
        <f>#REF!</f>
        <v>#REF!</v>
      </c>
      <c r="AM384" s="89" t="e">
        <f>#REF!</f>
        <v>#REF!</v>
      </c>
      <c r="AN384" s="89" t="e">
        <f>#REF!</f>
        <v>#REF!</v>
      </c>
      <c r="AO384" s="89" t="e">
        <f>#REF!</f>
        <v>#REF!</v>
      </c>
      <c r="AP384" s="89" t="e">
        <f>#REF!</f>
        <v>#REF!</v>
      </c>
      <c r="AQ384" s="89" t="e">
        <f>#REF!</f>
        <v>#REF!</v>
      </c>
      <c r="AR384" s="89" t="e">
        <f>#REF!</f>
        <v>#REF!</v>
      </c>
      <c r="AS384" s="89" t="e">
        <f>#REF!</f>
        <v>#REF!</v>
      </c>
      <c r="AT384" s="89" t="e">
        <f>#REF!</f>
        <v>#REF!</v>
      </c>
      <c r="AU384" s="89" t="e">
        <f>#REF!</f>
        <v>#REF!</v>
      </c>
      <c r="AV384" s="89" t="e">
        <f>#REF!</f>
        <v>#REF!</v>
      </c>
      <c r="AW384" s="89" t="e">
        <f>#REF!</f>
        <v>#REF!</v>
      </c>
      <c r="AX384" s="89" t="e">
        <f>#REF!</f>
        <v>#REF!</v>
      </c>
      <c r="AY384" s="89" t="e">
        <f>#REF!</f>
        <v>#REF!</v>
      </c>
      <c r="AZ384" s="89" t="e">
        <f>#REF!</f>
        <v>#REF!</v>
      </c>
      <c r="BA384" s="89" t="e">
        <f>#REF!</f>
        <v>#REF!</v>
      </c>
      <c r="BB384" s="89" t="e">
        <f>#REF!</f>
        <v>#REF!</v>
      </c>
      <c r="BC384" s="89" t="e">
        <f>#REF!</f>
        <v>#REF!</v>
      </c>
      <c r="BD384" s="89" t="e">
        <f>#REF!</f>
        <v>#REF!</v>
      </c>
      <c r="BE384" s="89" t="e">
        <f>#REF!</f>
        <v>#REF!</v>
      </c>
      <c r="BF384" s="89" t="e">
        <f>#REF!</f>
        <v>#REF!</v>
      </c>
    </row>
    <row r="385" spans="9:58" x14ac:dyDescent="0.25">
      <c r="I385" s="89">
        <f>ABCD!J434</f>
        <v>95.25</v>
      </c>
      <c r="J385" s="89">
        <f>ABCD!K434</f>
        <v>312.41999999999996</v>
      </c>
      <c r="K385" s="89">
        <f>ABCD!L434</f>
        <v>-3.9617819646079706</v>
      </c>
      <c r="L385" s="89">
        <f>ABCD!M434</f>
        <v>-0.76158251653743925</v>
      </c>
      <c r="M385" s="89">
        <f>ABCD!N434</f>
        <v>4.0343183147327988</v>
      </c>
      <c r="N385" s="89" t="e">
        <v>#REF!</v>
      </c>
      <c r="O385" s="89" t="e">
        <v>#REF!</v>
      </c>
      <c r="P385" s="89" t="e">
        <v>#REF!</v>
      </c>
      <c r="Q385" s="89" t="e">
        <v>#REF!</v>
      </c>
      <c r="R385" s="89" t="e">
        <v>#REF!</v>
      </c>
      <c r="S385" s="89" t="e">
        <f>#REF!</f>
        <v>#REF!</v>
      </c>
      <c r="T385" s="89" t="e">
        <f>#REF!</f>
        <v>#REF!</v>
      </c>
      <c r="U385" s="89" t="e">
        <f>#REF!</f>
        <v>#REF!</v>
      </c>
      <c r="V385" s="89" t="e">
        <f>#REF!</f>
        <v>#REF!</v>
      </c>
      <c r="W385" s="89" t="e">
        <f>#REF!</f>
        <v>#REF!</v>
      </c>
      <c r="X385" s="89" t="e">
        <f>#REF!</f>
        <v>#REF!</v>
      </c>
      <c r="Y385" s="89" t="e">
        <f>#REF!</f>
        <v>#REF!</v>
      </c>
      <c r="Z385" s="89" t="e">
        <f>#REF!</f>
        <v>#REF!</v>
      </c>
      <c r="AA385" s="89" t="e">
        <f>#REF!</f>
        <v>#REF!</v>
      </c>
      <c r="AB385" s="89" t="e">
        <f>#REF!</f>
        <v>#REF!</v>
      </c>
      <c r="AC385" s="89" t="e">
        <f>#REF!</f>
        <v>#REF!</v>
      </c>
      <c r="AD385" s="89" t="e">
        <f>#REF!</f>
        <v>#REF!</v>
      </c>
      <c r="AE385" s="89" t="e">
        <f>#REF!</f>
        <v>#REF!</v>
      </c>
      <c r="AF385" s="89" t="e">
        <f>#REF!</f>
        <v>#REF!</v>
      </c>
      <c r="AG385" s="89" t="e">
        <f>#REF!</f>
        <v>#REF!</v>
      </c>
      <c r="AH385" s="89" t="e">
        <f>#REF!</f>
        <v>#REF!</v>
      </c>
      <c r="AI385" s="89" t="e">
        <f>#REF!</f>
        <v>#REF!</v>
      </c>
      <c r="AJ385" s="89" t="e">
        <f>#REF!</f>
        <v>#REF!</v>
      </c>
      <c r="AK385" s="89" t="e">
        <f>#REF!</f>
        <v>#REF!</v>
      </c>
      <c r="AL385" s="89" t="e">
        <f>#REF!</f>
        <v>#REF!</v>
      </c>
      <c r="AM385" s="89" t="e">
        <f>#REF!</f>
        <v>#REF!</v>
      </c>
      <c r="AN385" s="89" t="e">
        <f>#REF!</f>
        <v>#REF!</v>
      </c>
      <c r="AO385" s="89" t="e">
        <f>#REF!</f>
        <v>#REF!</v>
      </c>
      <c r="AP385" s="89" t="e">
        <f>#REF!</f>
        <v>#REF!</v>
      </c>
      <c r="AQ385" s="89" t="e">
        <f>#REF!</f>
        <v>#REF!</v>
      </c>
      <c r="AR385" s="89" t="e">
        <f>#REF!</f>
        <v>#REF!</v>
      </c>
      <c r="AS385" s="89" t="e">
        <f>#REF!</f>
        <v>#REF!</v>
      </c>
      <c r="AT385" s="89" t="e">
        <f>#REF!</f>
        <v>#REF!</v>
      </c>
      <c r="AU385" s="89" t="e">
        <f>#REF!</f>
        <v>#REF!</v>
      </c>
      <c r="AV385" s="89" t="e">
        <f>#REF!</f>
        <v>#REF!</v>
      </c>
      <c r="AW385" s="89" t="e">
        <f>#REF!</f>
        <v>#REF!</v>
      </c>
      <c r="AX385" s="89" t="e">
        <f>#REF!</f>
        <v>#REF!</v>
      </c>
      <c r="AY385" s="89" t="e">
        <f>#REF!</f>
        <v>#REF!</v>
      </c>
      <c r="AZ385" s="89" t="e">
        <f>#REF!</f>
        <v>#REF!</v>
      </c>
      <c r="BA385" s="89" t="e">
        <f>#REF!</f>
        <v>#REF!</v>
      </c>
      <c r="BB385" s="89" t="e">
        <f>#REF!</f>
        <v>#REF!</v>
      </c>
      <c r="BC385" s="89" t="e">
        <f>#REF!</f>
        <v>#REF!</v>
      </c>
      <c r="BD385" s="89" t="e">
        <f>#REF!</f>
        <v>#REF!</v>
      </c>
      <c r="BE385" s="89" t="e">
        <f>#REF!</f>
        <v>#REF!</v>
      </c>
      <c r="BF385" s="89" t="e">
        <f>#REF!</f>
        <v>#REF!</v>
      </c>
    </row>
    <row r="386" spans="9:58" x14ac:dyDescent="0.25">
      <c r="I386" s="89">
        <f>ABCD!J435</f>
        <v>95.5</v>
      </c>
      <c r="J386" s="89">
        <f>ABCD!K435</f>
        <v>313.24</v>
      </c>
      <c r="K386" s="89">
        <f>ABCD!L435</f>
        <v>-3.8926263135999282</v>
      </c>
      <c r="L386" s="89">
        <f>ABCD!M435</f>
        <v>-0.74952620680854709</v>
      </c>
      <c r="M386" s="89">
        <f>ABCD!N435</f>
        <v>3.9641303147125946</v>
      </c>
      <c r="N386" s="89" t="e">
        <v>#REF!</v>
      </c>
      <c r="O386" s="89" t="e">
        <v>#REF!</v>
      </c>
      <c r="P386" s="89" t="e">
        <v>#REF!</v>
      </c>
      <c r="Q386" s="89" t="e">
        <v>#REF!</v>
      </c>
      <c r="R386" s="89" t="e">
        <v>#REF!</v>
      </c>
      <c r="S386" s="89" t="e">
        <f>#REF!</f>
        <v>#REF!</v>
      </c>
      <c r="T386" s="89" t="e">
        <f>#REF!</f>
        <v>#REF!</v>
      </c>
      <c r="U386" s="89" t="e">
        <f>#REF!</f>
        <v>#REF!</v>
      </c>
      <c r="V386" s="89" t="e">
        <f>#REF!</f>
        <v>#REF!</v>
      </c>
      <c r="W386" s="89" t="e">
        <f>#REF!</f>
        <v>#REF!</v>
      </c>
      <c r="X386" s="89" t="e">
        <f>#REF!</f>
        <v>#REF!</v>
      </c>
      <c r="Y386" s="89" t="e">
        <f>#REF!</f>
        <v>#REF!</v>
      </c>
      <c r="Z386" s="89" t="e">
        <f>#REF!</f>
        <v>#REF!</v>
      </c>
      <c r="AA386" s="89" t="e">
        <f>#REF!</f>
        <v>#REF!</v>
      </c>
      <c r="AB386" s="89" t="e">
        <f>#REF!</f>
        <v>#REF!</v>
      </c>
      <c r="AC386" s="89" t="e">
        <f>#REF!</f>
        <v>#REF!</v>
      </c>
      <c r="AD386" s="89" t="e">
        <f>#REF!</f>
        <v>#REF!</v>
      </c>
      <c r="AE386" s="89" t="e">
        <f>#REF!</f>
        <v>#REF!</v>
      </c>
      <c r="AF386" s="89" t="e">
        <f>#REF!</f>
        <v>#REF!</v>
      </c>
      <c r="AG386" s="89" t="e">
        <f>#REF!</f>
        <v>#REF!</v>
      </c>
      <c r="AH386" s="89" t="e">
        <f>#REF!</f>
        <v>#REF!</v>
      </c>
      <c r="AI386" s="89" t="e">
        <f>#REF!</f>
        <v>#REF!</v>
      </c>
      <c r="AJ386" s="89" t="e">
        <f>#REF!</f>
        <v>#REF!</v>
      </c>
      <c r="AK386" s="89" t="e">
        <f>#REF!</f>
        <v>#REF!</v>
      </c>
      <c r="AL386" s="89" t="e">
        <f>#REF!</f>
        <v>#REF!</v>
      </c>
      <c r="AM386" s="89" t="e">
        <f>#REF!</f>
        <v>#REF!</v>
      </c>
      <c r="AN386" s="89" t="e">
        <f>#REF!</f>
        <v>#REF!</v>
      </c>
      <c r="AO386" s="89" t="e">
        <f>#REF!</f>
        <v>#REF!</v>
      </c>
      <c r="AP386" s="89" t="e">
        <f>#REF!</f>
        <v>#REF!</v>
      </c>
      <c r="AQ386" s="89" t="e">
        <f>#REF!</f>
        <v>#REF!</v>
      </c>
      <c r="AR386" s="89" t="e">
        <f>#REF!</f>
        <v>#REF!</v>
      </c>
      <c r="AS386" s="89" t="e">
        <f>#REF!</f>
        <v>#REF!</v>
      </c>
      <c r="AT386" s="89" t="e">
        <f>#REF!</f>
        <v>#REF!</v>
      </c>
      <c r="AU386" s="89" t="e">
        <f>#REF!</f>
        <v>#REF!</v>
      </c>
      <c r="AV386" s="89" t="e">
        <f>#REF!</f>
        <v>#REF!</v>
      </c>
      <c r="AW386" s="89" t="e">
        <f>#REF!</f>
        <v>#REF!</v>
      </c>
      <c r="AX386" s="89" t="e">
        <f>#REF!</f>
        <v>#REF!</v>
      </c>
      <c r="AY386" s="89" t="e">
        <f>#REF!</f>
        <v>#REF!</v>
      </c>
      <c r="AZ386" s="89" t="e">
        <f>#REF!</f>
        <v>#REF!</v>
      </c>
      <c r="BA386" s="89" t="e">
        <f>#REF!</f>
        <v>#REF!</v>
      </c>
      <c r="BB386" s="89" t="e">
        <f>#REF!</f>
        <v>#REF!</v>
      </c>
      <c r="BC386" s="89" t="e">
        <f>#REF!</f>
        <v>#REF!</v>
      </c>
      <c r="BD386" s="89" t="e">
        <f>#REF!</f>
        <v>#REF!</v>
      </c>
      <c r="BE386" s="89" t="e">
        <f>#REF!</f>
        <v>#REF!</v>
      </c>
      <c r="BF386" s="89" t="e">
        <f>#REF!</f>
        <v>#REF!</v>
      </c>
    </row>
    <row r="387" spans="9:58" x14ac:dyDescent="0.25">
      <c r="I387" s="89">
        <f>ABCD!J436</f>
        <v>95.75</v>
      </c>
      <c r="J387" s="89">
        <f>ABCD!K436</f>
        <v>314.06</v>
      </c>
      <c r="K387" s="89">
        <f>ABCD!L436</f>
        <v>-3.8226342966329367</v>
      </c>
      <c r="L387" s="89">
        <f>ABCD!M436</f>
        <v>-0.73730772144128287</v>
      </c>
      <c r="M387" s="89">
        <f>ABCD!N436</f>
        <v>3.8930907569553681</v>
      </c>
      <c r="N387" s="89" t="e">
        <v>#REF!</v>
      </c>
      <c r="O387" s="89" t="e">
        <v>#REF!</v>
      </c>
      <c r="P387" s="89" t="e">
        <v>#REF!</v>
      </c>
      <c r="Q387" s="89" t="e">
        <v>#REF!</v>
      </c>
      <c r="R387" s="89" t="e">
        <v>#REF!</v>
      </c>
      <c r="S387" s="89" t="e">
        <f>#REF!</f>
        <v>#REF!</v>
      </c>
      <c r="T387" s="89" t="e">
        <f>#REF!</f>
        <v>#REF!</v>
      </c>
      <c r="U387" s="89" t="e">
        <f>#REF!</f>
        <v>#REF!</v>
      </c>
      <c r="V387" s="89" t="e">
        <f>#REF!</f>
        <v>#REF!</v>
      </c>
      <c r="W387" s="89" t="e">
        <f>#REF!</f>
        <v>#REF!</v>
      </c>
      <c r="X387" s="89" t="e">
        <f>#REF!</f>
        <v>#REF!</v>
      </c>
      <c r="Y387" s="89" t="e">
        <f>#REF!</f>
        <v>#REF!</v>
      </c>
      <c r="Z387" s="89" t="e">
        <f>#REF!</f>
        <v>#REF!</v>
      </c>
      <c r="AA387" s="89" t="e">
        <f>#REF!</f>
        <v>#REF!</v>
      </c>
      <c r="AB387" s="89" t="e">
        <f>#REF!</f>
        <v>#REF!</v>
      </c>
      <c r="AC387" s="89" t="e">
        <f>#REF!</f>
        <v>#REF!</v>
      </c>
      <c r="AD387" s="89" t="e">
        <f>#REF!</f>
        <v>#REF!</v>
      </c>
      <c r="AE387" s="89" t="e">
        <f>#REF!</f>
        <v>#REF!</v>
      </c>
      <c r="AF387" s="89" t="e">
        <f>#REF!</f>
        <v>#REF!</v>
      </c>
      <c r="AG387" s="89" t="e">
        <f>#REF!</f>
        <v>#REF!</v>
      </c>
      <c r="AH387" s="89" t="e">
        <f>#REF!</f>
        <v>#REF!</v>
      </c>
      <c r="AI387" s="89" t="e">
        <f>#REF!</f>
        <v>#REF!</v>
      </c>
      <c r="AJ387" s="89" t="e">
        <f>#REF!</f>
        <v>#REF!</v>
      </c>
      <c r="AK387" s="89" t="e">
        <f>#REF!</f>
        <v>#REF!</v>
      </c>
      <c r="AL387" s="89" t="e">
        <f>#REF!</f>
        <v>#REF!</v>
      </c>
      <c r="AM387" s="89" t="e">
        <f>#REF!</f>
        <v>#REF!</v>
      </c>
      <c r="AN387" s="89" t="e">
        <f>#REF!</f>
        <v>#REF!</v>
      </c>
      <c r="AO387" s="89" t="e">
        <f>#REF!</f>
        <v>#REF!</v>
      </c>
      <c r="AP387" s="89" t="e">
        <f>#REF!</f>
        <v>#REF!</v>
      </c>
      <c r="AQ387" s="89" t="e">
        <f>#REF!</f>
        <v>#REF!</v>
      </c>
      <c r="AR387" s="89" t="e">
        <f>#REF!</f>
        <v>#REF!</v>
      </c>
      <c r="AS387" s="89" t="e">
        <f>#REF!</f>
        <v>#REF!</v>
      </c>
      <c r="AT387" s="89" t="e">
        <f>#REF!</f>
        <v>#REF!</v>
      </c>
      <c r="AU387" s="89" t="e">
        <f>#REF!</f>
        <v>#REF!</v>
      </c>
      <c r="AV387" s="89" t="e">
        <f>#REF!</f>
        <v>#REF!</v>
      </c>
      <c r="AW387" s="89" t="e">
        <f>#REF!</f>
        <v>#REF!</v>
      </c>
      <c r="AX387" s="89" t="e">
        <f>#REF!</f>
        <v>#REF!</v>
      </c>
      <c r="AY387" s="89" t="e">
        <f>#REF!</f>
        <v>#REF!</v>
      </c>
      <c r="AZ387" s="89" t="e">
        <f>#REF!</f>
        <v>#REF!</v>
      </c>
      <c r="BA387" s="89" t="e">
        <f>#REF!</f>
        <v>#REF!</v>
      </c>
      <c r="BB387" s="89" t="e">
        <f>#REF!</f>
        <v>#REF!</v>
      </c>
      <c r="BC387" s="89" t="e">
        <f>#REF!</f>
        <v>#REF!</v>
      </c>
      <c r="BD387" s="89" t="e">
        <f>#REF!</f>
        <v>#REF!</v>
      </c>
      <c r="BE387" s="89" t="e">
        <f>#REF!</f>
        <v>#REF!</v>
      </c>
      <c r="BF387" s="89" t="e">
        <f>#REF!</f>
        <v>#REF!</v>
      </c>
    </row>
    <row r="388" spans="9:58" x14ac:dyDescent="0.25">
      <c r="I388" s="89">
        <f>ABCD!J437</f>
        <v>96</v>
      </c>
      <c r="J388" s="89">
        <f>ABCD!K437</f>
        <v>314.88</v>
      </c>
      <c r="K388" s="89">
        <f>ABCD!L437</f>
        <v>-3.7518228231302175</v>
      </c>
      <c r="L388" s="89">
        <f>ABCD!M437</f>
        <v>-0.72493002685636698</v>
      </c>
      <c r="M388" s="89">
        <f>ABCD!N437</f>
        <v>3.8212168271374982</v>
      </c>
      <c r="N388" s="89" t="e">
        <v>#REF!</v>
      </c>
      <c r="O388" s="89" t="e">
        <v>#REF!</v>
      </c>
      <c r="P388" s="89" t="e">
        <v>#REF!</v>
      </c>
      <c r="Q388" s="89" t="e">
        <v>#REF!</v>
      </c>
      <c r="R388" s="89" t="e">
        <v>#REF!</v>
      </c>
      <c r="S388" s="89" t="e">
        <f>#REF!</f>
        <v>#REF!</v>
      </c>
      <c r="T388" s="89" t="e">
        <f>#REF!</f>
        <v>#REF!</v>
      </c>
      <c r="U388" s="89" t="e">
        <f>#REF!</f>
        <v>#REF!</v>
      </c>
      <c r="V388" s="89" t="e">
        <f>#REF!</f>
        <v>#REF!</v>
      </c>
      <c r="W388" s="89" t="e">
        <f>#REF!</f>
        <v>#REF!</v>
      </c>
      <c r="X388" s="89" t="e">
        <f>#REF!</f>
        <v>#REF!</v>
      </c>
      <c r="Y388" s="89" t="e">
        <f>#REF!</f>
        <v>#REF!</v>
      </c>
      <c r="Z388" s="89" t="e">
        <f>#REF!</f>
        <v>#REF!</v>
      </c>
      <c r="AA388" s="89" t="e">
        <f>#REF!</f>
        <v>#REF!</v>
      </c>
      <c r="AB388" s="89" t="e">
        <f>#REF!</f>
        <v>#REF!</v>
      </c>
      <c r="AC388" s="89" t="e">
        <f>#REF!</f>
        <v>#REF!</v>
      </c>
      <c r="AD388" s="89" t="e">
        <f>#REF!</f>
        <v>#REF!</v>
      </c>
      <c r="AE388" s="89" t="e">
        <f>#REF!</f>
        <v>#REF!</v>
      </c>
      <c r="AF388" s="89" t="e">
        <f>#REF!</f>
        <v>#REF!</v>
      </c>
      <c r="AG388" s="89" t="e">
        <f>#REF!</f>
        <v>#REF!</v>
      </c>
      <c r="AH388" s="89" t="e">
        <f>#REF!</f>
        <v>#REF!</v>
      </c>
      <c r="AI388" s="89" t="e">
        <f>#REF!</f>
        <v>#REF!</v>
      </c>
      <c r="AJ388" s="89" t="e">
        <f>#REF!</f>
        <v>#REF!</v>
      </c>
      <c r="AK388" s="89" t="e">
        <f>#REF!</f>
        <v>#REF!</v>
      </c>
      <c r="AL388" s="89" t="e">
        <f>#REF!</f>
        <v>#REF!</v>
      </c>
      <c r="AM388" s="89" t="e">
        <f>#REF!</f>
        <v>#REF!</v>
      </c>
      <c r="AN388" s="89" t="e">
        <f>#REF!</f>
        <v>#REF!</v>
      </c>
      <c r="AO388" s="89" t="e">
        <f>#REF!</f>
        <v>#REF!</v>
      </c>
      <c r="AP388" s="89" t="e">
        <f>#REF!</f>
        <v>#REF!</v>
      </c>
      <c r="AQ388" s="89" t="e">
        <f>#REF!</f>
        <v>#REF!</v>
      </c>
      <c r="AR388" s="89" t="e">
        <f>#REF!</f>
        <v>#REF!</v>
      </c>
      <c r="AS388" s="89" t="e">
        <f>#REF!</f>
        <v>#REF!</v>
      </c>
      <c r="AT388" s="89" t="e">
        <f>#REF!</f>
        <v>#REF!</v>
      </c>
      <c r="AU388" s="89" t="e">
        <f>#REF!</f>
        <v>#REF!</v>
      </c>
      <c r="AV388" s="89" t="e">
        <f>#REF!</f>
        <v>#REF!</v>
      </c>
      <c r="AW388" s="89" t="e">
        <f>#REF!</f>
        <v>#REF!</v>
      </c>
      <c r="AX388" s="89" t="e">
        <f>#REF!</f>
        <v>#REF!</v>
      </c>
      <c r="AY388" s="89" t="e">
        <f>#REF!</f>
        <v>#REF!</v>
      </c>
      <c r="AZ388" s="89" t="e">
        <f>#REF!</f>
        <v>#REF!</v>
      </c>
      <c r="BA388" s="89" t="e">
        <f>#REF!</f>
        <v>#REF!</v>
      </c>
      <c r="BB388" s="89" t="e">
        <f>#REF!</f>
        <v>#REF!</v>
      </c>
      <c r="BC388" s="89" t="e">
        <f>#REF!</f>
        <v>#REF!</v>
      </c>
      <c r="BD388" s="89" t="e">
        <f>#REF!</f>
        <v>#REF!</v>
      </c>
      <c r="BE388" s="89" t="e">
        <f>#REF!</f>
        <v>#REF!</v>
      </c>
      <c r="BF388" s="89" t="e">
        <f>#REF!</f>
        <v>#REF!</v>
      </c>
    </row>
    <row r="389" spans="9:58" x14ac:dyDescent="0.25">
      <c r="I389" s="89">
        <f>ABCD!J438</f>
        <v>96.25</v>
      </c>
      <c r="J389" s="89">
        <f>ABCD!K438</f>
        <v>315.7</v>
      </c>
      <c r="K389" s="89">
        <f>ABCD!L438</f>
        <v>-3.6802089764675703</v>
      </c>
      <c r="L389" s="89">
        <f>ABCD!M438</f>
        <v>-0.71239612355796567</v>
      </c>
      <c r="M389" s="89">
        <f>ABCD!N438</f>
        <v>3.748525889910979</v>
      </c>
      <c r="N389" s="89" t="e">
        <v>#REF!</v>
      </c>
      <c r="O389" s="89" t="e">
        <v>#REF!</v>
      </c>
      <c r="P389" s="89" t="e">
        <v>#REF!</v>
      </c>
      <c r="Q389" s="89" t="e">
        <v>#REF!</v>
      </c>
      <c r="R389" s="89" t="e">
        <v>#REF!</v>
      </c>
      <c r="S389" s="89" t="e">
        <f>#REF!</f>
        <v>#REF!</v>
      </c>
      <c r="T389" s="89" t="e">
        <f>#REF!</f>
        <v>#REF!</v>
      </c>
      <c r="U389" s="89" t="e">
        <f>#REF!</f>
        <v>#REF!</v>
      </c>
      <c r="V389" s="89" t="e">
        <f>#REF!</f>
        <v>#REF!</v>
      </c>
      <c r="W389" s="89" t="e">
        <f>#REF!</f>
        <v>#REF!</v>
      </c>
      <c r="X389" s="89" t="e">
        <f>#REF!</f>
        <v>#REF!</v>
      </c>
      <c r="Y389" s="89" t="e">
        <f>#REF!</f>
        <v>#REF!</v>
      </c>
      <c r="Z389" s="89" t="e">
        <f>#REF!</f>
        <v>#REF!</v>
      </c>
      <c r="AA389" s="89" t="e">
        <f>#REF!</f>
        <v>#REF!</v>
      </c>
      <c r="AB389" s="89" t="e">
        <f>#REF!</f>
        <v>#REF!</v>
      </c>
      <c r="AC389" s="89" t="e">
        <f>#REF!</f>
        <v>#REF!</v>
      </c>
      <c r="AD389" s="89" t="e">
        <f>#REF!</f>
        <v>#REF!</v>
      </c>
      <c r="AE389" s="89" t="e">
        <f>#REF!</f>
        <v>#REF!</v>
      </c>
      <c r="AF389" s="89" t="e">
        <f>#REF!</f>
        <v>#REF!</v>
      </c>
      <c r="AG389" s="89" t="e">
        <f>#REF!</f>
        <v>#REF!</v>
      </c>
      <c r="AH389" s="89" t="e">
        <f>#REF!</f>
        <v>#REF!</v>
      </c>
      <c r="AI389" s="89" t="e">
        <f>#REF!</f>
        <v>#REF!</v>
      </c>
      <c r="AJ389" s="89" t="e">
        <f>#REF!</f>
        <v>#REF!</v>
      </c>
      <c r="AK389" s="89" t="e">
        <f>#REF!</f>
        <v>#REF!</v>
      </c>
      <c r="AL389" s="89" t="e">
        <f>#REF!</f>
        <v>#REF!</v>
      </c>
      <c r="AM389" s="89" t="e">
        <f>#REF!</f>
        <v>#REF!</v>
      </c>
      <c r="AN389" s="89" t="e">
        <f>#REF!</f>
        <v>#REF!</v>
      </c>
      <c r="AO389" s="89" t="e">
        <f>#REF!</f>
        <v>#REF!</v>
      </c>
      <c r="AP389" s="89" t="e">
        <f>#REF!</f>
        <v>#REF!</v>
      </c>
      <c r="AQ389" s="89" t="e">
        <f>#REF!</f>
        <v>#REF!</v>
      </c>
      <c r="AR389" s="89" t="e">
        <f>#REF!</f>
        <v>#REF!</v>
      </c>
      <c r="AS389" s="89" t="e">
        <f>#REF!</f>
        <v>#REF!</v>
      </c>
      <c r="AT389" s="89" t="e">
        <f>#REF!</f>
        <v>#REF!</v>
      </c>
      <c r="AU389" s="89" t="e">
        <f>#REF!</f>
        <v>#REF!</v>
      </c>
      <c r="AV389" s="89" t="e">
        <f>#REF!</f>
        <v>#REF!</v>
      </c>
      <c r="AW389" s="89" t="e">
        <f>#REF!</f>
        <v>#REF!</v>
      </c>
      <c r="AX389" s="89" t="e">
        <f>#REF!</f>
        <v>#REF!</v>
      </c>
      <c r="AY389" s="89" t="e">
        <f>#REF!</f>
        <v>#REF!</v>
      </c>
      <c r="AZ389" s="89" t="e">
        <f>#REF!</f>
        <v>#REF!</v>
      </c>
      <c r="BA389" s="89" t="e">
        <f>#REF!</f>
        <v>#REF!</v>
      </c>
      <c r="BB389" s="89" t="e">
        <f>#REF!</f>
        <v>#REF!</v>
      </c>
      <c r="BC389" s="89" t="e">
        <f>#REF!</f>
        <v>#REF!</v>
      </c>
      <c r="BD389" s="89" t="e">
        <f>#REF!</f>
        <v>#REF!</v>
      </c>
      <c r="BE389" s="89" t="e">
        <f>#REF!</f>
        <v>#REF!</v>
      </c>
      <c r="BF389" s="89" t="e">
        <f>#REF!</f>
        <v>#REF!</v>
      </c>
    </row>
    <row r="390" spans="9:58" x14ac:dyDescent="0.25">
      <c r="I390" s="89">
        <f>ABCD!J439</f>
        <v>96.5</v>
      </c>
      <c r="J390" s="89">
        <f>ABCD!K439</f>
        <v>316.52</v>
      </c>
      <c r="K390" s="89">
        <f>ABCD!L439</f>
        <v>-3.6078100098733774</v>
      </c>
      <c r="L390" s="89">
        <f>ABCD!M439</f>
        <v>-0.69970904541039469</v>
      </c>
      <c r="M390" s="89">
        <f>ABCD!N439</f>
        <v>3.6750354849404743</v>
      </c>
      <c r="N390" s="89" t="e">
        <v>#REF!</v>
      </c>
      <c r="O390" s="89" t="e">
        <v>#REF!</v>
      </c>
      <c r="P390" s="89" t="e">
        <v>#REF!</v>
      </c>
      <c r="Q390" s="89" t="e">
        <v>#REF!</v>
      </c>
      <c r="R390" s="89" t="e">
        <v>#REF!</v>
      </c>
      <c r="S390" s="89" t="e">
        <f>#REF!</f>
        <v>#REF!</v>
      </c>
      <c r="T390" s="89" t="e">
        <f>#REF!</f>
        <v>#REF!</v>
      </c>
      <c r="U390" s="89" t="e">
        <f>#REF!</f>
        <v>#REF!</v>
      </c>
      <c r="V390" s="89" t="e">
        <f>#REF!</f>
        <v>#REF!</v>
      </c>
      <c r="W390" s="89" t="e">
        <f>#REF!</f>
        <v>#REF!</v>
      </c>
      <c r="X390" s="89" t="e">
        <f>#REF!</f>
        <v>#REF!</v>
      </c>
      <c r="Y390" s="89" t="e">
        <f>#REF!</f>
        <v>#REF!</v>
      </c>
      <c r="Z390" s="89" t="e">
        <f>#REF!</f>
        <v>#REF!</v>
      </c>
      <c r="AA390" s="89" t="e">
        <f>#REF!</f>
        <v>#REF!</v>
      </c>
      <c r="AB390" s="89" t="e">
        <f>#REF!</f>
        <v>#REF!</v>
      </c>
      <c r="AC390" s="89" t="e">
        <f>#REF!</f>
        <v>#REF!</v>
      </c>
      <c r="AD390" s="89" t="e">
        <f>#REF!</f>
        <v>#REF!</v>
      </c>
      <c r="AE390" s="89" t="e">
        <f>#REF!</f>
        <v>#REF!</v>
      </c>
      <c r="AF390" s="89" t="e">
        <f>#REF!</f>
        <v>#REF!</v>
      </c>
      <c r="AG390" s="89" t="e">
        <f>#REF!</f>
        <v>#REF!</v>
      </c>
      <c r="AH390" s="89" t="e">
        <f>#REF!</f>
        <v>#REF!</v>
      </c>
      <c r="AI390" s="89" t="e">
        <f>#REF!</f>
        <v>#REF!</v>
      </c>
      <c r="AJ390" s="89" t="e">
        <f>#REF!</f>
        <v>#REF!</v>
      </c>
      <c r="AK390" s="89" t="e">
        <f>#REF!</f>
        <v>#REF!</v>
      </c>
      <c r="AL390" s="89" t="e">
        <f>#REF!</f>
        <v>#REF!</v>
      </c>
      <c r="AM390" s="89" t="e">
        <f>#REF!</f>
        <v>#REF!</v>
      </c>
      <c r="AN390" s="89" t="e">
        <f>#REF!</f>
        <v>#REF!</v>
      </c>
      <c r="AO390" s="89" t="e">
        <f>#REF!</f>
        <v>#REF!</v>
      </c>
      <c r="AP390" s="89" t="e">
        <f>#REF!</f>
        <v>#REF!</v>
      </c>
      <c r="AQ390" s="89" t="e">
        <f>#REF!</f>
        <v>#REF!</v>
      </c>
      <c r="AR390" s="89" t="e">
        <f>#REF!</f>
        <v>#REF!</v>
      </c>
      <c r="AS390" s="89" t="e">
        <f>#REF!</f>
        <v>#REF!</v>
      </c>
      <c r="AT390" s="89" t="e">
        <f>#REF!</f>
        <v>#REF!</v>
      </c>
      <c r="AU390" s="89" t="e">
        <f>#REF!</f>
        <v>#REF!</v>
      </c>
      <c r="AV390" s="89" t="e">
        <f>#REF!</f>
        <v>#REF!</v>
      </c>
      <c r="AW390" s="89" t="e">
        <f>#REF!</f>
        <v>#REF!</v>
      </c>
      <c r="AX390" s="89" t="e">
        <f>#REF!</f>
        <v>#REF!</v>
      </c>
      <c r="AY390" s="89" t="e">
        <f>#REF!</f>
        <v>#REF!</v>
      </c>
      <c r="AZ390" s="89" t="e">
        <f>#REF!</f>
        <v>#REF!</v>
      </c>
      <c r="BA390" s="89" t="e">
        <f>#REF!</f>
        <v>#REF!</v>
      </c>
      <c r="BB390" s="89" t="e">
        <f>#REF!</f>
        <v>#REF!</v>
      </c>
      <c r="BC390" s="89" t="e">
        <f>#REF!</f>
        <v>#REF!</v>
      </c>
      <c r="BD390" s="89" t="e">
        <f>#REF!</f>
        <v>#REF!</v>
      </c>
      <c r="BE390" s="89" t="e">
        <f>#REF!</f>
        <v>#REF!</v>
      </c>
      <c r="BF390" s="89" t="e">
        <f>#REF!</f>
        <v>#REF!</v>
      </c>
    </row>
    <row r="391" spans="9:58" x14ac:dyDescent="0.25">
      <c r="I391" s="89">
        <f>ABCD!J440</f>
        <v>96.75</v>
      </c>
      <c r="J391" s="89">
        <f>ABCD!K440</f>
        <v>317.33999999999997</v>
      </c>
      <c r="K391" s="89">
        <f>ABCD!L440</f>
        <v>-3.534643342293017</v>
      </c>
      <c r="L391" s="89">
        <f>ABCD!M440</f>
        <v>-0.68687185890776847</v>
      </c>
      <c r="M391" s="89">
        <f>ABCD!N440</f>
        <v>3.6007633229324809</v>
      </c>
      <c r="N391" s="89" t="e">
        <v>#REF!</v>
      </c>
      <c r="O391" s="89" t="e">
        <v>#REF!</v>
      </c>
      <c r="P391" s="89" t="e">
        <v>#REF!</v>
      </c>
      <c r="Q391" s="89" t="e">
        <v>#REF!</v>
      </c>
      <c r="R391" s="89" t="e">
        <v>#REF!</v>
      </c>
      <c r="S391" s="89" t="e">
        <f>#REF!</f>
        <v>#REF!</v>
      </c>
      <c r="T391" s="89" t="e">
        <f>#REF!</f>
        <v>#REF!</v>
      </c>
      <c r="U391" s="89" t="e">
        <f>#REF!</f>
        <v>#REF!</v>
      </c>
      <c r="V391" s="89" t="e">
        <f>#REF!</f>
        <v>#REF!</v>
      </c>
      <c r="W391" s="89" t="e">
        <f>#REF!</f>
        <v>#REF!</v>
      </c>
      <c r="X391" s="89" t="e">
        <f>#REF!</f>
        <v>#REF!</v>
      </c>
      <c r="Y391" s="89" t="e">
        <f>#REF!</f>
        <v>#REF!</v>
      </c>
      <c r="Z391" s="89" t="e">
        <f>#REF!</f>
        <v>#REF!</v>
      </c>
      <c r="AA391" s="89" t="e">
        <f>#REF!</f>
        <v>#REF!</v>
      </c>
      <c r="AB391" s="89" t="e">
        <f>#REF!</f>
        <v>#REF!</v>
      </c>
      <c r="AC391" s="89" t="e">
        <f>#REF!</f>
        <v>#REF!</v>
      </c>
      <c r="AD391" s="89" t="e">
        <f>#REF!</f>
        <v>#REF!</v>
      </c>
      <c r="AE391" s="89" t="e">
        <f>#REF!</f>
        <v>#REF!</v>
      </c>
      <c r="AF391" s="89" t="e">
        <f>#REF!</f>
        <v>#REF!</v>
      </c>
      <c r="AG391" s="89" t="e">
        <f>#REF!</f>
        <v>#REF!</v>
      </c>
      <c r="AH391" s="89" t="e">
        <f>#REF!</f>
        <v>#REF!</v>
      </c>
      <c r="AI391" s="89" t="e">
        <f>#REF!</f>
        <v>#REF!</v>
      </c>
      <c r="AJ391" s="89" t="e">
        <f>#REF!</f>
        <v>#REF!</v>
      </c>
      <c r="AK391" s="89" t="e">
        <f>#REF!</f>
        <v>#REF!</v>
      </c>
      <c r="AL391" s="89" t="e">
        <f>#REF!</f>
        <v>#REF!</v>
      </c>
      <c r="AM391" s="89" t="e">
        <f>#REF!</f>
        <v>#REF!</v>
      </c>
      <c r="AN391" s="89" t="e">
        <f>#REF!</f>
        <v>#REF!</v>
      </c>
      <c r="AO391" s="89" t="e">
        <f>#REF!</f>
        <v>#REF!</v>
      </c>
      <c r="AP391" s="89" t="e">
        <f>#REF!</f>
        <v>#REF!</v>
      </c>
      <c r="AQ391" s="89" t="e">
        <f>#REF!</f>
        <v>#REF!</v>
      </c>
      <c r="AR391" s="89" t="e">
        <f>#REF!</f>
        <v>#REF!</v>
      </c>
      <c r="AS391" s="89" t="e">
        <f>#REF!</f>
        <v>#REF!</v>
      </c>
      <c r="AT391" s="89" t="e">
        <f>#REF!</f>
        <v>#REF!</v>
      </c>
      <c r="AU391" s="89" t="e">
        <f>#REF!</f>
        <v>#REF!</v>
      </c>
      <c r="AV391" s="89" t="e">
        <f>#REF!</f>
        <v>#REF!</v>
      </c>
      <c r="AW391" s="89" t="e">
        <f>#REF!</f>
        <v>#REF!</v>
      </c>
      <c r="AX391" s="89" t="e">
        <f>#REF!</f>
        <v>#REF!</v>
      </c>
      <c r="AY391" s="89" t="e">
        <f>#REF!</f>
        <v>#REF!</v>
      </c>
      <c r="AZ391" s="89" t="e">
        <f>#REF!</f>
        <v>#REF!</v>
      </c>
      <c r="BA391" s="89" t="e">
        <f>#REF!</f>
        <v>#REF!</v>
      </c>
      <c r="BB391" s="89" t="e">
        <f>#REF!</f>
        <v>#REF!</v>
      </c>
      <c r="BC391" s="89" t="e">
        <f>#REF!</f>
        <v>#REF!</v>
      </c>
      <c r="BD391" s="89" t="e">
        <f>#REF!</f>
        <v>#REF!</v>
      </c>
      <c r="BE391" s="89" t="e">
        <f>#REF!</f>
        <v>#REF!</v>
      </c>
      <c r="BF391" s="89" t="e">
        <f>#REF!</f>
        <v>#REF!</v>
      </c>
    </row>
    <row r="392" spans="9:58" x14ac:dyDescent="0.25">
      <c r="I392" s="89">
        <f>ABCD!J441</f>
        <v>97</v>
      </c>
      <c r="J392" s="89">
        <f>ABCD!K441</f>
        <v>318.15999999999997</v>
      </c>
      <c r="K392" s="89">
        <f>ABCD!L441</f>
        <v>-3.4607265542188039</v>
      </c>
      <c r="L392" s="89">
        <f>ABCD!M441</f>
        <v>-0.67388766243676779</v>
      </c>
      <c r="M392" s="89">
        <f>ABCD!N441</f>
        <v>3.5257272816625576</v>
      </c>
      <c r="N392" s="89" t="e">
        <v>#REF!</v>
      </c>
      <c r="O392" s="89" t="e">
        <v>#REF!</v>
      </c>
      <c r="P392" s="89" t="e">
        <v>#REF!</v>
      </c>
      <c r="Q392" s="89" t="e">
        <v>#REF!</v>
      </c>
      <c r="R392" s="89" t="e">
        <v>#REF!</v>
      </c>
      <c r="S392" s="89" t="e">
        <f>#REF!</f>
        <v>#REF!</v>
      </c>
      <c r="T392" s="89" t="e">
        <f>#REF!</f>
        <v>#REF!</v>
      </c>
      <c r="U392" s="89" t="e">
        <f>#REF!</f>
        <v>#REF!</v>
      </c>
      <c r="V392" s="89" t="e">
        <f>#REF!</f>
        <v>#REF!</v>
      </c>
      <c r="W392" s="89" t="e">
        <f>#REF!</f>
        <v>#REF!</v>
      </c>
      <c r="X392" s="89" t="e">
        <f>#REF!</f>
        <v>#REF!</v>
      </c>
      <c r="Y392" s="89" t="e">
        <f>#REF!</f>
        <v>#REF!</v>
      </c>
      <c r="Z392" s="89" t="e">
        <f>#REF!</f>
        <v>#REF!</v>
      </c>
      <c r="AA392" s="89" t="e">
        <f>#REF!</f>
        <v>#REF!</v>
      </c>
      <c r="AB392" s="89" t="e">
        <f>#REF!</f>
        <v>#REF!</v>
      </c>
      <c r="AC392" s="89" t="e">
        <f>#REF!</f>
        <v>#REF!</v>
      </c>
      <c r="AD392" s="89" t="e">
        <f>#REF!</f>
        <v>#REF!</v>
      </c>
      <c r="AE392" s="89" t="e">
        <f>#REF!</f>
        <v>#REF!</v>
      </c>
      <c r="AF392" s="89" t="e">
        <f>#REF!</f>
        <v>#REF!</v>
      </c>
      <c r="AG392" s="89" t="e">
        <f>#REF!</f>
        <v>#REF!</v>
      </c>
      <c r="AH392" s="89" t="e">
        <f>#REF!</f>
        <v>#REF!</v>
      </c>
      <c r="AI392" s="89" t="e">
        <f>#REF!</f>
        <v>#REF!</v>
      </c>
      <c r="AJ392" s="89" t="e">
        <f>#REF!</f>
        <v>#REF!</v>
      </c>
      <c r="AK392" s="89" t="e">
        <f>#REF!</f>
        <v>#REF!</v>
      </c>
      <c r="AL392" s="89" t="e">
        <f>#REF!</f>
        <v>#REF!</v>
      </c>
      <c r="AM392" s="89" t="e">
        <f>#REF!</f>
        <v>#REF!</v>
      </c>
      <c r="AN392" s="89" t="e">
        <f>#REF!</f>
        <v>#REF!</v>
      </c>
      <c r="AO392" s="89" t="e">
        <f>#REF!</f>
        <v>#REF!</v>
      </c>
      <c r="AP392" s="89" t="e">
        <f>#REF!</f>
        <v>#REF!</v>
      </c>
      <c r="AQ392" s="89" t="e">
        <f>#REF!</f>
        <v>#REF!</v>
      </c>
      <c r="AR392" s="89" t="e">
        <f>#REF!</f>
        <v>#REF!</v>
      </c>
      <c r="AS392" s="89" t="e">
        <f>#REF!</f>
        <v>#REF!</v>
      </c>
      <c r="AT392" s="89" t="e">
        <f>#REF!</f>
        <v>#REF!</v>
      </c>
      <c r="AU392" s="89" t="e">
        <f>#REF!</f>
        <v>#REF!</v>
      </c>
      <c r="AV392" s="89" t="e">
        <f>#REF!</f>
        <v>#REF!</v>
      </c>
      <c r="AW392" s="89" t="e">
        <f>#REF!</f>
        <v>#REF!</v>
      </c>
      <c r="AX392" s="89" t="e">
        <f>#REF!</f>
        <v>#REF!</v>
      </c>
      <c r="AY392" s="89" t="e">
        <f>#REF!</f>
        <v>#REF!</v>
      </c>
      <c r="AZ392" s="89" t="e">
        <f>#REF!</f>
        <v>#REF!</v>
      </c>
      <c r="BA392" s="89" t="e">
        <f>#REF!</f>
        <v>#REF!</v>
      </c>
      <c r="BB392" s="89" t="e">
        <f>#REF!</f>
        <v>#REF!</v>
      </c>
      <c r="BC392" s="89" t="e">
        <f>#REF!</f>
        <v>#REF!</v>
      </c>
      <c r="BD392" s="89" t="e">
        <f>#REF!</f>
        <v>#REF!</v>
      </c>
      <c r="BE392" s="89" t="e">
        <f>#REF!</f>
        <v>#REF!</v>
      </c>
      <c r="BF392" s="89" t="e">
        <f>#REF!</f>
        <v>#REF!</v>
      </c>
    </row>
    <row r="393" spans="9:58" x14ac:dyDescent="0.25">
      <c r="I393" s="89">
        <f>ABCD!J442</f>
        <v>97.25</v>
      </c>
      <c r="J393" s="89">
        <f>ABCD!K442</f>
        <v>318.97999999999996</v>
      </c>
      <c r="K393" s="89">
        <f>ABCD!L442</f>
        <v>-3.3860773834863283</v>
      </c>
      <c r="L393" s="89">
        <f>ABCD!M442</f>
        <v>-0.66075958553272507</v>
      </c>
      <c r="M393" s="89">
        <f>ABCD!N442</f>
        <v>3.4499454020072546</v>
      </c>
      <c r="N393" s="89" t="e">
        <v>#REF!</v>
      </c>
      <c r="O393" s="89" t="e">
        <v>#REF!</v>
      </c>
      <c r="P393" s="89" t="e">
        <v>#REF!</v>
      </c>
      <c r="Q393" s="89" t="e">
        <v>#REF!</v>
      </c>
      <c r="R393" s="89" t="e">
        <v>#REF!</v>
      </c>
      <c r="S393" s="89" t="e">
        <f>#REF!</f>
        <v>#REF!</v>
      </c>
      <c r="T393" s="89" t="e">
        <f>#REF!</f>
        <v>#REF!</v>
      </c>
      <c r="U393" s="89" t="e">
        <f>#REF!</f>
        <v>#REF!</v>
      </c>
      <c r="V393" s="89" t="e">
        <f>#REF!</f>
        <v>#REF!</v>
      </c>
      <c r="W393" s="89" t="e">
        <f>#REF!</f>
        <v>#REF!</v>
      </c>
      <c r="X393" s="89" t="e">
        <f>#REF!</f>
        <v>#REF!</v>
      </c>
      <c r="Y393" s="89" t="e">
        <f>#REF!</f>
        <v>#REF!</v>
      </c>
      <c r="Z393" s="89" t="e">
        <f>#REF!</f>
        <v>#REF!</v>
      </c>
      <c r="AA393" s="89" t="e">
        <f>#REF!</f>
        <v>#REF!</v>
      </c>
      <c r="AB393" s="89" t="e">
        <f>#REF!</f>
        <v>#REF!</v>
      </c>
      <c r="AC393" s="89" t="e">
        <f>#REF!</f>
        <v>#REF!</v>
      </c>
      <c r="AD393" s="89" t="e">
        <f>#REF!</f>
        <v>#REF!</v>
      </c>
      <c r="AE393" s="89" t="e">
        <f>#REF!</f>
        <v>#REF!</v>
      </c>
      <c r="AF393" s="89" t="e">
        <f>#REF!</f>
        <v>#REF!</v>
      </c>
      <c r="AG393" s="89" t="e">
        <f>#REF!</f>
        <v>#REF!</v>
      </c>
      <c r="AH393" s="89" t="e">
        <f>#REF!</f>
        <v>#REF!</v>
      </c>
      <c r="AI393" s="89" t="e">
        <f>#REF!</f>
        <v>#REF!</v>
      </c>
      <c r="AJ393" s="89" t="e">
        <f>#REF!</f>
        <v>#REF!</v>
      </c>
      <c r="AK393" s="89" t="e">
        <f>#REF!</f>
        <v>#REF!</v>
      </c>
      <c r="AL393" s="89" t="e">
        <f>#REF!</f>
        <v>#REF!</v>
      </c>
      <c r="AM393" s="89" t="e">
        <f>#REF!</f>
        <v>#REF!</v>
      </c>
      <c r="AN393" s="89" t="e">
        <f>#REF!</f>
        <v>#REF!</v>
      </c>
      <c r="AO393" s="89" t="e">
        <f>#REF!</f>
        <v>#REF!</v>
      </c>
      <c r="AP393" s="89" t="e">
        <f>#REF!</f>
        <v>#REF!</v>
      </c>
      <c r="AQ393" s="89" t="e">
        <f>#REF!</f>
        <v>#REF!</v>
      </c>
      <c r="AR393" s="89" t="e">
        <f>#REF!</f>
        <v>#REF!</v>
      </c>
      <c r="AS393" s="89" t="e">
        <f>#REF!</f>
        <v>#REF!</v>
      </c>
      <c r="AT393" s="89" t="e">
        <f>#REF!</f>
        <v>#REF!</v>
      </c>
      <c r="AU393" s="89" t="e">
        <f>#REF!</f>
        <v>#REF!</v>
      </c>
      <c r="AV393" s="89" t="e">
        <f>#REF!</f>
        <v>#REF!</v>
      </c>
      <c r="AW393" s="89" t="e">
        <f>#REF!</f>
        <v>#REF!</v>
      </c>
      <c r="AX393" s="89" t="e">
        <f>#REF!</f>
        <v>#REF!</v>
      </c>
      <c r="AY393" s="89" t="e">
        <f>#REF!</f>
        <v>#REF!</v>
      </c>
      <c r="AZ393" s="89" t="e">
        <f>#REF!</f>
        <v>#REF!</v>
      </c>
      <c r="BA393" s="89" t="e">
        <f>#REF!</f>
        <v>#REF!</v>
      </c>
      <c r="BB393" s="89" t="e">
        <f>#REF!</f>
        <v>#REF!</v>
      </c>
      <c r="BC393" s="89" t="e">
        <f>#REF!</f>
        <v>#REF!</v>
      </c>
      <c r="BD393" s="89" t="e">
        <f>#REF!</f>
        <v>#REF!</v>
      </c>
      <c r="BE393" s="89" t="e">
        <f>#REF!</f>
        <v>#REF!</v>
      </c>
      <c r="BF393" s="89" t="e">
        <f>#REF!</f>
        <v>#REF!</v>
      </c>
    </row>
    <row r="394" spans="9:58" x14ac:dyDescent="0.25">
      <c r="I394" s="89">
        <f>ABCD!J443</f>
        <v>97.5</v>
      </c>
      <c r="J394" s="89">
        <f>ABCD!K443</f>
        <v>319.79999999999995</v>
      </c>
      <c r="K394" s="89">
        <f>ABCD!L443</f>
        <v>-3.3107137210383253</v>
      </c>
      <c r="L394" s="89">
        <f>ABCD!M443</f>
        <v>-0.64749078812916894</v>
      </c>
      <c r="M394" s="89">
        <f>ABCD!N443</f>
        <v>3.3734358839888401</v>
      </c>
      <c r="N394" s="89" t="e">
        <v>#REF!</v>
      </c>
      <c r="O394" s="89" t="e">
        <v>#REF!</v>
      </c>
      <c r="P394" s="89" t="e">
        <v>#REF!</v>
      </c>
      <c r="Q394" s="89" t="e">
        <v>#REF!</v>
      </c>
      <c r="R394" s="89" t="e">
        <v>#REF!</v>
      </c>
      <c r="S394" s="89" t="e">
        <f>#REF!</f>
        <v>#REF!</v>
      </c>
      <c r="T394" s="89" t="e">
        <f>#REF!</f>
        <v>#REF!</v>
      </c>
      <c r="U394" s="89" t="e">
        <f>#REF!</f>
        <v>#REF!</v>
      </c>
      <c r="V394" s="89" t="e">
        <f>#REF!</f>
        <v>#REF!</v>
      </c>
      <c r="W394" s="89" t="e">
        <f>#REF!</f>
        <v>#REF!</v>
      </c>
      <c r="X394" s="89" t="e">
        <f>#REF!</f>
        <v>#REF!</v>
      </c>
      <c r="Y394" s="89" t="e">
        <f>#REF!</f>
        <v>#REF!</v>
      </c>
      <c r="Z394" s="89" t="e">
        <f>#REF!</f>
        <v>#REF!</v>
      </c>
      <c r="AA394" s="89" t="e">
        <f>#REF!</f>
        <v>#REF!</v>
      </c>
      <c r="AB394" s="89" t="e">
        <f>#REF!</f>
        <v>#REF!</v>
      </c>
      <c r="AC394" s="89" t="e">
        <f>#REF!</f>
        <v>#REF!</v>
      </c>
      <c r="AD394" s="89" t="e">
        <f>#REF!</f>
        <v>#REF!</v>
      </c>
      <c r="AE394" s="89" t="e">
        <f>#REF!</f>
        <v>#REF!</v>
      </c>
      <c r="AF394" s="89" t="e">
        <f>#REF!</f>
        <v>#REF!</v>
      </c>
      <c r="AG394" s="89" t="e">
        <f>#REF!</f>
        <v>#REF!</v>
      </c>
      <c r="AH394" s="89" t="e">
        <f>#REF!</f>
        <v>#REF!</v>
      </c>
      <c r="AI394" s="89" t="e">
        <f>#REF!</f>
        <v>#REF!</v>
      </c>
      <c r="AJ394" s="89" t="e">
        <f>#REF!</f>
        <v>#REF!</v>
      </c>
      <c r="AK394" s="89" t="e">
        <f>#REF!</f>
        <v>#REF!</v>
      </c>
      <c r="AL394" s="89" t="e">
        <f>#REF!</f>
        <v>#REF!</v>
      </c>
      <c r="AM394" s="89" t="e">
        <f>#REF!</f>
        <v>#REF!</v>
      </c>
      <c r="AN394" s="89" t="e">
        <f>#REF!</f>
        <v>#REF!</v>
      </c>
      <c r="AO394" s="89" t="e">
        <f>#REF!</f>
        <v>#REF!</v>
      </c>
      <c r="AP394" s="89" t="e">
        <f>#REF!</f>
        <v>#REF!</v>
      </c>
      <c r="AQ394" s="89" t="e">
        <f>#REF!</f>
        <v>#REF!</v>
      </c>
      <c r="AR394" s="89" t="e">
        <f>#REF!</f>
        <v>#REF!</v>
      </c>
      <c r="AS394" s="89" t="e">
        <f>#REF!</f>
        <v>#REF!</v>
      </c>
      <c r="AT394" s="89" t="e">
        <f>#REF!</f>
        <v>#REF!</v>
      </c>
      <c r="AU394" s="89" t="e">
        <f>#REF!</f>
        <v>#REF!</v>
      </c>
      <c r="AV394" s="89" t="e">
        <f>#REF!</f>
        <v>#REF!</v>
      </c>
      <c r="AW394" s="89" t="e">
        <f>#REF!</f>
        <v>#REF!</v>
      </c>
      <c r="AX394" s="89" t="e">
        <f>#REF!</f>
        <v>#REF!</v>
      </c>
      <c r="AY394" s="89" t="e">
        <f>#REF!</f>
        <v>#REF!</v>
      </c>
      <c r="AZ394" s="89" t="e">
        <f>#REF!</f>
        <v>#REF!</v>
      </c>
      <c r="BA394" s="89" t="e">
        <f>#REF!</f>
        <v>#REF!</v>
      </c>
      <c r="BB394" s="89" t="e">
        <f>#REF!</f>
        <v>#REF!</v>
      </c>
      <c r="BC394" s="89" t="e">
        <f>#REF!</f>
        <v>#REF!</v>
      </c>
      <c r="BD394" s="89" t="e">
        <f>#REF!</f>
        <v>#REF!</v>
      </c>
      <c r="BE394" s="89" t="e">
        <f>#REF!</f>
        <v>#REF!</v>
      </c>
      <c r="BF394" s="89" t="e">
        <f>#REF!</f>
        <v>#REF!</v>
      </c>
    </row>
    <row r="395" spans="9:58" x14ac:dyDescent="0.25">
      <c r="I395" s="89">
        <f>ABCD!J444</f>
        <v>97.75</v>
      </c>
      <c r="J395" s="89">
        <f>ABCD!K444</f>
        <v>320.62</v>
      </c>
      <c r="K395" s="89">
        <f>ABCD!L444</f>
        <v>-3.2346536066569689</v>
      </c>
      <c r="L395" s="89">
        <f>ABCD!M444</f>
        <v>-0.63408445980103956</v>
      </c>
      <c r="M395" s="89">
        <f>ABCD!N444</f>
        <v>3.2962170828421042</v>
      </c>
      <c r="N395" s="89" t="e">
        <v>#REF!</v>
      </c>
      <c r="O395" s="89" t="e">
        <v>#REF!</v>
      </c>
      <c r="P395" s="89" t="e">
        <v>#REF!</v>
      </c>
      <c r="Q395" s="89" t="e">
        <v>#REF!</v>
      </c>
      <c r="R395" s="89" t="e">
        <v>#REF!</v>
      </c>
      <c r="S395" s="89" t="e">
        <f>#REF!</f>
        <v>#REF!</v>
      </c>
      <c r="T395" s="89" t="e">
        <f>#REF!</f>
        <v>#REF!</v>
      </c>
      <c r="U395" s="89" t="e">
        <f>#REF!</f>
        <v>#REF!</v>
      </c>
      <c r="V395" s="89" t="e">
        <f>#REF!</f>
        <v>#REF!</v>
      </c>
      <c r="W395" s="89" t="e">
        <f>#REF!</f>
        <v>#REF!</v>
      </c>
      <c r="X395" s="89" t="e">
        <f>#REF!</f>
        <v>#REF!</v>
      </c>
      <c r="Y395" s="89" t="e">
        <f>#REF!</f>
        <v>#REF!</v>
      </c>
      <c r="Z395" s="89" t="e">
        <f>#REF!</f>
        <v>#REF!</v>
      </c>
      <c r="AA395" s="89" t="e">
        <f>#REF!</f>
        <v>#REF!</v>
      </c>
      <c r="AB395" s="89" t="e">
        <f>#REF!</f>
        <v>#REF!</v>
      </c>
      <c r="AC395" s="89" t="e">
        <f>#REF!</f>
        <v>#REF!</v>
      </c>
      <c r="AD395" s="89" t="e">
        <f>#REF!</f>
        <v>#REF!</v>
      </c>
      <c r="AE395" s="89" t="e">
        <f>#REF!</f>
        <v>#REF!</v>
      </c>
      <c r="AF395" s="89" t="e">
        <f>#REF!</f>
        <v>#REF!</v>
      </c>
      <c r="AG395" s="89" t="e">
        <f>#REF!</f>
        <v>#REF!</v>
      </c>
      <c r="AH395" s="89" t="e">
        <f>#REF!</f>
        <v>#REF!</v>
      </c>
      <c r="AI395" s="89" t="e">
        <f>#REF!</f>
        <v>#REF!</v>
      </c>
      <c r="AJ395" s="89" t="e">
        <f>#REF!</f>
        <v>#REF!</v>
      </c>
      <c r="AK395" s="89" t="e">
        <f>#REF!</f>
        <v>#REF!</v>
      </c>
      <c r="AL395" s="89" t="e">
        <f>#REF!</f>
        <v>#REF!</v>
      </c>
      <c r="AM395" s="89" t="e">
        <f>#REF!</f>
        <v>#REF!</v>
      </c>
      <c r="AN395" s="89" t="e">
        <f>#REF!</f>
        <v>#REF!</v>
      </c>
      <c r="AO395" s="89" t="e">
        <f>#REF!</f>
        <v>#REF!</v>
      </c>
      <c r="AP395" s="89" t="e">
        <f>#REF!</f>
        <v>#REF!</v>
      </c>
      <c r="AQ395" s="89" t="e">
        <f>#REF!</f>
        <v>#REF!</v>
      </c>
      <c r="AR395" s="89" t="e">
        <f>#REF!</f>
        <v>#REF!</v>
      </c>
      <c r="AS395" s="89" t="e">
        <f>#REF!</f>
        <v>#REF!</v>
      </c>
      <c r="AT395" s="89" t="e">
        <f>#REF!</f>
        <v>#REF!</v>
      </c>
      <c r="AU395" s="89" t="e">
        <f>#REF!</f>
        <v>#REF!</v>
      </c>
      <c r="AV395" s="89" t="e">
        <f>#REF!</f>
        <v>#REF!</v>
      </c>
      <c r="AW395" s="89" t="e">
        <f>#REF!</f>
        <v>#REF!</v>
      </c>
      <c r="AX395" s="89" t="e">
        <f>#REF!</f>
        <v>#REF!</v>
      </c>
      <c r="AY395" s="89" t="e">
        <f>#REF!</f>
        <v>#REF!</v>
      </c>
      <c r="AZ395" s="89" t="e">
        <f>#REF!</f>
        <v>#REF!</v>
      </c>
      <c r="BA395" s="89" t="e">
        <f>#REF!</f>
        <v>#REF!</v>
      </c>
      <c r="BB395" s="89" t="e">
        <f>#REF!</f>
        <v>#REF!</v>
      </c>
      <c r="BC395" s="89" t="e">
        <f>#REF!</f>
        <v>#REF!</v>
      </c>
      <c r="BD395" s="89" t="e">
        <f>#REF!</f>
        <v>#REF!</v>
      </c>
      <c r="BE395" s="89" t="e">
        <f>#REF!</f>
        <v>#REF!</v>
      </c>
      <c r="BF395" s="89" t="e">
        <f>#REF!</f>
        <v>#REF!</v>
      </c>
    </row>
    <row r="396" spans="9:58" x14ac:dyDescent="0.25">
      <c r="I396" s="89">
        <f>ABCD!J445</f>
        <v>98</v>
      </c>
      <c r="J396" s="89">
        <f>ABCD!K445</f>
        <v>321.44</v>
      </c>
      <c r="K396" s="89">
        <f>ABCD!L445</f>
        <v>-3.1579152246656212</v>
      </c>
      <c r="L396" s="89">
        <f>ABCD!M445</f>
        <v>-0.62054381900173583</v>
      </c>
      <c r="M396" s="89">
        <f>ABCD!N445</f>
        <v>3.2183075051144789</v>
      </c>
      <c r="N396" s="89" t="e">
        <v>#REF!</v>
      </c>
      <c r="O396" s="89" t="e">
        <v>#REF!</v>
      </c>
      <c r="P396" s="89" t="e">
        <v>#REF!</v>
      </c>
      <c r="Q396" s="89" t="e">
        <v>#REF!</v>
      </c>
      <c r="R396" s="89" t="e">
        <v>#REF!</v>
      </c>
      <c r="S396" s="89" t="e">
        <f>#REF!</f>
        <v>#REF!</v>
      </c>
      <c r="T396" s="89" t="e">
        <f>#REF!</f>
        <v>#REF!</v>
      </c>
      <c r="U396" s="89" t="e">
        <f>#REF!</f>
        <v>#REF!</v>
      </c>
      <c r="V396" s="89" t="e">
        <f>#REF!</f>
        <v>#REF!</v>
      </c>
      <c r="W396" s="89" t="e">
        <f>#REF!</f>
        <v>#REF!</v>
      </c>
      <c r="X396" s="89" t="e">
        <f>#REF!</f>
        <v>#REF!</v>
      </c>
      <c r="Y396" s="89" t="e">
        <f>#REF!</f>
        <v>#REF!</v>
      </c>
      <c r="Z396" s="89" t="e">
        <f>#REF!</f>
        <v>#REF!</v>
      </c>
      <c r="AA396" s="89" t="e">
        <f>#REF!</f>
        <v>#REF!</v>
      </c>
      <c r="AB396" s="89" t="e">
        <f>#REF!</f>
        <v>#REF!</v>
      </c>
      <c r="AC396" s="89" t="e">
        <f>#REF!</f>
        <v>#REF!</v>
      </c>
      <c r="AD396" s="89" t="e">
        <f>#REF!</f>
        <v>#REF!</v>
      </c>
      <c r="AE396" s="89" t="e">
        <f>#REF!</f>
        <v>#REF!</v>
      </c>
      <c r="AF396" s="89" t="e">
        <f>#REF!</f>
        <v>#REF!</v>
      </c>
      <c r="AG396" s="89" t="e">
        <f>#REF!</f>
        <v>#REF!</v>
      </c>
      <c r="AH396" s="89" t="e">
        <f>#REF!</f>
        <v>#REF!</v>
      </c>
      <c r="AI396" s="89" t="e">
        <f>#REF!</f>
        <v>#REF!</v>
      </c>
      <c r="AJ396" s="89" t="e">
        <f>#REF!</f>
        <v>#REF!</v>
      </c>
      <c r="AK396" s="89" t="e">
        <f>#REF!</f>
        <v>#REF!</v>
      </c>
      <c r="AL396" s="89" t="e">
        <f>#REF!</f>
        <v>#REF!</v>
      </c>
      <c r="AM396" s="89" t="e">
        <f>#REF!</f>
        <v>#REF!</v>
      </c>
      <c r="AN396" s="89" t="e">
        <f>#REF!</f>
        <v>#REF!</v>
      </c>
      <c r="AO396" s="89" t="e">
        <f>#REF!</f>
        <v>#REF!</v>
      </c>
      <c r="AP396" s="89" t="e">
        <f>#REF!</f>
        <v>#REF!</v>
      </c>
      <c r="AQ396" s="89" t="e">
        <f>#REF!</f>
        <v>#REF!</v>
      </c>
      <c r="AR396" s="89" t="e">
        <f>#REF!</f>
        <v>#REF!</v>
      </c>
      <c r="AS396" s="89" t="e">
        <f>#REF!</f>
        <v>#REF!</v>
      </c>
      <c r="AT396" s="89" t="e">
        <f>#REF!</f>
        <v>#REF!</v>
      </c>
      <c r="AU396" s="89" t="e">
        <f>#REF!</f>
        <v>#REF!</v>
      </c>
      <c r="AV396" s="89" t="e">
        <f>#REF!</f>
        <v>#REF!</v>
      </c>
      <c r="AW396" s="89" t="e">
        <f>#REF!</f>
        <v>#REF!</v>
      </c>
      <c r="AX396" s="89" t="e">
        <f>#REF!</f>
        <v>#REF!</v>
      </c>
      <c r="AY396" s="89" t="e">
        <f>#REF!</f>
        <v>#REF!</v>
      </c>
      <c r="AZ396" s="89" t="e">
        <f>#REF!</f>
        <v>#REF!</v>
      </c>
      <c r="BA396" s="89" t="e">
        <f>#REF!</f>
        <v>#REF!</v>
      </c>
      <c r="BB396" s="89" t="e">
        <f>#REF!</f>
        <v>#REF!</v>
      </c>
      <c r="BC396" s="89" t="e">
        <f>#REF!</f>
        <v>#REF!</v>
      </c>
      <c r="BD396" s="89" t="e">
        <f>#REF!</f>
        <v>#REF!</v>
      </c>
      <c r="BE396" s="89" t="e">
        <f>#REF!</f>
        <v>#REF!</v>
      </c>
      <c r="BF396" s="89" t="e">
        <f>#REF!</f>
        <v>#REF!</v>
      </c>
    </row>
    <row r="397" spans="9:58" x14ac:dyDescent="0.25">
      <c r="I397" s="89">
        <f>ABCD!J446</f>
        <v>98.25</v>
      </c>
      <c r="J397" s="89">
        <f>ABCD!K446</f>
        <v>322.26</v>
      </c>
      <c r="K397" s="89">
        <f>ABCD!L446</f>
        <v>-3.0805168996011645</v>
      </c>
      <c r="L397" s="89">
        <f>ABCD!M446</f>
        <v>-0.60687211229418825</v>
      </c>
      <c r="M397" s="89">
        <f>ABCD!N446</f>
        <v>3.1397258048130223</v>
      </c>
      <c r="N397" s="89" t="e">
        <v>#REF!</v>
      </c>
      <c r="O397" s="89" t="e">
        <v>#REF!</v>
      </c>
      <c r="P397" s="89" t="e">
        <v>#REF!</v>
      </c>
      <c r="Q397" s="89" t="e">
        <v>#REF!</v>
      </c>
      <c r="R397" s="89" t="e">
        <v>#REF!</v>
      </c>
      <c r="S397" s="89" t="e">
        <f>#REF!</f>
        <v>#REF!</v>
      </c>
      <c r="T397" s="89" t="e">
        <f>#REF!</f>
        <v>#REF!</v>
      </c>
      <c r="U397" s="89" t="e">
        <f>#REF!</f>
        <v>#REF!</v>
      </c>
      <c r="V397" s="89" t="e">
        <f>#REF!</f>
        <v>#REF!</v>
      </c>
      <c r="W397" s="89" t="e">
        <f>#REF!</f>
        <v>#REF!</v>
      </c>
      <c r="X397" s="89" t="e">
        <f>#REF!</f>
        <v>#REF!</v>
      </c>
      <c r="Y397" s="89" t="e">
        <f>#REF!</f>
        <v>#REF!</v>
      </c>
      <c r="Z397" s="89" t="e">
        <f>#REF!</f>
        <v>#REF!</v>
      </c>
      <c r="AA397" s="89" t="e">
        <f>#REF!</f>
        <v>#REF!</v>
      </c>
      <c r="AB397" s="89" t="e">
        <f>#REF!</f>
        <v>#REF!</v>
      </c>
      <c r="AC397" s="89" t="e">
        <f>#REF!</f>
        <v>#REF!</v>
      </c>
      <c r="AD397" s="89" t="e">
        <f>#REF!</f>
        <v>#REF!</v>
      </c>
      <c r="AE397" s="89" t="e">
        <f>#REF!</f>
        <v>#REF!</v>
      </c>
      <c r="AF397" s="89" t="e">
        <f>#REF!</f>
        <v>#REF!</v>
      </c>
      <c r="AG397" s="89" t="e">
        <f>#REF!</f>
        <v>#REF!</v>
      </c>
      <c r="AH397" s="89" t="e">
        <f>#REF!</f>
        <v>#REF!</v>
      </c>
      <c r="AI397" s="89" t="e">
        <f>#REF!</f>
        <v>#REF!</v>
      </c>
      <c r="AJ397" s="89" t="e">
        <f>#REF!</f>
        <v>#REF!</v>
      </c>
      <c r="AK397" s="89" t="e">
        <f>#REF!</f>
        <v>#REF!</v>
      </c>
      <c r="AL397" s="89" t="e">
        <f>#REF!</f>
        <v>#REF!</v>
      </c>
      <c r="AM397" s="89" t="e">
        <f>#REF!</f>
        <v>#REF!</v>
      </c>
      <c r="AN397" s="89" t="e">
        <f>#REF!</f>
        <v>#REF!</v>
      </c>
      <c r="AO397" s="89" t="e">
        <f>#REF!</f>
        <v>#REF!</v>
      </c>
      <c r="AP397" s="89" t="e">
        <f>#REF!</f>
        <v>#REF!</v>
      </c>
      <c r="AQ397" s="89" t="e">
        <f>#REF!</f>
        <v>#REF!</v>
      </c>
      <c r="AR397" s="89" t="e">
        <f>#REF!</f>
        <v>#REF!</v>
      </c>
      <c r="AS397" s="89" t="e">
        <f>#REF!</f>
        <v>#REF!</v>
      </c>
      <c r="AT397" s="89" t="e">
        <f>#REF!</f>
        <v>#REF!</v>
      </c>
      <c r="AU397" s="89" t="e">
        <f>#REF!</f>
        <v>#REF!</v>
      </c>
      <c r="AV397" s="89" t="e">
        <f>#REF!</f>
        <v>#REF!</v>
      </c>
      <c r="AW397" s="89" t="e">
        <f>#REF!</f>
        <v>#REF!</v>
      </c>
      <c r="AX397" s="89" t="e">
        <f>#REF!</f>
        <v>#REF!</v>
      </c>
      <c r="AY397" s="89" t="e">
        <f>#REF!</f>
        <v>#REF!</v>
      </c>
      <c r="AZ397" s="89" t="e">
        <f>#REF!</f>
        <v>#REF!</v>
      </c>
      <c r="BA397" s="89" t="e">
        <f>#REF!</f>
        <v>#REF!</v>
      </c>
      <c r="BB397" s="89" t="e">
        <f>#REF!</f>
        <v>#REF!</v>
      </c>
      <c r="BC397" s="89" t="e">
        <f>#REF!</f>
        <v>#REF!</v>
      </c>
      <c r="BD397" s="89" t="e">
        <f>#REF!</f>
        <v>#REF!</v>
      </c>
      <c r="BE397" s="89" t="e">
        <f>#REF!</f>
        <v>#REF!</v>
      </c>
      <c r="BF397" s="89" t="e">
        <f>#REF!</f>
        <v>#REF!</v>
      </c>
    </row>
    <row r="398" spans="9:58" x14ac:dyDescent="0.25">
      <c r="I398" s="89">
        <f>ABCD!J447</f>
        <v>98.5</v>
      </c>
      <c r="J398" s="89">
        <f>ABCD!K447</f>
        <v>323.08</v>
      </c>
      <c r="K398" s="89">
        <f>ABCD!L447</f>
        <v>-3.0024770918577799</v>
      </c>
      <c r="L398" s="89">
        <f>ABCD!M447</f>
        <v>-0.59307261357613106</v>
      </c>
      <c r="M398" s="89">
        <f>ABCD!N447</f>
        <v>3.0604907796144025</v>
      </c>
      <c r="N398" s="89" t="e">
        <v>#REF!</v>
      </c>
      <c r="O398" s="89" t="e">
        <v>#REF!</v>
      </c>
      <c r="P398" s="89" t="e">
        <v>#REF!</v>
      </c>
      <c r="Q398" s="89" t="e">
        <v>#REF!</v>
      </c>
      <c r="R398" s="89" t="e">
        <v>#REF!</v>
      </c>
      <c r="S398" s="89" t="e">
        <f>#REF!</f>
        <v>#REF!</v>
      </c>
      <c r="T398" s="89" t="e">
        <f>#REF!</f>
        <v>#REF!</v>
      </c>
      <c r="U398" s="89" t="e">
        <f>#REF!</f>
        <v>#REF!</v>
      </c>
      <c r="V398" s="89" t="e">
        <f>#REF!</f>
        <v>#REF!</v>
      </c>
      <c r="W398" s="89" t="e">
        <f>#REF!</f>
        <v>#REF!</v>
      </c>
      <c r="X398" s="89" t="e">
        <f>#REF!</f>
        <v>#REF!</v>
      </c>
      <c r="Y398" s="89" t="e">
        <f>#REF!</f>
        <v>#REF!</v>
      </c>
      <c r="Z398" s="89" t="e">
        <f>#REF!</f>
        <v>#REF!</v>
      </c>
      <c r="AA398" s="89" t="e">
        <f>#REF!</f>
        <v>#REF!</v>
      </c>
      <c r="AB398" s="89" t="e">
        <f>#REF!</f>
        <v>#REF!</v>
      </c>
      <c r="AC398" s="89" t="e">
        <f>#REF!</f>
        <v>#REF!</v>
      </c>
      <c r="AD398" s="89" t="e">
        <f>#REF!</f>
        <v>#REF!</v>
      </c>
      <c r="AE398" s="89" t="e">
        <f>#REF!</f>
        <v>#REF!</v>
      </c>
      <c r="AF398" s="89" t="e">
        <f>#REF!</f>
        <v>#REF!</v>
      </c>
      <c r="AG398" s="89" t="e">
        <f>#REF!</f>
        <v>#REF!</v>
      </c>
      <c r="AH398" s="89" t="e">
        <f>#REF!</f>
        <v>#REF!</v>
      </c>
      <c r="AI398" s="89" t="e">
        <f>#REF!</f>
        <v>#REF!</v>
      </c>
      <c r="AJ398" s="89" t="e">
        <f>#REF!</f>
        <v>#REF!</v>
      </c>
      <c r="AK398" s="89" t="e">
        <f>#REF!</f>
        <v>#REF!</v>
      </c>
      <c r="AL398" s="89" t="e">
        <f>#REF!</f>
        <v>#REF!</v>
      </c>
      <c r="AM398" s="89" t="e">
        <f>#REF!</f>
        <v>#REF!</v>
      </c>
      <c r="AN398" s="89" t="e">
        <f>#REF!</f>
        <v>#REF!</v>
      </c>
      <c r="AO398" s="89" t="e">
        <f>#REF!</f>
        <v>#REF!</v>
      </c>
      <c r="AP398" s="89" t="e">
        <f>#REF!</f>
        <v>#REF!</v>
      </c>
      <c r="AQ398" s="89" t="e">
        <f>#REF!</f>
        <v>#REF!</v>
      </c>
      <c r="AR398" s="89" t="e">
        <f>#REF!</f>
        <v>#REF!</v>
      </c>
      <c r="AS398" s="89" t="e">
        <f>#REF!</f>
        <v>#REF!</v>
      </c>
      <c r="AT398" s="89" t="e">
        <f>#REF!</f>
        <v>#REF!</v>
      </c>
      <c r="AU398" s="89" t="e">
        <f>#REF!</f>
        <v>#REF!</v>
      </c>
      <c r="AV398" s="89" t="e">
        <f>#REF!</f>
        <v>#REF!</v>
      </c>
      <c r="AW398" s="89" t="e">
        <f>#REF!</f>
        <v>#REF!</v>
      </c>
      <c r="AX398" s="89" t="e">
        <f>#REF!</f>
        <v>#REF!</v>
      </c>
      <c r="AY398" s="89" t="e">
        <f>#REF!</f>
        <v>#REF!</v>
      </c>
      <c r="AZ398" s="89" t="e">
        <f>#REF!</f>
        <v>#REF!</v>
      </c>
      <c r="BA398" s="89" t="e">
        <f>#REF!</f>
        <v>#REF!</v>
      </c>
      <c r="BB398" s="89" t="e">
        <f>#REF!</f>
        <v>#REF!</v>
      </c>
      <c r="BC398" s="89" t="e">
        <f>#REF!</f>
        <v>#REF!</v>
      </c>
      <c r="BD398" s="89" t="e">
        <f>#REF!</f>
        <v>#REF!</v>
      </c>
      <c r="BE398" s="89" t="e">
        <f>#REF!</f>
        <v>#REF!</v>
      </c>
      <c r="BF398" s="89" t="e">
        <f>#REF!</f>
        <v>#REF!</v>
      </c>
    </row>
    <row r="399" spans="9:58" x14ac:dyDescent="0.25">
      <c r="I399" s="89">
        <f>ABCD!J448</f>
        <v>98.75</v>
      </c>
      <c r="J399" s="89">
        <f>ABCD!K448</f>
        <v>323.89999999999998</v>
      </c>
      <c r="K399" s="89">
        <f>ABCD!L448</f>
        <v>-2.9238143933033052</v>
      </c>
      <c r="L399" s="89">
        <f>ABCD!M448</f>
        <v>-0.57914862329976113</v>
      </c>
      <c r="M399" s="89">
        <f>ABCD!N448</f>
        <v>2.9806213671577915</v>
      </c>
      <c r="N399" s="89" t="e">
        <v>#REF!</v>
      </c>
      <c r="O399" s="89" t="e">
        <v>#REF!</v>
      </c>
      <c r="P399" s="89" t="e">
        <v>#REF!</v>
      </c>
      <c r="Q399" s="89" t="e">
        <v>#REF!</v>
      </c>
      <c r="R399" s="89" t="e">
        <v>#REF!</v>
      </c>
      <c r="S399" s="89" t="e">
        <f>#REF!</f>
        <v>#REF!</v>
      </c>
      <c r="T399" s="89" t="e">
        <f>#REF!</f>
        <v>#REF!</v>
      </c>
      <c r="U399" s="89" t="e">
        <f>#REF!</f>
        <v>#REF!</v>
      </c>
      <c r="V399" s="89" t="e">
        <f>#REF!</f>
        <v>#REF!</v>
      </c>
      <c r="W399" s="89" t="e">
        <f>#REF!</f>
        <v>#REF!</v>
      </c>
      <c r="X399" s="89" t="e">
        <f>#REF!</f>
        <v>#REF!</v>
      </c>
      <c r="Y399" s="89" t="e">
        <f>#REF!</f>
        <v>#REF!</v>
      </c>
      <c r="Z399" s="89" t="e">
        <f>#REF!</f>
        <v>#REF!</v>
      </c>
      <c r="AA399" s="89" t="e">
        <f>#REF!</f>
        <v>#REF!</v>
      </c>
      <c r="AB399" s="89" t="e">
        <f>#REF!</f>
        <v>#REF!</v>
      </c>
      <c r="AC399" s="89" t="e">
        <f>#REF!</f>
        <v>#REF!</v>
      </c>
      <c r="AD399" s="89" t="e">
        <f>#REF!</f>
        <v>#REF!</v>
      </c>
      <c r="AE399" s="89" t="e">
        <f>#REF!</f>
        <v>#REF!</v>
      </c>
      <c r="AF399" s="89" t="e">
        <f>#REF!</f>
        <v>#REF!</v>
      </c>
      <c r="AG399" s="89" t="e">
        <f>#REF!</f>
        <v>#REF!</v>
      </c>
      <c r="AH399" s="89" t="e">
        <f>#REF!</f>
        <v>#REF!</v>
      </c>
      <c r="AI399" s="89" t="e">
        <f>#REF!</f>
        <v>#REF!</v>
      </c>
      <c r="AJ399" s="89" t="e">
        <f>#REF!</f>
        <v>#REF!</v>
      </c>
      <c r="AK399" s="89" t="e">
        <f>#REF!</f>
        <v>#REF!</v>
      </c>
      <c r="AL399" s="89" t="e">
        <f>#REF!</f>
        <v>#REF!</v>
      </c>
      <c r="AM399" s="89" t="e">
        <f>#REF!</f>
        <v>#REF!</v>
      </c>
      <c r="AN399" s="89" t="e">
        <f>#REF!</f>
        <v>#REF!</v>
      </c>
      <c r="AO399" s="89" t="e">
        <f>#REF!</f>
        <v>#REF!</v>
      </c>
      <c r="AP399" s="89" t="e">
        <f>#REF!</f>
        <v>#REF!</v>
      </c>
      <c r="AQ399" s="89" t="e">
        <f>#REF!</f>
        <v>#REF!</v>
      </c>
      <c r="AR399" s="89" t="e">
        <f>#REF!</f>
        <v>#REF!</v>
      </c>
      <c r="AS399" s="89" t="e">
        <f>#REF!</f>
        <v>#REF!</v>
      </c>
      <c r="AT399" s="89" t="e">
        <f>#REF!</f>
        <v>#REF!</v>
      </c>
      <c r="AU399" s="89" t="e">
        <f>#REF!</f>
        <v>#REF!</v>
      </c>
      <c r="AV399" s="89" t="e">
        <f>#REF!</f>
        <v>#REF!</v>
      </c>
      <c r="AW399" s="89" t="e">
        <f>#REF!</f>
        <v>#REF!</v>
      </c>
      <c r="AX399" s="89" t="e">
        <f>#REF!</f>
        <v>#REF!</v>
      </c>
      <c r="AY399" s="89" t="e">
        <f>#REF!</f>
        <v>#REF!</v>
      </c>
      <c r="AZ399" s="89" t="e">
        <f>#REF!</f>
        <v>#REF!</v>
      </c>
      <c r="BA399" s="89" t="e">
        <f>#REF!</f>
        <v>#REF!</v>
      </c>
      <c r="BB399" s="89" t="e">
        <f>#REF!</f>
        <v>#REF!</v>
      </c>
      <c r="BC399" s="89" t="e">
        <f>#REF!</f>
        <v>#REF!</v>
      </c>
      <c r="BD399" s="89" t="e">
        <f>#REF!</f>
        <v>#REF!</v>
      </c>
      <c r="BE399" s="89" t="e">
        <f>#REF!</f>
        <v>#REF!</v>
      </c>
      <c r="BF399" s="89" t="e">
        <f>#REF!</f>
        <v>#REF!</v>
      </c>
    </row>
    <row r="400" spans="9:58" x14ac:dyDescent="0.25">
      <c r="I400" s="89">
        <f>ABCD!J449</f>
        <v>99</v>
      </c>
      <c r="J400" s="89">
        <f>ABCD!K449</f>
        <v>324.71999999999997</v>
      </c>
      <c r="K400" s="89">
        <f>ABCD!L449</f>
        <v>-2.8445475228692296</v>
      </c>
      <c r="L400" s="89">
        <f>ABCD!M449</f>
        <v>-0.56510346768596742</v>
      </c>
      <c r="M400" s="89">
        <f>ABCD!N449</f>
        <v>2.9001366414450498</v>
      </c>
      <c r="N400" s="89" t="e">
        <v>#REF!</v>
      </c>
      <c r="O400" s="89" t="e">
        <v>#REF!</v>
      </c>
      <c r="P400" s="89" t="e">
        <v>#REF!</v>
      </c>
      <c r="Q400" s="89" t="e">
        <v>#REF!</v>
      </c>
      <c r="R400" s="89" t="e">
        <v>#REF!</v>
      </c>
      <c r="S400" s="89" t="e">
        <f>#REF!</f>
        <v>#REF!</v>
      </c>
      <c r="T400" s="89" t="e">
        <f>#REF!</f>
        <v>#REF!</v>
      </c>
      <c r="U400" s="89" t="e">
        <f>#REF!</f>
        <v>#REF!</v>
      </c>
      <c r="V400" s="89" t="e">
        <f>#REF!</f>
        <v>#REF!</v>
      </c>
      <c r="W400" s="89" t="e">
        <f>#REF!</f>
        <v>#REF!</v>
      </c>
      <c r="X400" s="89" t="e">
        <f>#REF!</f>
        <v>#REF!</v>
      </c>
      <c r="Y400" s="89" t="e">
        <f>#REF!</f>
        <v>#REF!</v>
      </c>
      <c r="Z400" s="89" t="e">
        <f>#REF!</f>
        <v>#REF!</v>
      </c>
      <c r="AA400" s="89" t="e">
        <f>#REF!</f>
        <v>#REF!</v>
      </c>
      <c r="AB400" s="89" t="e">
        <f>#REF!</f>
        <v>#REF!</v>
      </c>
      <c r="AC400" s="89" t="e">
        <f>#REF!</f>
        <v>#REF!</v>
      </c>
      <c r="AD400" s="89" t="e">
        <f>#REF!</f>
        <v>#REF!</v>
      </c>
      <c r="AE400" s="89" t="e">
        <f>#REF!</f>
        <v>#REF!</v>
      </c>
      <c r="AF400" s="89" t="e">
        <f>#REF!</f>
        <v>#REF!</v>
      </c>
      <c r="AG400" s="89" t="e">
        <f>#REF!</f>
        <v>#REF!</v>
      </c>
      <c r="AH400" s="89" t="e">
        <f>#REF!</f>
        <v>#REF!</v>
      </c>
      <c r="AI400" s="89" t="e">
        <f>#REF!</f>
        <v>#REF!</v>
      </c>
      <c r="AJ400" s="89" t="e">
        <f>#REF!</f>
        <v>#REF!</v>
      </c>
      <c r="AK400" s="89" t="e">
        <f>#REF!</f>
        <v>#REF!</v>
      </c>
      <c r="AL400" s="89" t="e">
        <f>#REF!</f>
        <v>#REF!</v>
      </c>
      <c r="AM400" s="89" t="e">
        <f>#REF!</f>
        <v>#REF!</v>
      </c>
      <c r="AN400" s="89" t="e">
        <f>#REF!</f>
        <v>#REF!</v>
      </c>
      <c r="AO400" s="89" t="e">
        <f>#REF!</f>
        <v>#REF!</v>
      </c>
      <c r="AP400" s="89" t="e">
        <f>#REF!</f>
        <v>#REF!</v>
      </c>
      <c r="AQ400" s="89" t="e">
        <f>#REF!</f>
        <v>#REF!</v>
      </c>
      <c r="AR400" s="89" t="e">
        <f>#REF!</f>
        <v>#REF!</v>
      </c>
      <c r="AS400" s="89" t="e">
        <f>#REF!</f>
        <v>#REF!</v>
      </c>
      <c r="AT400" s="89" t="e">
        <f>#REF!</f>
        <v>#REF!</v>
      </c>
      <c r="AU400" s="89" t="e">
        <f>#REF!</f>
        <v>#REF!</v>
      </c>
      <c r="AV400" s="89" t="e">
        <f>#REF!</f>
        <v>#REF!</v>
      </c>
      <c r="AW400" s="89" t="e">
        <f>#REF!</f>
        <v>#REF!</v>
      </c>
      <c r="AX400" s="89" t="e">
        <f>#REF!</f>
        <v>#REF!</v>
      </c>
      <c r="AY400" s="89" t="e">
        <f>#REF!</f>
        <v>#REF!</v>
      </c>
      <c r="AZ400" s="89" t="e">
        <f>#REF!</f>
        <v>#REF!</v>
      </c>
      <c r="BA400" s="89" t="e">
        <f>#REF!</f>
        <v>#REF!</v>
      </c>
      <c r="BB400" s="89" t="e">
        <f>#REF!</f>
        <v>#REF!</v>
      </c>
      <c r="BC400" s="89" t="e">
        <f>#REF!</f>
        <v>#REF!</v>
      </c>
      <c r="BD400" s="89" t="e">
        <f>#REF!</f>
        <v>#REF!</v>
      </c>
      <c r="BE400" s="89" t="e">
        <f>#REF!</f>
        <v>#REF!</v>
      </c>
      <c r="BF400" s="89" t="e">
        <f>#REF!</f>
        <v>#REF!</v>
      </c>
    </row>
    <row r="401" spans="9:58" x14ac:dyDescent="0.25">
      <c r="I401" s="89">
        <f>ABCD!J450</f>
        <v>99.25</v>
      </c>
      <c r="J401" s="89">
        <f>ABCD!K450</f>
        <v>325.53999999999996</v>
      </c>
      <c r="K401" s="89">
        <f>ABCD!L450</f>
        <v>-2.7646953221152568</v>
      </c>
      <c r="L401" s="89">
        <f>ABCD!M450</f>
        <v>-0.55094049793332811</v>
      </c>
      <c r="M401" s="89">
        <f>ABCD!N450</f>
        <v>2.819055809378205</v>
      </c>
      <c r="N401" s="89" t="e">
        <v>#REF!</v>
      </c>
      <c r="O401" s="89" t="e">
        <v>#REF!</v>
      </c>
      <c r="P401" s="89" t="e">
        <v>#REF!</v>
      </c>
      <c r="Q401" s="89" t="e">
        <v>#REF!</v>
      </c>
      <c r="R401" s="89" t="e">
        <v>#REF!</v>
      </c>
      <c r="S401" s="89" t="e">
        <f>#REF!</f>
        <v>#REF!</v>
      </c>
      <c r="T401" s="89" t="e">
        <f>#REF!</f>
        <v>#REF!</v>
      </c>
      <c r="U401" s="89" t="e">
        <f>#REF!</f>
        <v>#REF!</v>
      </c>
      <c r="V401" s="89" t="e">
        <f>#REF!</f>
        <v>#REF!</v>
      </c>
      <c r="W401" s="89" t="e">
        <f>#REF!</f>
        <v>#REF!</v>
      </c>
      <c r="X401" s="89" t="e">
        <f>#REF!</f>
        <v>#REF!</v>
      </c>
      <c r="Y401" s="89" t="e">
        <f>#REF!</f>
        <v>#REF!</v>
      </c>
      <c r="Z401" s="89" t="e">
        <f>#REF!</f>
        <v>#REF!</v>
      </c>
      <c r="AA401" s="89" t="e">
        <f>#REF!</f>
        <v>#REF!</v>
      </c>
      <c r="AB401" s="89" t="e">
        <f>#REF!</f>
        <v>#REF!</v>
      </c>
      <c r="AC401" s="89" t="e">
        <f>#REF!</f>
        <v>#REF!</v>
      </c>
      <c r="AD401" s="89" t="e">
        <f>#REF!</f>
        <v>#REF!</v>
      </c>
      <c r="AE401" s="89" t="e">
        <f>#REF!</f>
        <v>#REF!</v>
      </c>
      <c r="AF401" s="89" t="e">
        <f>#REF!</f>
        <v>#REF!</v>
      </c>
      <c r="AG401" s="89" t="e">
        <f>#REF!</f>
        <v>#REF!</v>
      </c>
      <c r="AH401" s="89" t="e">
        <f>#REF!</f>
        <v>#REF!</v>
      </c>
      <c r="AI401" s="89" t="e">
        <f>#REF!</f>
        <v>#REF!</v>
      </c>
      <c r="AJ401" s="89" t="e">
        <f>#REF!</f>
        <v>#REF!</v>
      </c>
      <c r="AK401" s="89" t="e">
        <f>#REF!</f>
        <v>#REF!</v>
      </c>
      <c r="AL401" s="89" t="e">
        <f>#REF!</f>
        <v>#REF!</v>
      </c>
      <c r="AM401" s="89" t="e">
        <f>#REF!</f>
        <v>#REF!</v>
      </c>
      <c r="AN401" s="89" t="e">
        <f>#REF!</f>
        <v>#REF!</v>
      </c>
      <c r="AO401" s="89" t="e">
        <f>#REF!</f>
        <v>#REF!</v>
      </c>
      <c r="AP401" s="89" t="e">
        <f>#REF!</f>
        <v>#REF!</v>
      </c>
      <c r="AQ401" s="89" t="e">
        <f>#REF!</f>
        <v>#REF!</v>
      </c>
      <c r="AR401" s="89" t="e">
        <f>#REF!</f>
        <v>#REF!</v>
      </c>
      <c r="AS401" s="89" t="e">
        <f>#REF!</f>
        <v>#REF!</v>
      </c>
      <c r="AT401" s="89" t="e">
        <f>#REF!</f>
        <v>#REF!</v>
      </c>
      <c r="AU401" s="89" t="e">
        <f>#REF!</f>
        <v>#REF!</v>
      </c>
      <c r="AV401" s="89" t="e">
        <f>#REF!</f>
        <v>#REF!</v>
      </c>
      <c r="AW401" s="89" t="e">
        <f>#REF!</f>
        <v>#REF!</v>
      </c>
      <c r="AX401" s="89" t="e">
        <f>#REF!</f>
        <v>#REF!</v>
      </c>
      <c r="AY401" s="89" t="e">
        <f>#REF!</f>
        <v>#REF!</v>
      </c>
      <c r="AZ401" s="89" t="e">
        <f>#REF!</f>
        <v>#REF!</v>
      </c>
      <c r="BA401" s="89" t="e">
        <f>#REF!</f>
        <v>#REF!</v>
      </c>
      <c r="BB401" s="89" t="e">
        <f>#REF!</f>
        <v>#REF!</v>
      </c>
      <c r="BC401" s="89" t="e">
        <f>#REF!</f>
        <v>#REF!</v>
      </c>
      <c r="BD401" s="89" t="e">
        <f>#REF!</f>
        <v>#REF!</v>
      </c>
      <c r="BE401" s="89" t="e">
        <f>#REF!</f>
        <v>#REF!</v>
      </c>
      <c r="BF401" s="89" t="e">
        <f>#REF!</f>
        <v>#REF!</v>
      </c>
    </row>
    <row r="402" spans="9:58" x14ac:dyDescent="0.25">
      <c r="I402" s="89">
        <f>ABCD!J451</f>
        <v>99.5</v>
      </c>
      <c r="J402" s="89">
        <f>ABCD!K451</f>
        <v>326.35999999999996</v>
      </c>
      <c r="K402" s="89">
        <f>ABCD!L451</f>
        <v>-2.6842767507696084</v>
      </c>
      <c r="L402" s="89">
        <f>ABCD!M451</f>
        <v>-0.53666308942203811</v>
      </c>
      <c r="M402" s="89">
        <f>ABCD!N451</f>
        <v>2.7373982074718781</v>
      </c>
      <c r="N402" s="89" t="e">
        <v>#REF!</v>
      </c>
      <c r="O402" s="89" t="e">
        <v>#REF!</v>
      </c>
      <c r="P402" s="89" t="e">
        <v>#REF!</v>
      </c>
      <c r="Q402" s="89" t="e">
        <v>#REF!</v>
      </c>
      <c r="R402" s="89" t="e">
        <v>#REF!</v>
      </c>
      <c r="S402" s="89" t="e">
        <f>#REF!</f>
        <v>#REF!</v>
      </c>
      <c r="T402" s="89" t="e">
        <f>#REF!</f>
        <v>#REF!</v>
      </c>
      <c r="U402" s="89" t="e">
        <f>#REF!</f>
        <v>#REF!</v>
      </c>
      <c r="V402" s="89" t="e">
        <f>#REF!</f>
        <v>#REF!</v>
      </c>
      <c r="W402" s="89" t="e">
        <f>#REF!</f>
        <v>#REF!</v>
      </c>
      <c r="X402" s="89" t="e">
        <f>#REF!</f>
        <v>#REF!</v>
      </c>
      <c r="Y402" s="89" t="e">
        <f>#REF!</f>
        <v>#REF!</v>
      </c>
      <c r="Z402" s="89" t="e">
        <f>#REF!</f>
        <v>#REF!</v>
      </c>
      <c r="AA402" s="89" t="e">
        <f>#REF!</f>
        <v>#REF!</v>
      </c>
      <c r="AB402" s="89" t="e">
        <f>#REF!</f>
        <v>#REF!</v>
      </c>
      <c r="AC402" s="89" t="e">
        <f>#REF!</f>
        <v>#REF!</v>
      </c>
      <c r="AD402" s="89" t="e">
        <f>#REF!</f>
        <v>#REF!</v>
      </c>
      <c r="AE402" s="89" t="e">
        <f>#REF!</f>
        <v>#REF!</v>
      </c>
      <c r="AF402" s="89" t="e">
        <f>#REF!</f>
        <v>#REF!</v>
      </c>
      <c r="AG402" s="89" t="e">
        <f>#REF!</f>
        <v>#REF!</v>
      </c>
      <c r="AH402" s="89" t="e">
        <f>#REF!</f>
        <v>#REF!</v>
      </c>
      <c r="AI402" s="89" t="e">
        <f>#REF!</f>
        <v>#REF!</v>
      </c>
      <c r="AJ402" s="89" t="e">
        <f>#REF!</f>
        <v>#REF!</v>
      </c>
      <c r="AK402" s="89" t="e">
        <f>#REF!</f>
        <v>#REF!</v>
      </c>
      <c r="AL402" s="89" t="e">
        <f>#REF!</f>
        <v>#REF!</v>
      </c>
      <c r="AM402" s="89" t="e">
        <f>#REF!</f>
        <v>#REF!</v>
      </c>
      <c r="AN402" s="89" t="e">
        <f>#REF!</f>
        <v>#REF!</v>
      </c>
      <c r="AO402" s="89" t="e">
        <f>#REF!</f>
        <v>#REF!</v>
      </c>
      <c r="AP402" s="89" t="e">
        <f>#REF!</f>
        <v>#REF!</v>
      </c>
      <c r="AQ402" s="89" t="e">
        <f>#REF!</f>
        <v>#REF!</v>
      </c>
      <c r="AR402" s="89" t="e">
        <f>#REF!</f>
        <v>#REF!</v>
      </c>
      <c r="AS402" s="89" t="e">
        <f>#REF!</f>
        <v>#REF!</v>
      </c>
      <c r="AT402" s="89" t="e">
        <f>#REF!</f>
        <v>#REF!</v>
      </c>
      <c r="AU402" s="89" t="e">
        <f>#REF!</f>
        <v>#REF!</v>
      </c>
      <c r="AV402" s="89" t="e">
        <f>#REF!</f>
        <v>#REF!</v>
      </c>
      <c r="AW402" s="89" t="e">
        <f>#REF!</f>
        <v>#REF!</v>
      </c>
      <c r="AX402" s="89" t="e">
        <f>#REF!</f>
        <v>#REF!</v>
      </c>
      <c r="AY402" s="89" t="e">
        <f>#REF!</f>
        <v>#REF!</v>
      </c>
      <c r="AZ402" s="89" t="e">
        <f>#REF!</f>
        <v>#REF!</v>
      </c>
      <c r="BA402" s="89" t="e">
        <f>#REF!</f>
        <v>#REF!</v>
      </c>
      <c r="BB402" s="89" t="e">
        <f>#REF!</f>
        <v>#REF!</v>
      </c>
      <c r="BC402" s="89" t="e">
        <f>#REF!</f>
        <v>#REF!</v>
      </c>
      <c r="BD402" s="89" t="e">
        <f>#REF!</f>
        <v>#REF!</v>
      </c>
      <c r="BE402" s="89" t="e">
        <f>#REF!</f>
        <v>#REF!</v>
      </c>
      <c r="BF402" s="89" t="e">
        <f>#REF!</f>
        <v>#REF!</v>
      </c>
    </row>
    <row r="403" spans="9:58" x14ac:dyDescent="0.25">
      <c r="I403" s="89">
        <f>ABCD!J452</f>
        <v>99.75</v>
      </c>
      <c r="J403" s="89">
        <f>ABCD!K452</f>
        <v>327.18</v>
      </c>
      <c r="K403" s="89">
        <f>ABCD!L452</f>
        <v>-2.603310882246002</v>
      </c>
      <c r="L403" s="89">
        <f>ABCD!M452</f>
        <v>-0.52227464091298259</v>
      </c>
      <c r="M403" s="89">
        <f>ABCD!N452</f>
        <v>2.6551832987877209</v>
      </c>
      <c r="N403" s="89" t="e">
        <v>#REF!</v>
      </c>
      <c r="O403" s="89" t="e">
        <v>#REF!</v>
      </c>
      <c r="P403" s="89" t="e">
        <v>#REF!</v>
      </c>
      <c r="Q403" s="89" t="e">
        <v>#REF!</v>
      </c>
      <c r="R403" s="89" t="e">
        <v>#REF!</v>
      </c>
      <c r="S403" s="89" t="e">
        <f>#REF!</f>
        <v>#REF!</v>
      </c>
      <c r="T403" s="89" t="e">
        <f>#REF!</f>
        <v>#REF!</v>
      </c>
      <c r="U403" s="89" t="e">
        <f>#REF!</f>
        <v>#REF!</v>
      </c>
      <c r="V403" s="89" t="e">
        <f>#REF!</f>
        <v>#REF!</v>
      </c>
      <c r="W403" s="89" t="e">
        <f>#REF!</f>
        <v>#REF!</v>
      </c>
      <c r="X403" s="89" t="e">
        <f>#REF!</f>
        <v>#REF!</v>
      </c>
      <c r="Y403" s="89" t="e">
        <f>#REF!</f>
        <v>#REF!</v>
      </c>
      <c r="Z403" s="89" t="e">
        <f>#REF!</f>
        <v>#REF!</v>
      </c>
      <c r="AA403" s="89" t="e">
        <f>#REF!</f>
        <v>#REF!</v>
      </c>
      <c r="AB403" s="89" t="e">
        <f>#REF!</f>
        <v>#REF!</v>
      </c>
      <c r="AC403" s="89" t="e">
        <f>#REF!</f>
        <v>#REF!</v>
      </c>
      <c r="AD403" s="89" t="e">
        <f>#REF!</f>
        <v>#REF!</v>
      </c>
      <c r="AE403" s="89" t="e">
        <f>#REF!</f>
        <v>#REF!</v>
      </c>
      <c r="AF403" s="89" t="e">
        <f>#REF!</f>
        <v>#REF!</v>
      </c>
      <c r="AG403" s="89" t="e">
        <f>#REF!</f>
        <v>#REF!</v>
      </c>
      <c r="AH403" s="89" t="e">
        <f>#REF!</f>
        <v>#REF!</v>
      </c>
      <c r="AI403" s="89" t="e">
        <f>#REF!</f>
        <v>#REF!</v>
      </c>
      <c r="AJ403" s="89" t="e">
        <f>#REF!</f>
        <v>#REF!</v>
      </c>
      <c r="AK403" s="89" t="e">
        <f>#REF!</f>
        <v>#REF!</v>
      </c>
      <c r="AL403" s="89" t="e">
        <f>#REF!</f>
        <v>#REF!</v>
      </c>
      <c r="AM403" s="89" t="e">
        <f>#REF!</f>
        <v>#REF!</v>
      </c>
      <c r="AN403" s="89" t="e">
        <f>#REF!</f>
        <v>#REF!</v>
      </c>
      <c r="AO403" s="89" t="e">
        <f>#REF!</f>
        <v>#REF!</v>
      </c>
      <c r="AP403" s="89" t="e">
        <f>#REF!</f>
        <v>#REF!</v>
      </c>
      <c r="AQ403" s="89" t="e">
        <f>#REF!</f>
        <v>#REF!</v>
      </c>
      <c r="AR403" s="89" t="e">
        <f>#REF!</f>
        <v>#REF!</v>
      </c>
      <c r="AS403" s="89" t="e">
        <f>#REF!</f>
        <v>#REF!</v>
      </c>
      <c r="AT403" s="89" t="e">
        <f>#REF!</f>
        <v>#REF!</v>
      </c>
      <c r="AU403" s="89" t="e">
        <f>#REF!</f>
        <v>#REF!</v>
      </c>
      <c r="AV403" s="89" t="e">
        <f>#REF!</f>
        <v>#REF!</v>
      </c>
      <c r="AW403" s="89" t="e">
        <f>#REF!</f>
        <v>#REF!</v>
      </c>
      <c r="AX403" s="89" t="e">
        <f>#REF!</f>
        <v>#REF!</v>
      </c>
      <c r="AY403" s="89" t="e">
        <f>#REF!</f>
        <v>#REF!</v>
      </c>
      <c r="AZ403" s="89" t="e">
        <f>#REF!</f>
        <v>#REF!</v>
      </c>
      <c r="BA403" s="89" t="e">
        <f>#REF!</f>
        <v>#REF!</v>
      </c>
      <c r="BB403" s="89" t="e">
        <f>#REF!</f>
        <v>#REF!</v>
      </c>
      <c r="BC403" s="89" t="e">
        <f>#REF!</f>
        <v>#REF!</v>
      </c>
      <c r="BD403" s="89" t="e">
        <f>#REF!</f>
        <v>#REF!</v>
      </c>
      <c r="BE403" s="89" t="e">
        <f>#REF!</f>
        <v>#REF!</v>
      </c>
      <c r="BF403" s="89" t="e">
        <f>#REF!</f>
        <v>#REF!</v>
      </c>
    </row>
    <row r="404" spans="9:58" x14ac:dyDescent="0.25">
      <c r="I404" s="89">
        <f>ABCD!J453</f>
        <v>100</v>
      </c>
      <c r="J404" s="89">
        <f>ABCD!K453</f>
        <v>328</v>
      </c>
      <c r="K404" s="89">
        <f>ABCD!L453</f>
        <v>-2.5218168991384915</v>
      </c>
      <c r="L404" s="89">
        <f>ABCD!M453</f>
        <v>-0.50777857374213564</v>
      </c>
      <c r="M404" s="89">
        <f>ABCD!N453</f>
        <v>2.5724306701507182</v>
      </c>
      <c r="N404" s="89" t="e">
        <v>#REF!</v>
      </c>
      <c r="O404" s="89" t="e">
        <v>#REF!</v>
      </c>
      <c r="P404" s="89" t="e">
        <v>#REF!</v>
      </c>
      <c r="Q404" s="89" t="e">
        <v>#REF!</v>
      </c>
      <c r="R404" s="89" t="e">
        <v>#REF!</v>
      </c>
      <c r="S404" s="89" t="e">
        <f>#REF!</f>
        <v>#REF!</v>
      </c>
      <c r="T404" s="89" t="e">
        <f>#REF!</f>
        <v>#REF!</v>
      </c>
      <c r="U404" s="89" t="e">
        <f>#REF!</f>
        <v>#REF!</v>
      </c>
      <c r="V404" s="89" t="e">
        <f>#REF!</f>
        <v>#REF!</v>
      </c>
      <c r="W404" s="89" t="e">
        <f>#REF!</f>
        <v>#REF!</v>
      </c>
      <c r="X404" s="89" t="e">
        <f>#REF!</f>
        <v>#REF!</v>
      </c>
      <c r="Y404" s="89" t="e">
        <f>#REF!</f>
        <v>#REF!</v>
      </c>
      <c r="Z404" s="89" t="e">
        <f>#REF!</f>
        <v>#REF!</v>
      </c>
      <c r="AA404" s="89" t="e">
        <f>#REF!</f>
        <v>#REF!</v>
      </c>
      <c r="AB404" s="89" t="e">
        <f>#REF!</f>
        <v>#REF!</v>
      </c>
      <c r="AC404" s="89" t="e">
        <f>#REF!</f>
        <v>#REF!</v>
      </c>
      <c r="AD404" s="89" t="e">
        <f>#REF!</f>
        <v>#REF!</v>
      </c>
      <c r="AE404" s="89" t="e">
        <f>#REF!</f>
        <v>#REF!</v>
      </c>
      <c r="AF404" s="89" t="e">
        <f>#REF!</f>
        <v>#REF!</v>
      </c>
      <c r="AG404" s="89" t="e">
        <f>#REF!</f>
        <v>#REF!</v>
      </c>
      <c r="AH404" s="89" t="e">
        <f>#REF!</f>
        <v>#REF!</v>
      </c>
      <c r="AI404" s="89" t="e">
        <f>#REF!</f>
        <v>#REF!</v>
      </c>
      <c r="AJ404" s="89" t="e">
        <f>#REF!</f>
        <v>#REF!</v>
      </c>
      <c r="AK404" s="89" t="e">
        <f>#REF!</f>
        <v>#REF!</v>
      </c>
      <c r="AL404" s="89" t="e">
        <f>#REF!</f>
        <v>#REF!</v>
      </c>
      <c r="AM404" s="89" t="e">
        <f>#REF!</f>
        <v>#REF!</v>
      </c>
      <c r="AN404" s="89" t="e">
        <f>#REF!</f>
        <v>#REF!</v>
      </c>
      <c r="AO404" s="89" t="e">
        <f>#REF!</f>
        <v>#REF!</v>
      </c>
      <c r="AP404" s="89" t="e">
        <f>#REF!</f>
        <v>#REF!</v>
      </c>
      <c r="AQ404" s="89" t="e">
        <f>#REF!</f>
        <v>#REF!</v>
      </c>
      <c r="AR404" s="89" t="e">
        <f>#REF!</f>
        <v>#REF!</v>
      </c>
      <c r="AS404" s="89" t="e">
        <f>#REF!</f>
        <v>#REF!</v>
      </c>
      <c r="AT404" s="89" t="e">
        <f>#REF!</f>
        <v>#REF!</v>
      </c>
      <c r="AU404" s="89" t="e">
        <f>#REF!</f>
        <v>#REF!</v>
      </c>
      <c r="AV404" s="89" t="e">
        <f>#REF!</f>
        <v>#REF!</v>
      </c>
      <c r="AW404" s="89" t="e">
        <f>#REF!</f>
        <v>#REF!</v>
      </c>
      <c r="AX404" s="89" t="e">
        <f>#REF!</f>
        <v>#REF!</v>
      </c>
      <c r="AY404" s="89" t="e">
        <f>#REF!</f>
        <v>#REF!</v>
      </c>
      <c r="AZ404" s="89" t="e">
        <f>#REF!</f>
        <v>#REF!</v>
      </c>
      <c r="BA404" s="89" t="e">
        <f>#REF!</f>
        <v>#REF!</v>
      </c>
      <c r="BB404" s="89" t="e">
        <f>#REF!</f>
        <v>#REF!</v>
      </c>
      <c r="BC404" s="89" t="e">
        <f>#REF!</f>
        <v>#REF!</v>
      </c>
      <c r="BD404" s="89" t="e">
        <f>#REF!</f>
        <v>#REF!</v>
      </c>
      <c r="BE404" s="89" t="e">
        <f>#REF!</f>
        <v>#REF!</v>
      </c>
      <c r="BF404" s="89" t="e">
        <f>#REF!</f>
        <v>#REF!</v>
      </c>
    </row>
    <row r="405" spans="9:58" x14ac:dyDescent="0.25">
      <c r="I405" s="89">
        <f>ABCD!J454</f>
        <v>100.25</v>
      </c>
      <c r="J405" s="89">
        <f>ABCD!K454</f>
        <v>328.82</v>
      </c>
      <c r="K405" s="89">
        <f>ABCD!L454</f>
        <v>-2.4398140886951074</v>
      </c>
      <c r="L405" s="89">
        <f>ABCD!M454</f>
        <v>-0.49317833101045583</v>
      </c>
      <c r="M405" s="89">
        <f>ABCD!N454</f>
        <v>2.4891600297235605</v>
      </c>
      <c r="N405" s="89" t="e">
        <v>#REF!</v>
      </c>
      <c r="O405" s="89" t="e">
        <v>#REF!</v>
      </c>
      <c r="P405" s="89" t="e">
        <v>#REF!</v>
      </c>
      <c r="Q405" s="89" t="e">
        <v>#REF!</v>
      </c>
      <c r="R405" s="89" t="e">
        <v>#REF!</v>
      </c>
      <c r="S405" s="89" t="e">
        <f>#REF!</f>
        <v>#REF!</v>
      </c>
      <c r="T405" s="89" t="e">
        <f>#REF!</f>
        <v>#REF!</v>
      </c>
      <c r="U405" s="89" t="e">
        <f>#REF!</f>
        <v>#REF!</v>
      </c>
      <c r="V405" s="89" t="e">
        <f>#REF!</f>
        <v>#REF!</v>
      </c>
      <c r="W405" s="89" t="e">
        <f>#REF!</f>
        <v>#REF!</v>
      </c>
      <c r="X405" s="89" t="e">
        <f>#REF!</f>
        <v>#REF!</v>
      </c>
      <c r="Y405" s="89" t="e">
        <f>#REF!</f>
        <v>#REF!</v>
      </c>
      <c r="Z405" s="89" t="e">
        <f>#REF!</f>
        <v>#REF!</v>
      </c>
      <c r="AA405" s="89" t="e">
        <f>#REF!</f>
        <v>#REF!</v>
      </c>
      <c r="AB405" s="89" t="e">
        <f>#REF!</f>
        <v>#REF!</v>
      </c>
      <c r="AC405" s="89" t="e">
        <f>#REF!</f>
        <v>#REF!</v>
      </c>
      <c r="AD405" s="89" t="e">
        <f>#REF!</f>
        <v>#REF!</v>
      </c>
      <c r="AE405" s="89" t="e">
        <f>#REF!</f>
        <v>#REF!</v>
      </c>
      <c r="AF405" s="89" t="e">
        <f>#REF!</f>
        <v>#REF!</v>
      </c>
      <c r="AG405" s="89" t="e">
        <f>#REF!</f>
        <v>#REF!</v>
      </c>
      <c r="AH405" s="89" t="e">
        <f>#REF!</f>
        <v>#REF!</v>
      </c>
      <c r="AI405" s="89" t="e">
        <f>#REF!</f>
        <v>#REF!</v>
      </c>
      <c r="AJ405" s="89" t="e">
        <f>#REF!</f>
        <v>#REF!</v>
      </c>
      <c r="AK405" s="89" t="e">
        <f>#REF!</f>
        <v>#REF!</v>
      </c>
      <c r="AL405" s="89" t="e">
        <f>#REF!</f>
        <v>#REF!</v>
      </c>
      <c r="AM405" s="89" t="e">
        <f>#REF!</f>
        <v>#REF!</v>
      </c>
      <c r="AN405" s="89" t="e">
        <f>#REF!</f>
        <v>#REF!</v>
      </c>
      <c r="AO405" s="89" t="e">
        <f>#REF!</f>
        <v>#REF!</v>
      </c>
      <c r="AP405" s="89" t="e">
        <f>#REF!</f>
        <v>#REF!</v>
      </c>
      <c r="AQ405" s="89" t="e">
        <f>#REF!</f>
        <v>#REF!</v>
      </c>
      <c r="AR405" s="89" t="e">
        <f>#REF!</f>
        <v>#REF!</v>
      </c>
      <c r="AS405" s="89" t="e">
        <f>#REF!</f>
        <v>#REF!</v>
      </c>
      <c r="AT405" s="89" t="e">
        <f>#REF!</f>
        <v>#REF!</v>
      </c>
      <c r="AU405" s="89" t="e">
        <f>#REF!</f>
        <v>#REF!</v>
      </c>
      <c r="AV405" s="89" t="e">
        <f>#REF!</f>
        <v>#REF!</v>
      </c>
      <c r="AW405" s="89" t="e">
        <f>#REF!</f>
        <v>#REF!</v>
      </c>
      <c r="AX405" s="89" t="e">
        <f>#REF!</f>
        <v>#REF!</v>
      </c>
      <c r="AY405" s="89" t="e">
        <f>#REF!</f>
        <v>#REF!</v>
      </c>
      <c r="AZ405" s="89" t="e">
        <f>#REF!</f>
        <v>#REF!</v>
      </c>
      <c r="BA405" s="89" t="e">
        <f>#REF!</f>
        <v>#REF!</v>
      </c>
      <c r="BB405" s="89" t="e">
        <f>#REF!</f>
        <v>#REF!</v>
      </c>
      <c r="BC405" s="89" t="e">
        <f>#REF!</f>
        <v>#REF!</v>
      </c>
      <c r="BD405" s="89" t="e">
        <f>#REF!</f>
        <v>#REF!</v>
      </c>
      <c r="BE405" s="89" t="e">
        <f>#REF!</f>
        <v>#REF!</v>
      </c>
      <c r="BF405" s="89" t="e">
        <f>#REF!</f>
        <v>#REF!</v>
      </c>
    </row>
    <row r="406" spans="9:58" x14ac:dyDescent="0.25">
      <c r="I406" s="89">
        <f>ABCD!J455</f>
        <v>100.5</v>
      </c>
      <c r="J406" s="89">
        <f>ABCD!K455</f>
        <v>329.64</v>
      </c>
      <c r="K406" s="89">
        <f>ABCD!L455</f>
        <v>-2.3573218382713881</v>
      </c>
      <c r="L406" s="89">
        <f>ABCD!M455</f>
        <v>-0.47847737676950697</v>
      </c>
      <c r="M406" s="89">
        <f>ABCD!N455</f>
        <v>2.4053912050374313</v>
      </c>
      <c r="N406" s="89" t="e">
        <v>#REF!</v>
      </c>
      <c r="O406" s="89" t="e">
        <v>#REF!</v>
      </c>
      <c r="P406" s="89" t="e">
        <v>#REF!</v>
      </c>
      <c r="Q406" s="89" t="e">
        <v>#REF!</v>
      </c>
      <c r="R406" s="89" t="e">
        <v>#REF!</v>
      </c>
      <c r="S406" s="89" t="e">
        <f>#REF!</f>
        <v>#REF!</v>
      </c>
      <c r="T406" s="89" t="e">
        <f>#REF!</f>
        <v>#REF!</v>
      </c>
      <c r="U406" s="89" t="e">
        <f>#REF!</f>
        <v>#REF!</v>
      </c>
      <c r="V406" s="89" t="e">
        <f>#REF!</f>
        <v>#REF!</v>
      </c>
      <c r="W406" s="89" t="e">
        <f>#REF!</f>
        <v>#REF!</v>
      </c>
      <c r="X406" s="89" t="e">
        <f>#REF!</f>
        <v>#REF!</v>
      </c>
      <c r="Y406" s="89" t="e">
        <f>#REF!</f>
        <v>#REF!</v>
      </c>
      <c r="Z406" s="89" t="e">
        <f>#REF!</f>
        <v>#REF!</v>
      </c>
      <c r="AA406" s="89" t="e">
        <f>#REF!</f>
        <v>#REF!</v>
      </c>
      <c r="AB406" s="89" t="e">
        <f>#REF!</f>
        <v>#REF!</v>
      </c>
      <c r="AC406" s="89" t="e">
        <f>#REF!</f>
        <v>#REF!</v>
      </c>
      <c r="AD406" s="89" t="e">
        <f>#REF!</f>
        <v>#REF!</v>
      </c>
      <c r="AE406" s="89" t="e">
        <f>#REF!</f>
        <v>#REF!</v>
      </c>
      <c r="AF406" s="89" t="e">
        <f>#REF!</f>
        <v>#REF!</v>
      </c>
      <c r="AG406" s="89" t="e">
        <f>#REF!</f>
        <v>#REF!</v>
      </c>
      <c r="AH406" s="89" t="e">
        <f>#REF!</f>
        <v>#REF!</v>
      </c>
      <c r="AI406" s="89" t="e">
        <f>#REF!</f>
        <v>#REF!</v>
      </c>
      <c r="AJ406" s="89" t="e">
        <f>#REF!</f>
        <v>#REF!</v>
      </c>
      <c r="AK406" s="89" t="e">
        <f>#REF!</f>
        <v>#REF!</v>
      </c>
      <c r="AL406" s="89" t="e">
        <f>#REF!</f>
        <v>#REF!</v>
      </c>
      <c r="AM406" s="89" t="e">
        <f>#REF!</f>
        <v>#REF!</v>
      </c>
      <c r="AN406" s="89" t="e">
        <f>#REF!</f>
        <v>#REF!</v>
      </c>
      <c r="AO406" s="89" t="e">
        <f>#REF!</f>
        <v>#REF!</v>
      </c>
      <c r="AP406" s="89" t="e">
        <f>#REF!</f>
        <v>#REF!</v>
      </c>
      <c r="AQ406" s="89" t="e">
        <f>#REF!</f>
        <v>#REF!</v>
      </c>
      <c r="AR406" s="89" t="e">
        <f>#REF!</f>
        <v>#REF!</v>
      </c>
      <c r="AS406" s="89" t="e">
        <f>#REF!</f>
        <v>#REF!</v>
      </c>
      <c r="AT406" s="89" t="e">
        <f>#REF!</f>
        <v>#REF!</v>
      </c>
      <c r="AU406" s="89" t="e">
        <f>#REF!</f>
        <v>#REF!</v>
      </c>
      <c r="AV406" s="89" t="e">
        <f>#REF!</f>
        <v>#REF!</v>
      </c>
      <c r="AW406" s="89" t="e">
        <f>#REF!</f>
        <v>#REF!</v>
      </c>
      <c r="AX406" s="89" t="e">
        <f>#REF!</f>
        <v>#REF!</v>
      </c>
      <c r="AY406" s="89" t="e">
        <f>#REF!</f>
        <v>#REF!</v>
      </c>
      <c r="AZ406" s="89" t="e">
        <f>#REF!</f>
        <v>#REF!</v>
      </c>
      <c r="BA406" s="89" t="e">
        <f>#REF!</f>
        <v>#REF!</v>
      </c>
      <c r="BB406" s="89" t="e">
        <f>#REF!</f>
        <v>#REF!</v>
      </c>
      <c r="BC406" s="89" t="e">
        <f>#REF!</f>
        <v>#REF!</v>
      </c>
      <c r="BD406" s="89" t="e">
        <f>#REF!</f>
        <v>#REF!</v>
      </c>
      <c r="BE406" s="89" t="e">
        <f>#REF!</f>
        <v>#REF!</v>
      </c>
      <c r="BF406" s="89" t="e">
        <f>#REF!</f>
        <v>#REF!</v>
      </c>
    </row>
    <row r="407" spans="9:58" x14ac:dyDescent="0.25">
      <c r="I407" s="89">
        <f>ABCD!J456</f>
        <v>100.75</v>
      </c>
      <c r="J407" s="89">
        <f>ABCD!K456</f>
        <v>330.46</v>
      </c>
      <c r="K407" s="89">
        <f>ABCD!L456</f>
        <v>-2.2743596307649825</v>
      </c>
      <c r="L407" s="89">
        <f>ABCD!M456</f>
        <v>-0.46367919520295908</v>
      </c>
      <c r="M407" s="89">
        <f>ABCD!N456</f>
        <v>2.3211441416072143</v>
      </c>
      <c r="N407" s="89" t="e">
        <v>#REF!</v>
      </c>
      <c r="O407" s="89" t="e">
        <v>#REF!</v>
      </c>
      <c r="P407" s="89" t="e">
        <v>#REF!</v>
      </c>
      <c r="Q407" s="89" t="e">
        <v>#REF!</v>
      </c>
      <c r="R407" s="89" t="e">
        <v>#REF!</v>
      </c>
      <c r="S407" s="89" t="e">
        <f>#REF!</f>
        <v>#REF!</v>
      </c>
      <c r="T407" s="89" t="e">
        <f>#REF!</f>
        <v>#REF!</v>
      </c>
      <c r="U407" s="89" t="e">
        <f>#REF!</f>
        <v>#REF!</v>
      </c>
      <c r="V407" s="89" t="e">
        <f>#REF!</f>
        <v>#REF!</v>
      </c>
      <c r="W407" s="89" t="e">
        <f>#REF!</f>
        <v>#REF!</v>
      </c>
      <c r="X407" s="89" t="e">
        <f>#REF!</f>
        <v>#REF!</v>
      </c>
      <c r="Y407" s="89" t="e">
        <f>#REF!</f>
        <v>#REF!</v>
      </c>
      <c r="Z407" s="89" t="e">
        <f>#REF!</f>
        <v>#REF!</v>
      </c>
      <c r="AA407" s="89" t="e">
        <f>#REF!</f>
        <v>#REF!</v>
      </c>
      <c r="AB407" s="89" t="e">
        <f>#REF!</f>
        <v>#REF!</v>
      </c>
      <c r="AC407" s="89" t="e">
        <f>#REF!</f>
        <v>#REF!</v>
      </c>
      <c r="AD407" s="89" t="e">
        <f>#REF!</f>
        <v>#REF!</v>
      </c>
      <c r="AE407" s="89" t="e">
        <f>#REF!</f>
        <v>#REF!</v>
      </c>
      <c r="AF407" s="89" t="e">
        <f>#REF!</f>
        <v>#REF!</v>
      </c>
      <c r="AG407" s="89" t="e">
        <f>#REF!</f>
        <v>#REF!</v>
      </c>
      <c r="AH407" s="89" t="e">
        <f>#REF!</f>
        <v>#REF!</v>
      </c>
      <c r="AI407" s="89" t="e">
        <f>#REF!</f>
        <v>#REF!</v>
      </c>
      <c r="AJ407" s="89" t="e">
        <f>#REF!</f>
        <v>#REF!</v>
      </c>
      <c r="AK407" s="89" t="e">
        <f>#REF!</f>
        <v>#REF!</v>
      </c>
      <c r="AL407" s="89" t="e">
        <f>#REF!</f>
        <v>#REF!</v>
      </c>
      <c r="AM407" s="89" t="e">
        <f>#REF!</f>
        <v>#REF!</v>
      </c>
      <c r="AN407" s="89" t="e">
        <f>#REF!</f>
        <v>#REF!</v>
      </c>
      <c r="AO407" s="89" t="e">
        <f>#REF!</f>
        <v>#REF!</v>
      </c>
      <c r="AP407" s="89" t="e">
        <f>#REF!</f>
        <v>#REF!</v>
      </c>
      <c r="AQ407" s="89" t="e">
        <f>#REF!</f>
        <v>#REF!</v>
      </c>
      <c r="AR407" s="89" t="e">
        <f>#REF!</f>
        <v>#REF!</v>
      </c>
      <c r="AS407" s="89" t="e">
        <f>#REF!</f>
        <v>#REF!</v>
      </c>
      <c r="AT407" s="89" t="e">
        <f>#REF!</f>
        <v>#REF!</v>
      </c>
      <c r="AU407" s="89" t="e">
        <f>#REF!</f>
        <v>#REF!</v>
      </c>
      <c r="AV407" s="89" t="e">
        <f>#REF!</f>
        <v>#REF!</v>
      </c>
      <c r="AW407" s="89" t="e">
        <f>#REF!</f>
        <v>#REF!</v>
      </c>
      <c r="AX407" s="89" t="e">
        <f>#REF!</f>
        <v>#REF!</v>
      </c>
      <c r="AY407" s="89" t="e">
        <f>#REF!</f>
        <v>#REF!</v>
      </c>
      <c r="AZ407" s="89" t="e">
        <f>#REF!</f>
        <v>#REF!</v>
      </c>
      <c r="BA407" s="89" t="e">
        <f>#REF!</f>
        <v>#REF!</v>
      </c>
      <c r="BB407" s="89" t="e">
        <f>#REF!</f>
        <v>#REF!</v>
      </c>
      <c r="BC407" s="89" t="e">
        <f>#REF!</f>
        <v>#REF!</v>
      </c>
      <c r="BD407" s="89" t="e">
        <f>#REF!</f>
        <v>#REF!</v>
      </c>
      <c r="BE407" s="89" t="e">
        <f>#REF!</f>
        <v>#REF!</v>
      </c>
      <c r="BF407" s="89" t="e">
        <f>#REF!</f>
        <v>#REF!</v>
      </c>
    </row>
    <row r="408" spans="9:58" x14ac:dyDescent="0.25">
      <c r="I408" s="89">
        <f>ABCD!J457</f>
        <v>101</v>
      </c>
      <c r="J408" s="89">
        <f>ABCD!K457</f>
        <v>331.28</v>
      </c>
      <c r="K408" s="89">
        <f>ABCD!L457</f>
        <v>-2.1909470400322073</v>
      </c>
      <c r="L408" s="89">
        <f>ABCD!M457</f>
        <v>-0.44878728980419336</v>
      </c>
      <c r="M408" s="89">
        <f>ABCD!N457</f>
        <v>2.2364389022988496</v>
      </c>
      <c r="N408" s="89" t="e">
        <v>#REF!</v>
      </c>
      <c r="O408" s="89" t="e">
        <v>#REF!</v>
      </c>
      <c r="P408" s="89" t="e">
        <v>#REF!</v>
      </c>
      <c r="Q408" s="89" t="e">
        <v>#REF!</v>
      </c>
      <c r="R408" s="89" t="e">
        <v>#REF!</v>
      </c>
      <c r="S408" s="89" t="e">
        <f>#REF!</f>
        <v>#REF!</v>
      </c>
      <c r="T408" s="89" t="e">
        <f>#REF!</f>
        <v>#REF!</v>
      </c>
      <c r="U408" s="89" t="e">
        <f>#REF!</f>
        <v>#REF!</v>
      </c>
      <c r="V408" s="89" t="e">
        <f>#REF!</f>
        <v>#REF!</v>
      </c>
      <c r="W408" s="89" t="e">
        <f>#REF!</f>
        <v>#REF!</v>
      </c>
      <c r="X408" s="89" t="e">
        <f>#REF!</f>
        <v>#REF!</v>
      </c>
      <c r="Y408" s="89" t="e">
        <f>#REF!</f>
        <v>#REF!</v>
      </c>
      <c r="Z408" s="89" t="e">
        <f>#REF!</f>
        <v>#REF!</v>
      </c>
      <c r="AA408" s="89" t="e">
        <f>#REF!</f>
        <v>#REF!</v>
      </c>
      <c r="AB408" s="89" t="e">
        <f>#REF!</f>
        <v>#REF!</v>
      </c>
      <c r="AC408" s="89" t="e">
        <f>#REF!</f>
        <v>#REF!</v>
      </c>
      <c r="AD408" s="89" t="e">
        <f>#REF!</f>
        <v>#REF!</v>
      </c>
      <c r="AE408" s="89" t="e">
        <f>#REF!</f>
        <v>#REF!</v>
      </c>
      <c r="AF408" s="89" t="e">
        <f>#REF!</f>
        <v>#REF!</v>
      </c>
      <c r="AG408" s="89" t="e">
        <f>#REF!</f>
        <v>#REF!</v>
      </c>
      <c r="AH408" s="89" t="e">
        <f>#REF!</f>
        <v>#REF!</v>
      </c>
      <c r="AI408" s="89" t="e">
        <f>#REF!</f>
        <v>#REF!</v>
      </c>
      <c r="AJ408" s="89" t="e">
        <f>#REF!</f>
        <v>#REF!</v>
      </c>
      <c r="AK408" s="89" t="e">
        <f>#REF!</f>
        <v>#REF!</v>
      </c>
      <c r="AL408" s="89" t="e">
        <f>#REF!</f>
        <v>#REF!</v>
      </c>
      <c r="AM408" s="89" t="e">
        <f>#REF!</f>
        <v>#REF!</v>
      </c>
      <c r="AN408" s="89" t="e">
        <f>#REF!</f>
        <v>#REF!</v>
      </c>
      <c r="AO408" s="89" t="e">
        <f>#REF!</f>
        <v>#REF!</v>
      </c>
      <c r="AP408" s="89" t="e">
        <f>#REF!</f>
        <v>#REF!</v>
      </c>
      <c r="AQ408" s="89" t="e">
        <f>#REF!</f>
        <v>#REF!</v>
      </c>
      <c r="AR408" s="89" t="e">
        <f>#REF!</f>
        <v>#REF!</v>
      </c>
      <c r="AS408" s="89" t="e">
        <f>#REF!</f>
        <v>#REF!</v>
      </c>
      <c r="AT408" s="89" t="e">
        <f>#REF!</f>
        <v>#REF!</v>
      </c>
      <c r="AU408" s="89" t="e">
        <f>#REF!</f>
        <v>#REF!</v>
      </c>
      <c r="AV408" s="89" t="e">
        <f>#REF!</f>
        <v>#REF!</v>
      </c>
      <c r="AW408" s="89" t="e">
        <f>#REF!</f>
        <v>#REF!</v>
      </c>
      <c r="AX408" s="89" t="e">
        <f>#REF!</f>
        <v>#REF!</v>
      </c>
      <c r="AY408" s="89" t="e">
        <f>#REF!</f>
        <v>#REF!</v>
      </c>
      <c r="AZ408" s="89" t="e">
        <f>#REF!</f>
        <v>#REF!</v>
      </c>
      <c r="BA408" s="89" t="e">
        <f>#REF!</f>
        <v>#REF!</v>
      </c>
      <c r="BB408" s="89" t="e">
        <f>#REF!</f>
        <v>#REF!</v>
      </c>
      <c r="BC408" s="89" t="e">
        <f>#REF!</f>
        <v>#REF!</v>
      </c>
      <c r="BD408" s="89" t="e">
        <f>#REF!</f>
        <v>#REF!</v>
      </c>
      <c r="BE408" s="89" t="e">
        <f>#REF!</f>
        <v>#REF!</v>
      </c>
      <c r="BF408" s="89" t="e">
        <f>#REF!</f>
        <v>#REF!</v>
      </c>
    </row>
    <row r="409" spans="9:58" x14ac:dyDescent="0.25">
      <c r="I409" s="89">
        <f>ABCD!J458</f>
        <v>101.25</v>
      </c>
      <c r="J409" s="89">
        <f>ABCD!K458</f>
        <v>332.09999999999997</v>
      </c>
      <c r="K409" s="89">
        <f>ABCD!L458</f>
        <v>-2.107103726287769</v>
      </c>
      <c r="L409" s="89">
        <f>ABCD!M458</f>
        <v>-0.43380518255017053</v>
      </c>
      <c r="M409" s="89">
        <f>ABCD!N458</f>
        <v>2.1512956676717381</v>
      </c>
      <c r="N409" s="89" t="e">
        <v>#REF!</v>
      </c>
      <c r="O409" s="89" t="e">
        <v>#REF!</v>
      </c>
      <c r="P409" s="89" t="e">
        <v>#REF!</v>
      </c>
      <c r="Q409" s="89" t="e">
        <v>#REF!</v>
      </c>
      <c r="R409" s="89" t="e">
        <v>#REF!</v>
      </c>
      <c r="S409" s="89" t="e">
        <f>#REF!</f>
        <v>#REF!</v>
      </c>
      <c r="T409" s="89" t="e">
        <f>#REF!</f>
        <v>#REF!</v>
      </c>
      <c r="U409" s="89" t="e">
        <f>#REF!</f>
        <v>#REF!</v>
      </c>
      <c r="V409" s="89" t="e">
        <f>#REF!</f>
        <v>#REF!</v>
      </c>
      <c r="W409" s="89" t="e">
        <f>#REF!</f>
        <v>#REF!</v>
      </c>
      <c r="X409" s="89" t="e">
        <f>#REF!</f>
        <v>#REF!</v>
      </c>
      <c r="Y409" s="89" t="e">
        <f>#REF!</f>
        <v>#REF!</v>
      </c>
      <c r="Z409" s="89" t="e">
        <f>#REF!</f>
        <v>#REF!</v>
      </c>
      <c r="AA409" s="89" t="e">
        <f>#REF!</f>
        <v>#REF!</v>
      </c>
      <c r="AB409" s="89" t="e">
        <f>#REF!</f>
        <v>#REF!</v>
      </c>
      <c r="AC409" s="89" t="e">
        <f>#REF!</f>
        <v>#REF!</v>
      </c>
      <c r="AD409" s="89" t="e">
        <f>#REF!</f>
        <v>#REF!</v>
      </c>
      <c r="AE409" s="89" t="e">
        <f>#REF!</f>
        <v>#REF!</v>
      </c>
      <c r="AF409" s="89" t="e">
        <f>#REF!</f>
        <v>#REF!</v>
      </c>
      <c r="AG409" s="89" t="e">
        <f>#REF!</f>
        <v>#REF!</v>
      </c>
      <c r="AH409" s="89" t="e">
        <f>#REF!</f>
        <v>#REF!</v>
      </c>
      <c r="AI409" s="89" t="e">
        <f>#REF!</f>
        <v>#REF!</v>
      </c>
      <c r="AJ409" s="89" t="e">
        <f>#REF!</f>
        <v>#REF!</v>
      </c>
      <c r="AK409" s="89" t="e">
        <f>#REF!</f>
        <v>#REF!</v>
      </c>
      <c r="AL409" s="89" t="e">
        <f>#REF!</f>
        <v>#REF!</v>
      </c>
      <c r="AM409" s="89" t="e">
        <f>#REF!</f>
        <v>#REF!</v>
      </c>
      <c r="AN409" s="89" t="e">
        <f>#REF!</f>
        <v>#REF!</v>
      </c>
      <c r="AO409" s="89" t="e">
        <f>#REF!</f>
        <v>#REF!</v>
      </c>
      <c r="AP409" s="89" t="e">
        <f>#REF!</f>
        <v>#REF!</v>
      </c>
      <c r="AQ409" s="89" t="e">
        <f>#REF!</f>
        <v>#REF!</v>
      </c>
      <c r="AR409" s="89" t="e">
        <f>#REF!</f>
        <v>#REF!</v>
      </c>
      <c r="AS409" s="89" t="e">
        <f>#REF!</f>
        <v>#REF!</v>
      </c>
      <c r="AT409" s="89" t="e">
        <f>#REF!</f>
        <v>#REF!</v>
      </c>
      <c r="AU409" s="89" t="e">
        <f>#REF!</f>
        <v>#REF!</v>
      </c>
      <c r="AV409" s="89" t="e">
        <f>#REF!</f>
        <v>#REF!</v>
      </c>
      <c r="AW409" s="89" t="e">
        <f>#REF!</f>
        <v>#REF!</v>
      </c>
      <c r="AX409" s="89" t="e">
        <f>#REF!</f>
        <v>#REF!</v>
      </c>
      <c r="AY409" s="89" t="e">
        <f>#REF!</f>
        <v>#REF!</v>
      </c>
      <c r="AZ409" s="89" t="e">
        <f>#REF!</f>
        <v>#REF!</v>
      </c>
      <c r="BA409" s="89" t="e">
        <f>#REF!</f>
        <v>#REF!</v>
      </c>
      <c r="BB409" s="89" t="e">
        <f>#REF!</f>
        <v>#REF!</v>
      </c>
      <c r="BC409" s="89" t="e">
        <f>#REF!</f>
        <v>#REF!</v>
      </c>
      <c r="BD409" s="89" t="e">
        <f>#REF!</f>
        <v>#REF!</v>
      </c>
      <c r="BE409" s="89" t="e">
        <f>#REF!</f>
        <v>#REF!</v>
      </c>
      <c r="BF409" s="89" t="e">
        <f>#REF!</f>
        <v>#REF!</v>
      </c>
    </row>
    <row r="410" spans="9:58" x14ac:dyDescent="0.25">
      <c r="I410" s="89">
        <f>ABCD!J459</f>
        <v>101.5</v>
      </c>
      <c r="J410" s="89">
        <f>ABCD!K459</f>
        <v>332.91999999999996</v>
      </c>
      <c r="K410" s="89">
        <f>ABCD!L459</f>
        <v>-2.0228494314887255</v>
      </c>
      <c r="L410" s="89">
        <f>ABCD!M459</f>
        <v>-0.41873641307179144</v>
      </c>
      <c r="M410" s="89">
        <f>ABCD!N459</f>
        <v>2.0657347375949531</v>
      </c>
      <c r="N410" s="89" t="e">
        <v>#REF!</v>
      </c>
      <c r="O410" s="89" t="e">
        <v>#REF!</v>
      </c>
      <c r="P410" s="89" t="e">
        <v>#REF!</v>
      </c>
      <c r="Q410" s="89" t="e">
        <v>#REF!</v>
      </c>
      <c r="R410" s="89" t="e">
        <v>#REF!</v>
      </c>
      <c r="S410" s="89" t="e">
        <f>#REF!</f>
        <v>#REF!</v>
      </c>
      <c r="T410" s="89" t="e">
        <f>#REF!</f>
        <v>#REF!</v>
      </c>
      <c r="U410" s="89" t="e">
        <f>#REF!</f>
        <v>#REF!</v>
      </c>
      <c r="V410" s="89" t="e">
        <f>#REF!</f>
        <v>#REF!</v>
      </c>
      <c r="W410" s="89" t="e">
        <f>#REF!</f>
        <v>#REF!</v>
      </c>
      <c r="X410" s="89" t="e">
        <f>#REF!</f>
        <v>#REF!</v>
      </c>
      <c r="Y410" s="89" t="e">
        <f>#REF!</f>
        <v>#REF!</v>
      </c>
      <c r="Z410" s="89" t="e">
        <f>#REF!</f>
        <v>#REF!</v>
      </c>
      <c r="AA410" s="89" t="e">
        <f>#REF!</f>
        <v>#REF!</v>
      </c>
      <c r="AB410" s="89" t="e">
        <f>#REF!</f>
        <v>#REF!</v>
      </c>
      <c r="AC410" s="89" t="e">
        <f>#REF!</f>
        <v>#REF!</v>
      </c>
      <c r="AD410" s="89" t="e">
        <f>#REF!</f>
        <v>#REF!</v>
      </c>
      <c r="AE410" s="89" t="e">
        <f>#REF!</f>
        <v>#REF!</v>
      </c>
      <c r="AF410" s="89" t="e">
        <f>#REF!</f>
        <v>#REF!</v>
      </c>
      <c r="AG410" s="89" t="e">
        <f>#REF!</f>
        <v>#REF!</v>
      </c>
      <c r="AH410" s="89" t="e">
        <f>#REF!</f>
        <v>#REF!</v>
      </c>
      <c r="AI410" s="89" t="e">
        <f>#REF!</f>
        <v>#REF!</v>
      </c>
      <c r="AJ410" s="89" t="e">
        <f>#REF!</f>
        <v>#REF!</v>
      </c>
      <c r="AK410" s="89" t="e">
        <f>#REF!</f>
        <v>#REF!</v>
      </c>
      <c r="AL410" s="89" t="e">
        <f>#REF!</f>
        <v>#REF!</v>
      </c>
      <c r="AM410" s="89" t="e">
        <f>#REF!</f>
        <v>#REF!</v>
      </c>
      <c r="AN410" s="89" t="e">
        <f>#REF!</f>
        <v>#REF!</v>
      </c>
      <c r="AO410" s="89" t="e">
        <f>#REF!</f>
        <v>#REF!</v>
      </c>
      <c r="AP410" s="89" t="e">
        <f>#REF!</f>
        <v>#REF!</v>
      </c>
      <c r="AQ410" s="89" t="e">
        <f>#REF!</f>
        <v>#REF!</v>
      </c>
      <c r="AR410" s="89" t="e">
        <f>#REF!</f>
        <v>#REF!</v>
      </c>
      <c r="AS410" s="89" t="e">
        <f>#REF!</f>
        <v>#REF!</v>
      </c>
      <c r="AT410" s="89" t="e">
        <f>#REF!</f>
        <v>#REF!</v>
      </c>
      <c r="AU410" s="89" t="e">
        <f>#REF!</f>
        <v>#REF!</v>
      </c>
      <c r="AV410" s="89" t="e">
        <f>#REF!</f>
        <v>#REF!</v>
      </c>
      <c r="AW410" s="89" t="e">
        <f>#REF!</f>
        <v>#REF!</v>
      </c>
      <c r="AX410" s="89" t="e">
        <f>#REF!</f>
        <v>#REF!</v>
      </c>
      <c r="AY410" s="89" t="e">
        <f>#REF!</f>
        <v>#REF!</v>
      </c>
      <c r="AZ410" s="89" t="e">
        <f>#REF!</f>
        <v>#REF!</v>
      </c>
      <c r="BA410" s="89" t="e">
        <f>#REF!</f>
        <v>#REF!</v>
      </c>
      <c r="BB410" s="89" t="e">
        <f>#REF!</f>
        <v>#REF!</v>
      </c>
      <c r="BC410" s="89" t="e">
        <f>#REF!</f>
        <v>#REF!</v>
      </c>
      <c r="BD410" s="89" t="e">
        <f>#REF!</f>
        <v>#REF!</v>
      </c>
      <c r="BE410" s="89" t="e">
        <f>#REF!</f>
        <v>#REF!</v>
      </c>
      <c r="BF410" s="89" t="e">
        <f>#REF!</f>
        <v>#REF!</v>
      </c>
    </row>
    <row r="411" spans="9:58" x14ac:dyDescent="0.25">
      <c r="I411" s="89">
        <f>ABCD!J460</f>
        <v>101.75</v>
      </c>
      <c r="J411" s="89">
        <f>ABCD!K460</f>
        <v>333.73999999999995</v>
      </c>
      <c r="K411" s="89">
        <f>ABCD!L460</f>
        <v>-1.9382039747036612</v>
      </c>
      <c r="L411" s="89">
        <f>ABCD!M460</f>
        <v>-0.40358453782092818</v>
      </c>
      <c r="M411" s="89">
        <f>ABCD!N460</f>
        <v>1.9797765345425233</v>
      </c>
      <c r="N411" s="89" t="e">
        <v>#REF!</v>
      </c>
      <c r="O411" s="89" t="e">
        <v>#REF!</v>
      </c>
      <c r="P411" s="89" t="e">
        <v>#REF!</v>
      </c>
      <c r="Q411" s="89" t="e">
        <v>#REF!</v>
      </c>
      <c r="R411" s="89" t="e">
        <v>#REF!</v>
      </c>
      <c r="S411" s="89" t="e">
        <f>#REF!</f>
        <v>#REF!</v>
      </c>
      <c r="T411" s="89" t="e">
        <f>#REF!</f>
        <v>#REF!</v>
      </c>
      <c r="U411" s="89" t="e">
        <f>#REF!</f>
        <v>#REF!</v>
      </c>
      <c r="V411" s="89" t="e">
        <f>#REF!</f>
        <v>#REF!</v>
      </c>
      <c r="W411" s="89" t="e">
        <f>#REF!</f>
        <v>#REF!</v>
      </c>
      <c r="X411" s="89" t="e">
        <f>#REF!</f>
        <v>#REF!</v>
      </c>
      <c r="Y411" s="89" t="e">
        <f>#REF!</f>
        <v>#REF!</v>
      </c>
      <c r="Z411" s="89" t="e">
        <f>#REF!</f>
        <v>#REF!</v>
      </c>
      <c r="AA411" s="89" t="e">
        <f>#REF!</f>
        <v>#REF!</v>
      </c>
      <c r="AB411" s="89" t="e">
        <f>#REF!</f>
        <v>#REF!</v>
      </c>
      <c r="AC411" s="89" t="e">
        <f>#REF!</f>
        <v>#REF!</v>
      </c>
      <c r="AD411" s="89" t="e">
        <f>#REF!</f>
        <v>#REF!</v>
      </c>
      <c r="AE411" s="89" t="e">
        <f>#REF!</f>
        <v>#REF!</v>
      </c>
      <c r="AF411" s="89" t="e">
        <f>#REF!</f>
        <v>#REF!</v>
      </c>
      <c r="AG411" s="89" t="e">
        <f>#REF!</f>
        <v>#REF!</v>
      </c>
      <c r="AH411" s="89" t="e">
        <f>#REF!</f>
        <v>#REF!</v>
      </c>
      <c r="AI411" s="89" t="e">
        <f>#REF!</f>
        <v>#REF!</v>
      </c>
      <c r="AJ411" s="89" t="e">
        <f>#REF!</f>
        <v>#REF!</v>
      </c>
      <c r="AK411" s="89" t="e">
        <f>#REF!</f>
        <v>#REF!</v>
      </c>
      <c r="AL411" s="89" t="e">
        <f>#REF!</f>
        <v>#REF!</v>
      </c>
      <c r="AM411" s="89" t="e">
        <f>#REF!</f>
        <v>#REF!</v>
      </c>
      <c r="AN411" s="89" t="e">
        <f>#REF!</f>
        <v>#REF!</v>
      </c>
      <c r="AO411" s="89" t="e">
        <f>#REF!</f>
        <v>#REF!</v>
      </c>
      <c r="AP411" s="89" t="e">
        <f>#REF!</f>
        <v>#REF!</v>
      </c>
      <c r="AQ411" s="89" t="e">
        <f>#REF!</f>
        <v>#REF!</v>
      </c>
      <c r="AR411" s="89" t="e">
        <f>#REF!</f>
        <v>#REF!</v>
      </c>
      <c r="AS411" s="89" t="e">
        <f>#REF!</f>
        <v>#REF!</v>
      </c>
      <c r="AT411" s="89" t="e">
        <f>#REF!</f>
        <v>#REF!</v>
      </c>
      <c r="AU411" s="89" t="e">
        <f>#REF!</f>
        <v>#REF!</v>
      </c>
      <c r="AV411" s="89" t="e">
        <f>#REF!</f>
        <v>#REF!</v>
      </c>
      <c r="AW411" s="89" t="e">
        <f>#REF!</f>
        <v>#REF!</v>
      </c>
      <c r="AX411" s="89" t="e">
        <f>#REF!</f>
        <v>#REF!</v>
      </c>
      <c r="AY411" s="89" t="e">
        <f>#REF!</f>
        <v>#REF!</v>
      </c>
      <c r="AZ411" s="89" t="e">
        <f>#REF!</f>
        <v>#REF!</v>
      </c>
      <c r="BA411" s="89" t="e">
        <f>#REF!</f>
        <v>#REF!</v>
      </c>
      <c r="BB411" s="89" t="e">
        <f>#REF!</f>
        <v>#REF!</v>
      </c>
      <c r="BC411" s="89" t="e">
        <f>#REF!</f>
        <v>#REF!</v>
      </c>
      <c r="BD411" s="89" t="e">
        <f>#REF!</f>
        <v>#REF!</v>
      </c>
      <c r="BE411" s="89" t="e">
        <f>#REF!</f>
        <v>#REF!</v>
      </c>
      <c r="BF411" s="89" t="e">
        <f>#REF!</f>
        <v>#REF!</v>
      </c>
    </row>
    <row r="412" spans="9:58" x14ac:dyDescent="0.25">
      <c r="I412" s="89">
        <f>ABCD!J461</f>
        <v>102</v>
      </c>
      <c r="J412" s="89">
        <f>ABCD!K461</f>
        <v>334.56</v>
      </c>
      <c r="K412" s="89">
        <f>ABCD!L461</f>
        <v>-1.853187247468292</v>
      </c>
      <c r="L412" s="89">
        <f>ABCD!M461</f>
        <v>-0.38835312923430898</v>
      </c>
      <c r="M412" s="89">
        <f>ABCD!N461</f>
        <v>1.8934416091248192</v>
      </c>
      <c r="N412" s="89" t="e">
        <v>#REF!</v>
      </c>
      <c r="O412" s="89" t="e">
        <v>#REF!</v>
      </c>
      <c r="P412" s="89" t="e">
        <v>#REF!</v>
      </c>
      <c r="Q412" s="89" t="e">
        <v>#REF!</v>
      </c>
      <c r="R412" s="89" t="e">
        <v>#REF!</v>
      </c>
      <c r="S412" s="89" t="e">
        <f>#REF!</f>
        <v>#REF!</v>
      </c>
      <c r="T412" s="89" t="e">
        <f>#REF!</f>
        <v>#REF!</v>
      </c>
      <c r="U412" s="89" t="e">
        <f>#REF!</f>
        <v>#REF!</v>
      </c>
      <c r="V412" s="89" t="e">
        <f>#REF!</f>
        <v>#REF!</v>
      </c>
      <c r="W412" s="89" t="e">
        <f>#REF!</f>
        <v>#REF!</v>
      </c>
      <c r="X412" s="89" t="e">
        <f>#REF!</f>
        <v>#REF!</v>
      </c>
      <c r="Y412" s="89" t="e">
        <f>#REF!</f>
        <v>#REF!</v>
      </c>
      <c r="Z412" s="89" t="e">
        <f>#REF!</f>
        <v>#REF!</v>
      </c>
      <c r="AA412" s="89" t="e">
        <f>#REF!</f>
        <v>#REF!</v>
      </c>
      <c r="AB412" s="89" t="e">
        <f>#REF!</f>
        <v>#REF!</v>
      </c>
      <c r="AC412" s="89" t="e">
        <f>#REF!</f>
        <v>#REF!</v>
      </c>
      <c r="AD412" s="89" t="e">
        <f>#REF!</f>
        <v>#REF!</v>
      </c>
      <c r="AE412" s="89" t="e">
        <f>#REF!</f>
        <v>#REF!</v>
      </c>
      <c r="AF412" s="89" t="e">
        <f>#REF!</f>
        <v>#REF!</v>
      </c>
      <c r="AG412" s="89" t="e">
        <f>#REF!</f>
        <v>#REF!</v>
      </c>
      <c r="AH412" s="89" t="e">
        <f>#REF!</f>
        <v>#REF!</v>
      </c>
      <c r="AI412" s="89" t="e">
        <f>#REF!</f>
        <v>#REF!</v>
      </c>
      <c r="AJ412" s="89" t="e">
        <f>#REF!</f>
        <v>#REF!</v>
      </c>
      <c r="AK412" s="89" t="e">
        <f>#REF!</f>
        <v>#REF!</v>
      </c>
      <c r="AL412" s="89" t="e">
        <f>#REF!</f>
        <v>#REF!</v>
      </c>
      <c r="AM412" s="89" t="e">
        <f>#REF!</f>
        <v>#REF!</v>
      </c>
      <c r="AN412" s="89" t="e">
        <f>#REF!</f>
        <v>#REF!</v>
      </c>
      <c r="AO412" s="89" t="e">
        <f>#REF!</f>
        <v>#REF!</v>
      </c>
      <c r="AP412" s="89" t="e">
        <f>#REF!</f>
        <v>#REF!</v>
      </c>
      <c r="AQ412" s="89" t="e">
        <f>#REF!</f>
        <v>#REF!</v>
      </c>
      <c r="AR412" s="89" t="e">
        <f>#REF!</f>
        <v>#REF!</v>
      </c>
      <c r="AS412" s="89" t="e">
        <f>#REF!</f>
        <v>#REF!</v>
      </c>
      <c r="AT412" s="89" t="e">
        <f>#REF!</f>
        <v>#REF!</v>
      </c>
      <c r="AU412" s="89" t="e">
        <f>#REF!</f>
        <v>#REF!</v>
      </c>
      <c r="AV412" s="89" t="e">
        <f>#REF!</f>
        <v>#REF!</v>
      </c>
      <c r="AW412" s="89" t="e">
        <f>#REF!</f>
        <v>#REF!</v>
      </c>
      <c r="AX412" s="89" t="e">
        <f>#REF!</f>
        <v>#REF!</v>
      </c>
      <c r="AY412" s="89" t="e">
        <f>#REF!</f>
        <v>#REF!</v>
      </c>
      <c r="AZ412" s="89" t="e">
        <f>#REF!</f>
        <v>#REF!</v>
      </c>
      <c r="BA412" s="89" t="e">
        <f>#REF!</f>
        <v>#REF!</v>
      </c>
      <c r="BB412" s="89" t="e">
        <f>#REF!</f>
        <v>#REF!</v>
      </c>
      <c r="BC412" s="89" t="e">
        <f>#REF!</f>
        <v>#REF!</v>
      </c>
      <c r="BD412" s="89" t="e">
        <f>#REF!</f>
        <v>#REF!</v>
      </c>
      <c r="BE412" s="89" t="e">
        <f>#REF!</f>
        <v>#REF!</v>
      </c>
      <c r="BF412" s="89" t="e">
        <f>#REF!</f>
        <v>#REF!</v>
      </c>
    </row>
    <row r="413" spans="9:58" x14ac:dyDescent="0.25">
      <c r="I413" s="89">
        <f>ABCD!J462</f>
        <v>102.25</v>
      </c>
      <c r="J413" s="89">
        <f>ABCD!K462</f>
        <v>335.38</v>
      </c>
      <c r="K413" s="89">
        <f>ABCD!L462</f>
        <v>-1.7678192091284493</v>
      </c>
      <c r="L413" s="89">
        <f>ABCD!M462</f>
        <v>-0.37304577489447199</v>
      </c>
      <c r="M413" s="89">
        <f>ABCD!N462</f>
        <v>1.8067506486314466</v>
      </c>
      <c r="N413" s="89" t="e">
        <v>#REF!</v>
      </c>
      <c r="O413" s="89" t="e">
        <v>#REF!</v>
      </c>
      <c r="P413" s="89" t="e">
        <v>#REF!</v>
      </c>
      <c r="Q413" s="89" t="e">
        <v>#REF!</v>
      </c>
      <c r="R413" s="89" t="e">
        <v>#REF!</v>
      </c>
      <c r="S413" s="89" t="e">
        <f>#REF!</f>
        <v>#REF!</v>
      </c>
      <c r="T413" s="89" t="e">
        <f>#REF!</f>
        <v>#REF!</v>
      </c>
      <c r="U413" s="89" t="e">
        <f>#REF!</f>
        <v>#REF!</v>
      </c>
      <c r="V413" s="89" t="e">
        <f>#REF!</f>
        <v>#REF!</v>
      </c>
      <c r="W413" s="89" t="e">
        <f>#REF!</f>
        <v>#REF!</v>
      </c>
      <c r="X413" s="89" t="e">
        <f>#REF!</f>
        <v>#REF!</v>
      </c>
      <c r="Y413" s="89" t="e">
        <f>#REF!</f>
        <v>#REF!</v>
      </c>
      <c r="Z413" s="89" t="e">
        <f>#REF!</f>
        <v>#REF!</v>
      </c>
      <c r="AA413" s="89" t="e">
        <f>#REF!</f>
        <v>#REF!</v>
      </c>
      <c r="AB413" s="89" t="e">
        <f>#REF!</f>
        <v>#REF!</v>
      </c>
      <c r="AC413" s="89" t="e">
        <f>#REF!</f>
        <v>#REF!</v>
      </c>
      <c r="AD413" s="89" t="e">
        <f>#REF!</f>
        <v>#REF!</v>
      </c>
      <c r="AE413" s="89" t="e">
        <f>#REF!</f>
        <v>#REF!</v>
      </c>
      <c r="AF413" s="89" t="e">
        <f>#REF!</f>
        <v>#REF!</v>
      </c>
      <c r="AG413" s="89" t="e">
        <f>#REF!</f>
        <v>#REF!</v>
      </c>
      <c r="AH413" s="89" t="e">
        <f>#REF!</f>
        <v>#REF!</v>
      </c>
      <c r="AI413" s="89" t="e">
        <f>#REF!</f>
        <v>#REF!</v>
      </c>
      <c r="AJ413" s="89" t="e">
        <f>#REF!</f>
        <v>#REF!</v>
      </c>
      <c r="AK413" s="89" t="e">
        <f>#REF!</f>
        <v>#REF!</v>
      </c>
      <c r="AL413" s="89" t="e">
        <f>#REF!</f>
        <v>#REF!</v>
      </c>
      <c r="AM413" s="89" t="e">
        <f>#REF!</f>
        <v>#REF!</v>
      </c>
      <c r="AN413" s="89" t="e">
        <f>#REF!</f>
        <v>#REF!</v>
      </c>
      <c r="AO413" s="89" t="e">
        <f>#REF!</f>
        <v>#REF!</v>
      </c>
      <c r="AP413" s="89" t="e">
        <f>#REF!</f>
        <v>#REF!</v>
      </c>
      <c r="AQ413" s="89" t="e">
        <f>#REF!</f>
        <v>#REF!</v>
      </c>
      <c r="AR413" s="89" t="e">
        <f>#REF!</f>
        <v>#REF!</v>
      </c>
      <c r="AS413" s="89" t="e">
        <f>#REF!</f>
        <v>#REF!</v>
      </c>
      <c r="AT413" s="89" t="e">
        <f>#REF!</f>
        <v>#REF!</v>
      </c>
      <c r="AU413" s="89" t="e">
        <f>#REF!</f>
        <v>#REF!</v>
      </c>
      <c r="AV413" s="89" t="e">
        <f>#REF!</f>
        <v>#REF!</v>
      </c>
      <c r="AW413" s="89" t="e">
        <f>#REF!</f>
        <v>#REF!</v>
      </c>
      <c r="AX413" s="89" t="e">
        <f>#REF!</f>
        <v>#REF!</v>
      </c>
      <c r="AY413" s="89" t="e">
        <f>#REF!</f>
        <v>#REF!</v>
      </c>
      <c r="AZ413" s="89" t="e">
        <f>#REF!</f>
        <v>#REF!</v>
      </c>
      <c r="BA413" s="89" t="e">
        <f>#REF!</f>
        <v>#REF!</v>
      </c>
      <c r="BB413" s="89" t="e">
        <f>#REF!</f>
        <v>#REF!</v>
      </c>
      <c r="BC413" s="89" t="e">
        <f>#REF!</f>
        <v>#REF!</v>
      </c>
      <c r="BD413" s="89" t="e">
        <f>#REF!</f>
        <v>#REF!</v>
      </c>
      <c r="BE413" s="89" t="e">
        <f>#REF!</f>
        <v>#REF!</v>
      </c>
      <c r="BF413" s="89" t="e">
        <f>#REF!</f>
        <v>#REF!</v>
      </c>
    </row>
    <row r="414" spans="9:58" x14ac:dyDescent="0.25">
      <c r="I414" s="89">
        <f>ABCD!J463</f>
        <v>102.5</v>
      </c>
      <c r="J414" s="89">
        <f>ABCD!K463</f>
        <v>336.2</v>
      </c>
      <c r="K414" s="89">
        <f>ABCD!L463</f>
        <v>-1.682119882171687</v>
      </c>
      <c r="L414" s="89">
        <f>ABCD!M463</f>
        <v>-0.35766607668799022</v>
      </c>
      <c r="M414" s="89">
        <f>ABCD!N463</f>
        <v>1.7197244896816086</v>
      </c>
      <c r="N414" s="89" t="e">
        <v>#REF!</v>
      </c>
      <c r="O414" s="89" t="e">
        <v>#REF!</v>
      </c>
      <c r="P414" s="89" t="e">
        <v>#REF!</v>
      </c>
      <c r="Q414" s="89" t="e">
        <v>#REF!</v>
      </c>
      <c r="R414" s="89" t="e">
        <v>#REF!</v>
      </c>
      <c r="S414" s="89" t="e">
        <f>#REF!</f>
        <v>#REF!</v>
      </c>
      <c r="T414" s="89" t="e">
        <f>#REF!</f>
        <v>#REF!</v>
      </c>
      <c r="U414" s="89" t="e">
        <f>#REF!</f>
        <v>#REF!</v>
      </c>
      <c r="V414" s="89" t="e">
        <f>#REF!</f>
        <v>#REF!</v>
      </c>
      <c r="W414" s="89" t="e">
        <f>#REF!</f>
        <v>#REF!</v>
      </c>
      <c r="X414" s="89" t="e">
        <f>#REF!</f>
        <v>#REF!</v>
      </c>
      <c r="Y414" s="89" t="e">
        <f>#REF!</f>
        <v>#REF!</v>
      </c>
      <c r="Z414" s="89" t="e">
        <f>#REF!</f>
        <v>#REF!</v>
      </c>
      <c r="AA414" s="89" t="e">
        <f>#REF!</f>
        <v>#REF!</v>
      </c>
      <c r="AB414" s="89" t="e">
        <f>#REF!</f>
        <v>#REF!</v>
      </c>
      <c r="AC414" s="89" t="e">
        <f>#REF!</f>
        <v>#REF!</v>
      </c>
      <c r="AD414" s="89" t="e">
        <f>#REF!</f>
        <v>#REF!</v>
      </c>
      <c r="AE414" s="89" t="e">
        <f>#REF!</f>
        <v>#REF!</v>
      </c>
      <c r="AF414" s="89" t="e">
        <f>#REF!</f>
        <v>#REF!</v>
      </c>
      <c r="AG414" s="89" t="e">
        <f>#REF!</f>
        <v>#REF!</v>
      </c>
      <c r="AH414" s="89" t="e">
        <f>#REF!</f>
        <v>#REF!</v>
      </c>
      <c r="AI414" s="89" t="e">
        <f>#REF!</f>
        <v>#REF!</v>
      </c>
      <c r="AJ414" s="89" t="e">
        <f>#REF!</f>
        <v>#REF!</v>
      </c>
      <c r="AK414" s="89" t="e">
        <f>#REF!</f>
        <v>#REF!</v>
      </c>
      <c r="AL414" s="89" t="e">
        <f>#REF!</f>
        <v>#REF!</v>
      </c>
      <c r="AM414" s="89" t="e">
        <f>#REF!</f>
        <v>#REF!</v>
      </c>
      <c r="AN414" s="89" t="e">
        <f>#REF!</f>
        <v>#REF!</v>
      </c>
      <c r="AO414" s="89" t="e">
        <f>#REF!</f>
        <v>#REF!</v>
      </c>
      <c r="AP414" s="89" t="e">
        <f>#REF!</f>
        <v>#REF!</v>
      </c>
      <c r="AQ414" s="89" t="e">
        <f>#REF!</f>
        <v>#REF!</v>
      </c>
      <c r="AR414" s="89" t="e">
        <f>#REF!</f>
        <v>#REF!</v>
      </c>
      <c r="AS414" s="89" t="e">
        <f>#REF!</f>
        <v>#REF!</v>
      </c>
      <c r="AT414" s="89" t="e">
        <f>#REF!</f>
        <v>#REF!</v>
      </c>
      <c r="AU414" s="89" t="e">
        <f>#REF!</f>
        <v>#REF!</v>
      </c>
      <c r="AV414" s="89" t="e">
        <f>#REF!</f>
        <v>#REF!</v>
      </c>
      <c r="AW414" s="89" t="e">
        <f>#REF!</f>
        <v>#REF!</v>
      </c>
      <c r="AX414" s="89" t="e">
        <f>#REF!</f>
        <v>#REF!</v>
      </c>
      <c r="AY414" s="89" t="e">
        <f>#REF!</f>
        <v>#REF!</v>
      </c>
      <c r="AZ414" s="89" t="e">
        <f>#REF!</f>
        <v>#REF!</v>
      </c>
      <c r="BA414" s="89" t="e">
        <f>#REF!</f>
        <v>#REF!</v>
      </c>
      <c r="BB414" s="89" t="e">
        <f>#REF!</f>
        <v>#REF!</v>
      </c>
      <c r="BC414" s="89" t="e">
        <f>#REF!</f>
        <v>#REF!</v>
      </c>
      <c r="BD414" s="89" t="e">
        <f>#REF!</f>
        <v>#REF!</v>
      </c>
      <c r="BE414" s="89" t="e">
        <f>#REF!</f>
        <v>#REF!</v>
      </c>
      <c r="BF414" s="89" t="e">
        <f>#REF!</f>
        <v>#REF!</v>
      </c>
    </row>
    <row r="415" spans="9:58" x14ac:dyDescent="0.25">
      <c r="I415" s="89">
        <f>ABCD!J464</f>
        <v>102.75</v>
      </c>
      <c r="J415" s="89">
        <f>ABCD!K464</f>
        <v>337.02</v>
      </c>
      <c r="K415" s="89">
        <f>ABCD!L464</f>
        <v>-1.5961093475484527</v>
      </c>
      <c r="L415" s="89">
        <f>ABCD!M464</f>
        <v>-0.34221764996113002</v>
      </c>
      <c r="M415" s="89">
        <f>ABCD!N464</f>
        <v>1.6323841365550162</v>
      </c>
      <c r="N415" s="89" t="e">
        <v>#REF!</v>
      </c>
      <c r="O415" s="89" t="e">
        <v>#REF!</v>
      </c>
      <c r="P415" s="89" t="e">
        <v>#REF!</v>
      </c>
      <c r="Q415" s="89" t="e">
        <v>#REF!</v>
      </c>
      <c r="R415" s="89" t="e">
        <v>#REF!</v>
      </c>
      <c r="S415" s="89" t="e">
        <f>#REF!</f>
        <v>#REF!</v>
      </c>
      <c r="T415" s="89" t="e">
        <f>#REF!</f>
        <v>#REF!</v>
      </c>
      <c r="U415" s="89" t="e">
        <f>#REF!</f>
        <v>#REF!</v>
      </c>
      <c r="V415" s="89" t="e">
        <f>#REF!</f>
        <v>#REF!</v>
      </c>
      <c r="W415" s="89" t="e">
        <f>#REF!</f>
        <v>#REF!</v>
      </c>
      <c r="X415" s="89" t="e">
        <f>#REF!</f>
        <v>#REF!</v>
      </c>
      <c r="Y415" s="89" t="e">
        <f>#REF!</f>
        <v>#REF!</v>
      </c>
      <c r="Z415" s="89" t="e">
        <f>#REF!</f>
        <v>#REF!</v>
      </c>
      <c r="AA415" s="89" t="e">
        <f>#REF!</f>
        <v>#REF!</v>
      </c>
      <c r="AB415" s="89" t="e">
        <f>#REF!</f>
        <v>#REF!</v>
      </c>
      <c r="AC415" s="89" t="e">
        <f>#REF!</f>
        <v>#REF!</v>
      </c>
      <c r="AD415" s="89" t="e">
        <f>#REF!</f>
        <v>#REF!</v>
      </c>
      <c r="AE415" s="89" t="e">
        <f>#REF!</f>
        <v>#REF!</v>
      </c>
      <c r="AF415" s="89" t="e">
        <f>#REF!</f>
        <v>#REF!</v>
      </c>
      <c r="AG415" s="89" t="e">
        <f>#REF!</f>
        <v>#REF!</v>
      </c>
      <c r="AH415" s="89" t="e">
        <f>#REF!</f>
        <v>#REF!</v>
      </c>
      <c r="AI415" s="89" t="e">
        <f>#REF!</f>
        <v>#REF!</v>
      </c>
      <c r="AJ415" s="89" t="e">
        <f>#REF!</f>
        <v>#REF!</v>
      </c>
      <c r="AK415" s="89" t="e">
        <f>#REF!</f>
        <v>#REF!</v>
      </c>
      <c r="AL415" s="89" t="e">
        <f>#REF!</f>
        <v>#REF!</v>
      </c>
      <c r="AM415" s="89" t="e">
        <f>#REF!</f>
        <v>#REF!</v>
      </c>
      <c r="AN415" s="89" t="e">
        <f>#REF!</f>
        <v>#REF!</v>
      </c>
      <c r="AO415" s="89" t="e">
        <f>#REF!</f>
        <v>#REF!</v>
      </c>
      <c r="AP415" s="89" t="e">
        <f>#REF!</f>
        <v>#REF!</v>
      </c>
      <c r="AQ415" s="89" t="e">
        <f>#REF!</f>
        <v>#REF!</v>
      </c>
      <c r="AR415" s="89" t="e">
        <f>#REF!</f>
        <v>#REF!</v>
      </c>
      <c r="AS415" s="89" t="e">
        <f>#REF!</f>
        <v>#REF!</v>
      </c>
      <c r="AT415" s="89" t="e">
        <f>#REF!</f>
        <v>#REF!</v>
      </c>
      <c r="AU415" s="89" t="e">
        <f>#REF!</f>
        <v>#REF!</v>
      </c>
      <c r="AV415" s="89" t="e">
        <f>#REF!</f>
        <v>#REF!</v>
      </c>
      <c r="AW415" s="89" t="e">
        <f>#REF!</f>
        <v>#REF!</v>
      </c>
      <c r="AX415" s="89" t="e">
        <f>#REF!</f>
        <v>#REF!</v>
      </c>
      <c r="AY415" s="89" t="e">
        <f>#REF!</f>
        <v>#REF!</v>
      </c>
      <c r="AZ415" s="89" t="e">
        <f>#REF!</f>
        <v>#REF!</v>
      </c>
      <c r="BA415" s="89" t="e">
        <f>#REF!</f>
        <v>#REF!</v>
      </c>
      <c r="BB415" s="89" t="e">
        <f>#REF!</f>
        <v>#REF!</v>
      </c>
      <c r="BC415" s="89" t="e">
        <f>#REF!</f>
        <v>#REF!</v>
      </c>
      <c r="BD415" s="89" t="e">
        <f>#REF!</f>
        <v>#REF!</v>
      </c>
      <c r="BE415" s="89" t="e">
        <f>#REF!</f>
        <v>#REF!</v>
      </c>
      <c r="BF415" s="89" t="e">
        <f>#REF!</f>
        <v>#REF!</v>
      </c>
    </row>
    <row r="416" spans="9:58" x14ac:dyDescent="0.25">
      <c r="I416" s="89">
        <f>ABCD!J465</f>
        <v>103</v>
      </c>
      <c r="J416" s="89">
        <f>ABCD!K465</f>
        <v>337.84</v>
      </c>
      <c r="K416" s="89">
        <f>ABCD!L465</f>
        <v>-1.5098077399839585</v>
      </c>
      <c r="L416" s="89">
        <f>ABCD!M465</f>
        <v>-0.32670412267317461</v>
      </c>
      <c r="M416" s="89">
        <f>ABCD!N465</f>
        <v>1.5447507875016984</v>
      </c>
      <c r="N416" s="89" t="e">
        <v>#REF!</v>
      </c>
      <c r="O416" s="89" t="e">
        <v>#REF!</v>
      </c>
      <c r="P416" s="89" t="e">
        <v>#REF!</v>
      </c>
      <c r="Q416" s="89" t="e">
        <v>#REF!</v>
      </c>
      <c r="R416" s="89" t="e">
        <v>#REF!</v>
      </c>
      <c r="S416" s="89" t="e">
        <f>#REF!</f>
        <v>#REF!</v>
      </c>
      <c r="T416" s="89" t="e">
        <f>#REF!</f>
        <v>#REF!</v>
      </c>
      <c r="U416" s="89" t="e">
        <f>#REF!</f>
        <v>#REF!</v>
      </c>
      <c r="V416" s="89" t="e">
        <f>#REF!</f>
        <v>#REF!</v>
      </c>
      <c r="W416" s="89" t="e">
        <f>#REF!</f>
        <v>#REF!</v>
      </c>
      <c r="X416" s="89" t="e">
        <f>#REF!</f>
        <v>#REF!</v>
      </c>
      <c r="Y416" s="89" t="e">
        <f>#REF!</f>
        <v>#REF!</v>
      </c>
      <c r="Z416" s="89" t="e">
        <f>#REF!</f>
        <v>#REF!</v>
      </c>
      <c r="AA416" s="89" t="e">
        <f>#REF!</f>
        <v>#REF!</v>
      </c>
      <c r="AB416" s="89" t="e">
        <f>#REF!</f>
        <v>#REF!</v>
      </c>
      <c r="AC416" s="89" t="e">
        <f>#REF!</f>
        <v>#REF!</v>
      </c>
      <c r="AD416" s="89" t="e">
        <f>#REF!</f>
        <v>#REF!</v>
      </c>
      <c r="AE416" s="89" t="e">
        <f>#REF!</f>
        <v>#REF!</v>
      </c>
      <c r="AF416" s="89" t="e">
        <f>#REF!</f>
        <v>#REF!</v>
      </c>
      <c r="AG416" s="89" t="e">
        <f>#REF!</f>
        <v>#REF!</v>
      </c>
      <c r="AH416" s="89" t="e">
        <f>#REF!</f>
        <v>#REF!</v>
      </c>
      <c r="AI416" s="89" t="e">
        <f>#REF!</f>
        <v>#REF!</v>
      </c>
      <c r="AJ416" s="89" t="e">
        <f>#REF!</f>
        <v>#REF!</v>
      </c>
      <c r="AK416" s="89" t="e">
        <f>#REF!</f>
        <v>#REF!</v>
      </c>
      <c r="AL416" s="89" t="e">
        <f>#REF!</f>
        <v>#REF!</v>
      </c>
      <c r="AM416" s="89" t="e">
        <f>#REF!</f>
        <v>#REF!</v>
      </c>
      <c r="AN416" s="89" t="e">
        <f>#REF!</f>
        <v>#REF!</v>
      </c>
      <c r="AO416" s="89" t="e">
        <f>#REF!</f>
        <v>#REF!</v>
      </c>
      <c r="AP416" s="89" t="e">
        <f>#REF!</f>
        <v>#REF!</v>
      </c>
      <c r="AQ416" s="89" t="e">
        <f>#REF!</f>
        <v>#REF!</v>
      </c>
      <c r="AR416" s="89" t="e">
        <f>#REF!</f>
        <v>#REF!</v>
      </c>
      <c r="AS416" s="89" t="e">
        <f>#REF!</f>
        <v>#REF!</v>
      </c>
      <c r="AT416" s="89" t="e">
        <f>#REF!</f>
        <v>#REF!</v>
      </c>
      <c r="AU416" s="89" t="e">
        <f>#REF!</f>
        <v>#REF!</v>
      </c>
      <c r="AV416" s="89" t="e">
        <f>#REF!</f>
        <v>#REF!</v>
      </c>
      <c r="AW416" s="89" t="e">
        <f>#REF!</f>
        <v>#REF!</v>
      </c>
      <c r="AX416" s="89" t="e">
        <f>#REF!</f>
        <v>#REF!</v>
      </c>
      <c r="AY416" s="89" t="e">
        <f>#REF!</f>
        <v>#REF!</v>
      </c>
      <c r="AZ416" s="89" t="e">
        <f>#REF!</f>
        <v>#REF!</v>
      </c>
      <c r="BA416" s="89" t="e">
        <f>#REF!</f>
        <v>#REF!</v>
      </c>
      <c r="BB416" s="89" t="e">
        <f>#REF!</f>
        <v>#REF!</v>
      </c>
      <c r="BC416" s="89" t="e">
        <f>#REF!</f>
        <v>#REF!</v>
      </c>
      <c r="BD416" s="89" t="e">
        <f>#REF!</f>
        <v>#REF!</v>
      </c>
      <c r="BE416" s="89" t="e">
        <f>#REF!</f>
        <v>#REF!</v>
      </c>
      <c r="BF416" s="89" t="e">
        <f>#REF!</f>
        <v>#REF!</v>
      </c>
    </row>
    <row r="417" spans="9:58" x14ac:dyDescent="0.25">
      <c r="I417" s="89">
        <f>ABCD!J466</f>
        <v>103.25</v>
      </c>
      <c r="J417" s="89">
        <f>ABCD!K466</f>
        <v>338.65999999999997</v>
      </c>
      <c r="K417" s="89">
        <f>ABCD!L466</f>
        <v>-1.4232352432819275</v>
      </c>
      <c r="L417" s="89">
        <f>ABCD!M466</f>
        <v>-0.31112913454759461</v>
      </c>
      <c r="M417" s="89">
        <f>ABCD!N466</f>
        <v>1.4568458724532607</v>
      </c>
      <c r="N417" s="89" t="e">
        <v>#REF!</v>
      </c>
      <c r="O417" s="89" t="e">
        <v>#REF!</v>
      </c>
      <c r="P417" s="89" t="e">
        <v>#REF!</v>
      </c>
      <c r="Q417" s="89" t="e">
        <v>#REF!</v>
      </c>
      <c r="R417" s="89" t="e">
        <v>#REF!</v>
      </c>
      <c r="S417" s="89" t="e">
        <f>#REF!</f>
        <v>#REF!</v>
      </c>
      <c r="T417" s="89" t="e">
        <f>#REF!</f>
        <v>#REF!</v>
      </c>
      <c r="U417" s="89" t="e">
        <f>#REF!</f>
        <v>#REF!</v>
      </c>
      <c r="V417" s="89" t="e">
        <f>#REF!</f>
        <v>#REF!</v>
      </c>
      <c r="W417" s="89" t="e">
        <f>#REF!</f>
        <v>#REF!</v>
      </c>
      <c r="X417" s="89" t="e">
        <f>#REF!</f>
        <v>#REF!</v>
      </c>
      <c r="Y417" s="89" t="e">
        <f>#REF!</f>
        <v>#REF!</v>
      </c>
      <c r="Z417" s="89" t="e">
        <f>#REF!</f>
        <v>#REF!</v>
      </c>
      <c r="AA417" s="89" t="e">
        <f>#REF!</f>
        <v>#REF!</v>
      </c>
      <c r="AB417" s="89" t="e">
        <f>#REF!</f>
        <v>#REF!</v>
      </c>
      <c r="AC417" s="89" t="e">
        <f>#REF!</f>
        <v>#REF!</v>
      </c>
      <c r="AD417" s="89" t="e">
        <f>#REF!</f>
        <v>#REF!</v>
      </c>
      <c r="AE417" s="89" t="e">
        <f>#REF!</f>
        <v>#REF!</v>
      </c>
      <c r="AF417" s="89" t="e">
        <f>#REF!</f>
        <v>#REF!</v>
      </c>
      <c r="AG417" s="89" t="e">
        <f>#REF!</f>
        <v>#REF!</v>
      </c>
      <c r="AH417" s="89" t="e">
        <f>#REF!</f>
        <v>#REF!</v>
      </c>
      <c r="AI417" s="89" t="e">
        <f>#REF!</f>
        <v>#REF!</v>
      </c>
      <c r="AJ417" s="89" t="e">
        <f>#REF!</f>
        <v>#REF!</v>
      </c>
      <c r="AK417" s="89" t="e">
        <f>#REF!</f>
        <v>#REF!</v>
      </c>
      <c r="AL417" s="89" t="e">
        <f>#REF!</f>
        <v>#REF!</v>
      </c>
      <c r="AM417" s="89" t="e">
        <f>#REF!</f>
        <v>#REF!</v>
      </c>
      <c r="AN417" s="89" t="e">
        <f>#REF!</f>
        <v>#REF!</v>
      </c>
      <c r="AO417" s="89" t="e">
        <f>#REF!</f>
        <v>#REF!</v>
      </c>
      <c r="AP417" s="89" t="e">
        <f>#REF!</f>
        <v>#REF!</v>
      </c>
      <c r="AQ417" s="89" t="e">
        <f>#REF!</f>
        <v>#REF!</v>
      </c>
      <c r="AR417" s="89" t="e">
        <f>#REF!</f>
        <v>#REF!</v>
      </c>
      <c r="AS417" s="89" t="e">
        <f>#REF!</f>
        <v>#REF!</v>
      </c>
      <c r="AT417" s="89" t="e">
        <f>#REF!</f>
        <v>#REF!</v>
      </c>
      <c r="AU417" s="89" t="e">
        <f>#REF!</f>
        <v>#REF!</v>
      </c>
      <c r="AV417" s="89" t="e">
        <f>#REF!</f>
        <v>#REF!</v>
      </c>
      <c r="AW417" s="89" t="e">
        <f>#REF!</f>
        <v>#REF!</v>
      </c>
      <c r="AX417" s="89" t="e">
        <f>#REF!</f>
        <v>#REF!</v>
      </c>
      <c r="AY417" s="89" t="e">
        <f>#REF!</f>
        <v>#REF!</v>
      </c>
      <c r="AZ417" s="89" t="e">
        <f>#REF!</f>
        <v>#REF!</v>
      </c>
      <c r="BA417" s="89" t="e">
        <f>#REF!</f>
        <v>#REF!</v>
      </c>
      <c r="BB417" s="89" t="e">
        <f>#REF!</f>
        <v>#REF!</v>
      </c>
      <c r="BC417" s="89" t="e">
        <f>#REF!</f>
        <v>#REF!</v>
      </c>
      <c r="BD417" s="89" t="e">
        <f>#REF!</f>
        <v>#REF!</v>
      </c>
      <c r="BE417" s="89" t="e">
        <f>#REF!</f>
        <v>#REF!</v>
      </c>
      <c r="BF417" s="89" t="e">
        <f>#REF!</f>
        <v>#REF!</v>
      </c>
    </row>
    <row r="418" spans="9:58" x14ac:dyDescent="0.25">
      <c r="I418" s="89">
        <f>ABCD!J467</f>
        <v>103.5</v>
      </c>
      <c r="J418" s="89">
        <f>ABCD!K467</f>
        <v>339.47999999999996</v>
      </c>
      <c r="K418" s="89">
        <f>ABCD!L467</f>
        <v>-1.3364120856211699</v>
      </c>
      <c r="L418" s="89">
        <f>ABCD!M467</f>
        <v>-0.29549633622127569</v>
      </c>
      <c r="M418" s="89">
        <f>ABCD!N467</f>
        <v>1.3686911073410692</v>
      </c>
      <c r="N418" s="89" t="e">
        <v>#REF!</v>
      </c>
      <c r="O418" s="89" t="e">
        <v>#REF!</v>
      </c>
      <c r="P418" s="89" t="e">
        <v>#REF!</v>
      </c>
      <c r="Q418" s="89" t="e">
        <v>#REF!</v>
      </c>
      <c r="R418" s="89" t="e">
        <v>#REF!</v>
      </c>
      <c r="S418" s="89" t="e">
        <f>#REF!</f>
        <v>#REF!</v>
      </c>
      <c r="T418" s="89" t="e">
        <f>#REF!</f>
        <v>#REF!</v>
      </c>
      <c r="U418" s="89" t="e">
        <f>#REF!</f>
        <v>#REF!</v>
      </c>
      <c r="V418" s="89" t="e">
        <f>#REF!</f>
        <v>#REF!</v>
      </c>
      <c r="W418" s="89" t="e">
        <f>#REF!</f>
        <v>#REF!</v>
      </c>
      <c r="X418" s="89" t="e">
        <f>#REF!</f>
        <v>#REF!</v>
      </c>
      <c r="Y418" s="89" t="e">
        <f>#REF!</f>
        <v>#REF!</v>
      </c>
      <c r="Z418" s="89" t="e">
        <f>#REF!</f>
        <v>#REF!</v>
      </c>
      <c r="AA418" s="89" t="e">
        <f>#REF!</f>
        <v>#REF!</v>
      </c>
      <c r="AB418" s="89" t="e">
        <f>#REF!</f>
        <v>#REF!</v>
      </c>
      <c r="AC418" s="89" t="e">
        <f>#REF!</f>
        <v>#REF!</v>
      </c>
      <c r="AD418" s="89" t="e">
        <f>#REF!</f>
        <v>#REF!</v>
      </c>
      <c r="AE418" s="89" t="e">
        <f>#REF!</f>
        <v>#REF!</v>
      </c>
      <c r="AF418" s="89" t="e">
        <f>#REF!</f>
        <v>#REF!</v>
      </c>
      <c r="AG418" s="89" t="e">
        <f>#REF!</f>
        <v>#REF!</v>
      </c>
      <c r="AH418" s="89" t="e">
        <f>#REF!</f>
        <v>#REF!</v>
      </c>
      <c r="AI418" s="89" t="e">
        <f>#REF!</f>
        <v>#REF!</v>
      </c>
      <c r="AJ418" s="89" t="e">
        <f>#REF!</f>
        <v>#REF!</v>
      </c>
      <c r="AK418" s="89" t="e">
        <f>#REF!</f>
        <v>#REF!</v>
      </c>
      <c r="AL418" s="89" t="e">
        <f>#REF!</f>
        <v>#REF!</v>
      </c>
      <c r="AM418" s="89" t="e">
        <f>#REF!</f>
        <v>#REF!</v>
      </c>
      <c r="AN418" s="89" t="e">
        <f>#REF!</f>
        <v>#REF!</v>
      </c>
      <c r="AO418" s="89" t="e">
        <f>#REF!</f>
        <v>#REF!</v>
      </c>
      <c r="AP418" s="89" t="e">
        <f>#REF!</f>
        <v>#REF!</v>
      </c>
      <c r="AQ418" s="89" t="e">
        <f>#REF!</f>
        <v>#REF!</v>
      </c>
      <c r="AR418" s="89" t="e">
        <f>#REF!</f>
        <v>#REF!</v>
      </c>
      <c r="AS418" s="89" t="e">
        <f>#REF!</f>
        <v>#REF!</v>
      </c>
      <c r="AT418" s="89" t="e">
        <f>#REF!</f>
        <v>#REF!</v>
      </c>
      <c r="AU418" s="89" t="e">
        <f>#REF!</f>
        <v>#REF!</v>
      </c>
      <c r="AV418" s="89" t="e">
        <f>#REF!</f>
        <v>#REF!</v>
      </c>
      <c r="AW418" s="89" t="e">
        <f>#REF!</f>
        <v>#REF!</v>
      </c>
      <c r="AX418" s="89" t="e">
        <f>#REF!</f>
        <v>#REF!</v>
      </c>
      <c r="AY418" s="89" t="e">
        <f>#REF!</f>
        <v>#REF!</v>
      </c>
      <c r="AZ418" s="89" t="e">
        <f>#REF!</f>
        <v>#REF!</v>
      </c>
      <c r="BA418" s="89" t="e">
        <f>#REF!</f>
        <v>#REF!</v>
      </c>
      <c r="BB418" s="89" t="e">
        <f>#REF!</f>
        <v>#REF!</v>
      </c>
      <c r="BC418" s="89" t="e">
        <f>#REF!</f>
        <v>#REF!</v>
      </c>
      <c r="BD418" s="89" t="e">
        <f>#REF!</f>
        <v>#REF!</v>
      </c>
      <c r="BE418" s="89" t="e">
        <f>#REF!</f>
        <v>#REF!</v>
      </c>
      <c r="BF418" s="89" t="e">
        <f>#REF!</f>
        <v>#REF!</v>
      </c>
    </row>
    <row r="419" spans="9:58" x14ac:dyDescent="0.25">
      <c r="I419" s="89">
        <f>ABCD!J468</f>
        <v>103.75</v>
      </c>
      <c r="J419" s="89">
        <f>ABCD!K468</f>
        <v>340.29999999999995</v>
      </c>
      <c r="K419" s="89">
        <f>ABCD!L468</f>
        <v>-1.2493585348461491</v>
      </c>
      <c r="L419" s="89">
        <f>ABCD!M468</f>
        <v>-0.27980938839196945</v>
      </c>
      <c r="M419" s="89">
        <f>ABCD!N468</f>
        <v>1.2803085731280581</v>
      </c>
      <c r="N419" s="89" t="e">
        <v>#REF!</v>
      </c>
      <c r="O419" s="89" t="e">
        <v>#REF!</v>
      </c>
      <c r="P419" s="89" t="e">
        <v>#REF!</v>
      </c>
      <c r="Q419" s="89" t="e">
        <v>#REF!</v>
      </c>
      <c r="R419" s="89" t="e">
        <v>#REF!</v>
      </c>
      <c r="S419" s="89" t="e">
        <f>#REF!</f>
        <v>#REF!</v>
      </c>
      <c r="T419" s="89" t="e">
        <f>#REF!</f>
        <v>#REF!</v>
      </c>
      <c r="U419" s="89" t="e">
        <f>#REF!</f>
        <v>#REF!</v>
      </c>
      <c r="V419" s="89" t="e">
        <f>#REF!</f>
        <v>#REF!</v>
      </c>
      <c r="W419" s="89" t="e">
        <f>#REF!</f>
        <v>#REF!</v>
      </c>
      <c r="X419" s="89" t="e">
        <f>#REF!</f>
        <v>#REF!</v>
      </c>
      <c r="Y419" s="89" t="e">
        <f>#REF!</f>
        <v>#REF!</v>
      </c>
      <c r="Z419" s="89" t="e">
        <f>#REF!</f>
        <v>#REF!</v>
      </c>
      <c r="AA419" s="89" t="e">
        <f>#REF!</f>
        <v>#REF!</v>
      </c>
      <c r="AB419" s="89" t="e">
        <f>#REF!</f>
        <v>#REF!</v>
      </c>
      <c r="AC419" s="89" t="e">
        <f>#REF!</f>
        <v>#REF!</v>
      </c>
      <c r="AD419" s="89" t="e">
        <f>#REF!</f>
        <v>#REF!</v>
      </c>
      <c r="AE419" s="89" t="e">
        <f>#REF!</f>
        <v>#REF!</v>
      </c>
      <c r="AF419" s="89" t="e">
        <f>#REF!</f>
        <v>#REF!</v>
      </c>
      <c r="AG419" s="89" t="e">
        <f>#REF!</f>
        <v>#REF!</v>
      </c>
      <c r="AH419" s="89" t="e">
        <f>#REF!</f>
        <v>#REF!</v>
      </c>
      <c r="AI419" s="89" t="e">
        <f>#REF!</f>
        <v>#REF!</v>
      </c>
      <c r="AJ419" s="89" t="e">
        <f>#REF!</f>
        <v>#REF!</v>
      </c>
      <c r="AK419" s="89" t="e">
        <f>#REF!</f>
        <v>#REF!</v>
      </c>
      <c r="AL419" s="89" t="e">
        <f>#REF!</f>
        <v>#REF!</v>
      </c>
      <c r="AM419" s="89" t="e">
        <f>#REF!</f>
        <v>#REF!</v>
      </c>
      <c r="AN419" s="89" t="e">
        <f>#REF!</f>
        <v>#REF!</v>
      </c>
      <c r="AO419" s="89" t="e">
        <f>#REF!</f>
        <v>#REF!</v>
      </c>
      <c r="AP419" s="89" t="e">
        <f>#REF!</f>
        <v>#REF!</v>
      </c>
      <c r="AQ419" s="89" t="e">
        <f>#REF!</f>
        <v>#REF!</v>
      </c>
      <c r="AR419" s="89" t="e">
        <f>#REF!</f>
        <v>#REF!</v>
      </c>
      <c r="AS419" s="89" t="e">
        <f>#REF!</f>
        <v>#REF!</v>
      </c>
      <c r="AT419" s="89" t="e">
        <f>#REF!</f>
        <v>#REF!</v>
      </c>
      <c r="AU419" s="89" t="e">
        <f>#REF!</f>
        <v>#REF!</v>
      </c>
      <c r="AV419" s="89" t="e">
        <f>#REF!</f>
        <v>#REF!</v>
      </c>
      <c r="AW419" s="89" t="e">
        <f>#REF!</f>
        <v>#REF!</v>
      </c>
      <c r="AX419" s="89" t="e">
        <f>#REF!</f>
        <v>#REF!</v>
      </c>
      <c r="AY419" s="89" t="e">
        <f>#REF!</f>
        <v>#REF!</v>
      </c>
      <c r="AZ419" s="89" t="e">
        <f>#REF!</f>
        <v>#REF!</v>
      </c>
      <c r="BA419" s="89" t="e">
        <f>#REF!</f>
        <v>#REF!</v>
      </c>
      <c r="BB419" s="89" t="e">
        <f>#REF!</f>
        <v>#REF!</v>
      </c>
      <c r="BC419" s="89" t="e">
        <f>#REF!</f>
        <v>#REF!</v>
      </c>
      <c r="BD419" s="89" t="e">
        <f>#REF!</f>
        <v>#REF!</v>
      </c>
      <c r="BE419" s="89" t="e">
        <f>#REF!</f>
        <v>#REF!</v>
      </c>
      <c r="BF419" s="89" t="e">
        <f>#REF!</f>
        <v>#REF!</v>
      </c>
    </row>
    <row r="420" spans="9:58" x14ac:dyDescent="0.25">
      <c r="I420" s="89">
        <f>ABCD!J469</f>
        <v>104</v>
      </c>
      <c r="J420" s="89">
        <f>ABCD!K469</f>
        <v>341.12</v>
      </c>
      <c r="K420" s="89">
        <f>ABCD!L469</f>
        <v>-1.1620948937526965</v>
      </c>
      <c r="L420" s="89">
        <f>ABCD!M469</f>
        <v>-0.26407196096421659</v>
      </c>
      <c r="M420" s="89">
        <f>ABCD!N469</f>
        <v>1.1917208325163984</v>
      </c>
      <c r="N420" s="89" t="e">
        <v>#REF!</v>
      </c>
      <c r="O420" s="89" t="e">
        <v>#REF!</v>
      </c>
      <c r="P420" s="89" t="e">
        <v>#REF!</v>
      </c>
      <c r="Q420" s="89" t="e">
        <v>#REF!</v>
      </c>
      <c r="R420" s="89" t="e">
        <v>#REF!</v>
      </c>
      <c r="S420" s="89" t="e">
        <f>#REF!</f>
        <v>#REF!</v>
      </c>
      <c r="T420" s="89" t="e">
        <f>#REF!</f>
        <v>#REF!</v>
      </c>
      <c r="U420" s="89" t="e">
        <f>#REF!</f>
        <v>#REF!</v>
      </c>
      <c r="V420" s="89" t="e">
        <f>#REF!</f>
        <v>#REF!</v>
      </c>
      <c r="W420" s="89" t="e">
        <f>#REF!</f>
        <v>#REF!</v>
      </c>
      <c r="X420" s="89" t="e">
        <f>#REF!</f>
        <v>#REF!</v>
      </c>
      <c r="Y420" s="89" t="e">
        <f>#REF!</f>
        <v>#REF!</v>
      </c>
      <c r="Z420" s="89" t="e">
        <f>#REF!</f>
        <v>#REF!</v>
      </c>
      <c r="AA420" s="89" t="e">
        <f>#REF!</f>
        <v>#REF!</v>
      </c>
      <c r="AB420" s="89" t="e">
        <f>#REF!</f>
        <v>#REF!</v>
      </c>
      <c r="AC420" s="89" t="e">
        <f>#REF!</f>
        <v>#REF!</v>
      </c>
      <c r="AD420" s="89" t="e">
        <f>#REF!</f>
        <v>#REF!</v>
      </c>
      <c r="AE420" s="89" t="e">
        <f>#REF!</f>
        <v>#REF!</v>
      </c>
      <c r="AF420" s="89" t="e">
        <f>#REF!</f>
        <v>#REF!</v>
      </c>
      <c r="AG420" s="89" t="e">
        <f>#REF!</f>
        <v>#REF!</v>
      </c>
      <c r="AH420" s="89" t="e">
        <f>#REF!</f>
        <v>#REF!</v>
      </c>
      <c r="AI420" s="89" t="e">
        <f>#REF!</f>
        <v>#REF!</v>
      </c>
      <c r="AJ420" s="89" t="e">
        <f>#REF!</f>
        <v>#REF!</v>
      </c>
      <c r="AK420" s="89" t="e">
        <f>#REF!</f>
        <v>#REF!</v>
      </c>
      <c r="AL420" s="89" t="e">
        <f>#REF!</f>
        <v>#REF!</v>
      </c>
      <c r="AM420" s="89" t="e">
        <f>#REF!</f>
        <v>#REF!</v>
      </c>
      <c r="AN420" s="89" t="e">
        <f>#REF!</f>
        <v>#REF!</v>
      </c>
      <c r="AO420" s="89" t="e">
        <f>#REF!</f>
        <v>#REF!</v>
      </c>
      <c r="AP420" s="89" t="e">
        <f>#REF!</f>
        <v>#REF!</v>
      </c>
      <c r="AQ420" s="89" t="e">
        <f>#REF!</f>
        <v>#REF!</v>
      </c>
      <c r="AR420" s="89" t="e">
        <f>#REF!</f>
        <v>#REF!</v>
      </c>
      <c r="AS420" s="89" t="e">
        <f>#REF!</f>
        <v>#REF!</v>
      </c>
      <c r="AT420" s="89" t="e">
        <f>#REF!</f>
        <v>#REF!</v>
      </c>
      <c r="AU420" s="89" t="e">
        <f>#REF!</f>
        <v>#REF!</v>
      </c>
      <c r="AV420" s="89" t="e">
        <f>#REF!</f>
        <v>#REF!</v>
      </c>
      <c r="AW420" s="89" t="e">
        <f>#REF!</f>
        <v>#REF!</v>
      </c>
      <c r="AX420" s="89" t="e">
        <f>#REF!</f>
        <v>#REF!</v>
      </c>
      <c r="AY420" s="89" t="e">
        <f>#REF!</f>
        <v>#REF!</v>
      </c>
      <c r="AZ420" s="89" t="e">
        <f>#REF!</f>
        <v>#REF!</v>
      </c>
      <c r="BA420" s="89" t="e">
        <f>#REF!</f>
        <v>#REF!</v>
      </c>
      <c r="BB420" s="89" t="e">
        <f>#REF!</f>
        <v>#REF!</v>
      </c>
      <c r="BC420" s="89" t="e">
        <f>#REF!</f>
        <v>#REF!</v>
      </c>
      <c r="BD420" s="89" t="e">
        <f>#REF!</f>
        <v>#REF!</v>
      </c>
      <c r="BE420" s="89" t="e">
        <f>#REF!</f>
        <v>#REF!</v>
      </c>
      <c r="BF420" s="89" t="e">
        <f>#REF!</f>
        <v>#REF!</v>
      </c>
    </row>
    <row r="421" spans="9:58" x14ac:dyDescent="0.25">
      <c r="I421" s="89">
        <f>ABCD!J470</f>
        <v>104.25</v>
      </c>
      <c r="J421" s="89">
        <f>ABCD!K470</f>
        <v>341.94</v>
      </c>
      <c r="K421" s="89">
        <f>ABCD!L470</f>
        <v>-1.0746414953698034</v>
      </c>
      <c r="L421" s="89">
        <f>ABCD!M470</f>
        <v>-0.24828773219389211</v>
      </c>
      <c r="M421" s="89">
        <f>ABCD!N470</f>
        <v>1.1029511056835806</v>
      </c>
      <c r="N421" s="89" t="e">
        <v>#REF!</v>
      </c>
      <c r="O421" s="89" t="e">
        <v>#REF!</v>
      </c>
      <c r="P421" s="89" t="e">
        <v>#REF!</v>
      </c>
      <c r="Q421" s="89" t="e">
        <v>#REF!</v>
      </c>
      <c r="R421" s="89" t="e">
        <v>#REF!</v>
      </c>
      <c r="S421" s="89" t="e">
        <f>#REF!</f>
        <v>#REF!</v>
      </c>
      <c r="T421" s="89" t="e">
        <f>#REF!</f>
        <v>#REF!</v>
      </c>
      <c r="U421" s="89" t="e">
        <f>#REF!</f>
        <v>#REF!</v>
      </c>
      <c r="V421" s="89" t="e">
        <f>#REF!</f>
        <v>#REF!</v>
      </c>
      <c r="W421" s="89" t="e">
        <f>#REF!</f>
        <v>#REF!</v>
      </c>
      <c r="X421" s="89" t="e">
        <f>#REF!</f>
        <v>#REF!</v>
      </c>
      <c r="Y421" s="89" t="e">
        <f>#REF!</f>
        <v>#REF!</v>
      </c>
      <c r="Z421" s="89" t="e">
        <f>#REF!</f>
        <v>#REF!</v>
      </c>
      <c r="AA421" s="89" t="e">
        <f>#REF!</f>
        <v>#REF!</v>
      </c>
      <c r="AB421" s="89" t="e">
        <f>#REF!</f>
        <v>#REF!</v>
      </c>
      <c r="AC421" s="89" t="e">
        <f>#REF!</f>
        <v>#REF!</v>
      </c>
      <c r="AD421" s="89" t="e">
        <f>#REF!</f>
        <v>#REF!</v>
      </c>
      <c r="AE421" s="89" t="e">
        <f>#REF!</f>
        <v>#REF!</v>
      </c>
      <c r="AF421" s="89" t="e">
        <f>#REF!</f>
        <v>#REF!</v>
      </c>
      <c r="AG421" s="89" t="e">
        <f>#REF!</f>
        <v>#REF!</v>
      </c>
      <c r="AH421" s="89" t="e">
        <f>#REF!</f>
        <v>#REF!</v>
      </c>
      <c r="AI421" s="89" t="e">
        <f>#REF!</f>
        <v>#REF!</v>
      </c>
      <c r="AJ421" s="89" t="e">
        <f>#REF!</f>
        <v>#REF!</v>
      </c>
      <c r="AK421" s="89" t="e">
        <f>#REF!</f>
        <v>#REF!</v>
      </c>
      <c r="AL421" s="89" t="e">
        <f>#REF!</f>
        <v>#REF!</v>
      </c>
      <c r="AM421" s="89" t="e">
        <f>#REF!</f>
        <v>#REF!</v>
      </c>
      <c r="AN421" s="89" t="e">
        <f>#REF!</f>
        <v>#REF!</v>
      </c>
      <c r="AO421" s="89" t="e">
        <f>#REF!</f>
        <v>#REF!</v>
      </c>
      <c r="AP421" s="89" t="e">
        <f>#REF!</f>
        <v>#REF!</v>
      </c>
      <c r="AQ421" s="89" t="e">
        <f>#REF!</f>
        <v>#REF!</v>
      </c>
      <c r="AR421" s="89" t="e">
        <f>#REF!</f>
        <v>#REF!</v>
      </c>
      <c r="AS421" s="89" t="e">
        <f>#REF!</f>
        <v>#REF!</v>
      </c>
      <c r="AT421" s="89" t="e">
        <f>#REF!</f>
        <v>#REF!</v>
      </c>
      <c r="AU421" s="89" t="e">
        <f>#REF!</f>
        <v>#REF!</v>
      </c>
      <c r="AV421" s="89" t="e">
        <f>#REF!</f>
        <v>#REF!</v>
      </c>
      <c r="AW421" s="89" t="e">
        <f>#REF!</f>
        <v>#REF!</v>
      </c>
      <c r="AX421" s="89" t="e">
        <f>#REF!</f>
        <v>#REF!</v>
      </c>
      <c r="AY421" s="89" t="e">
        <f>#REF!</f>
        <v>#REF!</v>
      </c>
      <c r="AZ421" s="89" t="e">
        <f>#REF!</f>
        <v>#REF!</v>
      </c>
      <c r="BA421" s="89" t="e">
        <f>#REF!</f>
        <v>#REF!</v>
      </c>
      <c r="BB421" s="89" t="e">
        <f>#REF!</f>
        <v>#REF!</v>
      </c>
      <c r="BC421" s="89" t="e">
        <f>#REF!</f>
        <v>#REF!</v>
      </c>
      <c r="BD421" s="89" t="e">
        <f>#REF!</f>
        <v>#REF!</v>
      </c>
      <c r="BE421" s="89" t="e">
        <f>#REF!</f>
        <v>#REF!</v>
      </c>
      <c r="BF421" s="89" t="e">
        <f>#REF!</f>
        <v>#REF!</v>
      </c>
    </row>
    <row r="422" spans="9:58" x14ac:dyDescent="0.25">
      <c r="I422" s="89">
        <f>ABCD!J471</f>
        <v>104.5</v>
      </c>
      <c r="J422" s="89">
        <f>ABCD!K471</f>
        <v>342.76</v>
      </c>
      <c r="K422" s="89">
        <f>ABCD!L471</f>
        <v>-0.98701869823876265</v>
      </c>
      <c r="L422" s="89">
        <f>ABCD!M471</f>
        <v>-0.23246038783160339</v>
      </c>
      <c r="M422" s="89">
        <f>ABCD!N471</f>
        <v>1.0140235414346952</v>
      </c>
      <c r="N422" s="89" t="e">
        <v>#REF!</v>
      </c>
      <c r="O422" s="89" t="e">
        <v>#REF!</v>
      </c>
      <c r="P422" s="89" t="e">
        <v>#REF!</v>
      </c>
      <c r="Q422" s="89" t="e">
        <v>#REF!</v>
      </c>
      <c r="R422" s="89" t="e">
        <v>#REF!</v>
      </c>
      <c r="S422" s="89" t="e">
        <f>#REF!</f>
        <v>#REF!</v>
      </c>
      <c r="T422" s="89" t="e">
        <f>#REF!</f>
        <v>#REF!</v>
      </c>
      <c r="U422" s="89" t="e">
        <f>#REF!</f>
        <v>#REF!</v>
      </c>
      <c r="V422" s="89" t="e">
        <f>#REF!</f>
        <v>#REF!</v>
      </c>
      <c r="W422" s="89" t="e">
        <f>#REF!</f>
        <v>#REF!</v>
      </c>
      <c r="X422" s="89" t="e">
        <f>#REF!</f>
        <v>#REF!</v>
      </c>
      <c r="Y422" s="89" t="e">
        <f>#REF!</f>
        <v>#REF!</v>
      </c>
      <c r="Z422" s="89" t="e">
        <f>#REF!</f>
        <v>#REF!</v>
      </c>
      <c r="AA422" s="89" t="e">
        <f>#REF!</f>
        <v>#REF!</v>
      </c>
      <c r="AB422" s="89" t="e">
        <f>#REF!</f>
        <v>#REF!</v>
      </c>
      <c r="AC422" s="89" t="e">
        <f>#REF!</f>
        <v>#REF!</v>
      </c>
      <c r="AD422" s="89" t="e">
        <f>#REF!</f>
        <v>#REF!</v>
      </c>
      <c r="AE422" s="89" t="e">
        <f>#REF!</f>
        <v>#REF!</v>
      </c>
      <c r="AF422" s="89" t="e">
        <f>#REF!</f>
        <v>#REF!</v>
      </c>
      <c r="AG422" s="89" t="e">
        <f>#REF!</f>
        <v>#REF!</v>
      </c>
      <c r="AH422" s="89" t="e">
        <f>#REF!</f>
        <v>#REF!</v>
      </c>
      <c r="AI422" s="89" t="e">
        <f>#REF!</f>
        <v>#REF!</v>
      </c>
      <c r="AJ422" s="89" t="e">
        <f>#REF!</f>
        <v>#REF!</v>
      </c>
      <c r="AK422" s="89" t="e">
        <f>#REF!</f>
        <v>#REF!</v>
      </c>
      <c r="AL422" s="89" t="e">
        <f>#REF!</f>
        <v>#REF!</v>
      </c>
      <c r="AM422" s="89" t="e">
        <f>#REF!</f>
        <v>#REF!</v>
      </c>
      <c r="AN422" s="89" t="e">
        <f>#REF!</f>
        <v>#REF!</v>
      </c>
      <c r="AO422" s="89" t="e">
        <f>#REF!</f>
        <v>#REF!</v>
      </c>
      <c r="AP422" s="89" t="e">
        <f>#REF!</f>
        <v>#REF!</v>
      </c>
      <c r="AQ422" s="89" t="e">
        <f>#REF!</f>
        <v>#REF!</v>
      </c>
      <c r="AR422" s="89" t="e">
        <f>#REF!</f>
        <v>#REF!</v>
      </c>
      <c r="AS422" s="89" t="e">
        <f>#REF!</f>
        <v>#REF!</v>
      </c>
      <c r="AT422" s="89" t="e">
        <f>#REF!</f>
        <v>#REF!</v>
      </c>
      <c r="AU422" s="89" t="e">
        <f>#REF!</f>
        <v>#REF!</v>
      </c>
      <c r="AV422" s="89" t="e">
        <f>#REF!</f>
        <v>#REF!</v>
      </c>
      <c r="AW422" s="89" t="e">
        <f>#REF!</f>
        <v>#REF!</v>
      </c>
      <c r="AX422" s="89" t="e">
        <f>#REF!</f>
        <v>#REF!</v>
      </c>
      <c r="AY422" s="89" t="e">
        <f>#REF!</f>
        <v>#REF!</v>
      </c>
      <c r="AZ422" s="89" t="e">
        <f>#REF!</f>
        <v>#REF!</v>
      </c>
      <c r="BA422" s="89" t="e">
        <f>#REF!</f>
        <v>#REF!</v>
      </c>
      <c r="BB422" s="89" t="e">
        <f>#REF!</f>
        <v>#REF!</v>
      </c>
      <c r="BC422" s="89" t="e">
        <f>#REF!</f>
        <v>#REF!</v>
      </c>
      <c r="BD422" s="89" t="e">
        <f>#REF!</f>
        <v>#REF!</v>
      </c>
      <c r="BE422" s="89" t="e">
        <f>#REF!</f>
        <v>#REF!</v>
      </c>
      <c r="BF422" s="89" t="e">
        <f>#REF!</f>
        <v>#REF!</v>
      </c>
    </row>
    <row r="423" spans="9:58" x14ac:dyDescent="0.25">
      <c r="I423" s="89">
        <f>ABCD!J472</f>
        <v>104.75</v>
      </c>
      <c r="J423" s="89">
        <f>ABCD!K472</f>
        <v>343.58</v>
      </c>
      <c r="K423" s="89">
        <f>ABCD!L472</f>
        <v>-0.89924688169058598</v>
      </c>
      <c r="L423" s="89">
        <f>ABCD!M472</f>
        <v>-0.21659362026512197</v>
      </c>
      <c r="M423" s="89">
        <f>ABCD!N472</f>
        <v>0.92496364824234822</v>
      </c>
      <c r="N423" s="89" t="e">
        <v>#REF!</v>
      </c>
      <c r="O423" s="89" t="e">
        <v>#REF!</v>
      </c>
      <c r="P423" s="89" t="e">
        <v>#REF!</v>
      </c>
      <c r="Q423" s="89" t="e">
        <v>#REF!</v>
      </c>
      <c r="R423" s="89" t="e">
        <v>#REF!</v>
      </c>
      <c r="S423" s="89" t="e">
        <f>#REF!</f>
        <v>#REF!</v>
      </c>
      <c r="T423" s="89" t="e">
        <f>#REF!</f>
        <v>#REF!</v>
      </c>
      <c r="U423" s="89" t="e">
        <f>#REF!</f>
        <v>#REF!</v>
      </c>
      <c r="V423" s="89" t="e">
        <f>#REF!</f>
        <v>#REF!</v>
      </c>
      <c r="W423" s="89" t="e">
        <f>#REF!</f>
        <v>#REF!</v>
      </c>
      <c r="X423" s="89" t="e">
        <f>#REF!</f>
        <v>#REF!</v>
      </c>
      <c r="Y423" s="89" t="e">
        <f>#REF!</f>
        <v>#REF!</v>
      </c>
      <c r="Z423" s="89" t="e">
        <f>#REF!</f>
        <v>#REF!</v>
      </c>
      <c r="AA423" s="89" t="e">
        <f>#REF!</f>
        <v>#REF!</v>
      </c>
      <c r="AB423" s="89" t="e">
        <f>#REF!</f>
        <v>#REF!</v>
      </c>
      <c r="AC423" s="89" t="e">
        <f>#REF!</f>
        <v>#REF!</v>
      </c>
      <c r="AD423" s="89" t="e">
        <f>#REF!</f>
        <v>#REF!</v>
      </c>
      <c r="AE423" s="89" t="e">
        <f>#REF!</f>
        <v>#REF!</v>
      </c>
      <c r="AF423" s="89" t="e">
        <f>#REF!</f>
        <v>#REF!</v>
      </c>
      <c r="AG423" s="89" t="e">
        <f>#REF!</f>
        <v>#REF!</v>
      </c>
      <c r="AH423" s="89" t="e">
        <f>#REF!</f>
        <v>#REF!</v>
      </c>
      <c r="AI423" s="89" t="e">
        <f>#REF!</f>
        <v>#REF!</v>
      </c>
      <c r="AJ423" s="89" t="e">
        <f>#REF!</f>
        <v>#REF!</v>
      </c>
      <c r="AK423" s="89" t="e">
        <f>#REF!</f>
        <v>#REF!</v>
      </c>
      <c r="AL423" s="89" t="e">
        <f>#REF!</f>
        <v>#REF!</v>
      </c>
      <c r="AM423" s="89" t="e">
        <f>#REF!</f>
        <v>#REF!</v>
      </c>
      <c r="AN423" s="89" t="e">
        <f>#REF!</f>
        <v>#REF!</v>
      </c>
      <c r="AO423" s="89" t="e">
        <f>#REF!</f>
        <v>#REF!</v>
      </c>
      <c r="AP423" s="89" t="e">
        <f>#REF!</f>
        <v>#REF!</v>
      </c>
      <c r="AQ423" s="89" t="e">
        <f>#REF!</f>
        <v>#REF!</v>
      </c>
      <c r="AR423" s="89" t="e">
        <f>#REF!</f>
        <v>#REF!</v>
      </c>
      <c r="AS423" s="89" t="e">
        <f>#REF!</f>
        <v>#REF!</v>
      </c>
      <c r="AT423" s="89" t="e">
        <f>#REF!</f>
        <v>#REF!</v>
      </c>
      <c r="AU423" s="89" t="e">
        <f>#REF!</f>
        <v>#REF!</v>
      </c>
      <c r="AV423" s="89" t="e">
        <f>#REF!</f>
        <v>#REF!</v>
      </c>
      <c r="AW423" s="89" t="e">
        <f>#REF!</f>
        <v>#REF!</v>
      </c>
      <c r="AX423" s="89" t="e">
        <f>#REF!</f>
        <v>#REF!</v>
      </c>
      <c r="AY423" s="89" t="e">
        <f>#REF!</f>
        <v>#REF!</v>
      </c>
      <c r="AZ423" s="89" t="e">
        <f>#REF!</f>
        <v>#REF!</v>
      </c>
      <c r="BA423" s="89" t="e">
        <f>#REF!</f>
        <v>#REF!</v>
      </c>
      <c r="BB423" s="89" t="e">
        <f>#REF!</f>
        <v>#REF!</v>
      </c>
      <c r="BC423" s="89" t="e">
        <f>#REF!</f>
        <v>#REF!</v>
      </c>
      <c r="BD423" s="89" t="e">
        <f>#REF!</f>
        <v>#REF!</v>
      </c>
      <c r="BE423" s="89" t="e">
        <f>#REF!</f>
        <v>#REF!</v>
      </c>
      <c r="BF423" s="89" t="e">
        <f>#REF!</f>
        <v>#REF!</v>
      </c>
    </row>
    <row r="424" spans="9:58" x14ac:dyDescent="0.25">
      <c r="I424" s="89">
        <f>ABCD!J473</f>
        <v>105</v>
      </c>
      <c r="J424" s="89">
        <f>ABCD!K473</f>
        <v>344.4</v>
      </c>
      <c r="K424" s="89">
        <f>ABCD!L473</f>
        <v>-0.81134644112295862</v>
      </c>
      <c r="L424" s="89">
        <f>ABCD!M473</f>
        <v>-0.20069112766106212</v>
      </c>
      <c r="M424" s="89">
        <f>ABCD!N473</f>
        <v>0.83579900469237178</v>
      </c>
      <c r="N424" s="89" t="e">
        <v>#REF!</v>
      </c>
      <c r="O424" s="89" t="e">
        <v>#REF!</v>
      </c>
      <c r="P424" s="89" t="e">
        <v>#REF!</v>
      </c>
      <c r="Q424" s="89" t="e">
        <v>#REF!</v>
      </c>
      <c r="R424" s="89" t="e">
        <v>#REF!</v>
      </c>
      <c r="S424" s="89" t="e">
        <f>#REF!</f>
        <v>#REF!</v>
      </c>
      <c r="T424" s="89" t="e">
        <f>#REF!</f>
        <v>#REF!</v>
      </c>
      <c r="U424" s="89" t="e">
        <f>#REF!</f>
        <v>#REF!</v>
      </c>
      <c r="V424" s="89" t="e">
        <f>#REF!</f>
        <v>#REF!</v>
      </c>
      <c r="W424" s="89" t="e">
        <f>#REF!</f>
        <v>#REF!</v>
      </c>
      <c r="X424" s="89" t="e">
        <f>#REF!</f>
        <v>#REF!</v>
      </c>
      <c r="Y424" s="89" t="e">
        <f>#REF!</f>
        <v>#REF!</v>
      </c>
      <c r="Z424" s="89" t="e">
        <f>#REF!</f>
        <v>#REF!</v>
      </c>
      <c r="AA424" s="89" t="e">
        <f>#REF!</f>
        <v>#REF!</v>
      </c>
      <c r="AB424" s="89" t="e">
        <f>#REF!</f>
        <v>#REF!</v>
      </c>
      <c r="AC424" s="89" t="e">
        <f>#REF!</f>
        <v>#REF!</v>
      </c>
      <c r="AD424" s="89" t="e">
        <f>#REF!</f>
        <v>#REF!</v>
      </c>
      <c r="AE424" s="89" t="e">
        <f>#REF!</f>
        <v>#REF!</v>
      </c>
      <c r="AF424" s="89" t="e">
        <f>#REF!</f>
        <v>#REF!</v>
      </c>
      <c r="AG424" s="89" t="e">
        <f>#REF!</f>
        <v>#REF!</v>
      </c>
      <c r="AH424" s="89" t="e">
        <f>#REF!</f>
        <v>#REF!</v>
      </c>
      <c r="AI424" s="89" t="e">
        <f>#REF!</f>
        <v>#REF!</v>
      </c>
      <c r="AJ424" s="89" t="e">
        <f>#REF!</f>
        <v>#REF!</v>
      </c>
      <c r="AK424" s="89" t="e">
        <f>#REF!</f>
        <v>#REF!</v>
      </c>
      <c r="AL424" s="89" t="e">
        <f>#REF!</f>
        <v>#REF!</v>
      </c>
      <c r="AM424" s="89" t="e">
        <f>#REF!</f>
        <v>#REF!</v>
      </c>
      <c r="AN424" s="89" t="e">
        <f>#REF!</f>
        <v>#REF!</v>
      </c>
      <c r="AO424" s="89" t="e">
        <f>#REF!</f>
        <v>#REF!</v>
      </c>
      <c r="AP424" s="89" t="e">
        <f>#REF!</f>
        <v>#REF!</v>
      </c>
      <c r="AQ424" s="89" t="e">
        <f>#REF!</f>
        <v>#REF!</v>
      </c>
      <c r="AR424" s="89" t="e">
        <f>#REF!</f>
        <v>#REF!</v>
      </c>
      <c r="AS424" s="89" t="e">
        <f>#REF!</f>
        <v>#REF!</v>
      </c>
      <c r="AT424" s="89" t="e">
        <f>#REF!</f>
        <v>#REF!</v>
      </c>
      <c r="AU424" s="89" t="e">
        <f>#REF!</f>
        <v>#REF!</v>
      </c>
      <c r="AV424" s="89" t="e">
        <f>#REF!</f>
        <v>#REF!</v>
      </c>
      <c r="AW424" s="89" t="e">
        <f>#REF!</f>
        <v>#REF!</v>
      </c>
      <c r="AX424" s="89" t="e">
        <f>#REF!</f>
        <v>#REF!</v>
      </c>
      <c r="AY424" s="89" t="e">
        <f>#REF!</f>
        <v>#REF!</v>
      </c>
      <c r="AZ424" s="89" t="e">
        <f>#REF!</f>
        <v>#REF!</v>
      </c>
      <c r="BA424" s="89" t="e">
        <f>#REF!</f>
        <v>#REF!</v>
      </c>
      <c r="BB424" s="89" t="e">
        <f>#REF!</f>
        <v>#REF!</v>
      </c>
      <c r="BC424" s="89" t="e">
        <f>#REF!</f>
        <v>#REF!</v>
      </c>
      <c r="BD424" s="89" t="e">
        <f>#REF!</f>
        <v>#REF!</v>
      </c>
      <c r="BE424" s="89" t="e">
        <f>#REF!</f>
        <v>#REF!</v>
      </c>
      <c r="BF424" s="89" t="e">
        <f>#REF!</f>
        <v>#REF!</v>
      </c>
    </row>
    <row r="425" spans="9:58" x14ac:dyDescent="0.25">
      <c r="I425" s="89">
        <f>ABCD!J474</f>
        <v>105.25</v>
      </c>
      <c r="J425" s="89">
        <f>ABCD!K474</f>
        <v>345.21999999999997</v>
      </c>
      <c r="K425" s="89">
        <f>ABCD!L474</f>
        <v>-0.72333778327767984</v>
      </c>
      <c r="L425" s="89">
        <f>ABCD!M474</f>
        <v>-0.18475661310599278</v>
      </c>
      <c r="M425" s="89">
        <f>ABCD!N474</f>
        <v>0.74656048301759537</v>
      </c>
      <c r="N425" s="89" t="e">
        <v>#REF!</v>
      </c>
      <c r="O425" s="89" t="e">
        <v>#REF!</v>
      </c>
      <c r="P425" s="89" t="e">
        <v>#REF!</v>
      </c>
      <c r="Q425" s="89" t="e">
        <v>#REF!</v>
      </c>
      <c r="R425" s="89" t="e">
        <v>#REF!</v>
      </c>
      <c r="S425" s="89" t="e">
        <f>#REF!</f>
        <v>#REF!</v>
      </c>
      <c r="T425" s="89" t="e">
        <f>#REF!</f>
        <v>#REF!</v>
      </c>
      <c r="U425" s="89" t="e">
        <f>#REF!</f>
        <v>#REF!</v>
      </c>
      <c r="V425" s="89" t="e">
        <f>#REF!</f>
        <v>#REF!</v>
      </c>
      <c r="W425" s="89" t="e">
        <f>#REF!</f>
        <v>#REF!</v>
      </c>
      <c r="X425" s="89" t="e">
        <f>#REF!</f>
        <v>#REF!</v>
      </c>
      <c r="Y425" s="89" t="e">
        <f>#REF!</f>
        <v>#REF!</v>
      </c>
      <c r="Z425" s="89" t="e">
        <f>#REF!</f>
        <v>#REF!</v>
      </c>
      <c r="AA425" s="89" t="e">
        <f>#REF!</f>
        <v>#REF!</v>
      </c>
      <c r="AB425" s="89" t="e">
        <f>#REF!</f>
        <v>#REF!</v>
      </c>
      <c r="AC425" s="89" t="e">
        <f>#REF!</f>
        <v>#REF!</v>
      </c>
      <c r="AD425" s="89" t="e">
        <f>#REF!</f>
        <v>#REF!</v>
      </c>
      <c r="AE425" s="89" t="e">
        <f>#REF!</f>
        <v>#REF!</v>
      </c>
      <c r="AF425" s="89" t="e">
        <f>#REF!</f>
        <v>#REF!</v>
      </c>
      <c r="AG425" s="89" t="e">
        <f>#REF!</f>
        <v>#REF!</v>
      </c>
      <c r="AH425" s="89" t="e">
        <f>#REF!</f>
        <v>#REF!</v>
      </c>
      <c r="AI425" s="89" t="e">
        <f>#REF!</f>
        <v>#REF!</v>
      </c>
      <c r="AJ425" s="89" t="e">
        <f>#REF!</f>
        <v>#REF!</v>
      </c>
      <c r="AK425" s="89" t="e">
        <f>#REF!</f>
        <v>#REF!</v>
      </c>
      <c r="AL425" s="89" t="e">
        <f>#REF!</f>
        <v>#REF!</v>
      </c>
      <c r="AM425" s="89" t="e">
        <f>#REF!</f>
        <v>#REF!</v>
      </c>
      <c r="AN425" s="89" t="e">
        <f>#REF!</f>
        <v>#REF!</v>
      </c>
      <c r="AO425" s="89" t="e">
        <f>#REF!</f>
        <v>#REF!</v>
      </c>
      <c r="AP425" s="89" t="e">
        <f>#REF!</f>
        <v>#REF!</v>
      </c>
      <c r="AQ425" s="89" t="e">
        <f>#REF!</f>
        <v>#REF!</v>
      </c>
      <c r="AR425" s="89" t="e">
        <f>#REF!</f>
        <v>#REF!</v>
      </c>
      <c r="AS425" s="89" t="e">
        <f>#REF!</f>
        <v>#REF!</v>
      </c>
      <c r="AT425" s="89" t="e">
        <f>#REF!</f>
        <v>#REF!</v>
      </c>
      <c r="AU425" s="89" t="e">
        <f>#REF!</f>
        <v>#REF!</v>
      </c>
      <c r="AV425" s="89" t="e">
        <f>#REF!</f>
        <v>#REF!</v>
      </c>
      <c r="AW425" s="89" t="e">
        <f>#REF!</f>
        <v>#REF!</v>
      </c>
      <c r="AX425" s="89" t="e">
        <f>#REF!</f>
        <v>#REF!</v>
      </c>
      <c r="AY425" s="89" t="e">
        <f>#REF!</f>
        <v>#REF!</v>
      </c>
      <c r="AZ425" s="89" t="e">
        <f>#REF!</f>
        <v>#REF!</v>
      </c>
      <c r="BA425" s="89" t="e">
        <f>#REF!</f>
        <v>#REF!</v>
      </c>
      <c r="BB425" s="89" t="e">
        <f>#REF!</f>
        <v>#REF!</v>
      </c>
      <c r="BC425" s="89" t="e">
        <f>#REF!</f>
        <v>#REF!</v>
      </c>
      <c r="BD425" s="89" t="e">
        <f>#REF!</f>
        <v>#REF!</v>
      </c>
      <c r="BE425" s="89" t="e">
        <f>#REF!</f>
        <v>#REF!</v>
      </c>
      <c r="BF425" s="89" t="e">
        <f>#REF!</f>
        <v>#REF!</v>
      </c>
    </row>
    <row r="426" spans="9:58" x14ac:dyDescent="0.25">
      <c r="I426" s="89">
        <f>ABCD!J475</f>
        <v>105.5</v>
      </c>
      <c r="J426" s="89">
        <f>ABCD!K475</f>
        <v>346.03999999999996</v>
      </c>
      <c r="K426" s="89">
        <f>ABCD!L475</f>
        <v>-0.63524132151970925</v>
      </c>
      <c r="L426" s="89">
        <f>ABCD!M475</f>
        <v>-0.1687937837471809</v>
      </c>
      <c r="M426" s="89">
        <f>ABCD!N475</f>
        <v>0.65728447265837397</v>
      </c>
      <c r="N426" s="89" t="e">
        <v>#REF!</v>
      </c>
      <c r="O426" s="89" t="e">
        <v>#REF!</v>
      </c>
      <c r="P426" s="89" t="e">
        <v>#REF!</v>
      </c>
      <c r="Q426" s="89" t="e">
        <v>#REF!</v>
      </c>
      <c r="R426" s="89" t="e">
        <v>#REF!</v>
      </c>
      <c r="S426" s="89" t="e">
        <f>#REF!</f>
        <v>#REF!</v>
      </c>
      <c r="T426" s="89" t="e">
        <f>#REF!</f>
        <v>#REF!</v>
      </c>
      <c r="U426" s="89" t="e">
        <f>#REF!</f>
        <v>#REF!</v>
      </c>
      <c r="V426" s="89" t="e">
        <f>#REF!</f>
        <v>#REF!</v>
      </c>
      <c r="W426" s="89" t="e">
        <f>#REF!</f>
        <v>#REF!</v>
      </c>
      <c r="X426" s="89" t="e">
        <f>#REF!</f>
        <v>#REF!</v>
      </c>
      <c r="Y426" s="89" t="e">
        <f>#REF!</f>
        <v>#REF!</v>
      </c>
      <c r="Z426" s="89" t="e">
        <f>#REF!</f>
        <v>#REF!</v>
      </c>
      <c r="AA426" s="89" t="e">
        <f>#REF!</f>
        <v>#REF!</v>
      </c>
      <c r="AB426" s="89" t="e">
        <f>#REF!</f>
        <v>#REF!</v>
      </c>
      <c r="AC426" s="89" t="e">
        <f>#REF!</f>
        <v>#REF!</v>
      </c>
      <c r="AD426" s="89" t="e">
        <f>#REF!</f>
        <v>#REF!</v>
      </c>
      <c r="AE426" s="89" t="e">
        <f>#REF!</f>
        <v>#REF!</v>
      </c>
      <c r="AF426" s="89" t="e">
        <f>#REF!</f>
        <v>#REF!</v>
      </c>
      <c r="AG426" s="89" t="e">
        <f>#REF!</f>
        <v>#REF!</v>
      </c>
      <c r="AH426" s="89" t="e">
        <f>#REF!</f>
        <v>#REF!</v>
      </c>
      <c r="AI426" s="89" t="e">
        <f>#REF!</f>
        <v>#REF!</v>
      </c>
      <c r="AJ426" s="89" t="e">
        <f>#REF!</f>
        <v>#REF!</v>
      </c>
      <c r="AK426" s="89" t="e">
        <f>#REF!</f>
        <v>#REF!</v>
      </c>
      <c r="AL426" s="89" t="e">
        <f>#REF!</f>
        <v>#REF!</v>
      </c>
      <c r="AM426" s="89" t="e">
        <f>#REF!</f>
        <v>#REF!</v>
      </c>
      <c r="AN426" s="89" t="e">
        <f>#REF!</f>
        <v>#REF!</v>
      </c>
      <c r="AO426" s="89" t="e">
        <f>#REF!</f>
        <v>#REF!</v>
      </c>
      <c r="AP426" s="89" t="e">
        <f>#REF!</f>
        <v>#REF!</v>
      </c>
      <c r="AQ426" s="89" t="e">
        <f>#REF!</f>
        <v>#REF!</v>
      </c>
      <c r="AR426" s="89" t="e">
        <f>#REF!</f>
        <v>#REF!</v>
      </c>
      <c r="AS426" s="89" t="e">
        <f>#REF!</f>
        <v>#REF!</v>
      </c>
      <c r="AT426" s="89" t="e">
        <f>#REF!</f>
        <v>#REF!</v>
      </c>
      <c r="AU426" s="89" t="e">
        <f>#REF!</f>
        <v>#REF!</v>
      </c>
      <c r="AV426" s="89" t="e">
        <f>#REF!</f>
        <v>#REF!</v>
      </c>
      <c r="AW426" s="89" t="e">
        <f>#REF!</f>
        <v>#REF!</v>
      </c>
      <c r="AX426" s="89" t="e">
        <f>#REF!</f>
        <v>#REF!</v>
      </c>
      <c r="AY426" s="89" t="e">
        <f>#REF!</f>
        <v>#REF!</v>
      </c>
      <c r="AZ426" s="89" t="e">
        <f>#REF!</f>
        <v>#REF!</v>
      </c>
      <c r="BA426" s="89" t="e">
        <f>#REF!</f>
        <v>#REF!</v>
      </c>
      <c r="BB426" s="89" t="e">
        <f>#REF!</f>
        <v>#REF!</v>
      </c>
      <c r="BC426" s="89" t="e">
        <f>#REF!</f>
        <v>#REF!</v>
      </c>
      <c r="BD426" s="89" t="e">
        <f>#REF!</f>
        <v>#REF!</v>
      </c>
      <c r="BE426" s="89" t="e">
        <f>#REF!</f>
        <v>#REF!</v>
      </c>
      <c r="BF426" s="89" t="e">
        <f>#REF!</f>
        <v>#REF!</v>
      </c>
    </row>
    <row r="427" spans="9:58" x14ac:dyDescent="0.25">
      <c r="I427" s="89">
        <f>ABCD!J476</f>
        <v>105.75</v>
      </c>
      <c r="J427" s="89">
        <f>ABCD!K476</f>
        <v>346.85999999999996</v>
      </c>
      <c r="K427" s="89">
        <f>ABCD!L476</f>
        <v>-0.54707747111901928</v>
      </c>
      <c r="L427" s="89">
        <f>ABCD!M476</f>
        <v>-0.15280634993318865</v>
      </c>
      <c r="M427" s="89">
        <f>ABCD!N476</f>
        <v>0.56801720043136494</v>
      </c>
      <c r="N427" s="89" t="e">
        <v>#REF!</v>
      </c>
      <c r="O427" s="89" t="e">
        <v>#REF!</v>
      </c>
      <c r="P427" s="89" t="e">
        <v>#REF!</v>
      </c>
      <c r="Q427" s="89" t="e">
        <v>#REF!</v>
      </c>
      <c r="R427" s="89" t="e">
        <v>#REF!</v>
      </c>
      <c r="S427" s="89" t="e">
        <f>#REF!</f>
        <v>#REF!</v>
      </c>
      <c r="T427" s="89" t="e">
        <f>#REF!</f>
        <v>#REF!</v>
      </c>
      <c r="U427" s="89" t="e">
        <f>#REF!</f>
        <v>#REF!</v>
      </c>
      <c r="V427" s="89" t="e">
        <f>#REF!</f>
        <v>#REF!</v>
      </c>
      <c r="W427" s="89" t="e">
        <f>#REF!</f>
        <v>#REF!</v>
      </c>
      <c r="X427" s="89" t="e">
        <f>#REF!</f>
        <v>#REF!</v>
      </c>
      <c r="Y427" s="89" t="e">
        <f>#REF!</f>
        <v>#REF!</v>
      </c>
      <c r="Z427" s="89" t="e">
        <f>#REF!</f>
        <v>#REF!</v>
      </c>
      <c r="AA427" s="89" t="e">
        <f>#REF!</f>
        <v>#REF!</v>
      </c>
      <c r="AB427" s="89" t="e">
        <f>#REF!</f>
        <v>#REF!</v>
      </c>
      <c r="AC427" s="89" t="e">
        <f>#REF!</f>
        <v>#REF!</v>
      </c>
      <c r="AD427" s="89" t="e">
        <f>#REF!</f>
        <v>#REF!</v>
      </c>
      <c r="AE427" s="89" t="e">
        <f>#REF!</f>
        <v>#REF!</v>
      </c>
      <c r="AF427" s="89" t="e">
        <f>#REF!</f>
        <v>#REF!</v>
      </c>
      <c r="AG427" s="89" t="e">
        <f>#REF!</f>
        <v>#REF!</v>
      </c>
      <c r="AH427" s="89" t="e">
        <f>#REF!</f>
        <v>#REF!</v>
      </c>
      <c r="AI427" s="89" t="e">
        <f>#REF!</f>
        <v>#REF!</v>
      </c>
      <c r="AJ427" s="89" t="e">
        <f>#REF!</f>
        <v>#REF!</v>
      </c>
      <c r="AK427" s="89" t="e">
        <f>#REF!</f>
        <v>#REF!</v>
      </c>
      <c r="AL427" s="89" t="e">
        <f>#REF!</f>
        <v>#REF!</v>
      </c>
      <c r="AM427" s="89" t="e">
        <f>#REF!</f>
        <v>#REF!</v>
      </c>
      <c r="AN427" s="89" t="e">
        <f>#REF!</f>
        <v>#REF!</v>
      </c>
      <c r="AO427" s="89" t="e">
        <f>#REF!</f>
        <v>#REF!</v>
      </c>
      <c r="AP427" s="89" t="e">
        <f>#REF!</f>
        <v>#REF!</v>
      </c>
      <c r="AQ427" s="89" t="e">
        <f>#REF!</f>
        <v>#REF!</v>
      </c>
      <c r="AR427" s="89" t="e">
        <f>#REF!</f>
        <v>#REF!</v>
      </c>
      <c r="AS427" s="89" t="e">
        <f>#REF!</f>
        <v>#REF!</v>
      </c>
      <c r="AT427" s="89" t="e">
        <f>#REF!</f>
        <v>#REF!</v>
      </c>
      <c r="AU427" s="89" t="e">
        <f>#REF!</f>
        <v>#REF!</v>
      </c>
      <c r="AV427" s="89" t="e">
        <f>#REF!</f>
        <v>#REF!</v>
      </c>
      <c r="AW427" s="89" t="e">
        <f>#REF!</f>
        <v>#REF!</v>
      </c>
      <c r="AX427" s="89" t="e">
        <f>#REF!</f>
        <v>#REF!</v>
      </c>
      <c r="AY427" s="89" t="e">
        <f>#REF!</f>
        <v>#REF!</v>
      </c>
      <c r="AZ427" s="89" t="e">
        <f>#REF!</f>
        <v>#REF!</v>
      </c>
      <c r="BA427" s="89" t="e">
        <f>#REF!</f>
        <v>#REF!</v>
      </c>
      <c r="BB427" s="89" t="e">
        <f>#REF!</f>
        <v>#REF!</v>
      </c>
      <c r="BC427" s="89" t="e">
        <f>#REF!</f>
        <v>#REF!</v>
      </c>
      <c r="BD427" s="89" t="e">
        <f>#REF!</f>
        <v>#REF!</v>
      </c>
      <c r="BE427" s="89" t="e">
        <f>#REF!</f>
        <v>#REF!</v>
      </c>
      <c r="BF427" s="89" t="e">
        <f>#REF!</f>
        <v>#REF!</v>
      </c>
    </row>
    <row r="428" spans="9:58" x14ac:dyDescent="0.25">
      <c r="I428" s="89">
        <f>ABCD!J477</f>
        <v>106</v>
      </c>
      <c r="J428" s="89">
        <f>ABCD!K477</f>
        <v>347.68</v>
      </c>
      <c r="K428" s="89">
        <f>ABCD!L477</f>
        <v>-0.45886664453616516</v>
      </c>
      <c r="L428" s="89">
        <f>ABCD!M477</f>
        <v>-0.13679802435447908</v>
      </c>
      <c r="M428" s="89">
        <f>ABCD!N477</f>
        <v>0.47882386838499186</v>
      </c>
      <c r="N428" s="89" t="e">
        <v>#REF!</v>
      </c>
      <c r="O428" s="89" t="e">
        <v>#REF!</v>
      </c>
      <c r="P428" s="89" t="e">
        <v>#REF!</v>
      </c>
      <c r="Q428" s="89" t="e">
        <v>#REF!</v>
      </c>
      <c r="R428" s="89" t="e">
        <v>#REF!</v>
      </c>
      <c r="S428" s="89" t="e">
        <f>#REF!</f>
        <v>#REF!</v>
      </c>
      <c r="T428" s="89" t="e">
        <f>#REF!</f>
        <v>#REF!</v>
      </c>
      <c r="U428" s="89" t="e">
        <f>#REF!</f>
        <v>#REF!</v>
      </c>
      <c r="V428" s="89" t="e">
        <f>#REF!</f>
        <v>#REF!</v>
      </c>
      <c r="W428" s="89" t="e">
        <f>#REF!</f>
        <v>#REF!</v>
      </c>
      <c r="X428" s="89" t="e">
        <f>#REF!</f>
        <v>#REF!</v>
      </c>
      <c r="Y428" s="89" t="e">
        <f>#REF!</f>
        <v>#REF!</v>
      </c>
      <c r="Z428" s="89" t="e">
        <f>#REF!</f>
        <v>#REF!</v>
      </c>
      <c r="AA428" s="89" t="e">
        <f>#REF!</f>
        <v>#REF!</v>
      </c>
      <c r="AB428" s="89" t="e">
        <f>#REF!</f>
        <v>#REF!</v>
      </c>
      <c r="AC428" s="89" t="e">
        <f>#REF!</f>
        <v>#REF!</v>
      </c>
      <c r="AD428" s="89" t="e">
        <f>#REF!</f>
        <v>#REF!</v>
      </c>
      <c r="AE428" s="89" t="e">
        <f>#REF!</f>
        <v>#REF!</v>
      </c>
      <c r="AF428" s="89" t="e">
        <f>#REF!</f>
        <v>#REF!</v>
      </c>
      <c r="AG428" s="89" t="e">
        <f>#REF!</f>
        <v>#REF!</v>
      </c>
      <c r="AH428" s="89" t="e">
        <f>#REF!</f>
        <v>#REF!</v>
      </c>
      <c r="AI428" s="89" t="e">
        <f>#REF!</f>
        <v>#REF!</v>
      </c>
      <c r="AJ428" s="89" t="e">
        <f>#REF!</f>
        <v>#REF!</v>
      </c>
      <c r="AK428" s="89" t="e">
        <f>#REF!</f>
        <v>#REF!</v>
      </c>
      <c r="AL428" s="89" t="e">
        <f>#REF!</f>
        <v>#REF!</v>
      </c>
      <c r="AM428" s="89" t="e">
        <f>#REF!</f>
        <v>#REF!</v>
      </c>
      <c r="AN428" s="89" t="e">
        <f>#REF!</f>
        <v>#REF!</v>
      </c>
      <c r="AO428" s="89" t="e">
        <f>#REF!</f>
        <v>#REF!</v>
      </c>
      <c r="AP428" s="89" t="e">
        <f>#REF!</f>
        <v>#REF!</v>
      </c>
      <c r="AQ428" s="89" t="e">
        <f>#REF!</f>
        <v>#REF!</v>
      </c>
      <c r="AR428" s="89" t="e">
        <f>#REF!</f>
        <v>#REF!</v>
      </c>
      <c r="AS428" s="89" t="e">
        <f>#REF!</f>
        <v>#REF!</v>
      </c>
      <c r="AT428" s="89" t="e">
        <f>#REF!</f>
        <v>#REF!</v>
      </c>
      <c r="AU428" s="89" t="e">
        <f>#REF!</f>
        <v>#REF!</v>
      </c>
      <c r="AV428" s="89" t="e">
        <f>#REF!</f>
        <v>#REF!</v>
      </c>
      <c r="AW428" s="89" t="e">
        <f>#REF!</f>
        <v>#REF!</v>
      </c>
      <c r="AX428" s="89" t="e">
        <f>#REF!</f>
        <v>#REF!</v>
      </c>
      <c r="AY428" s="89" t="e">
        <f>#REF!</f>
        <v>#REF!</v>
      </c>
      <c r="AZ428" s="89" t="e">
        <f>#REF!</f>
        <v>#REF!</v>
      </c>
      <c r="BA428" s="89" t="e">
        <f>#REF!</f>
        <v>#REF!</v>
      </c>
      <c r="BB428" s="89" t="e">
        <f>#REF!</f>
        <v>#REF!</v>
      </c>
      <c r="BC428" s="89" t="e">
        <f>#REF!</f>
        <v>#REF!</v>
      </c>
      <c r="BD428" s="89" t="e">
        <f>#REF!</f>
        <v>#REF!</v>
      </c>
      <c r="BE428" s="89" t="e">
        <f>#REF!</f>
        <v>#REF!</v>
      </c>
      <c r="BF428" s="89" t="e">
        <f>#REF!</f>
        <v>#REF!</v>
      </c>
    </row>
    <row r="429" spans="9:58" x14ac:dyDescent="0.25">
      <c r="I429" s="89">
        <f>ABCD!J478</f>
        <v>106.25</v>
      </c>
      <c r="J429" s="89">
        <f>ABCD!K478</f>
        <v>348.5</v>
      </c>
      <c r="K429" s="89">
        <f>ABCD!L478</f>
        <v>-0.37062924671276659</v>
      </c>
      <c r="L429" s="89">
        <f>ABCD!M478</f>
        <v>-0.12077252118427806</v>
      </c>
      <c r="M429" s="89">
        <f>ABCD!N478</f>
        <v>0.3898102620404954</v>
      </c>
      <c r="N429" s="89" t="e">
        <v>#REF!</v>
      </c>
      <c r="O429" s="89" t="e">
        <v>#REF!</v>
      </c>
      <c r="P429" s="89" t="e">
        <v>#REF!</v>
      </c>
      <c r="Q429" s="89" t="e">
        <v>#REF!</v>
      </c>
      <c r="R429" s="89" t="e">
        <v>#REF!</v>
      </c>
      <c r="S429" s="89" t="e">
        <f>#REF!</f>
        <v>#REF!</v>
      </c>
      <c r="T429" s="89" t="e">
        <f>#REF!</f>
        <v>#REF!</v>
      </c>
      <c r="U429" s="89" t="e">
        <f>#REF!</f>
        <v>#REF!</v>
      </c>
      <c r="V429" s="89" t="e">
        <f>#REF!</f>
        <v>#REF!</v>
      </c>
      <c r="W429" s="89" t="e">
        <f>#REF!</f>
        <v>#REF!</v>
      </c>
      <c r="X429" s="89" t="e">
        <f>#REF!</f>
        <v>#REF!</v>
      </c>
      <c r="Y429" s="89" t="e">
        <f>#REF!</f>
        <v>#REF!</v>
      </c>
      <c r="Z429" s="89" t="e">
        <f>#REF!</f>
        <v>#REF!</v>
      </c>
      <c r="AA429" s="89" t="e">
        <f>#REF!</f>
        <v>#REF!</v>
      </c>
      <c r="AB429" s="89" t="e">
        <f>#REF!</f>
        <v>#REF!</v>
      </c>
      <c r="AC429" s="89" t="e">
        <f>#REF!</f>
        <v>#REF!</v>
      </c>
      <c r="AD429" s="89" t="e">
        <f>#REF!</f>
        <v>#REF!</v>
      </c>
      <c r="AE429" s="89" t="e">
        <f>#REF!</f>
        <v>#REF!</v>
      </c>
      <c r="AF429" s="89" t="e">
        <f>#REF!</f>
        <v>#REF!</v>
      </c>
      <c r="AG429" s="89" t="e">
        <f>#REF!</f>
        <v>#REF!</v>
      </c>
      <c r="AH429" s="89" t="e">
        <f>#REF!</f>
        <v>#REF!</v>
      </c>
      <c r="AI429" s="89" t="e">
        <f>#REF!</f>
        <v>#REF!</v>
      </c>
      <c r="AJ429" s="89" t="e">
        <f>#REF!</f>
        <v>#REF!</v>
      </c>
      <c r="AK429" s="89" t="e">
        <f>#REF!</f>
        <v>#REF!</v>
      </c>
      <c r="AL429" s="89" t="e">
        <f>#REF!</f>
        <v>#REF!</v>
      </c>
      <c r="AM429" s="89" t="e">
        <f>#REF!</f>
        <v>#REF!</v>
      </c>
      <c r="AN429" s="89" t="e">
        <f>#REF!</f>
        <v>#REF!</v>
      </c>
      <c r="AO429" s="89" t="e">
        <f>#REF!</f>
        <v>#REF!</v>
      </c>
      <c r="AP429" s="89" t="e">
        <f>#REF!</f>
        <v>#REF!</v>
      </c>
      <c r="AQ429" s="89" t="e">
        <f>#REF!</f>
        <v>#REF!</v>
      </c>
      <c r="AR429" s="89" t="e">
        <f>#REF!</f>
        <v>#REF!</v>
      </c>
      <c r="AS429" s="89" t="e">
        <f>#REF!</f>
        <v>#REF!</v>
      </c>
      <c r="AT429" s="89" t="e">
        <f>#REF!</f>
        <v>#REF!</v>
      </c>
      <c r="AU429" s="89" t="e">
        <f>#REF!</f>
        <v>#REF!</v>
      </c>
      <c r="AV429" s="89" t="e">
        <f>#REF!</f>
        <v>#REF!</v>
      </c>
      <c r="AW429" s="89" t="e">
        <f>#REF!</f>
        <v>#REF!</v>
      </c>
      <c r="AX429" s="89" t="e">
        <f>#REF!</f>
        <v>#REF!</v>
      </c>
      <c r="AY429" s="89" t="e">
        <f>#REF!</f>
        <v>#REF!</v>
      </c>
      <c r="AZ429" s="89" t="e">
        <f>#REF!</f>
        <v>#REF!</v>
      </c>
      <c r="BA429" s="89" t="e">
        <f>#REF!</f>
        <v>#REF!</v>
      </c>
      <c r="BB429" s="89" t="e">
        <f>#REF!</f>
        <v>#REF!</v>
      </c>
      <c r="BC429" s="89" t="e">
        <f>#REF!</f>
        <v>#REF!</v>
      </c>
      <c r="BD429" s="89" t="e">
        <f>#REF!</f>
        <v>#REF!</v>
      </c>
      <c r="BE429" s="89" t="e">
        <f>#REF!</f>
        <v>#REF!</v>
      </c>
      <c r="BF429" s="89" t="e">
        <f>#REF!</f>
        <v>#REF!</v>
      </c>
    </row>
    <row r="430" spans="9:58" x14ac:dyDescent="0.25">
      <c r="I430" s="89">
        <f>ABCD!J479</f>
        <v>106.5</v>
      </c>
      <c r="J430" s="89">
        <f>ABCD!K479</f>
        <v>349.32</v>
      </c>
      <c r="K430" s="89">
        <f>ABCD!L479</f>
        <v>-0.28238567036801709</v>
      </c>
      <c r="L430" s="89">
        <f>ABCD!M479</f>
        <v>-0.10473355521985317</v>
      </c>
      <c r="M430" s="89">
        <f>ABCD!N479</f>
        <v>0.30118231093174186</v>
      </c>
      <c r="N430" s="89" t="e">
        <v>#REF!</v>
      </c>
      <c r="O430" s="89" t="e">
        <v>#REF!</v>
      </c>
      <c r="P430" s="89" t="e">
        <v>#REF!</v>
      </c>
      <c r="Q430" s="89" t="e">
        <v>#REF!</v>
      </c>
      <c r="R430" s="89" t="e">
        <v>#REF!</v>
      </c>
      <c r="S430" s="89" t="e">
        <f>#REF!</f>
        <v>#REF!</v>
      </c>
      <c r="T430" s="89" t="e">
        <f>#REF!</f>
        <v>#REF!</v>
      </c>
      <c r="U430" s="89" t="e">
        <f>#REF!</f>
        <v>#REF!</v>
      </c>
      <c r="V430" s="89" t="e">
        <f>#REF!</f>
        <v>#REF!</v>
      </c>
      <c r="W430" s="89" t="e">
        <f>#REF!</f>
        <v>#REF!</v>
      </c>
      <c r="X430" s="89" t="e">
        <f>#REF!</f>
        <v>#REF!</v>
      </c>
      <c r="Y430" s="89" t="e">
        <f>#REF!</f>
        <v>#REF!</v>
      </c>
      <c r="Z430" s="89" t="e">
        <f>#REF!</f>
        <v>#REF!</v>
      </c>
      <c r="AA430" s="89" t="e">
        <f>#REF!</f>
        <v>#REF!</v>
      </c>
      <c r="AB430" s="89" t="e">
        <f>#REF!</f>
        <v>#REF!</v>
      </c>
      <c r="AC430" s="89" t="e">
        <f>#REF!</f>
        <v>#REF!</v>
      </c>
      <c r="AD430" s="89" t="e">
        <f>#REF!</f>
        <v>#REF!</v>
      </c>
      <c r="AE430" s="89" t="e">
        <f>#REF!</f>
        <v>#REF!</v>
      </c>
      <c r="AF430" s="89" t="e">
        <f>#REF!</f>
        <v>#REF!</v>
      </c>
      <c r="AG430" s="89" t="e">
        <f>#REF!</f>
        <v>#REF!</v>
      </c>
      <c r="AH430" s="89" t="e">
        <f>#REF!</f>
        <v>#REF!</v>
      </c>
      <c r="AI430" s="89" t="e">
        <f>#REF!</f>
        <v>#REF!</v>
      </c>
      <c r="AJ430" s="89" t="e">
        <f>#REF!</f>
        <v>#REF!</v>
      </c>
      <c r="AK430" s="89" t="e">
        <f>#REF!</f>
        <v>#REF!</v>
      </c>
      <c r="AL430" s="89" t="e">
        <f>#REF!</f>
        <v>#REF!</v>
      </c>
      <c r="AM430" s="89" t="e">
        <f>#REF!</f>
        <v>#REF!</v>
      </c>
      <c r="AN430" s="89" t="e">
        <f>#REF!</f>
        <v>#REF!</v>
      </c>
      <c r="AO430" s="89" t="e">
        <f>#REF!</f>
        <v>#REF!</v>
      </c>
      <c r="AP430" s="89" t="e">
        <f>#REF!</f>
        <v>#REF!</v>
      </c>
      <c r="AQ430" s="89" t="e">
        <f>#REF!</f>
        <v>#REF!</v>
      </c>
      <c r="AR430" s="89" t="e">
        <f>#REF!</f>
        <v>#REF!</v>
      </c>
      <c r="AS430" s="89" t="e">
        <f>#REF!</f>
        <v>#REF!</v>
      </c>
      <c r="AT430" s="89" t="e">
        <f>#REF!</f>
        <v>#REF!</v>
      </c>
      <c r="AU430" s="89" t="e">
        <f>#REF!</f>
        <v>#REF!</v>
      </c>
      <c r="AV430" s="89" t="e">
        <f>#REF!</f>
        <v>#REF!</v>
      </c>
      <c r="AW430" s="89" t="e">
        <f>#REF!</f>
        <v>#REF!</v>
      </c>
      <c r="AX430" s="89" t="e">
        <f>#REF!</f>
        <v>#REF!</v>
      </c>
      <c r="AY430" s="89" t="e">
        <f>#REF!</f>
        <v>#REF!</v>
      </c>
      <c r="AZ430" s="89" t="e">
        <f>#REF!</f>
        <v>#REF!</v>
      </c>
      <c r="BA430" s="89" t="e">
        <f>#REF!</f>
        <v>#REF!</v>
      </c>
      <c r="BB430" s="89" t="e">
        <f>#REF!</f>
        <v>#REF!</v>
      </c>
      <c r="BC430" s="89" t="e">
        <f>#REF!</f>
        <v>#REF!</v>
      </c>
      <c r="BD430" s="89" t="e">
        <f>#REF!</f>
        <v>#REF!</v>
      </c>
      <c r="BE430" s="89" t="e">
        <f>#REF!</f>
        <v>#REF!</v>
      </c>
      <c r="BF430" s="89" t="e">
        <f>#REF!</f>
        <v>#REF!</v>
      </c>
    </row>
    <row r="431" spans="9:58" x14ac:dyDescent="0.25">
      <c r="I431" s="89">
        <f>ABCD!J480</f>
        <v>106.75</v>
      </c>
      <c r="J431" s="89">
        <f>ABCD!K480</f>
        <v>350.14</v>
      </c>
      <c r="K431" s="89">
        <f>ABCD!L480</f>
        <v>-0.19415629130215784</v>
      </c>
      <c r="L431" s="89">
        <f>ABCD!M480</f>
        <v>-8.8684841024421868E-2</v>
      </c>
      <c r="M431" s="89">
        <f>ABCD!N480</f>
        <v>0.2134517895913158</v>
      </c>
      <c r="N431" s="89" t="e">
        <v>#REF!</v>
      </c>
      <c r="O431" s="89" t="e">
        <v>#REF!</v>
      </c>
      <c r="P431" s="89" t="e">
        <v>#REF!</v>
      </c>
      <c r="Q431" s="89" t="e">
        <v>#REF!</v>
      </c>
      <c r="R431" s="89" t="e">
        <v>#REF!</v>
      </c>
      <c r="S431" s="89" t="e">
        <f>#REF!</f>
        <v>#REF!</v>
      </c>
      <c r="T431" s="89" t="e">
        <f>#REF!</f>
        <v>#REF!</v>
      </c>
      <c r="U431" s="89" t="e">
        <f>#REF!</f>
        <v>#REF!</v>
      </c>
      <c r="V431" s="89" t="e">
        <f>#REF!</f>
        <v>#REF!</v>
      </c>
      <c r="W431" s="89" t="e">
        <f>#REF!</f>
        <v>#REF!</v>
      </c>
      <c r="X431" s="89" t="e">
        <f>#REF!</f>
        <v>#REF!</v>
      </c>
      <c r="Y431" s="89" t="e">
        <f>#REF!</f>
        <v>#REF!</v>
      </c>
      <c r="Z431" s="89" t="e">
        <f>#REF!</f>
        <v>#REF!</v>
      </c>
      <c r="AA431" s="89" t="e">
        <f>#REF!</f>
        <v>#REF!</v>
      </c>
      <c r="AB431" s="89" t="e">
        <f>#REF!</f>
        <v>#REF!</v>
      </c>
      <c r="AC431" s="89" t="e">
        <f>#REF!</f>
        <v>#REF!</v>
      </c>
      <c r="AD431" s="89" t="e">
        <f>#REF!</f>
        <v>#REF!</v>
      </c>
      <c r="AE431" s="89" t="e">
        <f>#REF!</f>
        <v>#REF!</v>
      </c>
      <c r="AF431" s="89" t="e">
        <f>#REF!</f>
        <v>#REF!</v>
      </c>
      <c r="AG431" s="89" t="e">
        <f>#REF!</f>
        <v>#REF!</v>
      </c>
      <c r="AH431" s="89" t="e">
        <f>#REF!</f>
        <v>#REF!</v>
      </c>
      <c r="AI431" s="89" t="e">
        <f>#REF!</f>
        <v>#REF!</v>
      </c>
      <c r="AJ431" s="89" t="e">
        <f>#REF!</f>
        <v>#REF!</v>
      </c>
      <c r="AK431" s="89" t="e">
        <f>#REF!</f>
        <v>#REF!</v>
      </c>
      <c r="AL431" s="89" t="e">
        <f>#REF!</f>
        <v>#REF!</v>
      </c>
      <c r="AM431" s="89" t="e">
        <f>#REF!</f>
        <v>#REF!</v>
      </c>
      <c r="AN431" s="89" t="e">
        <f>#REF!</f>
        <v>#REF!</v>
      </c>
      <c r="AO431" s="89" t="e">
        <f>#REF!</f>
        <v>#REF!</v>
      </c>
      <c r="AP431" s="89" t="e">
        <f>#REF!</f>
        <v>#REF!</v>
      </c>
      <c r="AQ431" s="89" t="e">
        <f>#REF!</f>
        <v>#REF!</v>
      </c>
      <c r="AR431" s="89" t="e">
        <f>#REF!</f>
        <v>#REF!</v>
      </c>
      <c r="AS431" s="89" t="e">
        <f>#REF!</f>
        <v>#REF!</v>
      </c>
      <c r="AT431" s="89" t="e">
        <f>#REF!</f>
        <v>#REF!</v>
      </c>
      <c r="AU431" s="89" t="e">
        <f>#REF!</f>
        <v>#REF!</v>
      </c>
      <c r="AV431" s="89" t="e">
        <f>#REF!</f>
        <v>#REF!</v>
      </c>
      <c r="AW431" s="89" t="e">
        <f>#REF!</f>
        <v>#REF!</v>
      </c>
      <c r="AX431" s="89" t="e">
        <f>#REF!</f>
        <v>#REF!</v>
      </c>
      <c r="AY431" s="89" t="e">
        <f>#REF!</f>
        <v>#REF!</v>
      </c>
      <c r="AZ431" s="89" t="e">
        <f>#REF!</f>
        <v>#REF!</v>
      </c>
      <c r="BA431" s="89" t="e">
        <f>#REF!</f>
        <v>#REF!</v>
      </c>
      <c r="BB431" s="89" t="e">
        <f>#REF!</f>
        <v>#REF!</v>
      </c>
      <c r="BC431" s="89" t="e">
        <f>#REF!</f>
        <v>#REF!</v>
      </c>
      <c r="BD431" s="89" t="e">
        <f>#REF!</f>
        <v>#REF!</v>
      </c>
      <c r="BE431" s="89" t="e">
        <f>#REF!</f>
        <v>#REF!</v>
      </c>
      <c r="BF431" s="89" t="e">
        <f>#REF!</f>
        <v>#REF!</v>
      </c>
    </row>
    <row r="432" spans="9:58" x14ac:dyDescent="0.25">
      <c r="I432" s="89">
        <f>ABCD!J481</f>
        <v>107</v>
      </c>
      <c r="J432" s="89">
        <f>ABCD!K481</f>
        <v>350.96</v>
      </c>
      <c r="K432" s="89">
        <f>ABCD!L481</f>
        <v>-0.1059614637081619</v>
      </c>
      <c r="L432" s="89">
        <f>ABCD!M481</f>
        <v>-7.2630092069895014E-2</v>
      </c>
      <c r="M432" s="89">
        <f>ABCD!N481</f>
        <v>0.12846385509261948</v>
      </c>
      <c r="N432" s="89" t="e">
        <v>#REF!</v>
      </c>
      <c r="O432" s="89" t="e">
        <v>#REF!</v>
      </c>
      <c r="P432" s="89" t="e">
        <v>#REF!</v>
      </c>
      <c r="Q432" s="89" t="e">
        <v>#REF!</v>
      </c>
      <c r="R432" s="89" t="e">
        <v>#REF!</v>
      </c>
      <c r="S432" s="89" t="e">
        <f>#REF!</f>
        <v>#REF!</v>
      </c>
      <c r="T432" s="89" t="e">
        <f>#REF!</f>
        <v>#REF!</v>
      </c>
      <c r="U432" s="89" t="e">
        <f>#REF!</f>
        <v>#REF!</v>
      </c>
      <c r="V432" s="89" t="e">
        <f>#REF!</f>
        <v>#REF!</v>
      </c>
      <c r="W432" s="89" t="e">
        <f>#REF!</f>
        <v>#REF!</v>
      </c>
      <c r="X432" s="89" t="e">
        <f>#REF!</f>
        <v>#REF!</v>
      </c>
      <c r="Y432" s="89" t="e">
        <f>#REF!</f>
        <v>#REF!</v>
      </c>
      <c r="Z432" s="89" t="e">
        <f>#REF!</f>
        <v>#REF!</v>
      </c>
      <c r="AA432" s="89" t="e">
        <f>#REF!</f>
        <v>#REF!</v>
      </c>
      <c r="AB432" s="89" t="e">
        <f>#REF!</f>
        <v>#REF!</v>
      </c>
      <c r="AC432" s="89" t="e">
        <f>#REF!</f>
        <v>#REF!</v>
      </c>
      <c r="AD432" s="89" t="e">
        <f>#REF!</f>
        <v>#REF!</v>
      </c>
      <c r="AE432" s="89" t="e">
        <f>#REF!</f>
        <v>#REF!</v>
      </c>
      <c r="AF432" s="89" t="e">
        <f>#REF!</f>
        <v>#REF!</v>
      </c>
      <c r="AG432" s="89" t="e">
        <f>#REF!</f>
        <v>#REF!</v>
      </c>
      <c r="AH432" s="89" t="e">
        <f>#REF!</f>
        <v>#REF!</v>
      </c>
      <c r="AI432" s="89" t="e">
        <f>#REF!</f>
        <v>#REF!</v>
      </c>
      <c r="AJ432" s="89" t="e">
        <f>#REF!</f>
        <v>#REF!</v>
      </c>
      <c r="AK432" s="89" t="e">
        <f>#REF!</f>
        <v>#REF!</v>
      </c>
      <c r="AL432" s="89" t="e">
        <f>#REF!</f>
        <v>#REF!</v>
      </c>
      <c r="AM432" s="89" t="e">
        <f>#REF!</f>
        <v>#REF!</v>
      </c>
      <c r="AN432" s="89" t="e">
        <f>#REF!</f>
        <v>#REF!</v>
      </c>
      <c r="AO432" s="89" t="e">
        <f>#REF!</f>
        <v>#REF!</v>
      </c>
      <c r="AP432" s="89" t="e">
        <f>#REF!</f>
        <v>#REF!</v>
      </c>
      <c r="AQ432" s="89" t="e">
        <f>#REF!</f>
        <v>#REF!</v>
      </c>
      <c r="AR432" s="89" t="e">
        <f>#REF!</f>
        <v>#REF!</v>
      </c>
      <c r="AS432" s="89" t="e">
        <f>#REF!</f>
        <v>#REF!</v>
      </c>
      <c r="AT432" s="89" t="e">
        <f>#REF!</f>
        <v>#REF!</v>
      </c>
      <c r="AU432" s="89" t="e">
        <f>#REF!</f>
        <v>#REF!</v>
      </c>
      <c r="AV432" s="89" t="e">
        <f>#REF!</f>
        <v>#REF!</v>
      </c>
      <c r="AW432" s="89" t="e">
        <f>#REF!</f>
        <v>#REF!</v>
      </c>
      <c r="AX432" s="89" t="e">
        <f>#REF!</f>
        <v>#REF!</v>
      </c>
      <c r="AY432" s="89" t="e">
        <f>#REF!</f>
        <v>#REF!</v>
      </c>
      <c r="AZ432" s="89" t="e">
        <f>#REF!</f>
        <v>#REF!</v>
      </c>
      <c r="BA432" s="89" t="e">
        <f>#REF!</f>
        <v>#REF!</v>
      </c>
      <c r="BB432" s="89" t="e">
        <f>#REF!</f>
        <v>#REF!</v>
      </c>
      <c r="BC432" s="89" t="e">
        <f>#REF!</f>
        <v>#REF!</v>
      </c>
      <c r="BD432" s="89" t="e">
        <f>#REF!</f>
        <v>#REF!</v>
      </c>
      <c r="BE432" s="89" t="e">
        <f>#REF!</f>
        <v>#REF!</v>
      </c>
      <c r="BF432" s="89" t="e">
        <f>#REF!</f>
        <v>#REF!</v>
      </c>
    </row>
    <row r="433" spans="9:58" x14ac:dyDescent="0.25">
      <c r="I433" s="89">
        <f>ABCD!J482</f>
        <v>107.25</v>
      </c>
      <c r="J433" s="89">
        <f>ABCD!K482</f>
        <v>351.78</v>
      </c>
      <c r="K433" s="89">
        <f>ABCD!L482</f>
        <v>-1.7821515492547291E-2</v>
      </c>
      <c r="L433" s="89">
        <f>ABCD!M482</f>
        <v>-5.6573019880628017E-2</v>
      </c>
      <c r="M433" s="89">
        <f>ABCD!N482</f>
        <v>5.9313683015515366E-2</v>
      </c>
      <c r="N433" s="89" t="e">
        <v>#REF!</v>
      </c>
      <c r="O433" s="89" t="e">
        <v>#REF!</v>
      </c>
      <c r="P433" s="89" t="e">
        <v>#REF!</v>
      </c>
      <c r="Q433" s="89" t="e">
        <v>#REF!</v>
      </c>
      <c r="R433" s="89" t="e">
        <v>#REF!</v>
      </c>
      <c r="S433" s="89" t="e">
        <f>#REF!</f>
        <v>#REF!</v>
      </c>
      <c r="T433" s="89" t="e">
        <f>#REF!</f>
        <v>#REF!</v>
      </c>
      <c r="U433" s="89" t="e">
        <f>#REF!</f>
        <v>#REF!</v>
      </c>
      <c r="V433" s="89" t="e">
        <f>#REF!</f>
        <v>#REF!</v>
      </c>
      <c r="W433" s="89" t="e">
        <f>#REF!</f>
        <v>#REF!</v>
      </c>
      <c r="X433" s="89" t="e">
        <f>#REF!</f>
        <v>#REF!</v>
      </c>
      <c r="Y433" s="89" t="e">
        <f>#REF!</f>
        <v>#REF!</v>
      </c>
      <c r="Z433" s="89" t="e">
        <f>#REF!</f>
        <v>#REF!</v>
      </c>
      <c r="AA433" s="89" t="e">
        <f>#REF!</f>
        <v>#REF!</v>
      </c>
      <c r="AB433" s="89" t="e">
        <f>#REF!</f>
        <v>#REF!</v>
      </c>
      <c r="AC433" s="89" t="e">
        <f>#REF!</f>
        <v>#REF!</v>
      </c>
      <c r="AD433" s="89" t="e">
        <f>#REF!</f>
        <v>#REF!</v>
      </c>
      <c r="AE433" s="89" t="e">
        <f>#REF!</f>
        <v>#REF!</v>
      </c>
      <c r="AF433" s="89" t="e">
        <f>#REF!</f>
        <v>#REF!</v>
      </c>
      <c r="AG433" s="89" t="e">
        <f>#REF!</f>
        <v>#REF!</v>
      </c>
      <c r="AH433" s="89" t="e">
        <f>#REF!</f>
        <v>#REF!</v>
      </c>
      <c r="AI433" s="89" t="e">
        <f>#REF!</f>
        <v>#REF!</v>
      </c>
      <c r="AJ433" s="89" t="e">
        <f>#REF!</f>
        <v>#REF!</v>
      </c>
      <c r="AK433" s="89" t="e">
        <f>#REF!</f>
        <v>#REF!</v>
      </c>
      <c r="AL433" s="89" t="e">
        <f>#REF!</f>
        <v>#REF!</v>
      </c>
      <c r="AM433" s="89" t="e">
        <f>#REF!</f>
        <v>#REF!</v>
      </c>
      <c r="AN433" s="89" t="e">
        <f>#REF!</f>
        <v>#REF!</v>
      </c>
      <c r="AO433" s="89" t="e">
        <f>#REF!</f>
        <v>#REF!</v>
      </c>
      <c r="AP433" s="89" t="e">
        <f>#REF!</f>
        <v>#REF!</v>
      </c>
      <c r="AQ433" s="89" t="e">
        <f>#REF!</f>
        <v>#REF!</v>
      </c>
      <c r="AR433" s="89" t="e">
        <f>#REF!</f>
        <v>#REF!</v>
      </c>
      <c r="AS433" s="89" t="e">
        <f>#REF!</f>
        <v>#REF!</v>
      </c>
      <c r="AT433" s="89" t="e">
        <f>#REF!</f>
        <v>#REF!</v>
      </c>
      <c r="AU433" s="89" t="e">
        <f>#REF!</f>
        <v>#REF!</v>
      </c>
      <c r="AV433" s="89" t="e">
        <f>#REF!</f>
        <v>#REF!</v>
      </c>
      <c r="AW433" s="89" t="e">
        <f>#REF!</f>
        <v>#REF!</v>
      </c>
      <c r="AX433" s="89" t="e">
        <f>#REF!</f>
        <v>#REF!</v>
      </c>
      <c r="AY433" s="89" t="e">
        <f>#REF!</f>
        <v>#REF!</v>
      </c>
      <c r="AZ433" s="89" t="e">
        <f>#REF!</f>
        <v>#REF!</v>
      </c>
      <c r="BA433" s="89" t="e">
        <f>#REF!</f>
        <v>#REF!</v>
      </c>
      <c r="BB433" s="89" t="e">
        <f>#REF!</f>
        <v>#REF!</v>
      </c>
      <c r="BC433" s="89" t="e">
        <f>#REF!</f>
        <v>#REF!</v>
      </c>
      <c r="BD433" s="89" t="e">
        <f>#REF!</f>
        <v>#REF!</v>
      </c>
      <c r="BE433" s="89" t="e">
        <f>#REF!</f>
        <v>#REF!</v>
      </c>
      <c r="BF433" s="89" t="e">
        <f>#REF!</f>
        <v>#REF!</v>
      </c>
    </row>
    <row r="434" spans="9:58" x14ac:dyDescent="0.25">
      <c r="I434" s="89">
        <f>ABCD!J483</f>
        <v>107.5</v>
      </c>
      <c r="J434" s="89">
        <f>ABCD!K483</f>
        <v>352.59999999999997</v>
      </c>
      <c r="K434" s="89">
        <f>ABCD!L483</f>
        <v>7.0243256393454301E-2</v>
      </c>
      <c r="L434" s="89">
        <f>ABCD!M483</f>
        <v>-4.0517333178406112E-2</v>
      </c>
      <c r="M434" s="89">
        <f>ABCD!N483</f>
        <v>8.1091117618679598E-2</v>
      </c>
      <c r="N434" s="89" t="e">
        <v>#REF!</v>
      </c>
      <c r="O434" s="89" t="e">
        <v>#REF!</v>
      </c>
      <c r="P434" s="89" t="e">
        <v>#REF!</v>
      </c>
      <c r="Q434" s="89" t="e">
        <v>#REF!</v>
      </c>
      <c r="R434" s="89" t="e">
        <v>#REF!</v>
      </c>
      <c r="S434" s="89" t="e">
        <f>#REF!</f>
        <v>#REF!</v>
      </c>
      <c r="T434" s="89" t="e">
        <f>#REF!</f>
        <v>#REF!</v>
      </c>
      <c r="U434" s="89" t="e">
        <f>#REF!</f>
        <v>#REF!</v>
      </c>
      <c r="V434" s="89" t="e">
        <f>#REF!</f>
        <v>#REF!</v>
      </c>
      <c r="W434" s="89" t="e">
        <f>#REF!</f>
        <v>#REF!</v>
      </c>
      <c r="X434" s="89" t="e">
        <f>#REF!</f>
        <v>#REF!</v>
      </c>
      <c r="Y434" s="89" t="e">
        <f>#REF!</f>
        <v>#REF!</v>
      </c>
      <c r="Z434" s="89" t="e">
        <f>#REF!</f>
        <v>#REF!</v>
      </c>
      <c r="AA434" s="89" t="e">
        <f>#REF!</f>
        <v>#REF!</v>
      </c>
      <c r="AB434" s="89" t="e">
        <f>#REF!</f>
        <v>#REF!</v>
      </c>
      <c r="AC434" s="89" t="e">
        <f>#REF!</f>
        <v>#REF!</v>
      </c>
      <c r="AD434" s="89" t="e">
        <f>#REF!</f>
        <v>#REF!</v>
      </c>
      <c r="AE434" s="89" t="e">
        <f>#REF!</f>
        <v>#REF!</v>
      </c>
      <c r="AF434" s="89" t="e">
        <f>#REF!</f>
        <v>#REF!</v>
      </c>
      <c r="AG434" s="89" t="e">
        <f>#REF!</f>
        <v>#REF!</v>
      </c>
      <c r="AH434" s="89" t="e">
        <f>#REF!</f>
        <v>#REF!</v>
      </c>
      <c r="AI434" s="89" t="e">
        <f>#REF!</f>
        <v>#REF!</v>
      </c>
      <c r="AJ434" s="89" t="e">
        <f>#REF!</f>
        <v>#REF!</v>
      </c>
      <c r="AK434" s="89" t="e">
        <f>#REF!</f>
        <v>#REF!</v>
      </c>
      <c r="AL434" s="89" t="e">
        <f>#REF!</f>
        <v>#REF!</v>
      </c>
      <c r="AM434" s="89" t="e">
        <f>#REF!</f>
        <v>#REF!</v>
      </c>
      <c r="AN434" s="89" t="e">
        <f>#REF!</f>
        <v>#REF!</v>
      </c>
      <c r="AO434" s="89" t="e">
        <f>#REF!</f>
        <v>#REF!</v>
      </c>
      <c r="AP434" s="89" t="e">
        <f>#REF!</f>
        <v>#REF!</v>
      </c>
      <c r="AQ434" s="89" t="e">
        <f>#REF!</f>
        <v>#REF!</v>
      </c>
      <c r="AR434" s="89" t="e">
        <f>#REF!</f>
        <v>#REF!</v>
      </c>
      <c r="AS434" s="89" t="e">
        <f>#REF!</f>
        <v>#REF!</v>
      </c>
      <c r="AT434" s="89" t="e">
        <f>#REF!</f>
        <v>#REF!</v>
      </c>
      <c r="AU434" s="89" t="e">
        <f>#REF!</f>
        <v>#REF!</v>
      </c>
      <c r="AV434" s="89" t="e">
        <f>#REF!</f>
        <v>#REF!</v>
      </c>
      <c r="AW434" s="89" t="e">
        <f>#REF!</f>
        <v>#REF!</v>
      </c>
      <c r="AX434" s="89" t="e">
        <f>#REF!</f>
        <v>#REF!</v>
      </c>
      <c r="AY434" s="89" t="e">
        <f>#REF!</f>
        <v>#REF!</v>
      </c>
      <c r="AZ434" s="89" t="e">
        <f>#REF!</f>
        <v>#REF!</v>
      </c>
      <c r="BA434" s="89" t="e">
        <f>#REF!</f>
        <v>#REF!</v>
      </c>
      <c r="BB434" s="89" t="e">
        <f>#REF!</f>
        <v>#REF!</v>
      </c>
      <c r="BC434" s="89" t="e">
        <f>#REF!</f>
        <v>#REF!</v>
      </c>
      <c r="BD434" s="89" t="e">
        <f>#REF!</f>
        <v>#REF!</v>
      </c>
      <c r="BE434" s="89" t="e">
        <f>#REF!</f>
        <v>#REF!</v>
      </c>
      <c r="BF434" s="89" t="e">
        <f>#REF!</f>
        <v>#REF!</v>
      </c>
    </row>
    <row r="435" spans="9:58" x14ac:dyDescent="0.25">
      <c r="I435" s="89">
        <f>ABCD!J484</f>
        <v>107.75</v>
      </c>
      <c r="J435" s="89">
        <f>ABCD!K484</f>
        <v>353.41999999999996</v>
      </c>
      <c r="K435" s="89">
        <f>ABCD!L484</f>
        <v>0.15821259061142434</v>
      </c>
      <c r="L435" s="89">
        <f>ABCD!M484</f>
        <v>-2.4466737028842278E-2</v>
      </c>
      <c r="M435" s="89">
        <f>ABCD!N484</f>
        <v>0.1600932386105568</v>
      </c>
      <c r="N435" s="89" t="e">
        <v>#REF!</v>
      </c>
      <c r="O435" s="89" t="e">
        <v>#REF!</v>
      </c>
      <c r="P435" s="89" t="e">
        <v>#REF!</v>
      </c>
      <c r="Q435" s="89" t="e">
        <v>#REF!</v>
      </c>
      <c r="R435" s="89" t="e">
        <v>#REF!</v>
      </c>
      <c r="S435" s="89" t="e">
        <f>#REF!</f>
        <v>#REF!</v>
      </c>
      <c r="T435" s="89" t="e">
        <f>#REF!</f>
        <v>#REF!</v>
      </c>
      <c r="U435" s="89" t="e">
        <f>#REF!</f>
        <v>#REF!</v>
      </c>
      <c r="V435" s="89" t="e">
        <f>#REF!</f>
        <v>#REF!</v>
      </c>
      <c r="W435" s="89" t="e">
        <f>#REF!</f>
        <v>#REF!</v>
      </c>
      <c r="X435" s="89" t="e">
        <f>#REF!</f>
        <v>#REF!</v>
      </c>
      <c r="Y435" s="89" t="e">
        <f>#REF!</f>
        <v>#REF!</v>
      </c>
      <c r="Z435" s="89" t="e">
        <f>#REF!</f>
        <v>#REF!</v>
      </c>
      <c r="AA435" s="89" t="e">
        <f>#REF!</f>
        <v>#REF!</v>
      </c>
      <c r="AB435" s="89" t="e">
        <f>#REF!</f>
        <v>#REF!</v>
      </c>
      <c r="AC435" s="89" t="e">
        <f>#REF!</f>
        <v>#REF!</v>
      </c>
      <c r="AD435" s="89" t="e">
        <f>#REF!</f>
        <v>#REF!</v>
      </c>
      <c r="AE435" s="89" t="e">
        <f>#REF!</f>
        <v>#REF!</v>
      </c>
      <c r="AF435" s="89" t="e">
        <f>#REF!</f>
        <v>#REF!</v>
      </c>
      <c r="AG435" s="89" t="e">
        <f>#REF!</f>
        <v>#REF!</v>
      </c>
      <c r="AH435" s="89" t="e">
        <f>#REF!</f>
        <v>#REF!</v>
      </c>
      <c r="AI435" s="89" t="e">
        <f>#REF!</f>
        <v>#REF!</v>
      </c>
      <c r="AJ435" s="89" t="e">
        <f>#REF!</f>
        <v>#REF!</v>
      </c>
      <c r="AK435" s="89" t="e">
        <f>#REF!</f>
        <v>#REF!</v>
      </c>
      <c r="AL435" s="89" t="e">
        <f>#REF!</f>
        <v>#REF!</v>
      </c>
      <c r="AM435" s="89" t="e">
        <f>#REF!</f>
        <v>#REF!</v>
      </c>
      <c r="AN435" s="89" t="e">
        <f>#REF!</f>
        <v>#REF!</v>
      </c>
      <c r="AO435" s="89" t="e">
        <f>#REF!</f>
        <v>#REF!</v>
      </c>
      <c r="AP435" s="89" t="e">
        <f>#REF!</f>
        <v>#REF!</v>
      </c>
      <c r="AQ435" s="89" t="e">
        <f>#REF!</f>
        <v>#REF!</v>
      </c>
      <c r="AR435" s="89" t="e">
        <f>#REF!</f>
        <v>#REF!</v>
      </c>
      <c r="AS435" s="89" t="e">
        <f>#REF!</f>
        <v>#REF!</v>
      </c>
      <c r="AT435" s="89" t="e">
        <f>#REF!</f>
        <v>#REF!</v>
      </c>
      <c r="AU435" s="89" t="e">
        <f>#REF!</f>
        <v>#REF!</v>
      </c>
      <c r="AV435" s="89" t="e">
        <f>#REF!</f>
        <v>#REF!</v>
      </c>
      <c r="AW435" s="89" t="e">
        <f>#REF!</f>
        <v>#REF!</v>
      </c>
      <c r="AX435" s="89" t="e">
        <f>#REF!</f>
        <v>#REF!</v>
      </c>
      <c r="AY435" s="89" t="e">
        <f>#REF!</f>
        <v>#REF!</v>
      </c>
      <c r="AZ435" s="89" t="e">
        <f>#REF!</f>
        <v>#REF!</v>
      </c>
      <c r="BA435" s="89" t="e">
        <f>#REF!</f>
        <v>#REF!</v>
      </c>
      <c r="BB435" s="89" t="e">
        <f>#REF!</f>
        <v>#REF!</v>
      </c>
      <c r="BC435" s="89" t="e">
        <f>#REF!</f>
        <v>#REF!</v>
      </c>
      <c r="BD435" s="89" t="e">
        <f>#REF!</f>
        <v>#REF!</v>
      </c>
      <c r="BE435" s="89" t="e">
        <f>#REF!</f>
        <v>#REF!</v>
      </c>
      <c r="BF435" s="89" t="e">
        <f>#REF!</f>
        <v>#REF!</v>
      </c>
    </row>
    <row r="436" spans="9:58" x14ac:dyDescent="0.25">
      <c r="I436" s="89">
        <f>ABCD!J485</f>
        <v>108</v>
      </c>
      <c r="J436" s="89">
        <f>ABCD!K485</f>
        <v>354.23999999999995</v>
      </c>
      <c r="K436" s="89">
        <f>ABCD!L485</f>
        <v>0.24606626608090754</v>
      </c>
      <c r="L436" s="89">
        <f>ABCD!M485</f>
        <v>-8.4249319893774377E-3</v>
      </c>
      <c r="M436" s="89">
        <f>ABCD!N485</f>
        <v>0.24621045221928661</v>
      </c>
      <c r="N436" s="89" t="e">
        <v>#REF!</v>
      </c>
      <c r="O436" s="89" t="e">
        <v>#REF!</v>
      </c>
      <c r="P436" s="89" t="e">
        <v>#REF!</v>
      </c>
      <c r="Q436" s="89" t="e">
        <v>#REF!</v>
      </c>
      <c r="R436" s="89" t="e">
        <v>#REF!</v>
      </c>
      <c r="S436" s="89" t="e">
        <f>#REF!</f>
        <v>#REF!</v>
      </c>
      <c r="T436" s="89" t="e">
        <f>#REF!</f>
        <v>#REF!</v>
      </c>
      <c r="U436" s="89" t="e">
        <f>#REF!</f>
        <v>#REF!</v>
      </c>
      <c r="V436" s="89" t="e">
        <f>#REF!</f>
        <v>#REF!</v>
      </c>
      <c r="W436" s="89" t="e">
        <f>#REF!</f>
        <v>#REF!</v>
      </c>
      <c r="X436" s="89" t="e">
        <f>#REF!</f>
        <v>#REF!</v>
      </c>
      <c r="Y436" s="89" t="e">
        <f>#REF!</f>
        <v>#REF!</v>
      </c>
      <c r="Z436" s="89" t="e">
        <f>#REF!</f>
        <v>#REF!</v>
      </c>
      <c r="AA436" s="89" t="e">
        <f>#REF!</f>
        <v>#REF!</v>
      </c>
      <c r="AB436" s="89" t="e">
        <f>#REF!</f>
        <v>#REF!</v>
      </c>
      <c r="AC436" s="89" t="e">
        <f>#REF!</f>
        <v>#REF!</v>
      </c>
      <c r="AD436" s="89" t="e">
        <f>#REF!</f>
        <v>#REF!</v>
      </c>
      <c r="AE436" s="89" t="e">
        <f>#REF!</f>
        <v>#REF!</v>
      </c>
      <c r="AF436" s="89" t="e">
        <f>#REF!</f>
        <v>#REF!</v>
      </c>
      <c r="AG436" s="89" t="e">
        <f>#REF!</f>
        <v>#REF!</v>
      </c>
      <c r="AH436" s="89" t="e">
        <f>#REF!</f>
        <v>#REF!</v>
      </c>
      <c r="AI436" s="89" t="e">
        <f>#REF!</f>
        <v>#REF!</v>
      </c>
      <c r="AJ436" s="89" t="e">
        <f>#REF!</f>
        <v>#REF!</v>
      </c>
      <c r="AK436" s="89" t="e">
        <f>#REF!</f>
        <v>#REF!</v>
      </c>
      <c r="AL436" s="89" t="e">
        <f>#REF!</f>
        <v>#REF!</v>
      </c>
      <c r="AM436" s="89" t="e">
        <f>#REF!</f>
        <v>#REF!</v>
      </c>
      <c r="AN436" s="89" t="e">
        <f>#REF!</f>
        <v>#REF!</v>
      </c>
      <c r="AO436" s="89" t="e">
        <f>#REF!</f>
        <v>#REF!</v>
      </c>
      <c r="AP436" s="89" t="e">
        <f>#REF!</f>
        <v>#REF!</v>
      </c>
      <c r="AQ436" s="89" t="e">
        <f>#REF!</f>
        <v>#REF!</v>
      </c>
      <c r="AR436" s="89" t="e">
        <f>#REF!</f>
        <v>#REF!</v>
      </c>
      <c r="AS436" s="89" t="e">
        <f>#REF!</f>
        <v>#REF!</v>
      </c>
      <c r="AT436" s="89" t="e">
        <f>#REF!</f>
        <v>#REF!</v>
      </c>
      <c r="AU436" s="89" t="e">
        <f>#REF!</f>
        <v>#REF!</v>
      </c>
      <c r="AV436" s="89" t="e">
        <f>#REF!</f>
        <v>#REF!</v>
      </c>
      <c r="AW436" s="89" t="e">
        <f>#REF!</f>
        <v>#REF!</v>
      </c>
      <c r="AX436" s="89" t="e">
        <f>#REF!</f>
        <v>#REF!</v>
      </c>
      <c r="AY436" s="89" t="e">
        <f>#REF!</f>
        <v>#REF!</v>
      </c>
      <c r="AZ436" s="89" t="e">
        <f>#REF!</f>
        <v>#REF!</v>
      </c>
      <c r="BA436" s="89" t="e">
        <f>#REF!</f>
        <v>#REF!</v>
      </c>
      <c r="BB436" s="89" t="e">
        <f>#REF!</f>
        <v>#REF!</v>
      </c>
      <c r="BC436" s="89" t="e">
        <f>#REF!</f>
        <v>#REF!</v>
      </c>
      <c r="BD436" s="89" t="e">
        <f>#REF!</f>
        <v>#REF!</v>
      </c>
      <c r="BE436" s="89" t="e">
        <f>#REF!</f>
        <v>#REF!</v>
      </c>
      <c r="BF436" s="89" t="e">
        <f>#REF!</f>
        <v>#REF!</v>
      </c>
    </row>
    <row r="437" spans="9:58" x14ac:dyDescent="0.25">
      <c r="I437" s="89">
        <f>ABCD!J486</f>
        <v>108.25</v>
      </c>
      <c r="J437" s="89">
        <f>ABCD!K486</f>
        <v>355.06</v>
      </c>
      <c r="K437" s="89">
        <f>ABCD!L486</f>
        <v>0.3337841066109965</v>
      </c>
      <c r="L437" s="89">
        <f>ABCD!M486</f>
        <v>7.6043867408950305E-3</v>
      </c>
      <c r="M437" s="89">
        <f>ABCD!N486</f>
        <v>0.33387071827850701</v>
      </c>
      <c r="N437" s="89" t="e">
        <v>#REF!</v>
      </c>
      <c r="O437" s="89" t="e">
        <v>#REF!</v>
      </c>
      <c r="P437" s="89" t="e">
        <v>#REF!</v>
      </c>
      <c r="Q437" s="89" t="e">
        <v>#REF!</v>
      </c>
      <c r="R437" s="89" t="e">
        <v>#REF!</v>
      </c>
      <c r="S437" s="89" t="e">
        <f>#REF!</f>
        <v>#REF!</v>
      </c>
      <c r="T437" s="89" t="e">
        <f>#REF!</f>
        <v>#REF!</v>
      </c>
      <c r="U437" s="89" t="e">
        <f>#REF!</f>
        <v>#REF!</v>
      </c>
      <c r="V437" s="89" t="e">
        <f>#REF!</f>
        <v>#REF!</v>
      </c>
      <c r="W437" s="89" t="e">
        <f>#REF!</f>
        <v>#REF!</v>
      </c>
      <c r="X437" s="89" t="e">
        <f>#REF!</f>
        <v>#REF!</v>
      </c>
      <c r="Y437" s="89" t="e">
        <f>#REF!</f>
        <v>#REF!</v>
      </c>
      <c r="Z437" s="89" t="e">
        <f>#REF!</f>
        <v>#REF!</v>
      </c>
      <c r="AA437" s="89" t="e">
        <f>#REF!</f>
        <v>#REF!</v>
      </c>
      <c r="AB437" s="89" t="e">
        <f>#REF!</f>
        <v>#REF!</v>
      </c>
      <c r="AC437" s="89" t="e">
        <f>#REF!</f>
        <v>#REF!</v>
      </c>
      <c r="AD437" s="89" t="e">
        <f>#REF!</f>
        <v>#REF!</v>
      </c>
      <c r="AE437" s="89" t="e">
        <f>#REF!</f>
        <v>#REF!</v>
      </c>
      <c r="AF437" s="89" t="e">
        <f>#REF!</f>
        <v>#REF!</v>
      </c>
      <c r="AG437" s="89" t="e">
        <f>#REF!</f>
        <v>#REF!</v>
      </c>
      <c r="AH437" s="89" t="e">
        <f>#REF!</f>
        <v>#REF!</v>
      </c>
      <c r="AI437" s="89" t="e">
        <f>#REF!</f>
        <v>#REF!</v>
      </c>
      <c r="AJ437" s="89" t="e">
        <f>#REF!</f>
        <v>#REF!</v>
      </c>
      <c r="AK437" s="89" t="e">
        <f>#REF!</f>
        <v>#REF!</v>
      </c>
      <c r="AL437" s="89" t="e">
        <f>#REF!</f>
        <v>#REF!</v>
      </c>
      <c r="AM437" s="89" t="e">
        <f>#REF!</f>
        <v>#REF!</v>
      </c>
      <c r="AN437" s="89" t="e">
        <f>#REF!</f>
        <v>#REF!</v>
      </c>
      <c r="AO437" s="89" t="e">
        <f>#REF!</f>
        <v>#REF!</v>
      </c>
      <c r="AP437" s="89" t="e">
        <f>#REF!</f>
        <v>#REF!</v>
      </c>
      <c r="AQ437" s="89" t="e">
        <f>#REF!</f>
        <v>#REF!</v>
      </c>
      <c r="AR437" s="89" t="e">
        <f>#REF!</f>
        <v>#REF!</v>
      </c>
      <c r="AS437" s="89" t="e">
        <f>#REF!</f>
        <v>#REF!</v>
      </c>
      <c r="AT437" s="89" t="e">
        <f>#REF!</f>
        <v>#REF!</v>
      </c>
      <c r="AU437" s="89" t="e">
        <f>#REF!</f>
        <v>#REF!</v>
      </c>
      <c r="AV437" s="89" t="e">
        <f>#REF!</f>
        <v>#REF!</v>
      </c>
      <c r="AW437" s="89" t="e">
        <f>#REF!</f>
        <v>#REF!</v>
      </c>
      <c r="AX437" s="89" t="e">
        <f>#REF!</f>
        <v>#REF!</v>
      </c>
      <c r="AY437" s="89" t="e">
        <f>#REF!</f>
        <v>#REF!</v>
      </c>
      <c r="AZ437" s="89" t="e">
        <f>#REF!</f>
        <v>#REF!</v>
      </c>
      <c r="BA437" s="89" t="e">
        <f>#REF!</f>
        <v>#REF!</v>
      </c>
      <c r="BB437" s="89" t="e">
        <f>#REF!</f>
        <v>#REF!</v>
      </c>
      <c r="BC437" s="89" t="e">
        <f>#REF!</f>
        <v>#REF!</v>
      </c>
      <c r="BD437" s="89" t="e">
        <f>#REF!</f>
        <v>#REF!</v>
      </c>
      <c r="BE437" s="89" t="e">
        <f>#REF!</f>
        <v>#REF!</v>
      </c>
      <c r="BF437" s="89" t="e">
        <f>#REF!</f>
        <v>#REF!</v>
      </c>
    </row>
    <row r="438" spans="9:58" x14ac:dyDescent="0.25">
      <c r="I438" s="89">
        <f>ABCD!J487</f>
        <v>108.5</v>
      </c>
      <c r="J438" s="89">
        <f>ABCD!K487</f>
        <v>355.88</v>
      </c>
      <c r="K438" s="89">
        <f>ABCD!L487</f>
        <v>0.42134598551747743</v>
      </c>
      <c r="L438" s="89">
        <f>ABCD!M487</f>
        <v>2.3617530169423251E-2</v>
      </c>
      <c r="M438" s="89">
        <f>ABCD!N487</f>
        <v>0.42200737818549799</v>
      </c>
      <c r="N438" s="89" t="e">
        <v>#REF!</v>
      </c>
      <c r="O438" s="89" t="e">
        <v>#REF!</v>
      </c>
      <c r="P438" s="89" t="e">
        <v>#REF!</v>
      </c>
      <c r="Q438" s="89" t="e">
        <v>#REF!</v>
      </c>
      <c r="R438" s="89" t="e">
        <v>#REF!</v>
      </c>
      <c r="S438" s="89" t="e">
        <f>#REF!</f>
        <v>#REF!</v>
      </c>
      <c r="T438" s="89" t="e">
        <f>#REF!</f>
        <v>#REF!</v>
      </c>
      <c r="U438" s="89" t="e">
        <f>#REF!</f>
        <v>#REF!</v>
      </c>
      <c r="V438" s="89" t="e">
        <f>#REF!</f>
        <v>#REF!</v>
      </c>
      <c r="W438" s="89" t="e">
        <f>#REF!</f>
        <v>#REF!</v>
      </c>
      <c r="X438" s="89" t="e">
        <f>#REF!</f>
        <v>#REF!</v>
      </c>
      <c r="Y438" s="89" t="e">
        <f>#REF!</f>
        <v>#REF!</v>
      </c>
      <c r="Z438" s="89" t="e">
        <f>#REF!</f>
        <v>#REF!</v>
      </c>
      <c r="AA438" s="89" t="e">
        <f>#REF!</f>
        <v>#REF!</v>
      </c>
      <c r="AB438" s="89" t="e">
        <f>#REF!</f>
        <v>#REF!</v>
      </c>
      <c r="AC438" s="89" t="e">
        <f>#REF!</f>
        <v>#REF!</v>
      </c>
      <c r="AD438" s="89" t="e">
        <f>#REF!</f>
        <v>#REF!</v>
      </c>
      <c r="AE438" s="89" t="e">
        <f>#REF!</f>
        <v>#REF!</v>
      </c>
      <c r="AF438" s="89" t="e">
        <f>#REF!</f>
        <v>#REF!</v>
      </c>
      <c r="AG438" s="89" t="e">
        <f>#REF!</f>
        <v>#REF!</v>
      </c>
      <c r="AH438" s="89" t="e">
        <f>#REF!</f>
        <v>#REF!</v>
      </c>
      <c r="AI438" s="89" t="e">
        <f>#REF!</f>
        <v>#REF!</v>
      </c>
      <c r="AJ438" s="89" t="e">
        <f>#REF!</f>
        <v>#REF!</v>
      </c>
      <c r="AK438" s="89" t="e">
        <f>#REF!</f>
        <v>#REF!</v>
      </c>
      <c r="AL438" s="89" t="e">
        <f>#REF!</f>
        <v>#REF!</v>
      </c>
      <c r="AM438" s="89" t="e">
        <f>#REF!</f>
        <v>#REF!</v>
      </c>
      <c r="AN438" s="89" t="e">
        <f>#REF!</f>
        <v>#REF!</v>
      </c>
      <c r="AO438" s="89" t="e">
        <f>#REF!</f>
        <v>#REF!</v>
      </c>
      <c r="AP438" s="89" t="e">
        <f>#REF!</f>
        <v>#REF!</v>
      </c>
      <c r="AQ438" s="89" t="e">
        <f>#REF!</f>
        <v>#REF!</v>
      </c>
      <c r="AR438" s="89" t="e">
        <f>#REF!</f>
        <v>#REF!</v>
      </c>
      <c r="AS438" s="89" t="e">
        <f>#REF!</f>
        <v>#REF!</v>
      </c>
      <c r="AT438" s="89" t="e">
        <f>#REF!</f>
        <v>#REF!</v>
      </c>
      <c r="AU438" s="89" t="e">
        <f>#REF!</f>
        <v>#REF!</v>
      </c>
      <c r="AV438" s="89" t="e">
        <f>#REF!</f>
        <v>#REF!</v>
      </c>
      <c r="AW438" s="89" t="e">
        <f>#REF!</f>
        <v>#REF!</v>
      </c>
      <c r="AX438" s="89" t="e">
        <f>#REF!</f>
        <v>#REF!</v>
      </c>
      <c r="AY438" s="89" t="e">
        <f>#REF!</f>
        <v>#REF!</v>
      </c>
      <c r="AZ438" s="89" t="e">
        <f>#REF!</f>
        <v>#REF!</v>
      </c>
      <c r="BA438" s="89" t="e">
        <f>#REF!</f>
        <v>#REF!</v>
      </c>
      <c r="BB438" s="89" t="e">
        <f>#REF!</f>
        <v>#REF!</v>
      </c>
      <c r="BC438" s="89" t="e">
        <f>#REF!</f>
        <v>#REF!</v>
      </c>
      <c r="BD438" s="89" t="e">
        <f>#REF!</f>
        <v>#REF!</v>
      </c>
      <c r="BE438" s="89" t="e">
        <f>#REF!</f>
        <v>#REF!</v>
      </c>
      <c r="BF438" s="89" t="e">
        <f>#REF!</f>
        <v>#REF!</v>
      </c>
    </row>
    <row r="439" spans="9:58" x14ac:dyDescent="0.25">
      <c r="I439" s="89">
        <f>ABCD!J488</f>
        <v>108.75</v>
      </c>
      <c r="J439" s="89">
        <f>ABCD!K488</f>
        <v>356.7</v>
      </c>
      <c r="K439" s="89">
        <f>ABCD!L488</f>
        <v>0.50873183022437063</v>
      </c>
      <c r="L439" s="89">
        <f>ABCD!M488</f>
        <v>3.9610816356176137E-2</v>
      </c>
      <c r="M439" s="89">
        <f>ABCD!N488</f>
        <v>0.51027158636929859</v>
      </c>
      <c r="N439" s="89" t="e">
        <v>#REF!</v>
      </c>
      <c r="O439" s="89" t="e">
        <v>#REF!</v>
      </c>
      <c r="P439" s="89" t="e">
        <v>#REF!</v>
      </c>
      <c r="Q439" s="89" t="e">
        <v>#REF!</v>
      </c>
      <c r="R439" s="89" t="e">
        <v>#REF!</v>
      </c>
      <c r="S439" s="89" t="e">
        <f>#REF!</f>
        <v>#REF!</v>
      </c>
      <c r="T439" s="89" t="e">
        <f>#REF!</f>
        <v>#REF!</v>
      </c>
      <c r="U439" s="89" t="e">
        <f>#REF!</f>
        <v>#REF!</v>
      </c>
      <c r="V439" s="89" t="e">
        <f>#REF!</f>
        <v>#REF!</v>
      </c>
      <c r="W439" s="89" t="e">
        <f>#REF!</f>
        <v>#REF!</v>
      </c>
      <c r="X439" s="89" t="e">
        <f>#REF!</f>
        <v>#REF!</v>
      </c>
      <c r="Y439" s="89" t="e">
        <f>#REF!</f>
        <v>#REF!</v>
      </c>
      <c r="Z439" s="89" t="e">
        <f>#REF!</f>
        <v>#REF!</v>
      </c>
      <c r="AA439" s="89" t="e">
        <f>#REF!</f>
        <v>#REF!</v>
      </c>
      <c r="AB439" s="89" t="e">
        <f>#REF!</f>
        <v>#REF!</v>
      </c>
      <c r="AC439" s="89" t="e">
        <f>#REF!</f>
        <v>#REF!</v>
      </c>
      <c r="AD439" s="89" t="e">
        <f>#REF!</f>
        <v>#REF!</v>
      </c>
      <c r="AE439" s="89" t="e">
        <f>#REF!</f>
        <v>#REF!</v>
      </c>
      <c r="AF439" s="89" t="e">
        <f>#REF!</f>
        <v>#REF!</v>
      </c>
      <c r="AG439" s="89" t="e">
        <f>#REF!</f>
        <v>#REF!</v>
      </c>
      <c r="AH439" s="89" t="e">
        <f>#REF!</f>
        <v>#REF!</v>
      </c>
      <c r="AI439" s="89" t="e">
        <f>#REF!</f>
        <v>#REF!</v>
      </c>
      <c r="AJ439" s="89" t="e">
        <f>#REF!</f>
        <v>#REF!</v>
      </c>
      <c r="AK439" s="89" t="e">
        <f>#REF!</f>
        <v>#REF!</v>
      </c>
      <c r="AL439" s="89" t="e">
        <f>#REF!</f>
        <v>#REF!</v>
      </c>
      <c r="AM439" s="89" t="e">
        <f>#REF!</f>
        <v>#REF!</v>
      </c>
      <c r="AN439" s="89" t="e">
        <f>#REF!</f>
        <v>#REF!</v>
      </c>
      <c r="AO439" s="89" t="e">
        <f>#REF!</f>
        <v>#REF!</v>
      </c>
      <c r="AP439" s="89" t="e">
        <f>#REF!</f>
        <v>#REF!</v>
      </c>
      <c r="AQ439" s="89" t="e">
        <f>#REF!</f>
        <v>#REF!</v>
      </c>
      <c r="AR439" s="89" t="e">
        <f>#REF!</f>
        <v>#REF!</v>
      </c>
      <c r="AS439" s="89" t="e">
        <f>#REF!</f>
        <v>#REF!</v>
      </c>
      <c r="AT439" s="89" t="e">
        <f>#REF!</f>
        <v>#REF!</v>
      </c>
      <c r="AU439" s="89" t="e">
        <f>#REF!</f>
        <v>#REF!</v>
      </c>
      <c r="AV439" s="89" t="e">
        <f>#REF!</f>
        <v>#REF!</v>
      </c>
      <c r="AW439" s="89" t="e">
        <f>#REF!</f>
        <v>#REF!</v>
      </c>
      <c r="AX439" s="89" t="e">
        <f>#REF!</f>
        <v>#REF!</v>
      </c>
      <c r="AY439" s="89" t="e">
        <f>#REF!</f>
        <v>#REF!</v>
      </c>
      <c r="AZ439" s="89" t="e">
        <f>#REF!</f>
        <v>#REF!</v>
      </c>
      <c r="BA439" s="89" t="e">
        <f>#REF!</f>
        <v>#REF!</v>
      </c>
      <c r="BB439" s="89" t="e">
        <f>#REF!</f>
        <v>#REF!</v>
      </c>
      <c r="BC439" s="89" t="e">
        <f>#REF!</f>
        <v>#REF!</v>
      </c>
      <c r="BD439" s="89" t="e">
        <f>#REF!</f>
        <v>#REF!</v>
      </c>
      <c r="BE439" s="89" t="e">
        <f>#REF!</f>
        <v>#REF!</v>
      </c>
      <c r="BF439" s="89" t="e">
        <f>#REF!</f>
        <v>#REF!</v>
      </c>
    </row>
    <row r="440" spans="9:58" x14ac:dyDescent="0.25">
      <c r="I440" s="89">
        <f>ABCD!J489</f>
        <v>109</v>
      </c>
      <c r="J440" s="89">
        <f>ABCD!K489</f>
        <v>357.52</v>
      </c>
      <c r="K440" s="89">
        <f>ABCD!L489</f>
        <v>0.59592162684878547</v>
      </c>
      <c r="L440" s="89">
        <f>ABCD!M489</f>
        <v>5.558057125724547E-2</v>
      </c>
      <c r="M440" s="89">
        <f>ABCD!N489</f>
        <v>0.59850796590136113</v>
      </c>
      <c r="N440" s="89" t="e">
        <v>#REF!</v>
      </c>
      <c r="O440" s="89" t="e">
        <v>#REF!</v>
      </c>
      <c r="P440" s="89" t="e">
        <v>#REF!</v>
      </c>
      <c r="Q440" s="89" t="e">
        <v>#REF!</v>
      </c>
      <c r="R440" s="89" t="e">
        <v>#REF!</v>
      </c>
      <c r="S440" s="89" t="e">
        <f>#REF!</f>
        <v>#REF!</v>
      </c>
      <c r="T440" s="89" t="e">
        <f>#REF!</f>
        <v>#REF!</v>
      </c>
      <c r="U440" s="89" t="e">
        <f>#REF!</f>
        <v>#REF!</v>
      </c>
      <c r="V440" s="89" t="e">
        <f>#REF!</f>
        <v>#REF!</v>
      </c>
      <c r="W440" s="89" t="e">
        <f>#REF!</f>
        <v>#REF!</v>
      </c>
      <c r="X440" s="89" t="e">
        <f>#REF!</f>
        <v>#REF!</v>
      </c>
      <c r="Y440" s="89" t="e">
        <f>#REF!</f>
        <v>#REF!</v>
      </c>
      <c r="Z440" s="89" t="e">
        <f>#REF!</f>
        <v>#REF!</v>
      </c>
      <c r="AA440" s="89" t="e">
        <f>#REF!</f>
        <v>#REF!</v>
      </c>
      <c r="AB440" s="89" t="e">
        <f>#REF!</f>
        <v>#REF!</v>
      </c>
      <c r="AC440" s="89" t="e">
        <f>#REF!</f>
        <v>#REF!</v>
      </c>
      <c r="AD440" s="89" t="e">
        <f>#REF!</f>
        <v>#REF!</v>
      </c>
      <c r="AE440" s="89" t="e">
        <f>#REF!</f>
        <v>#REF!</v>
      </c>
      <c r="AF440" s="89" t="e">
        <f>#REF!</f>
        <v>#REF!</v>
      </c>
      <c r="AG440" s="89" t="e">
        <f>#REF!</f>
        <v>#REF!</v>
      </c>
      <c r="AH440" s="89" t="e">
        <f>#REF!</f>
        <v>#REF!</v>
      </c>
      <c r="AI440" s="89" t="e">
        <f>#REF!</f>
        <v>#REF!</v>
      </c>
      <c r="AJ440" s="89" t="e">
        <f>#REF!</f>
        <v>#REF!</v>
      </c>
      <c r="AK440" s="89" t="e">
        <f>#REF!</f>
        <v>#REF!</v>
      </c>
      <c r="AL440" s="89" t="e">
        <f>#REF!</f>
        <v>#REF!</v>
      </c>
      <c r="AM440" s="89" t="e">
        <f>#REF!</f>
        <v>#REF!</v>
      </c>
      <c r="AN440" s="89" t="e">
        <f>#REF!</f>
        <v>#REF!</v>
      </c>
      <c r="AO440" s="89" t="e">
        <f>#REF!</f>
        <v>#REF!</v>
      </c>
      <c r="AP440" s="89" t="e">
        <f>#REF!</f>
        <v>#REF!</v>
      </c>
      <c r="AQ440" s="89" t="e">
        <f>#REF!</f>
        <v>#REF!</v>
      </c>
      <c r="AR440" s="89" t="e">
        <f>#REF!</f>
        <v>#REF!</v>
      </c>
      <c r="AS440" s="89" t="e">
        <f>#REF!</f>
        <v>#REF!</v>
      </c>
      <c r="AT440" s="89" t="e">
        <f>#REF!</f>
        <v>#REF!</v>
      </c>
      <c r="AU440" s="89" t="e">
        <f>#REF!</f>
        <v>#REF!</v>
      </c>
      <c r="AV440" s="89" t="e">
        <f>#REF!</f>
        <v>#REF!</v>
      </c>
      <c r="AW440" s="89" t="e">
        <f>#REF!</f>
        <v>#REF!</v>
      </c>
      <c r="AX440" s="89" t="e">
        <f>#REF!</f>
        <v>#REF!</v>
      </c>
      <c r="AY440" s="89" t="e">
        <f>#REF!</f>
        <v>#REF!</v>
      </c>
      <c r="AZ440" s="89" t="e">
        <f>#REF!</f>
        <v>#REF!</v>
      </c>
      <c r="BA440" s="89" t="e">
        <f>#REF!</f>
        <v>#REF!</v>
      </c>
      <c r="BB440" s="89" t="e">
        <f>#REF!</f>
        <v>#REF!</v>
      </c>
      <c r="BC440" s="89" t="e">
        <f>#REF!</f>
        <v>#REF!</v>
      </c>
      <c r="BD440" s="89" t="e">
        <f>#REF!</f>
        <v>#REF!</v>
      </c>
      <c r="BE440" s="89" t="e">
        <f>#REF!</f>
        <v>#REF!</v>
      </c>
      <c r="BF440" s="89" t="e">
        <f>#REF!</f>
        <v>#REF!</v>
      </c>
    </row>
    <row r="441" spans="9:58" x14ac:dyDescent="0.25">
      <c r="I441" s="89">
        <f>ABCD!J490</f>
        <v>109.25</v>
      </c>
      <c r="J441" s="89">
        <f>ABCD!K490</f>
        <v>358.34</v>
      </c>
      <c r="K441" s="89">
        <f>ABCD!L490</f>
        <v>0.68289542476818976</v>
      </c>
      <c r="L441" s="89">
        <f>ABCD!M490</f>
        <v>7.1523129565862487E-2</v>
      </c>
      <c r="M441" s="89">
        <f>ABCD!N490</f>
        <v>0.68663070076440758</v>
      </c>
      <c r="N441" s="89" t="e">
        <v>#REF!</v>
      </c>
      <c r="O441" s="89" t="e">
        <v>#REF!</v>
      </c>
      <c r="P441" s="89" t="e">
        <v>#REF!</v>
      </c>
      <c r="Q441" s="89" t="e">
        <v>#REF!</v>
      </c>
      <c r="R441" s="89" t="e">
        <v>#REF!</v>
      </c>
      <c r="S441" s="89" t="e">
        <f>#REF!</f>
        <v>#REF!</v>
      </c>
      <c r="T441" s="89" t="e">
        <f>#REF!</f>
        <v>#REF!</v>
      </c>
      <c r="U441" s="89" t="e">
        <f>#REF!</f>
        <v>#REF!</v>
      </c>
      <c r="V441" s="89" t="e">
        <f>#REF!</f>
        <v>#REF!</v>
      </c>
      <c r="W441" s="89" t="e">
        <f>#REF!</f>
        <v>#REF!</v>
      </c>
      <c r="X441" s="89" t="e">
        <f>#REF!</f>
        <v>#REF!</v>
      </c>
      <c r="Y441" s="89" t="e">
        <f>#REF!</f>
        <v>#REF!</v>
      </c>
      <c r="Z441" s="89" t="e">
        <f>#REF!</f>
        <v>#REF!</v>
      </c>
      <c r="AA441" s="89" t="e">
        <f>#REF!</f>
        <v>#REF!</v>
      </c>
      <c r="AB441" s="89" t="e">
        <f>#REF!</f>
        <v>#REF!</v>
      </c>
      <c r="AC441" s="89" t="e">
        <f>#REF!</f>
        <v>#REF!</v>
      </c>
      <c r="AD441" s="89" t="e">
        <f>#REF!</f>
        <v>#REF!</v>
      </c>
      <c r="AE441" s="89" t="e">
        <f>#REF!</f>
        <v>#REF!</v>
      </c>
      <c r="AF441" s="89" t="e">
        <f>#REF!</f>
        <v>#REF!</v>
      </c>
      <c r="AG441" s="89" t="e">
        <f>#REF!</f>
        <v>#REF!</v>
      </c>
      <c r="AH441" s="89" t="e">
        <f>#REF!</f>
        <v>#REF!</v>
      </c>
      <c r="AI441" s="89" t="e">
        <f>#REF!</f>
        <v>#REF!</v>
      </c>
      <c r="AJ441" s="89" t="e">
        <f>#REF!</f>
        <v>#REF!</v>
      </c>
      <c r="AK441" s="89" t="e">
        <f>#REF!</f>
        <v>#REF!</v>
      </c>
      <c r="AL441" s="89" t="e">
        <f>#REF!</f>
        <v>#REF!</v>
      </c>
      <c r="AM441" s="89" t="e">
        <f>#REF!</f>
        <v>#REF!</v>
      </c>
      <c r="AN441" s="89" t="e">
        <f>#REF!</f>
        <v>#REF!</v>
      </c>
      <c r="AO441" s="89" t="e">
        <f>#REF!</f>
        <v>#REF!</v>
      </c>
      <c r="AP441" s="89" t="e">
        <f>#REF!</f>
        <v>#REF!</v>
      </c>
      <c r="AQ441" s="89" t="e">
        <f>#REF!</f>
        <v>#REF!</v>
      </c>
      <c r="AR441" s="89" t="e">
        <f>#REF!</f>
        <v>#REF!</v>
      </c>
      <c r="AS441" s="89" t="e">
        <f>#REF!</f>
        <v>#REF!</v>
      </c>
      <c r="AT441" s="89" t="e">
        <f>#REF!</f>
        <v>#REF!</v>
      </c>
      <c r="AU441" s="89" t="e">
        <f>#REF!</f>
        <v>#REF!</v>
      </c>
      <c r="AV441" s="89" t="e">
        <f>#REF!</f>
        <v>#REF!</v>
      </c>
      <c r="AW441" s="89" t="e">
        <f>#REF!</f>
        <v>#REF!</v>
      </c>
      <c r="AX441" s="89" t="e">
        <f>#REF!</f>
        <v>#REF!</v>
      </c>
      <c r="AY441" s="89" t="e">
        <f>#REF!</f>
        <v>#REF!</v>
      </c>
      <c r="AZ441" s="89" t="e">
        <f>#REF!</f>
        <v>#REF!</v>
      </c>
      <c r="BA441" s="89" t="e">
        <f>#REF!</f>
        <v>#REF!</v>
      </c>
      <c r="BB441" s="89" t="e">
        <f>#REF!</f>
        <v>#REF!</v>
      </c>
      <c r="BC441" s="89" t="e">
        <f>#REF!</f>
        <v>#REF!</v>
      </c>
      <c r="BD441" s="89" t="e">
        <f>#REF!</f>
        <v>#REF!</v>
      </c>
      <c r="BE441" s="89" t="e">
        <f>#REF!</f>
        <v>#REF!</v>
      </c>
      <c r="BF441" s="89" t="e">
        <f>#REF!</f>
        <v>#REF!</v>
      </c>
    </row>
    <row r="442" spans="9:58" x14ac:dyDescent="0.25">
      <c r="I442" s="89">
        <f>ABCD!J491</f>
        <v>109.5</v>
      </c>
      <c r="J442" s="89">
        <f>ABCD!K491</f>
        <v>359.15999999999997</v>
      </c>
      <c r="K442" s="89">
        <f>ABCD!L491</f>
        <v>0.7696333411688927</v>
      </c>
      <c r="L442" s="89">
        <f>ABCD!M491</f>
        <v>8.7434835550638468E-2</v>
      </c>
      <c r="M442" s="89">
        <f>ABCD!N491</f>
        <v>0.77458397240490351</v>
      </c>
      <c r="N442" s="89" t="e">
        <v>#REF!</v>
      </c>
      <c r="O442" s="89" t="e">
        <v>#REF!</v>
      </c>
      <c r="P442" s="89" t="e">
        <v>#REF!</v>
      </c>
      <c r="Q442" s="89" t="e">
        <v>#REF!</v>
      </c>
      <c r="R442" s="89" t="e">
        <v>#REF!</v>
      </c>
      <c r="S442" s="89" t="e">
        <f>#REF!</f>
        <v>#REF!</v>
      </c>
      <c r="T442" s="89" t="e">
        <f>#REF!</f>
        <v>#REF!</v>
      </c>
      <c r="U442" s="89" t="e">
        <f>#REF!</f>
        <v>#REF!</v>
      </c>
      <c r="V442" s="89" t="e">
        <f>#REF!</f>
        <v>#REF!</v>
      </c>
      <c r="W442" s="89" t="e">
        <f>#REF!</f>
        <v>#REF!</v>
      </c>
      <c r="X442" s="89" t="e">
        <f>#REF!</f>
        <v>#REF!</v>
      </c>
      <c r="Y442" s="89" t="e">
        <f>#REF!</f>
        <v>#REF!</v>
      </c>
      <c r="Z442" s="89" t="e">
        <f>#REF!</f>
        <v>#REF!</v>
      </c>
      <c r="AA442" s="89" t="e">
        <f>#REF!</f>
        <v>#REF!</v>
      </c>
      <c r="AB442" s="89" t="e">
        <f>#REF!</f>
        <v>#REF!</v>
      </c>
      <c r="AC442" s="89" t="e">
        <f>#REF!</f>
        <v>#REF!</v>
      </c>
      <c r="AD442" s="89" t="e">
        <f>#REF!</f>
        <v>#REF!</v>
      </c>
      <c r="AE442" s="89" t="e">
        <f>#REF!</f>
        <v>#REF!</v>
      </c>
      <c r="AF442" s="89" t="e">
        <f>#REF!</f>
        <v>#REF!</v>
      </c>
      <c r="AG442" s="89" t="e">
        <f>#REF!</f>
        <v>#REF!</v>
      </c>
      <c r="AH442" s="89" t="e">
        <f>#REF!</f>
        <v>#REF!</v>
      </c>
      <c r="AI442" s="89" t="e">
        <f>#REF!</f>
        <v>#REF!</v>
      </c>
      <c r="AJ442" s="89" t="e">
        <f>#REF!</f>
        <v>#REF!</v>
      </c>
      <c r="AK442" s="89" t="e">
        <f>#REF!</f>
        <v>#REF!</v>
      </c>
      <c r="AL442" s="89" t="e">
        <f>#REF!</f>
        <v>#REF!</v>
      </c>
      <c r="AM442" s="89" t="e">
        <f>#REF!</f>
        <v>#REF!</v>
      </c>
      <c r="AN442" s="89" t="e">
        <f>#REF!</f>
        <v>#REF!</v>
      </c>
      <c r="AO442" s="89" t="e">
        <f>#REF!</f>
        <v>#REF!</v>
      </c>
      <c r="AP442" s="89" t="e">
        <f>#REF!</f>
        <v>#REF!</v>
      </c>
      <c r="AQ442" s="89" t="e">
        <f>#REF!</f>
        <v>#REF!</v>
      </c>
      <c r="AR442" s="89" t="e">
        <f>#REF!</f>
        <v>#REF!</v>
      </c>
      <c r="AS442" s="89" t="e">
        <f>#REF!</f>
        <v>#REF!</v>
      </c>
      <c r="AT442" s="89" t="e">
        <f>#REF!</f>
        <v>#REF!</v>
      </c>
      <c r="AU442" s="89" t="e">
        <f>#REF!</f>
        <v>#REF!</v>
      </c>
      <c r="AV442" s="89" t="e">
        <f>#REF!</f>
        <v>#REF!</v>
      </c>
      <c r="AW442" s="89" t="e">
        <f>#REF!</f>
        <v>#REF!</v>
      </c>
      <c r="AX442" s="89" t="e">
        <f>#REF!</f>
        <v>#REF!</v>
      </c>
      <c r="AY442" s="89" t="e">
        <f>#REF!</f>
        <v>#REF!</v>
      </c>
      <c r="AZ442" s="89" t="e">
        <f>#REF!</f>
        <v>#REF!</v>
      </c>
      <c r="BA442" s="89" t="e">
        <f>#REF!</f>
        <v>#REF!</v>
      </c>
      <c r="BB442" s="89" t="e">
        <f>#REF!</f>
        <v>#REF!</v>
      </c>
      <c r="BC442" s="89" t="e">
        <f>#REF!</f>
        <v>#REF!</v>
      </c>
      <c r="BD442" s="89" t="e">
        <f>#REF!</f>
        <v>#REF!</v>
      </c>
      <c r="BE442" s="89" t="e">
        <f>#REF!</f>
        <v>#REF!</v>
      </c>
      <c r="BF442" s="89" t="e">
        <f>#REF!</f>
        <v>#REF!</v>
      </c>
    </row>
    <row r="443" spans="9:58" x14ac:dyDescent="0.25">
      <c r="I443" s="89">
        <f>ABCD!J492</f>
        <v>109.75</v>
      </c>
      <c r="J443" s="89">
        <f>ABCD!K492</f>
        <v>359.97999999999996</v>
      </c>
      <c r="K443" s="89">
        <f>ABCD!L492</f>
        <v>0.85611556557485324</v>
      </c>
      <c r="L443" s="89">
        <f>ABCD!M492</f>
        <v>0.10331204389085302</v>
      </c>
      <c r="M443" s="89">
        <f>ABCD!N492</f>
        <v>0.86232664346664856</v>
      </c>
      <c r="N443" s="89" t="e">
        <v>#REF!</v>
      </c>
      <c r="O443" s="89" t="e">
        <v>#REF!</v>
      </c>
      <c r="P443" s="89" t="e">
        <v>#REF!</v>
      </c>
      <c r="Q443" s="89" t="e">
        <v>#REF!</v>
      </c>
      <c r="R443" s="89" t="e">
        <v>#REF!</v>
      </c>
      <c r="S443" s="89" t="e">
        <f>#REF!</f>
        <v>#REF!</v>
      </c>
      <c r="T443" s="89" t="e">
        <f>#REF!</f>
        <v>#REF!</v>
      </c>
      <c r="U443" s="89" t="e">
        <f>#REF!</f>
        <v>#REF!</v>
      </c>
      <c r="V443" s="89" t="e">
        <f>#REF!</f>
        <v>#REF!</v>
      </c>
      <c r="W443" s="89" t="e">
        <f>#REF!</f>
        <v>#REF!</v>
      </c>
      <c r="X443" s="89" t="e">
        <f>#REF!</f>
        <v>#REF!</v>
      </c>
      <c r="Y443" s="89" t="e">
        <f>#REF!</f>
        <v>#REF!</v>
      </c>
      <c r="Z443" s="89" t="e">
        <f>#REF!</f>
        <v>#REF!</v>
      </c>
      <c r="AA443" s="89" t="e">
        <f>#REF!</f>
        <v>#REF!</v>
      </c>
      <c r="AB443" s="89" t="e">
        <f>#REF!</f>
        <v>#REF!</v>
      </c>
      <c r="AC443" s="89" t="e">
        <f>#REF!</f>
        <v>#REF!</v>
      </c>
      <c r="AD443" s="89" t="e">
        <f>#REF!</f>
        <v>#REF!</v>
      </c>
      <c r="AE443" s="89" t="e">
        <f>#REF!</f>
        <v>#REF!</v>
      </c>
      <c r="AF443" s="89" t="e">
        <f>#REF!</f>
        <v>#REF!</v>
      </c>
      <c r="AG443" s="89" t="e">
        <f>#REF!</f>
        <v>#REF!</v>
      </c>
      <c r="AH443" s="89" t="e">
        <f>#REF!</f>
        <v>#REF!</v>
      </c>
      <c r="AI443" s="89" t="e">
        <f>#REF!</f>
        <v>#REF!</v>
      </c>
      <c r="AJ443" s="89" t="e">
        <f>#REF!</f>
        <v>#REF!</v>
      </c>
      <c r="AK443" s="89" t="e">
        <f>#REF!</f>
        <v>#REF!</v>
      </c>
      <c r="AL443" s="89" t="e">
        <f>#REF!</f>
        <v>#REF!</v>
      </c>
      <c r="AM443" s="89" t="e">
        <f>#REF!</f>
        <v>#REF!</v>
      </c>
      <c r="AN443" s="89" t="e">
        <f>#REF!</f>
        <v>#REF!</v>
      </c>
      <c r="AO443" s="89" t="e">
        <f>#REF!</f>
        <v>#REF!</v>
      </c>
      <c r="AP443" s="89" t="e">
        <f>#REF!</f>
        <v>#REF!</v>
      </c>
      <c r="AQ443" s="89" t="e">
        <f>#REF!</f>
        <v>#REF!</v>
      </c>
      <c r="AR443" s="89" t="e">
        <f>#REF!</f>
        <v>#REF!</v>
      </c>
      <c r="AS443" s="89" t="e">
        <f>#REF!</f>
        <v>#REF!</v>
      </c>
      <c r="AT443" s="89" t="e">
        <f>#REF!</f>
        <v>#REF!</v>
      </c>
      <c r="AU443" s="89" t="e">
        <f>#REF!</f>
        <v>#REF!</v>
      </c>
      <c r="AV443" s="89" t="e">
        <f>#REF!</f>
        <v>#REF!</v>
      </c>
      <c r="AW443" s="89" t="e">
        <f>#REF!</f>
        <v>#REF!</v>
      </c>
      <c r="AX443" s="89" t="e">
        <f>#REF!</f>
        <v>#REF!</v>
      </c>
      <c r="AY443" s="89" t="e">
        <f>#REF!</f>
        <v>#REF!</v>
      </c>
      <c r="AZ443" s="89" t="e">
        <f>#REF!</f>
        <v>#REF!</v>
      </c>
      <c r="BA443" s="89" t="e">
        <f>#REF!</f>
        <v>#REF!</v>
      </c>
      <c r="BB443" s="89" t="e">
        <f>#REF!</f>
        <v>#REF!</v>
      </c>
      <c r="BC443" s="89" t="e">
        <f>#REF!</f>
        <v>#REF!</v>
      </c>
      <c r="BD443" s="89" t="e">
        <f>#REF!</f>
        <v>#REF!</v>
      </c>
      <c r="BE443" s="89" t="e">
        <f>#REF!</f>
        <v>#REF!</v>
      </c>
      <c r="BF443" s="89" t="e">
        <f>#REF!</f>
        <v>#REF!</v>
      </c>
    </row>
    <row r="444" spans="9:58" x14ac:dyDescent="0.25">
      <c r="I444" s="89">
        <f>ABCD!J493</f>
        <v>110</v>
      </c>
      <c r="J444" s="89">
        <f>ABCD!K493</f>
        <v>360.79999999999995</v>
      </c>
      <c r="K444" s="89">
        <f>ABCD!L493</f>
        <v>0.94232236435562966</v>
      </c>
      <c r="L444" s="89">
        <f>ABCD!M493</f>
        <v>0.11915112050856624</v>
      </c>
      <c r="M444" s="89">
        <f>ABCD!N493</f>
        <v>0.94982547232806458</v>
      </c>
      <c r="N444" s="89" t="e">
        <v>#REF!</v>
      </c>
      <c r="O444" s="89" t="e">
        <v>#REF!</v>
      </c>
      <c r="P444" s="89" t="e">
        <v>#REF!</v>
      </c>
      <c r="Q444" s="89" t="e">
        <v>#REF!</v>
      </c>
      <c r="R444" s="89" t="e">
        <v>#REF!</v>
      </c>
      <c r="S444" s="89" t="e">
        <f>#REF!</f>
        <v>#REF!</v>
      </c>
      <c r="T444" s="89" t="e">
        <f>#REF!</f>
        <v>#REF!</v>
      </c>
      <c r="U444" s="89" t="e">
        <f>#REF!</f>
        <v>#REF!</v>
      </c>
      <c r="V444" s="89" t="e">
        <f>#REF!</f>
        <v>#REF!</v>
      </c>
      <c r="W444" s="89" t="e">
        <f>#REF!</f>
        <v>#REF!</v>
      </c>
      <c r="X444" s="89" t="e">
        <f>#REF!</f>
        <v>#REF!</v>
      </c>
      <c r="Y444" s="89" t="e">
        <f>#REF!</f>
        <v>#REF!</v>
      </c>
      <c r="Z444" s="89" t="e">
        <f>#REF!</f>
        <v>#REF!</v>
      </c>
      <c r="AA444" s="89" t="e">
        <f>#REF!</f>
        <v>#REF!</v>
      </c>
      <c r="AB444" s="89" t="e">
        <f>#REF!</f>
        <v>#REF!</v>
      </c>
      <c r="AC444" s="89" t="e">
        <f>#REF!</f>
        <v>#REF!</v>
      </c>
      <c r="AD444" s="89" t="e">
        <f>#REF!</f>
        <v>#REF!</v>
      </c>
      <c r="AE444" s="89" t="e">
        <f>#REF!</f>
        <v>#REF!</v>
      </c>
      <c r="AF444" s="89" t="e">
        <f>#REF!</f>
        <v>#REF!</v>
      </c>
      <c r="AG444" s="89" t="e">
        <f>#REF!</f>
        <v>#REF!</v>
      </c>
      <c r="AH444" s="89" t="e">
        <f>#REF!</f>
        <v>#REF!</v>
      </c>
      <c r="AI444" s="89" t="e">
        <f>#REF!</f>
        <v>#REF!</v>
      </c>
      <c r="AJ444" s="89" t="e">
        <f>#REF!</f>
        <v>#REF!</v>
      </c>
      <c r="AK444" s="89" t="e">
        <f>#REF!</f>
        <v>#REF!</v>
      </c>
      <c r="AL444" s="89" t="e">
        <f>#REF!</f>
        <v>#REF!</v>
      </c>
      <c r="AM444" s="89" t="e">
        <f>#REF!</f>
        <v>#REF!</v>
      </c>
      <c r="AN444" s="89" t="e">
        <f>#REF!</f>
        <v>#REF!</v>
      </c>
      <c r="AO444" s="89" t="e">
        <f>#REF!</f>
        <v>#REF!</v>
      </c>
      <c r="AP444" s="89" t="e">
        <f>#REF!</f>
        <v>#REF!</v>
      </c>
      <c r="AQ444" s="89" t="e">
        <f>#REF!</f>
        <v>#REF!</v>
      </c>
      <c r="AR444" s="89" t="e">
        <f>#REF!</f>
        <v>#REF!</v>
      </c>
      <c r="AS444" s="89" t="e">
        <f>#REF!</f>
        <v>#REF!</v>
      </c>
      <c r="AT444" s="89" t="e">
        <f>#REF!</f>
        <v>#REF!</v>
      </c>
      <c r="AU444" s="89" t="e">
        <f>#REF!</f>
        <v>#REF!</v>
      </c>
      <c r="AV444" s="89" t="e">
        <f>#REF!</f>
        <v>#REF!</v>
      </c>
      <c r="AW444" s="89" t="e">
        <f>#REF!</f>
        <v>#REF!</v>
      </c>
      <c r="AX444" s="89" t="e">
        <f>#REF!</f>
        <v>#REF!</v>
      </c>
      <c r="AY444" s="89" t="e">
        <f>#REF!</f>
        <v>#REF!</v>
      </c>
      <c r="AZ444" s="89" t="e">
        <f>#REF!</f>
        <v>#REF!</v>
      </c>
      <c r="BA444" s="89" t="e">
        <f>#REF!</f>
        <v>#REF!</v>
      </c>
      <c r="BB444" s="89" t="e">
        <f>#REF!</f>
        <v>#REF!</v>
      </c>
      <c r="BC444" s="89" t="e">
        <f>#REF!</f>
        <v>#REF!</v>
      </c>
      <c r="BD444" s="89" t="e">
        <f>#REF!</f>
        <v>#REF!</v>
      </c>
      <c r="BE444" s="89" t="e">
        <f>#REF!</f>
        <v>#REF!</v>
      </c>
      <c r="BF444" s="89" t="e">
        <f>#REF!</f>
        <v>#REF!</v>
      </c>
    </row>
    <row r="445" spans="9:58" x14ac:dyDescent="0.25">
      <c r="I445" s="89">
        <f>ABCD!J494</f>
        <v>110.25</v>
      </c>
      <c r="J445" s="89">
        <f>ABCD!K494</f>
        <v>361.62</v>
      </c>
      <c r="K445" s="89">
        <f>ABCD!L494</f>
        <v>1.0282340852126104</v>
      </c>
      <c r="L445" s="89">
        <f>ABCD!M494</f>
        <v>0.13494844339740331</v>
      </c>
      <c r="M445" s="89">
        <f>ABCD!N494</f>
        <v>1.0370517905911913</v>
      </c>
      <c r="N445" s="89" t="e">
        <v>#REF!</v>
      </c>
      <c r="O445" s="89" t="e">
        <v>#REF!</v>
      </c>
      <c r="P445" s="89" t="e">
        <v>#REF!</v>
      </c>
      <c r="Q445" s="89" t="e">
        <v>#REF!</v>
      </c>
      <c r="R445" s="89" t="e">
        <v>#REF!</v>
      </c>
      <c r="S445" s="89" t="e">
        <f>#REF!</f>
        <v>#REF!</v>
      </c>
      <c r="T445" s="89" t="e">
        <f>#REF!</f>
        <v>#REF!</v>
      </c>
      <c r="U445" s="89" t="e">
        <f>#REF!</f>
        <v>#REF!</v>
      </c>
      <c r="V445" s="89" t="e">
        <f>#REF!</f>
        <v>#REF!</v>
      </c>
      <c r="W445" s="89" t="e">
        <f>#REF!</f>
        <v>#REF!</v>
      </c>
      <c r="X445" s="89" t="e">
        <f>#REF!</f>
        <v>#REF!</v>
      </c>
      <c r="Y445" s="89" t="e">
        <f>#REF!</f>
        <v>#REF!</v>
      </c>
      <c r="Z445" s="89" t="e">
        <f>#REF!</f>
        <v>#REF!</v>
      </c>
      <c r="AA445" s="89" t="e">
        <f>#REF!</f>
        <v>#REF!</v>
      </c>
      <c r="AB445" s="89" t="e">
        <f>#REF!</f>
        <v>#REF!</v>
      </c>
      <c r="AC445" s="89" t="e">
        <f>#REF!</f>
        <v>#REF!</v>
      </c>
      <c r="AD445" s="89" t="e">
        <f>#REF!</f>
        <v>#REF!</v>
      </c>
      <c r="AE445" s="89" t="e">
        <f>#REF!</f>
        <v>#REF!</v>
      </c>
      <c r="AF445" s="89" t="e">
        <f>#REF!</f>
        <v>#REF!</v>
      </c>
      <c r="AG445" s="89" t="e">
        <f>#REF!</f>
        <v>#REF!</v>
      </c>
      <c r="AH445" s="89" t="e">
        <f>#REF!</f>
        <v>#REF!</v>
      </c>
      <c r="AI445" s="89" t="e">
        <f>#REF!</f>
        <v>#REF!</v>
      </c>
      <c r="AJ445" s="89" t="e">
        <f>#REF!</f>
        <v>#REF!</v>
      </c>
      <c r="AK445" s="89" t="e">
        <f>#REF!</f>
        <v>#REF!</v>
      </c>
      <c r="AL445" s="89" t="e">
        <f>#REF!</f>
        <v>#REF!</v>
      </c>
      <c r="AM445" s="89" t="e">
        <f>#REF!</f>
        <v>#REF!</v>
      </c>
      <c r="AN445" s="89" t="e">
        <f>#REF!</f>
        <v>#REF!</v>
      </c>
      <c r="AO445" s="89" t="e">
        <f>#REF!</f>
        <v>#REF!</v>
      </c>
      <c r="AP445" s="89" t="e">
        <f>#REF!</f>
        <v>#REF!</v>
      </c>
      <c r="AQ445" s="89" t="e">
        <f>#REF!</f>
        <v>#REF!</v>
      </c>
      <c r="AR445" s="89" t="e">
        <f>#REF!</f>
        <v>#REF!</v>
      </c>
      <c r="AS445" s="89" t="e">
        <f>#REF!</f>
        <v>#REF!</v>
      </c>
      <c r="AT445" s="89" t="e">
        <f>#REF!</f>
        <v>#REF!</v>
      </c>
      <c r="AU445" s="89" t="e">
        <f>#REF!</f>
        <v>#REF!</v>
      </c>
      <c r="AV445" s="89" t="e">
        <f>#REF!</f>
        <v>#REF!</v>
      </c>
      <c r="AW445" s="89" t="e">
        <f>#REF!</f>
        <v>#REF!</v>
      </c>
      <c r="AX445" s="89" t="e">
        <f>#REF!</f>
        <v>#REF!</v>
      </c>
      <c r="AY445" s="89" t="e">
        <f>#REF!</f>
        <v>#REF!</v>
      </c>
      <c r="AZ445" s="89" t="e">
        <f>#REF!</f>
        <v>#REF!</v>
      </c>
      <c r="BA445" s="89" t="e">
        <f>#REF!</f>
        <v>#REF!</v>
      </c>
      <c r="BB445" s="89" t="e">
        <f>#REF!</f>
        <v>#REF!</v>
      </c>
      <c r="BC445" s="89" t="e">
        <f>#REF!</f>
        <v>#REF!</v>
      </c>
      <c r="BD445" s="89" t="e">
        <f>#REF!</f>
        <v>#REF!</v>
      </c>
      <c r="BE445" s="89" t="e">
        <f>#REF!</f>
        <v>#REF!</v>
      </c>
      <c r="BF445" s="89" t="e">
        <f>#REF!</f>
        <v>#REF!</v>
      </c>
    </row>
    <row r="446" spans="9:58" x14ac:dyDescent="0.25">
      <c r="I446" s="89">
        <f>ABCD!J495</f>
        <v>110.5</v>
      </c>
      <c r="J446" s="89">
        <f>ABCD!K495</f>
        <v>362.44</v>
      </c>
      <c r="K446" s="89">
        <f>ABCD!L495</f>
        <v>1.1138311616424188</v>
      </c>
      <c r="L446" s="89">
        <f>ABCD!M495</f>
        <v>0.15070040344781299</v>
      </c>
      <c r="M446" s="89">
        <f>ABCD!N495</f>
        <v>1.1239797454781086</v>
      </c>
      <c r="N446" s="89" t="e">
        <v>#REF!</v>
      </c>
      <c r="O446" s="89" t="e">
        <v>#REF!</v>
      </c>
      <c r="P446" s="89" t="e">
        <v>#REF!</v>
      </c>
      <c r="Q446" s="89" t="e">
        <v>#REF!</v>
      </c>
      <c r="R446" s="89" t="e">
        <v>#REF!</v>
      </c>
      <c r="S446" s="89" t="e">
        <f>#REF!</f>
        <v>#REF!</v>
      </c>
      <c r="T446" s="89" t="e">
        <f>#REF!</f>
        <v>#REF!</v>
      </c>
      <c r="U446" s="89" t="e">
        <f>#REF!</f>
        <v>#REF!</v>
      </c>
      <c r="V446" s="89" t="e">
        <f>#REF!</f>
        <v>#REF!</v>
      </c>
      <c r="W446" s="89" t="e">
        <f>#REF!</f>
        <v>#REF!</v>
      </c>
      <c r="X446" s="89" t="e">
        <f>#REF!</f>
        <v>#REF!</v>
      </c>
      <c r="Y446" s="89" t="e">
        <f>#REF!</f>
        <v>#REF!</v>
      </c>
      <c r="Z446" s="89" t="e">
        <f>#REF!</f>
        <v>#REF!</v>
      </c>
      <c r="AA446" s="89" t="e">
        <f>#REF!</f>
        <v>#REF!</v>
      </c>
      <c r="AB446" s="89" t="e">
        <f>#REF!</f>
        <v>#REF!</v>
      </c>
      <c r="AC446" s="89" t="e">
        <f>#REF!</f>
        <v>#REF!</v>
      </c>
      <c r="AD446" s="89" t="e">
        <f>#REF!</f>
        <v>#REF!</v>
      </c>
      <c r="AE446" s="89" t="e">
        <f>#REF!</f>
        <v>#REF!</v>
      </c>
      <c r="AF446" s="89" t="e">
        <f>#REF!</f>
        <v>#REF!</v>
      </c>
      <c r="AG446" s="89" t="e">
        <f>#REF!</f>
        <v>#REF!</v>
      </c>
      <c r="AH446" s="89" t="e">
        <f>#REF!</f>
        <v>#REF!</v>
      </c>
      <c r="AI446" s="89" t="e">
        <f>#REF!</f>
        <v>#REF!</v>
      </c>
      <c r="AJ446" s="89" t="e">
        <f>#REF!</f>
        <v>#REF!</v>
      </c>
      <c r="AK446" s="89" t="e">
        <f>#REF!</f>
        <v>#REF!</v>
      </c>
      <c r="AL446" s="89" t="e">
        <f>#REF!</f>
        <v>#REF!</v>
      </c>
      <c r="AM446" s="89" t="e">
        <f>#REF!</f>
        <v>#REF!</v>
      </c>
      <c r="AN446" s="89" t="e">
        <f>#REF!</f>
        <v>#REF!</v>
      </c>
      <c r="AO446" s="89" t="e">
        <f>#REF!</f>
        <v>#REF!</v>
      </c>
      <c r="AP446" s="89" t="e">
        <f>#REF!</f>
        <v>#REF!</v>
      </c>
      <c r="AQ446" s="89" t="e">
        <f>#REF!</f>
        <v>#REF!</v>
      </c>
      <c r="AR446" s="89" t="e">
        <f>#REF!</f>
        <v>#REF!</v>
      </c>
      <c r="AS446" s="89" t="e">
        <f>#REF!</f>
        <v>#REF!</v>
      </c>
      <c r="AT446" s="89" t="e">
        <f>#REF!</f>
        <v>#REF!</v>
      </c>
      <c r="AU446" s="89" t="e">
        <f>#REF!</f>
        <v>#REF!</v>
      </c>
      <c r="AV446" s="89" t="e">
        <f>#REF!</f>
        <v>#REF!</v>
      </c>
      <c r="AW446" s="89" t="e">
        <f>#REF!</f>
        <v>#REF!</v>
      </c>
      <c r="AX446" s="89" t="e">
        <f>#REF!</f>
        <v>#REF!</v>
      </c>
      <c r="AY446" s="89" t="e">
        <f>#REF!</f>
        <v>#REF!</v>
      </c>
      <c r="AZ446" s="89" t="e">
        <f>#REF!</f>
        <v>#REF!</v>
      </c>
      <c r="BA446" s="89" t="e">
        <f>#REF!</f>
        <v>#REF!</v>
      </c>
      <c r="BB446" s="89" t="e">
        <f>#REF!</f>
        <v>#REF!</v>
      </c>
      <c r="BC446" s="89" t="e">
        <f>#REF!</f>
        <v>#REF!</v>
      </c>
      <c r="BD446" s="89" t="e">
        <f>#REF!</f>
        <v>#REF!</v>
      </c>
      <c r="BE446" s="89" t="e">
        <f>#REF!</f>
        <v>#REF!</v>
      </c>
      <c r="BF446" s="89" t="e">
        <f>#REF!</f>
        <v>#REF!</v>
      </c>
    </row>
    <row r="447" spans="9:58" x14ac:dyDescent="0.25">
      <c r="I447" s="89">
        <f>ABCD!J496</f>
        <v>110.75</v>
      </c>
      <c r="J447" s="89">
        <f>ABCD!K496</f>
        <v>363.26</v>
      </c>
      <c r="K447" s="89">
        <f>ABCD!L496</f>
        <v>1.1990941173764433</v>
      </c>
      <c r="L447" s="89">
        <f>ABCD!M496</f>
        <v>0.16640340526857722</v>
      </c>
      <c r="M447" s="89">
        <f>ABCD!N496</f>
        <v>1.2105853111663671</v>
      </c>
      <c r="N447" s="89" t="e">
        <v>#REF!</v>
      </c>
      <c r="O447" s="89" t="e">
        <v>#REF!</v>
      </c>
      <c r="P447" s="89" t="e">
        <v>#REF!</v>
      </c>
      <c r="Q447" s="89" t="e">
        <v>#REF!</v>
      </c>
      <c r="R447" s="89" t="e">
        <v>#REF!</v>
      </c>
      <c r="S447" s="89" t="e">
        <f>#REF!</f>
        <v>#REF!</v>
      </c>
      <c r="T447" s="89" t="e">
        <f>#REF!</f>
        <v>#REF!</v>
      </c>
      <c r="U447" s="89" t="e">
        <f>#REF!</f>
        <v>#REF!</v>
      </c>
      <c r="V447" s="89" t="e">
        <f>#REF!</f>
        <v>#REF!</v>
      </c>
      <c r="W447" s="89" t="e">
        <f>#REF!</f>
        <v>#REF!</v>
      </c>
      <c r="X447" s="89" t="e">
        <f>#REF!</f>
        <v>#REF!</v>
      </c>
      <c r="Y447" s="89" t="e">
        <f>#REF!</f>
        <v>#REF!</v>
      </c>
      <c r="Z447" s="89" t="e">
        <f>#REF!</f>
        <v>#REF!</v>
      </c>
      <c r="AA447" s="89" t="e">
        <f>#REF!</f>
        <v>#REF!</v>
      </c>
      <c r="AB447" s="89" t="e">
        <f>#REF!</f>
        <v>#REF!</v>
      </c>
      <c r="AC447" s="89" t="e">
        <f>#REF!</f>
        <v>#REF!</v>
      </c>
      <c r="AD447" s="89" t="e">
        <f>#REF!</f>
        <v>#REF!</v>
      </c>
      <c r="AE447" s="89" t="e">
        <f>#REF!</f>
        <v>#REF!</v>
      </c>
      <c r="AF447" s="89" t="e">
        <f>#REF!</f>
        <v>#REF!</v>
      </c>
      <c r="AG447" s="89" t="e">
        <f>#REF!</f>
        <v>#REF!</v>
      </c>
      <c r="AH447" s="89" t="e">
        <f>#REF!</f>
        <v>#REF!</v>
      </c>
      <c r="AI447" s="89" t="e">
        <f>#REF!</f>
        <v>#REF!</v>
      </c>
      <c r="AJ447" s="89" t="e">
        <f>#REF!</f>
        <v>#REF!</v>
      </c>
      <c r="AK447" s="89" t="e">
        <f>#REF!</f>
        <v>#REF!</v>
      </c>
      <c r="AL447" s="89" t="e">
        <f>#REF!</f>
        <v>#REF!</v>
      </c>
      <c r="AM447" s="89" t="e">
        <f>#REF!</f>
        <v>#REF!</v>
      </c>
      <c r="AN447" s="89" t="e">
        <f>#REF!</f>
        <v>#REF!</v>
      </c>
      <c r="AO447" s="89" t="e">
        <f>#REF!</f>
        <v>#REF!</v>
      </c>
      <c r="AP447" s="89" t="e">
        <f>#REF!</f>
        <v>#REF!</v>
      </c>
      <c r="AQ447" s="89" t="e">
        <f>#REF!</f>
        <v>#REF!</v>
      </c>
      <c r="AR447" s="89" t="e">
        <f>#REF!</f>
        <v>#REF!</v>
      </c>
      <c r="AS447" s="89" t="e">
        <f>#REF!</f>
        <v>#REF!</v>
      </c>
      <c r="AT447" s="89" t="e">
        <f>#REF!</f>
        <v>#REF!</v>
      </c>
      <c r="AU447" s="89" t="e">
        <f>#REF!</f>
        <v>#REF!</v>
      </c>
      <c r="AV447" s="89" t="e">
        <f>#REF!</f>
        <v>#REF!</v>
      </c>
      <c r="AW447" s="89" t="e">
        <f>#REF!</f>
        <v>#REF!</v>
      </c>
      <c r="AX447" s="89" t="e">
        <f>#REF!</f>
        <v>#REF!</v>
      </c>
      <c r="AY447" s="89" t="e">
        <f>#REF!</f>
        <v>#REF!</v>
      </c>
      <c r="AZ447" s="89" t="e">
        <f>#REF!</f>
        <v>#REF!</v>
      </c>
      <c r="BA447" s="89" t="e">
        <f>#REF!</f>
        <v>#REF!</v>
      </c>
      <c r="BB447" s="89" t="e">
        <f>#REF!</f>
        <v>#REF!</v>
      </c>
      <c r="BC447" s="89" t="e">
        <f>#REF!</f>
        <v>#REF!</v>
      </c>
      <c r="BD447" s="89" t="e">
        <f>#REF!</f>
        <v>#REF!</v>
      </c>
      <c r="BE447" s="89" t="e">
        <f>#REF!</f>
        <v>#REF!</v>
      </c>
      <c r="BF447" s="89" t="e">
        <f>#REF!</f>
        <v>#REF!</v>
      </c>
    </row>
    <row r="448" spans="9:58" x14ac:dyDescent="0.25">
      <c r="I448" s="89">
        <f>ABCD!J497</f>
        <v>111</v>
      </c>
      <c r="J448" s="89">
        <f>ABCD!K497</f>
        <v>364.08</v>
      </c>
      <c r="K448" s="89">
        <f>ABCD!L497</f>
        <v>1.2840035707956163</v>
      </c>
      <c r="L448" s="89">
        <f>ABCD!M497</f>
        <v>0.18205386800445256</v>
      </c>
      <c r="M448" s="89">
        <f>ABCD!N497</f>
        <v>1.2968457042652668</v>
      </c>
      <c r="N448" s="89" t="e">
        <v>#REF!</v>
      </c>
      <c r="O448" s="89" t="e">
        <v>#REF!</v>
      </c>
      <c r="P448" s="89" t="e">
        <v>#REF!</v>
      </c>
      <c r="Q448" s="89" t="e">
        <v>#REF!</v>
      </c>
      <c r="R448" s="89" t="e">
        <v>#REF!</v>
      </c>
      <c r="S448" s="89" t="e">
        <f>#REF!</f>
        <v>#REF!</v>
      </c>
      <c r="T448" s="89" t="e">
        <f>#REF!</f>
        <v>#REF!</v>
      </c>
      <c r="U448" s="89" t="e">
        <f>#REF!</f>
        <v>#REF!</v>
      </c>
      <c r="V448" s="89" t="e">
        <f>#REF!</f>
        <v>#REF!</v>
      </c>
      <c r="W448" s="89" t="e">
        <f>#REF!</f>
        <v>#REF!</v>
      </c>
      <c r="X448" s="89" t="e">
        <f>#REF!</f>
        <v>#REF!</v>
      </c>
      <c r="Y448" s="89" t="e">
        <f>#REF!</f>
        <v>#REF!</v>
      </c>
      <c r="Z448" s="89" t="e">
        <f>#REF!</f>
        <v>#REF!</v>
      </c>
      <c r="AA448" s="89" t="e">
        <f>#REF!</f>
        <v>#REF!</v>
      </c>
      <c r="AB448" s="89" t="e">
        <f>#REF!</f>
        <v>#REF!</v>
      </c>
      <c r="AC448" s="89" t="e">
        <f>#REF!</f>
        <v>#REF!</v>
      </c>
      <c r="AD448" s="89" t="e">
        <f>#REF!</f>
        <v>#REF!</v>
      </c>
      <c r="AE448" s="89" t="e">
        <f>#REF!</f>
        <v>#REF!</v>
      </c>
      <c r="AF448" s="89" t="e">
        <f>#REF!</f>
        <v>#REF!</v>
      </c>
      <c r="AG448" s="89" t="e">
        <f>#REF!</f>
        <v>#REF!</v>
      </c>
      <c r="AH448" s="89" t="e">
        <f>#REF!</f>
        <v>#REF!</v>
      </c>
      <c r="AI448" s="89" t="e">
        <f>#REF!</f>
        <v>#REF!</v>
      </c>
      <c r="AJ448" s="89" t="e">
        <f>#REF!</f>
        <v>#REF!</v>
      </c>
      <c r="AK448" s="89" t="e">
        <f>#REF!</f>
        <v>#REF!</v>
      </c>
      <c r="AL448" s="89" t="e">
        <f>#REF!</f>
        <v>#REF!</v>
      </c>
      <c r="AM448" s="89" t="e">
        <f>#REF!</f>
        <v>#REF!</v>
      </c>
      <c r="AN448" s="89" t="e">
        <f>#REF!</f>
        <v>#REF!</v>
      </c>
      <c r="AO448" s="89" t="e">
        <f>#REF!</f>
        <v>#REF!</v>
      </c>
      <c r="AP448" s="89" t="e">
        <f>#REF!</f>
        <v>#REF!</v>
      </c>
      <c r="AQ448" s="89" t="e">
        <f>#REF!</f>
        <v>#REF!</v>
      </c>
      <c r="AR448" s="89" t="e">
        <f>#REF!</f>
        <v>#REF!</v>
      </c>
      <c r="AS448" s="89" t="e">
        <f>#REF!</f>
        <v>#REF!</v>
      </c>
      <c r="AT448" s="89" t="e">
        <f>#REF!</f>
        <v>#REF!</v>
      </c>
      <c r="AU448" s="89" t="e">
        <f>#REF!</f>
        <v>#REF!</v>
      </c>
      <c r="AV448" s="89" t="e">
        <f>#REF!</f>
        <v>#REF!</v>
      </c>
      <c r="AW448" s="89" t="e">
        <f>#REF!</f>
        <v>#REF!</v>
      </c>
      <c r="AX448" s="89" t="e">
        <f>#REF!</f>
        <v>#REF!</v>
      </c>
      <c r="AY448" s="89" t="e">
        <f>#REF!</f>
        <v>#REF!</v>
      </c>
      <c r="AZ448" s="89" t="e">
        <f>#REF!</f>
        <v>#REF!</v>
      </c>
      <c r="BA448" s="89" t="e">
        <f>#REF!</f>
        <v>#REF!</v>
      </c>
      <c r="BB448" s="89" t="e">
        <f>#REF!</f>
        <v>#REF!</v>
      </c>
      <c r="BC448" s="89" t="e">
        <f>#REF!</f>
        <v>#REF!</v>
      </c>
      <c r="BD448" s="89" t="e">
        <f>#REF!</f>
        <v>#REF!</v>
      </c>
      <c r="BE448" s="89" t="e">
        <f>#REF!</f>
        <v>#REF!</v>
      </c>
      <c r="BF448" s="89" t="e">
        <f>#REF!</f>
        <v>#REF!</v>
      </c>
    </row>
    <row r="449" spans="9:58" x14ac:dyDescent="0.25">
      <c r="I449" s="89">
        <f>ABCD!J498</f>
        <v>111.25</v>
      </c>
      <c r="J449" s="89">
        <f>ABCD!K498</f>
        <v>364.9</v>
      </c>
      <c r="K449" s="89">
        <f>ABCD!L498</f>
        <v>1.3685402393193515</v>
      </c>
      <c r="L449" s="89">
        <f>ABCD!M498</f>
        <v>0.19764822614969146</v>
      </c>
      <c r="M449" s="89">
        <f>ABCD!N498</f>
        <v>1.382739023798919</v>
      </c>
      <c r="N449" s="89" t="e">
        <v>#REF!</v>
      </c>
      <c r="O449" s="89" t="e">
        <v>#REF!</v>
      </c>
      <c r="P449" s="89" t="e">
        <v>#REF!</v>
      </c>
      <c r="Q449" s="89" t="e">
        <v>#REF!</v>
      </c>
      <c r="R449" s="89" t="e">
        <v>#REF!</v>
      </c>
      <c r="S449" s="89" t="e">
        <f>#REF!</f>
        <v>#REF!</v>
      </c>
      <c r="T449" s="89" t="e">
        <f>#REF!</f>
        <v>#REF!</v>
      </c>
      <c r="U449" s="89" t="e">
        <f>#REF!</f>
        <v>#REF!</v>
      </c>
      <c r="V449" s="89" t="e">
        <f>#REF!</f>
        <v>#REF!</v>
      </c>
      <c r="W449" s="89" t="e">
        <f>#REF!</f>
        <v>#REF!</v>
      </c>
      <c r="X449" s="89" t="e">
        <f>#REF!</f>
        <v>#REF!</v>
      </c>
      <c r="Y449" s="89" t="e">
        <f>#REF!</f>
        <v>#REF!</v>
      </c>
      <c r="Z449" s="89" t="e">
        <f>#REF!</f>
        <v>#REF!</v>
      </c>
      <c r="AA449" s="89" t="e">
        <f>#REF!</f>
        <v>#REF!</v>
      </c>
      <c r="AB449" s="89" t="e">
        <f>#REF!</f>
        <v>#REF!</v>
      </c>
      <c r="AC449" s="89" t="e">
        <f>#REF!</f>
        <v>#REF!</v>
      </c>
      <c r="AD449" s="89" t="e">
        <f>#REF!</f>
        <v>#REF!</v>
      </c>
      <c r="AE449" s="89" t="e">
        <f>#REF!</f>
        <v>#REF!</v>
      </c>
      <c r="AF449" s="89" t="e">
        <f>#REF!</f>
        <v>#REF!</v>
      </c>
      <c r="AG449" s="89" t="e">
        <f>#REF!</f>
        <v>#REF!</v>
      </c>
      <c r="AH449" s="89" t="e">
        <f>#REF!</f>
        <v>#REF!</v>
      </c>
      <c r="AI449" s="89" t="e">
        <f>#REF!</f>
        <v>#REF!</v>
      </c>
      <c r="AJ449" s="89" t="e">
        <f>#REF!</f>
        <v>#REF!</v>
      </c>
      <c r="AK449" s="89" t="e">
        <f>#REF!</f>
        <v>#REF!</v>
      </c>
      <c r="AL449" s="89" t="e">
        <f>#REF!</f>
        <v>#REF!</v>
      </c>
      <c r="AM449" s="89" t="e">
        <f>#REF!</f>
        <v>#REF!</v>
      </c>
      <c r="AN449" s="89" t="e">
        <f>#REF!</f>
        <v>#REF!</v>
      </c>
      <c r="AO449" s="89" t="e">
        <f>#REF!</f>
        <v>#REF!</v>
      </c>
      <c r="AP449" s="89" t="e">
        <f>#REF!</f>
        <v>#REF!</v>
      </c>
      <c r="AQ449" s="89" t="e">
        <f>#REF!</f>
        <v>#REF!</v>
      </c>
      <c r="AR449" s="89" t="e">
        <f>#REF!</f>
        <v>#REF!</v>
      </c>
      <c r="AS449" s="89" t="e">
        <f>#REF!</f>
        <v>#REF!</v>
      </c>
      <c r="AT449" s="89" t="e">
        <f>#REF!</f>
        <v>#REF!</v>
      </c>
      <c r="AU449" s="89" t="e">
        <f>#REF!</f>
        <v>#REF!</v>
      </c>
      <c r="AV449" s="89" t="e">
        <f>#REF!</f>
        <v>#REF!</v>
      </c>
      <c r="AW449" s="89" t="e">
        <f>#REF!</f>
        <v>#REF!</v>
      </c>
      <c r="AX449" s="89" t="e">
        <f>#REF!</f>
        <v>#REF!</v>
      </c>
      <c r="AY449" s="89" t="e">
        <f>#REF!</f>
        <v>#REF!</v>
      </c>
      <c r="AZ449" s="89" t="e">
        <f>#REF!</f>
        <v>#REF!</v>
      </c>
      <c r="BA449" s="89" t="e">
        <f>#REF!</f>
        <v>#REF!</v>
      </c>
      <c r="BB449" s="89" t="e">
        <f>#REF!</f>
        <v>#REF!</v>
      </c>
      <c r="BC449" s="89" t="e">
        <f>#REF!</f>
        <v>#REF!</v>
      </c>
      <c r="BD449" s="89" t="e">
        <f>#REF!</f>
        <v>#REF!</v>
      </c>
      <c r="BE449" s="89" t="e">
        <f>#REF!</f>
        <v>#REF!</v>
      </c>
      <c r="BF449" s="89" t="e">
        <f>#REF!</f>
        <v>#REF!</v>
      </c>
    </row>
    <row r="450" spans="9:58" x14ac:dyDescent="0.25">
      <c r="I450" s="89">
        <f>ABCD!J499</f>
        <v>111.5</v>
      </c>
      <c r="J450" s="89">
        <f>ABCD!K499</f>
        <v>365.71999999999997</v>
      </c>
      <c r="K450" s="89">
        <f>ABCD!L499</f>
        <v>1.4526849437676206</v>
      </c>
      <c r="L450" s="89">
        <f>ABCD!M499</f>
        <v>0.21318293035730118</v>
      </c>
      <c r="M450" s="89">
        <f>ABCD!N499</f>
        <v>1.4682440218318142</v>
      </c>
      <c r="N450" s="89" t="e">
        <v>#REF!</v>
      </c>
      <c r="O450" s="89" t="e">
        <v>#REF!</v>
      </c>
      <c r="P450" s="89" t="e">
        <v>#REF!</v>
      </c>
      <c r="Q450" s="89" t="e">
        <v>#REF!</v>
      </c>
      <c r="R450" s="89" t="e">
        <v>#REF!</v>
      </c>
      <c r="S450" s="89" t="e">
        <f>#REF!</f>
        <v>#REF!</v>
      </c>
      <c r="T450" s="89" t="e">
        <f>#REF!</f>
        <v>#REF!</v>
      </c>
      <c r="U450" s="89" t="e">
        <f>#REF!</f>
        <v>#REF!</v>
      </c>
      <c r="V450" s="89" t="e">
        <f>#REF!</f>
        <v>#REF!</v>
      </c>
      <c r="W450" s="89" t="e">
        <f>#REF!</f>
        <v>#REF!</v>
      </c>
      <c r="X450" s="89" t="e">
        <f>#REF!</f>
        <v>#REF!</v>
      </c>
      <c r="Y450" s="89" t="e">
        <f>#REF!</f>
        <v>#REF!</v>
      </c>
      <c r="Z450" s="89" t="e">
        <f>#REF!</f>
        <v>#REF!</v>
      </c>
      <c r="AA450" s="89" t="e">
        <f>#REF!</f>
        <v>#REF!</v>
      </c>
      <c r="AB450" s="89" t="e">
        <f>#REF!</f>
        <v>#REF!</v>
      </c>
      <c r="AC450" s="89" t="e">
        <f>#REF!</f>
        <v>#REF!</v>
      </c>
      <c r="AD450" s="89" t="e">
        <f>#REF!</f>
        <v>#REF!</v>
      </c>
      <c r="AE450" s="89" t="e">
        <f>#REF!</f>
        <v>#REF!</v>
      </c>
      <c r="AF450" s="89" t="e">
        <f>#REF!</f>
        <v>#REF!</v>
      </c>
      <c r="AG450" s="89" t="e">
        <f>#REF!</f>
        <v>#REF!</v>
      </c>
      <c r="AH450" s="89" t="e">
        <f>#REF!</f>
        <v>#REF!</v>
      </c>
      <c r="AI450" s="89" t="e">
        <f>#REF!</f>
        <v>#REF!</v>
      </c>
      <c r="AJ450" s="89" t="e">
        <f>#REF!</f>
        <v>#REF!</v>
      </c>
      <c r="AK450" s="89" t="e">
        <f>#REF!</f>
        <v>#REF!</v>
      </c>
      <c r="AL450" s="89" t="e">
        <f>#REF!</f>
        <v>#REF!</v>
      </c>
      <c r="AM450" s="89" t="e">
        <f>#REF!</f>
        <v>#REF!</v>
      </c>
      <c r="AN450" s="89" t="e">
        <f>#REF!</f>
        <v>#REF!</v>
      </c>
      <c r="AO450" s="89" t="e">
        <f>#REF!</f>
        <v>#REF!</v>
      </c>
      <c r="AP450" s="89" t="e">
        <f>#REF!</f>
        <v>#REF!</v>
      </c>
      <c r="AQ450" s="89" t="e">
        <f>#REF!</f>
        <v>#REF!</v>
      </c>
      <c r="AR450" s="89" t="e">
        <f>#REF!</f>
        <v>#REF!</v>
      </c>
      <c r="AS450" s="89" t="e">
        <f>#REF!</f>
        <v>#REF!</v>
      </c>
      <c r="AT450" s="89" t="e">
        <f>#REF!</f>
        <v>#REF!</v>
      </c>
      <c r="AU450" s="89" t="e">
        <f>#REF!</f>
        <v>#REF!</v>
      </c>
      <c r="AV450" s="89" t="e">
        <f>#REF!</f>
        <v>#REF!</v>
      </c>
      <c r="AW450" s="89" t="e">
        <f>#REF!</f>
        <v>#REF!</v>
      </c>
      <c r="AX450" s="89" t="e">
        <f>#REF!</f>
        <v>#REF!</v>
      </c>
      <c r="AY450" s="89" t="e">
        <f>#REF!</f>
        <v>#REF!</v>
      </c>
      <c r="AZ450" s="89" t="e">
        <f>#REF!</f>
        <v>#REF!</v>
      </c>
      <c r="BA450" s="89" t="e">
        <f>#REF!</f>
        <v>#REF!</v>
      </c>
      <c r="BB450" s="89" t="e">
        <f>#REF!</f>
        <v>#REF!</v>
      </c>
      <c r="BC450" s="89" t="e">
        <f>#REF!</f>
        <v>#REF!</v>
      </c>
      <c r="BD450" s="89" t="e">
        <f>#REF!</f>
        <v>#REF!</v>
      </c>
      <c r="BE450" s="89" t="e">
        <f>#REF!</f>
        <v>#REF!</v>
      </c>
      <c r="BF450" s="89" t="e">
        <f>#REF!</f>
        <v>#REF!</v>
      </c>
    </row>
    <row r="451" spans="9:58" x14ac:dyDescent="0.25">
      <c r="I451" s="89">
        <f>ABCD!J500</f>
        <v>111.75</v>
      </c>
      <c r="J451" s="89">
        <f>ABCD!K500</f>
        <v>366.53999999999996</v>
      </c>
      <c r="K451" s="89">
        <f>ABCD!L500</f>
        <v>1.5364186126953152</v>
      </c>
      <c r="L451" s="89">
        <f>ABCD!M500</f>
        <v>0.22865444824384529</v>
      </c>
      <c r="M451" s="89">
        <f>ABCD!N500</f>
        <v>1.553339953177763</v>
      </c>
      <c r="N451" s="89" t="e">
        <v>#REF!</v>
      </c>
      <c r="O451" s="89" t="e">
        <v>#REF!</v>
      </c>
      <c r="P451" s="89" t="e">
        <v>#REF!</v>
      </c>
      <c r="Q451" s="89" t="e">
        <v>#REF!</v>
      </c>
      <c r="R451" s="89" t="e">
        <v>#REF!</v>
      </c>
      <c r="S451" s="89" t="e">
        <f>#REF!</f>
        <v>#REF!</v>
      </c>
      <c r="T451" s="89" t="e">
        <f>#REF!</f>
        <v>#REF!</v>
      </c>
      <c r="U451" s="89" t="e">
        <f>#REF!</f>
        <v>#REF!</v>
      </c>
      <c r="V451" s="89" t="e">
        <f>#REF!</f>
        <v>#REF!</v>
      </c>
      <c r="W451" s="89" t="e">
        <f>#REF!</f>
        <v>#REF!</v>
      </c>
      <c r="X451" s="89" t="e">
        <f>#REF!</f>
        <v>#REF!</v>
      </c>
      <c r="Y451" s="89" t="e">
        <f>#REF!</f>
        <v>#REF!</v>
      </c>
      <c r="Z451" s="89" t="e">
        <f>#REF!</f>
        <v>#REF!</v>
      </c>
      <c r="AA451" s="89" t="e">
        <f>#REF!</f>
        <v>#REF!</v>
      </c>
      <c r="AB451" s="89" t="e">
        <f>#REF!</f>
        <v>#REF!</v>
      </c>
      <c r="AC451" s="89" t="e">
        <f>#REF!</f>
        <v>#REF!</v>
      </c>
      <c r="AD451" s="89" t="e">
        <f>#REF!</f>
        <v>#REF!</v>
      </c>
      <c r="AE451" s="89" t="e">
        <f>#REF!</f>
        <v>#REF!</v>
      </c>
      <c r="AF451" s="89" t="e">
        <f>#REF!</f>
        <v>#REF!</v>
      </c>
      <c r="AG451" s="89" t="e">
        <f>#REF!</f>
        <v>#REF!</v>
      </c>
      <c r="AH451" s="89" t="e">
        <f>#REF!</f>
        <v>#REF!</v>
      </c>
      <c r="AI451" s="89" t="e">
        <f>#REF!</f>
        <v>#REF!</v>
      </c>
      <c r="AJ451" s="89" t="e">
        <f>#REF!</f>
        <v>#REF!</v>
      </c>
      <c r="AK451" s="89" t="e">
        <f>#REF!</f>
        <v>#REF!</v>
      </c>
      <c r="AL451" s="89" t="e">
        <f>#REF!</f>
        <v>#REF!</v>
      </c>
      <c r="AM451" s="89" t="e">
        <f>#REF!</f>
        <v>#REF!</v>
      </c>
      <c r="AN451" s="89" t="e">
        <f>#REF!</f>
        <v>#REF!</v>
      </c>
      <c r="AO451" s="89" t="e">
        <f>#REF!</f>
        <v>#REF!</v>
      </c>
      <c r="AP451" s="89" t="e">
        <f>#REF!</f>
        <v>#REF!</v>
      </c>
      <c r="AQ451" s="89" t="e">
        <f>#REF!</f>
        <v>#REF!</v>
      </c>
      <c r="AR451" s="89" t="e">
        <f>#REF!</f>
        <v>#REF!</v>
      </c>
      <c r="AS451" s="89" t="e">
        <f>#REF!</f>
        <v>#REF!</v>
      </c>
      <c r="AT451" s="89" t="e">
        <f>#REF!</f>
        <v>#REF!</v>
      </c>
      <c r="AU451" s="89" t="e">
        <f>#REF!</f>
        <v>#REF!</v>
      </c>
      <c r="AV451" s="89" t="e">
        <f>#REF!</f>
        <v>#REF!</v>
      </c>
      <c r="AW451" s="89" t="e">
        <f>#REF!</f>
        <v>#REF!</v>
      </c>
      <c r="AX451" s="89" t="e">
        <f>#REF!</f>
        <v>#REF!</v>
      </c>
      <c r="AY451" s="89" t="e">
        <f>#REF!</f>
        <v>#REF!</v>
      </c>
      <c r="AZ451" s="89" t="e">
        <f>#REF!</f>
        <v>#REF!</v>
      </c>
      <c r="BA451" s="89" t="e">
        <f>#REF!</f>
        <v>#REF!</v>
      </c>
      <c r="BB451" s="89" t="e">
        <f>#REF!</f>
        <v>#REF!</v>
      </c>
      <c r="BC451" s="89" t="e">
        <f>#REF!</f>
        <v>#REF!</v>
      </c>
      <c r="BD451" s="89" t="e">
        <f>#REF!</f>
        <v>#REF!</v>
      </c>
      <c r="BE451" s="89" t="e">
        <f>#REF!</f>
        <v>#REF!</v>
      </c>
      <c r="BF451" s="89" t="e">
        <f>#REF!</f>
        <v>#REF!</v>
      </c>
    </row>
    <row r="452" spans="9:58" x14ac:dyDescent="0.25">
      <c r="I452" s="89">
        <f>ABCD!J501</f>
        <v>112</v>
      </c>
      <c r="J452" s="89">
        <f>ABCD!K501</f>
        <v>367.35999999999996</v>
      </c>
      <c r="K452" s="89">
        <f>ABCD!L501</f>
        <v>1.6197222866977747</v>
      </c>
      <c r="L452" s="89">
        <f>ABCD!M501</f>
        <v>0.24405926518959742</v>
      </c>
      <c r="M452" s="89">
        <f>ABCD!N501</f>
        <v>1.6380064746362741</v>
      </c>
      <c r="N452" s="89" t="e">
        <v>#REF!</v>
      </c>
      <c r="O452" s="89" t="e">
        <v>#REF!</v>
      </c>
      <c r="P452" s="89" t="e">
        <v>#REF!</v>
      </c>
      <c r="Q452" s="89" t="e">
        <v>#REF!</v>
      </c>
      <c r="R452" s="89" t="e">
        <v>#REF!</v>
      </c>
      <c r="S452" s="89" t="e">
        <f>#REF!</f>
        <v>#REF!</v>
      </c>
      <c r="T452" s="89" t="e">
        <f>#REF!</f>
        <v>#REF!</v>
      </c>
      <c r="U452" s="89" t="e">
        <f>#REF!</f>
        <v>#REF!</v>
      </c>
      <c r="V452" s="89" t="e">
        <f>#REF!</f>
        <v>#REF!</v>
      </c>
      <c r="W452" s="89" t="e">
        <f>#REF!</f>
        <v>#REF!</v>
      </c>
      <c r="X452" s="89" t="e">
        <f>#REF!</f>
        <v>#REF!</v>
      </c>
      <c r="Y452" s="89" t="e">
        <f>#REF!</f>
        <v>#REF!</v>
      </c>
      <c r="Z452" s="89" t="e">
        <f>#REF!</f>
        <v>#REF!</v>
      </c>
      <c r="AA452" s="89" t="e">
        <f>#REF!</f>
        <v>#REF!</v>
      </c>
      <c r="AB452" s="89" t="e">
        <f>#REF!</f>
        <v>#REF!</v>
      </c>
      <c r="AC452" s="89" t="e">
        <f>#REF!</f>
        <v>#REF!</v>
      </c>
      <c r="AD452" s="89" t="e">
        <f>#REF!</f>
        <v>#REF!</v>
      </c>
      <c r="AE452" s="89" t="e">
        <f>#REF!</f>
        <v>#REF!</v>
      </c>
      <c r="AF452" s="89" t="e">
        <f>#REF!</f>
        <v>#REF!</v>
      </c>
      <c r="AG452" s="89" t="e">
        <f>#REF!</f>
        <v>#REF!</v>
      </c>
      <c r="AH452" s="89" t="e">
        <f>#REF!</f>
        <v>#REF!</v>
      </c>
      <c r="AI452" s="89" t="e">
        <f>#REF!</f>
        <v>#REF!</v>
      </c>
      <c r="AJ452" s="89" t="e">
        <f>#REF!</f>
        <v>#REF!</v>
      </c>
      <c r="AK452" s="89" t="e">
        <f>#REF!</f>
        <v>#REF!</v>
      </c>
      <c r="AL452" s="89" t="e">
        <f>#REF!</f>
        <v>#REF!</v>
      </c>
      <c r="AM452" s="89" t="e">
        <f>#REF!</f>
        <v>#REF!</v>
      </c>
      <c r="AN452" s="89" t="e">
        <f>#REF!</f>
        <v>#REF!</v>
      </c>
      <c r="AO452" s="89" t="e">
        <f>#REF!</f>
        <v>#REF!</v>
      </c>
      <c r="AP452" s="89" t="e">
        <f>#REF!</f>
        <v>#REF!</v>
      </c>
      <c r="AQ452" s="89" t="e">
        <f>#REF!</f>
        <v>#REF!</v>
      </c>
      <c r="AR452" s="89" t="e">
        <f>#REF!</f>
        <v>#REF!</v>
      </c>
      <c r="AS452" s="89" t="e">
        <f>#REF!</f>
        <v>#REF!</v>
      </c>
      <c r="AT452" s="89" t="e">
        <f>#REF!</f>
        <v>#REF!</v>
      </c>
      <c r="AU452" s="89" t="e">
        <f>#REF!</f>
        <v>#REF!</v>
      </c>
      <c r="AV452" s="89" t="e">
        <f>#REF!</f>
        <v>#REF!</v>
      </c>
      <c r="AW452" s="89" t="e">
        <f>#REF!</f>
        <v>#REF!</v>
      </c>
      <c r="AX452" s="89" t="e">
        <f>#REF!</f>
        <v>#REF!</v>
      </c>
      <c r="AY452" s="89" t="e">
        <f>#REF!</f>
        <v>#REF!</v>
      </c>
      <c r="AZ452" s="89" t="e">
        <f>#REF!</f>
        <v>#REF!</v>
      </c>
      <c r="BA452" s="89" t="e">
        <f>#REF!</f>
        <v>#REF!</v>
      </c>
      <c r="BB452" s="89" t="e">
        <f>#REF!</f>
        <v>#REF!</v>
      </c>
      <c r="BC452" s="89" t="e">
        <f>#REF!</f>
        <v>#REF!</v>
      </c>
      <c r="BD452" s="89" t="e">
        <f>#REF!</f>
        <v>#REF!</v>
      </c>
      <c r="BE452" s="89" t="e">
        <f>#REF!</f>
        <v>#REF!</v>
      </c>
      <c r="BF452" s="89" t="e">
        <f>#REF!</f>
        <v>#REF!</v>
      </c>
    </row>
    <row r="453" spans="9:58" x14ac:dyDescent="0.25">
      <c r="I453" s="89">
        <f>ABCD!J502</f>
        <v>112.25</v>
      </c>
      <c r="J453" s="89">
        <f>ABCD!K502</f>
        <v>368.17999999999995</v>
      </c>
      <c r="K453" s="89">
        <f>ABCD!L502</f>
        <v>1.70257712268664</v>
      </c>
      <c r="L453" s="89">
        <f>ABCD!M502</f>
        <v>0.25939388513388906</v>
      </c>
      <c r="M453" s="89">
        <f>ABCD!N502</f>
        <v>1.7222235761772544</v>
      </c>
      <c r="N453" s="89" t="e">
        <v>#REF!</v>
      </c>
      <c r="O453" s="89" t="e">
        <v>#REF!</v>
      </c>
      <c r="P453" s="89" t="e">
        <v>#REF!</v>
      </c>
      <c r="Q453" s="89" t="e">
        <v>#REF!</v>
      </c>
      <c r="R453" s="89" t="e">
        <v>#REF!</v>
      </c>
      <c r="S453" s="89" t="e">
        <f>#REF!</f>
        <v>#REF!</v>
      </c>
      <c r="T453" s="89" t="e">
        <f>#REF!</f>
        <v>#REF!</v>
      </c>
      <c r="U453" s="89" t="e">
        <f>#REF!</f>
        <v>#REF!</v>
      </c>
      <c r="V453" s="89" t="e">
        <f>#REF!</f>
        <v>#REF!</v>
      </c>
      <c r="W453" s="89" t="e">
        <f>#REF!</f>
        <v>#REF!</v>
      </c>
      <c r="X453" s="89" t="e">
        <f>#REF!</f>
        <v>#REF!</v>
      </c>
      <c r="Y453" s="89" t="e">
        <f>#REF!</f>
        <v>#REF!</v>
      </c>
      <c r="Z453" s="89" t="e">
        <f>#REF!</f>
        <v>#REF!</v>
      </c>
      <c r="AA453" s="89" t="e">
        <f>#REF!</f>
        <v>#REF!</v>
      </c>
      <c r="AB453" s="89" t="e">
        <f>#REF!</f>
        <v>#REF!</v>
      </c>
      <c r="AC453" s="89" t="e">
        <f>#REF!</f>
        <v>#REF!</v>
      </c>
      <c r="AD453" s="89" t="e">
        <f>#REF!</f>
        <v>#REF!</v>
      </c>
      <c r="AE453" s="89" t="e">
        <f>#REF!</f>
        <v>#REF!</v>
      </c>
      <c r="AF453" s="89" t="e">
        <f>#REF!</f>
        <v>#REF!</v>
      </c>
      <c r="AG453" s="89" t="e">
        <f>#REF!</f>
        <v>#REF!</v>
      </c>
      <c r="AH453" s="89" t="e">
        <f>#REF!</f>
        <v>#REF!</v>
      </c>
      <c r="AI453" s="89" t="e">
        <f>#REF!</f>
        <v>#REF!</v>
      </c>
      <c r="AJ453" s="89" t="e">
        <f>#REF!</f>
        <v>#REF!</v>
      </c>
      <c r="AK453" s="89" t="e">
        <f>#REF!</f>
        <v>#REF!</v>
      </c>
      <c r="AL453" s="89" t="e">
        <f>#REF!</f>
        <v>#REF!</v>
      </c>
      <c r="AM453" s="89" t="e">
        <f>#REF!</f>
        <v>#REF!</v>
      </c>
      <c r="AN453" s="89" t="e">
        <f>#REF!</f>
        <v>#REF!</v>
      </c>
      <c r="AO453" s="89" t="e">
        <f>#REF!</f>
        <v>#REF!</v>
      </c>
      <c r="AP453" s="89" t="e">
        <f>#REF!</f>
        <v>#REF!</v>
      </c>
      <c r="AQ453" s="89" t="e">
        <f>#REF!</f>
        <v>#REF!</v>
      </c>
      <c r="AR453" s="89" t="e">
        <f>#REF!</f>
        <v>#REF!</v>
      </c>
      <c r="AS453" s="89" t="e">
        <f>#REF!</f>
        <v>#REF!</v>
      </c>
      <c r="AT453" s="89" t="e">
        <f>#REF!</f>
        <v>#REF!</v>
      </c>
      <c r="AU453" s="89" t="e">
        <f>#REF!</f>
        <v>#REF!</v>
      </c>
      <c r="AV453" s="89" t="e">
        <f>#REF!</f>
        <v>#REF!</v>
      </c>
      <c r="AW453" s="89" t="e">
        <f>#REF!</f>
        <v>#REF!</v>
      </c>
      <c r="AX453" s="89" t="e">
        <f>#REF!</f>
        <v>#REF!</v>
      </c>
      <c r="AY453" s="89" t="e">
        <f>#REF!</f>
        <v>#REF!</v>
      </c>
      <c r="AZ453" s="89" t="e">
        <f>#REF!</f>
        <v>#REF!</v>
      </c>
      <c r="BA453" s="89" t="e">
        <f>#REF!</f>
        <v>#REF!</v>
      </c>
      <c r="BB453" s="89" t="e">
        <f>#REF!</f>
        <v>#REF!</v>
      </c>
      <c r="BC453" s="89" t="e">
        <f>#REF!</f>
        <v>#REF!</v>
      </c>
      <c r="BD453" s="89" t="e">
        <f>#REF!</f>
        <v>#REF!</v>
      </c>
      <c r="BE453" s="89" t="e">
        <f>#REF!</f>
        <v>#REF!</v>
      </c>
      <c r="BF453" s="89" t="e">
        <f>#REF!</f>
        <v>#REF!</v>
      </c>
    </row>
    <row r="454" spans="9:58" x14ac:dyDescent="0.25">
      <c r="I454" s="89">
        <f>ABCD!J503</f>
        <v>112.5</v>
      </c>
      <c r="J454" s="89">
        <f>ABCD!K503</f>
        <v>369</v>
      </c>
      <c r="K454" s="89">
        <f>ABCD!L503</f>
        <v>1.7849643981349299</v>
      </c>
      <c r="L454" s="89">
        <f>ABCD!M503</f>
        <v>0.27465483136543289</v>
      </c>
      <c r="M454" s="89">
        <f>ABCD!N503</f>
        <v>1.8059715332755295</v>
      </c>
      <c r="N454" s="89" t="e">
        <v>#REF!</v>
      </c>
      <c r="O454" s="89" t="e">
        <v>#REF!</v>
      </c>
      <c r="P454" s="89" t="e">
        <v>#REF!</v>
      </c>
      <c r="Q454" s="89" t="e">
        <v>#REF!</v>
      </c>
      <c r="R454" s="89" t="e">
        <v>#REF!</v>
      </c>
      <c r="S454" s="89" t="e">
        <f>#REF!</f>
        <v>#REF!</v>
      </c>
      <c r="T454" s="89" t="e">
        <f>#REF!</f>
        <v>#REF!</v>
      </c>
      <c r="U454" s="89" t="e">
        <f>#REF!</f>
        <v>#REF!</v>
      </c>
      <c r="V454" s="89" t="e">
        <f>#REF!</f>
        <v>#REF!</v>
      </c>
      <c r="W454" s="89" t="e">
        <f>#REF!</f>
        <v>#REF!</v>
      </c>
      <c r="X454" s="89" t="e">
        <f>#REF!</f>
        <v>#REF!</v>
      </c>
      <c r="Y454" s="89" t="e">
        <f>#REF!</f>
        <v>#REF!</v>
      </c>
      <c r="Z454" s="89" t="e">
        <f>#REF!</f>
        <v>#REF!</v>
      </c>
      <c r="AA454" s="89" t="e">
        <f>#REF!</f>
        <v>#REF!</v>
      </c>
      <c r="AB454" s="89" t="e">
        <f>#REF!</f>
        <v>#REF!</v>
      </c>
      <c r="AC454" s="89" t="e">
        <f>#REF!</f>
        <v>#REF!</v>
      </c>
      <c r="AD454" s="89" t="e">
        <f>#REF!</f>
        <v>#REF!</v>
      </c>
      <c r="AE454" s="89" t="e">
        <f>#REF!</f>
        <v>#REF!</v>
      </c>
      <c r="AF454" s="89" t="e">
        <f>#REF!</f>
        <v>#REF!</v>
      </c>
      <c r="AG454" s="89" t="e">
        <f>#REF!</f>
        <v>#REF!</v>
      </c>
      <c r="AH454" s="89" t="e">
        <f>#REF!</f>
        <v>#REF!</v>
      </c>
      <c r="AI454" s="89" t="e">
        <f>#REF!</f>
        <v>#REF!</v>
      </c>
      <c r="AJ454" s="89" t="e">
        <f>#REF!</f>
        <v>#REF!</v>
      </c>
      <c r="AK454" s="89" t="e">
        <f>#REF!</f>
        <v>#REF!</v>
      </c>
      <c r="AL454" s="89" t="e">
        <f>#REF!</f>
        <v>#REF!</v>
      </c>
      <c r="AM454" s="89" t="e">
        <f>#REF!</f>
        <v>#REF!</v>
      </c>
      <c r="AN454" s="89" t="e">
        <f>#REF!</f>
        <v>#REF!</v>
      </c>
      <c r="AO454" s="89" t="e">
        <f>#REF!</f>
        <v>#REF!</v>
      </c>
      <c r="AP454" s="89" t="e">
        <f>#REF!</f>
        <v>#REF!</v>
      </c>
      <c r="AQ454" s="89" t="e">
        <f>#REF!</f>
        <v>#REF!</v>
      </c>
      <c r="AR454" s="89" t="e">
        <f>#REF!</f>
        <v>#REF!</v>
      </c>
      <c r="AS454" s="89" t="e">
        <f>#REF!</f>
        <v>#REF!</v>
      </c>
      <c r="AT454" s="89" t="e">
        <f>#REF!</f>
        <v>#REF!</v>
      </c>
      <c r="AU454" s="89" t="e">
        <f>#REF!</f>
        <v>#REF!</v>
      </c>
      <c r="AV454" s="89" t="e">
        <f>#REF!</f>
        <v>#REF!</v>
      </c>
      <c r="AW454" s="89" t="e">
        <f>#REF!</f>
        <v>#REF!</v>
      </c>
      <c r="AX454" s="89" t="e">
        <f>#REF!</f>
        <v>#REF!</v>
      </c>
      <c r="AY454" s="89" t="e">
        <f>#REF!</f>
        <v>#REF!</v>
      </c>
      <c r="AZ454" s="89" t="e">
        <f>#REF!</f>
        <v>#REF!</v>
      </c>
      <c r="BA454" s="89" t="e">
        <f>#REF!</f>
        <v>#REF!</v>
      </c>
      <c r="BB454" s="89" t="e">
        <f>#REF!</f>
        <v>#REF!</v>
      </c>
      <c r="BC454" s="89" t="e">
        <f>#REF!</f>
        <v>#REF!</v>
      </c>
      <c r="BD454" s="89" t="e">
        <f>#REF!</f>
        <v>#REF!</v>
      </c>
      <c r="BE454" s="89" t="e">
        <f>#REF!</f>
        <v>#REF!</v>
      </c>
      <c r="BF454" s="89" t="e">
        <f>#REF!</f>
        <v>#REF!</v>
      </c>
    </row>
    <row r="455" spans="9:58" x14ac:dyDescent="0.25">
      <c r="I455" s="89">
        <f>ABCD!J504</f>
        <v>112.75</v>
      </c>
      <c r="J455" s="89">
        <f>ABCD!K504</f>
        <v>369.82</v>
      </c>
      <c r="K455" s="89">
        <f>ABCD!L504</f>
        <v>1.8668655152905402</v>
      </c>
      <c r="L455" s="89">
        <f>ABCD!M504</f>
        <v>0.28983864730750097</v>
      </c>
      <c r="M455" s="89">
        <f>ABCD!N504</f>
        <v>1.8892308735710563</v>
      </c>
      <c r="N455" s="89" t="e">
        <v>#REF!</v>
      </c>
      <c r="O455" s="89" t="e">
        <v>#REF!</v>
      </c>
      <c r="P455" s="89" t="e">
        <v>#REF!</v>
      </c>
      <c r="Q455" s="89" t="e">
        <v>#REF!</v>
      </c>
      <c r="R455" s="89" t="e">
        <v>#REF!</v>
      </c>
      <c r="S455" s="89" t="e">
        <f>#REF!</f>
        <v>#REF!</v>
      </c>
      <c r="T455" s="89" t="e">
        <f>#REF!</f>
        <v>#REF!</v>
      </c>
      <c r="U455" s="89" t="e">
        <f>#REF!</f>
        <v>#REF!</v>
      </c>
      <c r="V455" s="89" t="e">
        <f>#REF!</f>
        <v>#REF!</v>
      </c>
      <c r="W455" s="89" t="e">
        <f>#REF!</f>
        <v>#REF!</v>
      </c>
      <c r="X455" s="89" t="e">
        <f>#REF!</f>
        <v>#REF!</v>
      </c>
      <c r="Y455" s="89" t="e">
        <f>#REF!</f>
        <v>#REF!</v>
      </c>
      <c r="Z455" s="89" t="e">
        <f>#REF!</f>
        <v>#REF!</v>
      </c>
      <c r="AA455" s="89" t="e">
        <f>#REF!</f>
        <v>#REF!</v>
      </c>
      <c r="AB455" s="89" t="e">
        <f>#REF!</f>
        <v>#REF!</v>
      </c>
      <c r="AC455" s="89" t="e">
        <f>#REF!</f>
        <v>#REF!</v>
      </c>
      <c r="AD455" s="89" t="e">
        <f>#REF!</f>
        <v>#REF!</v>
      </c>
      <c r="AE455" s="89" t="e">
        <f>#REF!</f>
        <v>#REF!</v>
      </c>
      <c r="AF455" s="89" t="e">
        <f>#REF!</f>
        <v>#REF!</v>
      </c>
      <c r="AG455" s="89" t="e">
        <f>#REF!</f>
        <v>#REF!</v>
      </c>
      <c r="AH455" s="89" t="e">
        <f>#REF!</f>
        <v>#REF!</v>
      </c>
      <c r="AI455" s="89" t="e">
        <f>#REF!</f>
        <v>#REF!</v>
      </c>
      <c r="AJ455" s="89" t="e">
        <f>#REF!</f>
        <v>#REF!</v>
      </c>
      <c r="AK455" s="89" t="e">
        <f>#REF!</f>
        <v>#REF!</v>
      </c>
      <c r="AL455" s="89" t="e">
        <f>#REF!</f>
        <v>#REF!</v>
      </c>
      <c r="AM455" s="89" t="e">
        <f>#REF!</f>
        <v>#REF!</v>
      </c>
      <c r="AN455" s="89" t="e">
        <f>#REF!</f>
        <v>#REF!</v>
      </c>
      <c r="AO455" s="89" t="e">
        <f>#REF!</f>
        <v>#REF!</v>
      </c>
      <c r="AP455" s="89" t="e">
        <f>#REF!</f>
        <v>#REF!</v>
      </c>
      <c r="AQ455" s="89" t="e">
        <f>#REF!</f>
        <v>#REF!</v>
      </c>
      <c r="AR455" s="89" t="e">
        <f>#REF!</f>
        <v>#REF!</v>
      </c>
      <c r="AS455" s="89" t="e">
        <f>#REF!</f>
        <v>#REF!</v>
      </c>
      <c r="AT455" s="89" t="e">
        <f>#REF!</f>
        <v>#REF!</v>
      </c>
      <c r="AU455" s="89" t="e">
        <f>#REF!</f>
        <v>#REF!</v>
      </c>
      <c r="AV455" s="89" t="e">
        <f>#REF!</f>
        <v>#REF!</v>
      </c>
      <c r="AW455" s="89" t="e">
        <f>#REF!</f>
        <v>#REF!</v>
      </c>
      <c r="AX455" s="89" t="e">
        <f>#REF!</f>
        <v>#REF!</v>
      </c>
      <c r="AY455" s="89" t="e">
        <f>#REF!</f>
        <v>#REF!</v>
      </c>
      <c r="AZ455" s="89" t="e">
        <f>#REF!</f>
        <v>#REF!</v>
      </c>
      <c r="BA455" s="89" t="e">
        <f>#REF!</f>
        <v>#REF!</v>
      </c>
      <c r="BB455" s="89" t="e">
        <f>#REF!</f>
        <v>#REF!</v>
      </c>
      <c r="BC455" s="89" t="e">
        <f>#REF!</f>
        <v>#REF!</v>
      </c>
      <c r="BD455" s="89" t="e">
        <f>#REF!</f>
        <v>#REF!</v>
      </c>
      <c r="BE455" s="89" t="e">
        <f>#REF!</f>
        <v>#REF!</v>
      </c>
      <c r="BF455" s="89" t="e">
        <f>#REF!</f>
        <v>#REF!</v>
      </c>
    </row>
    <row r="456" spans="9:58" x14ac:dyDescent="0.25">
      <c r="I456" s="89">
        <f>ABCD!J505</f>
        <v>113</v>
      </c>
      <c r="J456" s="89">
        <f>ABCD!K505</f>
        <v>370.64</v>
      </c>
      <c r="K456" s="89">
        <f>ABCD!L505</f>
        <v>1.9482620053571336</v>
      </c>
      <c r="L456" s="89">
        <f>ABCD!M505</f>
        <v>0.30494189729772314</v>
      </c>
      <c r="M456" s="89">
        <f>ABCD!N505</f>
        <v>1.9719823534316261</v>
      </c>
      <c r="N456" s="89" t="e">
        <v>#REF!</v>
      </c>
      <c r="O456" s="89" t="e">
        <v>#REF!</v>
      </c>
      <c r="P456" s="89" t="e">
        <v>#REF!</v>
      </c>
      <c r="Q456" s="89" t="e">
        <v>#REF!</v>
      </c>
      <c r="R456" s="89" t="e">
        <v>#REF!</v>
      </c>
      <c r="S456" s="89" t="e">
        <f>#REF!</f>
        <v>#REF!</v>
      </c>
      <c r="T456" s="89" t="e">
        <f>#REF!</f>
        <v>#REF!</v>
      </c>
      <c r="U456" s="89" t="e">
        <f>#REF!</f>
        <v>#REF!</v>
      </c>
      <c r="V456" s="89" t="e">
        <f>#REF!</f>
        <v>#REF!</v>
      </c>
      <c r="W456" s="89" t="e">
        <f>#REF!</f>
        <v>#REF!</v>
      </c>
      <c r="X456" s="89" t="e">
        <f>#REF!</f>
        <v>#REF!</v>
      </c>
      <c r="Y456" s="89" t="e">
        <f>#REF!</f>
        <v>#REF!</v>
      </c>
      <c r="Z456" s="89" t="e">
        <f>#REF!</f>
        <v>#REF!</v>
      </c>
      <c r="AA456" s="89" t="e">
        <f>#REF!</f>
        <v>#REF!</v>
      </c>
      <c r="AB456" s="89" t="e">
        <f>#REF!</f>
        <v>#REF!</v>
      </c>
      <c r="AC456" s="89" t="e">
        <f>#REF!</f>
        <v>#REF!</v>
      </c>
      <c r="AD456" s="89" t="e">
        <f>#REF!</f>
        <v>#REF!</v>
      </c>
      <c r="AE456" s="89" t="e">
        <f>#REF!</f>
        <v>#REF!</v>
      </c>
      <c r="AF456" s="89" t="e">
        <f>#REF!</f>
        <v>#REF!</v>
      </c>
      <c r="AG456" s="89" t="e">
        <f>#REF!</f>
        <v>#REF!</v>
      </c>
      <c r="AH456" s="89" t="e">
        <f>#REF!</f>
        <v>#REF!</v>
      </c>
      <c r="AI456" s="89" t="e">
        <f>#REF!</f>
        <v>#REF!</v>
      </c>
      <c r="AJ456" s="89" t="e">
        <f>#REF!</f>
        <v>#REF!</v>
      </c>
      <c r="AK456" s="89" t="e">
        <f>#REF!</f>
        <v>#REF!</v>
      </c>
      <c r="AL456" s="89" t="e">
        <f>#REF!</f>
        <v>#REF!</v>
      </c>
      <c r="AM456" s="89" t="e">
        <f>#REF!</f>
        <v>#REF!</v>
      </c>
      <c r="AN456" s="89" t="e">
        <f>#REF!</f>
        <v>#REF!</v>
      </c>
      <c r="AO456" s="89" t="e">
        <f>#REF!</f>
        <v>#REF!</v>
      </c>
      <c r="AP456" s="89" t="e">
        <f>#REF!</f>
        <v>#REF!</v>
      </c>
      <c r="AQ456" s="89" t="e">
        <f>#REF!</f>
        <v>#REF!</v>
      </c>
      <c r="AR456" s="89" t="e">
        <f>#REF!</f>
        <v>#REF!</v>
      </c>
      <c r="AS456" s="89" t="e">
        <f>#REF!</f>
        <v>#REF!</v>
      </c>
      <c r="AT456" s="89" t="e">
        <f>#REF!</f>
        <v>#REF!</v>
      </c>
      <c r="AU456" s="89" t="e">
        <f>#REF!</f>
        <v>#REF!</v>
      </c>
      <c r="AV456" s="89" t="e">
        <f>#REF!</f>
        <v>#REF!</v>
      </c>
      <c r="AW456" s="89" t="e">
        <f>#REF!</f>
        <v>#REF!</v>
      </c>
      <c r="AX456" s="89" t="e">
        <f>#REF!</f>
        <v>#REF!</v>
      </c>
      <c r="AY456" s="89" t="e">
        <f>#REF!</f>
        <v>#REF!</v>
      </c>
      <c r="AZ456" s="89" t="e">
        <f>#REF!</f>
        <v>#REF!</v>
      </c>
      <c r="BA456" s="89" t="e">
        <f>#REF!</f>
        <v>#REF!</v>
      </c>
      <c r="BB456" s="89" t="e">
        <f>#REF!</f>
        <v>#REF!</v>
      </c>
      <c r="BC456" s="89" t="e">
        <f>#REF!</f>
        <v>#REF!</v>
      </c>
      <c r="BD456" s="89" t="e">
        <f>#REF!</f>
        <v>#REF!</v>
      </c>
      <c r="BE456" s="89" t="e">
        <f>#REF!</f>
        <v>#REF!</v>
      </c>
      <c r="BF456" s="89" t="e">
        <f>#REF!</f>
        <v>#REF!</v>
      </c>
    </row>
    <row r="457" spans="9:58" x14ac:dyDescent="0.25">
      <c r="I457" s="89">
        <f>ABCD!J506</f>
        <v>113.25</v>
      </c>
      <c r="J457" s="89">
        <f>ABCD!K506</f>
        <v>371.46</v>
      </c>
      <c r="K457" s="89">
        <f>ABCD!L506</f>
        <v>2.0291355326414484</v>
      </c>
      <c r="L457" s="89">
        <f>ABCD!M506</f>
        <v>0.31996116736236058</v>
      </c>
      <c r="M457" s="89">
        <f>ABCD!N506</f>
        <v>2.0542069414856865</v>
      </c>
      <c r="N457" s="89" t="e">
        <v>#REF!</v>
      </c>
      <c r="O457" s="89" t="e">
        <v>#REF!</v>
      </c>
      <c r="P457" s="89" t="e">
        <v>#REF!</v>
      </c>
      <c r="Q457" s="89" t="e">
        <v>#REF!</v>
      </c>
      <c r="R457" s="89" t="e">
        <v>#REF!</v>
      </c>
      <c r="S457" s="89" t="e">
        <f>#REF!</f>
        <v>#REF!</v>
      </c>
      <c r="T457" s="89" t="e">
        <f>#REF!</f>
        <v>#REF!</v>
      </c>
      <c r="U457" s="89" t="e">
        <f>#REF!</f>
        <v>#REF!</v>
      </c>
      <c r="V457" s="89" t="e">
        <f>#REF!</f>
        <v>#REF!</v>
      </c>
      <c r="W457" s="89" t="e">
        <f>#REF!</f>
        <v>#REF!</v>
      </c>
      <c r="X457" s="89" t="e">
        <f>#REF!</f>
        <v>#REF!</v>
      </c>
      <c r="Y457" s="89" t="e">
        <f>#REF!</f>
        <v>#REF!</v>
      </c>
      <c r="Z457" s="89" t="e">
        <f>#REF!</f>
        <v>#REF!</v>
      </c>
      <c r="AA457" s="89" t="e">
        <f>#REF!</f>
        <v>#REF!</v>
      </c>
      <c r="AB457" s="89" t="e">
        <f>#REF!</f>
        <v>#REF!</v>
      </c>
      <c r="AC457" s="89" t="e">
        <f>#REF!</f>
        <v>#REF!</v>
      </c>
      <c r="AD457" s="89" t="e">
        <f>#REF!</f>
        <v>#REF!</v>
      </c>
      <c r="AE457" s="89" t="e">
        <f>#REF!</f>
        <v>#REF!</v>
      </c>
      <c r="AF457" s="89" t="e">
        <f>#REF!</f>
        <v>#REF!</v>
      </c>
      <c r="AG457" s="89" t="e">
        <f>#REF!</f>
        <v>#REF!</v>
      </c>
      <c r="AH457" s="89" t="e">
        <f>#REF!</f>
        <v>#REF!</v>
      </c>
      <c r="AI457" s="89" t="e">
        <f>#REF!</f>
        <v>#REF!</v>
      </c>
      <c r="AJ457" s="89" t="e">
        <f>#REF!</f>
        <v>#REF!</v>
      </c>
      <c r="AK457" s="89" t="e">
        <f>#REF!</f>
        <v>#REF!</v>
      </c>
      <c r="AL457" s="89" t="e">
        <f>#REF!</f>
        <v>#REF!</v>
      </c>
      <c r="AM457" s="89" t="e">
        <f>#REF!</f>
        <v>#REF!</v>
      </c>
      <c r="AN457" s="89" t="e">
        <f>#REF!</f>
        <v>#REF!</v>
      </c>
      <c r="AO457" s="89" t="e">
        <f>#REF!</f>
        <v>#REF!</v>
      </c>
      <c r="AP457" s="89" t="e">
        <f>#REF!</f>
        <v>#REF!</v>
      </c>
      <c r="AQ457" s="89" t="e">
        <f>#REF!</f>
        <v>#REF!</v>
      </c>
      <c r="AR457" s="89" t="e">
        <f>#REF!</f>
        <v>#REF!</v>
      </c>
      <c r="AS457" s="89" t="e">
        <f>#REF!</f>
        <v>#REF!</v>
      </c>
      <c r="AT457" s="89" t="e">
        <f>#REF!</f>
        <v>#REF!</v>
      </c>
      <c r="AU457" s="89" t="e">
        <f>#REF!</f>
        <v>#REF!</v>
      </c>
      <c r="AV457" s="89" t="e">
        <f>#REF!</f>
        <v>#REF!</v>
      </c>
      <c r="AW457" s="89" t="e">
        <f>#REF!</f>
        <v>#REF!</v>
      </c>
      <c r="AX457" s="89" t="e">
        <f>#REF!</f>
        <v>#REF!</v>
      </c>
      <c r="AY457" s="89" t="e">
        <f>#REF!</f>
        <v>#REF!</v>
      </c>
      <c r="AZ457" s="89" t="e">
        <f>#REF!</f>
        <v>#REF!</v>
      </c>
      <c r="BA457" s="89" t="e">
        <f>#REF!</f>
        <v>#REF!</v>
      </c>
      <c r="BB457" s="89" t="e">
        <f>#REF!</f>
        <v>#REF!</v>
      </c>
      <c r="BC457" s="89" t="e">
        <f>#REF!</f>
        <v>#REF!</v>
      </c>
      <c r="BD457" s="89" t="e">
        <f>#REF!</f>
        <v>#REF!</v>
      </c>
      <c r="BE457" s="89" t="e">
        <f>#REF!</f>
        <v>#REF!</v>
      </c>
      <c r="BF457" s="89" t="e">
        <f>#REF!</f>
        <v>#REF!</v>
      </c>
    </row>
    <row r="458" spans="9:58" x14ac:dyDescent="0.25">
      <c r="I458" s="89">
        <f>ABCD!J507</f>
        <v>113.5</v>
      </c>
      <c r="J458" s="89">
        <f>ABCD!K507</f>
        <v>372.28</v>
      </c>
      <c r="K458" s="89">
        <f>ABCD!L507</f>
        <v>2.1094678986662228</v>
      </c>
      <c r="L458" s="89">
        <f>ABCD!M507</f>
        <v>0.33489306598488877</v>
      </c>
      <c r="M458" s="89">
        <f>ABCD!N507</f>
        <v>2.1358858071413951</v>
      </c>
      <c r="N458" s="89" t="e">
        <v>#REF!</v>
      </c>
      <c r="O458" s="89" t="e">
        <v>#REF!</v>
      </c>
      <c r="P458" s="89" t="e">
        <v>#REF!</v>
      </c>
      <c r="Q458" s="89" t="e">
        <v>#REF!</v>
      </c>
      <c r="R458" s="89" t="e">
        <v>#REF!</v>
      </c>
      <c r="S458" s="89" t="e">
        <f>#REF!</f>
        <v>#REF!</v>
      </c>
      <c r="T458" s="89" t="e">
        <f>#REF!</f>
        <v>#REF!</v>
      </c>
      <c r="U458" s="89" t="e">
        <f>#REF!</f>
        <v>#REF!</v>
      </c>
      <c r="V458" s="89" t="e">
        <f>#REF!</f>
        <v>#REF!</v>
      </c>
      <c r="W458" s="89" t="e">
        <f>#REF!</f>
        <v>#REF!</v>
      </c>
      <c r="X458" s="89" t="e">
        <f>#REF!</f>
        <v>#REF!</v>
      </c>
      <c r="Y458" s="89" t="e">
        <f>#REF!</f>
        <v>#REF!</v>
      </c>
      <c r="Z458" s="89" t="e">
        <f>#REF!</f>
        <v>#REF!</v>
      </c>
      <c r="AA458" s="89" t="e">
        <f>#REF!</f>
        <v>#REF!</v>
      </c>
      <c r="AB458" s="89" t="e">
        <f>#REF!</f>
        <v>#REF!</v>
      </c>
      <c r="AC458" s="89" t="e">
        <f>#REF!</f>
        <v>#REF!</v>
      </c>
      <c r="AD458" s="89" t="e">
        <f>#REF!</f>
        <v>#REF!</v>
      </c>
      <c r="AE458" s="89" t="e">
        <f>#REF!</f>
        <v>#REF!</v>
      </c>
      <c r="AF458" s="89" t="e">
        <f>#REF!</f>
        <v>#REF!</v>
      </c>
      <c r="AG458" s="89" t="e">
        <f>#REF!</f>
        <v>#REF!</v>
      </c>
      <c r="AH458" s="89" t="e">
        <f>#REF!</f>
        <v>#REF!</v>
      </c>
      <c r="AI458" s="89" t="e">
        <f>#REF!</f>
        <v>#REF!</v>
      </c>
      <c r="AJ458" s="89" t="e">
        <f>#REF!</f>
        <v>#REF!</v>
      </c>
      <c r="AK458" s="89" t="e">
        <f>#REF!</f>
        <v>#REF!</v>
      </c>
      <c r="AL458" s="89" t="e">
        <f>#REF!</f>
        <v>#REF!</v>
      </c>
      <c r="AM458" s="89" t="e">
        <f>#REF!</f>
        <v>#REF!</v>
      </c>
      <c r="AN458" s="89" t="e">
        <f>#REF!</f>
        <v>#REF!</v>
      </c>
      <c r="AO458" s="89" t="e">
        <f>#REF!</f>
        <v>#REF!</v>
      </c>
      <c r="AP458" s="89" t="e">
        <f>#REF!</f>
        <v>#REF!</v>
      </c>
      <c r="AQ458" s="89" t="e">
        <f>#REF!</f>
        <v>#REF!</v>
      </c>
      <c r="AR458" s="89" t="e">
        <f>#REF!</f>
        <v>#REF!</v>
      </c>
      <c r="AS458" s="89" t="e">
        <f>#REF!</f>
        <v>#REF!</v>
      </c>
      <c r="AT458" s="89" t="e">
        <f>#REF!</f>
        <v>#REF!</v>
      </c>
      <c r="AU458" s="89" t="e">
        <f>#REF!</f>
        <v>#REF!</v>
      </c>
      <c r="AV458" s="89" t="e">
        <f>#REF!</f>
        <v>#REF!</v>
      </c>
      <c r="AW458" s="89" t="e">
        <f>#REF!</f>
        <v>#REF!</v>
      </c>
      <c r="AX458" s="89" t="e">
        <f>#REF!</f>
        <v>#REF!</v>
      </c>
      <c r="AY458" s="89" t="e">
        <f>#REF!</f>
        <v>#REF!</v>
      </c>
      <c r="AZ458" s="89" t="e">
        <f>#REF!</f>
        <v>#REF!</v>
      </c>
      <c r="BA458" s="89" t="e">
        <f>#REF!</f>
        <v>#REF!</v>
      </c>
      <c r="BB458" s="89" t="e">
        <f>#REF!</f>
        <v>#REF!</v>
      </c>
      <c r="BC458" s="89" t="e">
        <f>#REF!</f>
        <v>#REF!</v>
      </c>
      <c r="BD458" s="89" t="e">
        <f>#REF!</f>
        <v>#REF!</v>
      </c>
      <c r="BE458" s="89" t="e">
        <f>#REF!</f>
        <v>#REF!</v>
      </c>
      <c r="BF458" s="89" t="e">
        <f>#REF!</f>
        <v>#REF!</v>
      </c>
    </row>
    <row r="459" spans="9:58" x14ac:dyDescent="0.25">
      <c r="I459" s="89">
        <f>ABCD!J508</f>
        <v>113.75</v>
      </c>
      <c r="J459" s="89">
        <f>ABCD!K508</f>
        <v>373.09999999999997</v>
      </c>
      <c r="K459" s="89">
        <f>ABCD!L508</f>
        <v>2.1892410462477172</v>
      </c>
      <c r="L459" s="89">
        <f>ABCD!M508</f>
        <v>0.3497342248686941</v>
      </c>
      <c r="M459" s="89">
        <f>ABCD!N508</f>
        <v>2.2170003127244491</v>
      </c>
      <c r="N459" s="89" t="e">
        <v>#REF!</v>
      </c>
      <c r="O459" s="89" t="e">
        <v>#REF!</v>
      </c>
      <c r="P459" s="89" t="e">
        <v>#REF!</v>
      </c>
      <c r="Q459" s="89" t="e">
        <v>#REF!</v>
      </c>
      <c r="R459" s="89" t="e">
        <v>#REF!</v>
      </c>
      <c r="S459" s="89" t="e">
        <f>#REF!</f>
        <v>#REF!</v>
      </c>
      <c r="T459" s="89" t="e">
        <f>#REF!</f>
        <v>#REF!</v>
      </c>
      <c r="U459" s="89" t="e">
        <f>#REF!</f>
        <v>#REF!</v>
      </c>
      <c r="V459" s="89" t="e">
        <f>#REF!</f>
        <v>#REF!</v>
      </c>
      <c r="W459" s="89" t="e">
        <f>#REF!</f>
        <v>#REF!</v>
      </c>
      <c r="X459" s="89" t="e">
        <f>#REF!</f>
        <v>#REF!</v>
      </c>
      <c r="Y459" s="89" t="e">
        <f>#REF!</f>
        <v>#REF!</v>
      </c>
      <c r="Z459" s="89" t="e">
        <f>#REF!</f>
        <v>#REF!</v>
      </c>
      <c r="AA459" s="89" t="e">
        <f>#REF!</f>
        <v>#REF!</v>
      </c>
      <c r="AB459" s="89" t="e">
        <f>#REF!</f>
        <v>#REF!</v>
      </c>
      <c r="AC459" s="89" t="e">
        <f>#REF!</f>
        <v>#REF!</v>
      </c>
      <c r="AD459" s="89" t="e">
        <f>#REF!</f>
        <v>#REF!</v>
      </c>
      <c r="AE459" s="89" t="e">
        <f>#REF!</f>
        <v>#REF!</v>
      </c>
      <c r="AF459" s="89" t="e">
        <f>#REF!</f>
        <v>#REF!</v>
      </c>
      <c r="AG459" s="89" t="e">
        <f>#REF!</f>
        <v>#REF!</v>
      </c>
      <c r="AH459" s="89" t="e">
        <f>#REF!</f>
        <v>#REF!</v>
      </c>
      <c r="AI459" s="89" t="e">
        <f>#REF!</f>
        <v>#REF!</v>
      </c>
      <c r="AJ459" s="89" t="e">
        <f>#REF!</f>
        <v>#REF!</v>
      </c>
      <c r="AK459" s="89" t="e">
        <f>#REF!</f>
        <v>#REF!</v>
      </c>
      <c r="AL459" s="89" t="e">
        <f>#REF!</f>
        <v>#REF!</v>
      </c>
      <c r="AM459" s="89" t="e">
        <f>#REF!</f>
        <v>#REF!</v>
      </c>
      <c r="AN459" s="89" t="e">
        <f>#REF!</f>
        <v>#REF!</v>
      </c>
      <c r="AO459" s="89" t="e">
        <f>#REF!</f>
        <v>#REF!</v>
      </c>
      <c r="AP459" s="89" t="e">
        <f>#REF!</f>
        <v>#REF!</v>
      </c>
      <c r="AQ459" s="89" t="e">
        <f>#REF!</f>
        <v>#REF!</v>
      </c>
      <c r="AR459" s="89" t="e">
        <f>#REF!</f>
        <v>#REF!</v>
      </c>
      <c r="AS459" s="89" t="e">
        <f>#REF!</f>
        <v>#REF!</v>
      </c>
      <c r="AT459" s="89" t="e">
        <f>#REF!</f>
        <v>#REF!</v>
      </c>
      <c r="AU459" s="89" t="e">
        <f>#REF!</f>
        <v>#REF!</v>
      </c>
      <c r="AV459" s="89" t="e">
        <f>#REF!</f>
        <v>#REF!</v>
      </c>
      <c r="AW459" s="89" t="e">
        <f>#REF!</f>
        <v>#REF!</v>
      </c>
      <c r="AX459" s="89" t="e">
        <f>#REF!</f>
        <v>#REF!</v>
      </c>
      <c r="AY459" s="89" t="e">
        <f>#REF!</f>
        <v>#REF!</v>
      </c>
      <c r="AZ459" s="89" t="e">
        <f>#REF!</f>
        <v>#REF!</v>
      </c>
      <c r="BA459" s="89" t="e">
        <f>#REF!</f>
        <v>#REF!</v>
      </c>
      <c r="BB459" s="89" t="e">
        <f>#REF!</f>
        <v>#REF!</v>
      </c>
      <c r="BC459" s="89" t="e">
        <f>#REF!</f>
        <v>#REF!</v>
      </c>
      <c r="BD459" s="89" t="e">
        <f>#REF!</f>
        <v>#REF!</v>
      </c>
      <c r="BE459" s="89" t="e">
        <f>#REF!</f>
        <v>#REF!</v>
      </c>
      <c r="BF459" s="89" t="e">
        <f>#REF!</f>
        <v>#REF!</v>
      </c>
    </row>
    <row r="460" spans="9:58" x14ac:dyDescent="0.25">
      <c r="I460" s="89">
        <f>ABCD!J509</f>
        <v>114</v>
      </c>
      <c r="J460" s="89">
        <f>ABCD!K509</f>
        <v>373.91999999999996</v>
      </c>
      <c r="K460" s="89">
        <f>ABCD!L509</f>
        <v>2.2684370635369127</v>
      </c>
      <c r="L460" s="89">
        <f>ABCD!M509</f>
        <v>0.36448129969371834</v>
      </c>
      <c r="M460" s="89">
        <f>ABCD!N509</f>
        <v>2.2975320082763577</v>
      </c>
      <c r="N460" s="89" t="e">
        <v>#REF!</v>
      </c>
      <c r="O460" s="89" t="e">
        <v>#REF!</v>
      </c>
      <c r="P460" s="89" t="e">
        <v>#REF!</v>
      </c>
      <c r="Q460" s="89" t="e">
        <v>#REF!</v>
      </c>
      <c r="R460" s="89" t="e">
        <v>#REF!</v>
      </c>
      <c r="S460" s="89" t="e">
        <f>#REF!</f>
        <v>#REF!</v>
      </c>
      <c r="T460" s="89" t="e">
        <f>#REF!</f>
        <v>#REF!</v>
      </c>
      <c r="U460" s="89" t="e">
        <f>#REF!</f>
        <v>#REF!</v>
      </c>
      <c r="V460" s="89" t="e">
        <f>#REF!</f>
        <v>#REF!</v>
      </c>
      <c r="W460" s="89" t="e">
        <f>#REF!</f>
        <v>#REF!</v>
      </c>
      <c r="X460" s="89" t="e">
        <f>#REF!</f>
        <v>#REF!</v>
      </c>
      <c r="Y460" s="89" t="e">
        <f>#REF!</f>
        <v>#REF!</v>
      </c>
      <c r="Z460" s="89" t="e">
        <f>#REF!</f>
        <v>#REF!</v>
      </c>
      <c r="AA460" s="89" t="e">
        <f>#REF!</f>
        <v>#REF!</v>
      </c>
      <c r="AB460" s="89" t="e">
        <f>#REF!</f>
        <v>#REF!</v>
      </c>
      <c r="AC460" s="89" t="e">
        <f>#REF!</f>
        <v>#REF!</v>
      </c>
      <c r="AD460" s="89" t="e">
        <f>#REF!</f>
        <v>#REF!</v>
      </c>
      <c r="AE460" s="89" t="e">
        <f>#REF!</f>
        <v>#REF!</v>
      </c>
      <c r="AF460" s="89" t="e">
        <f>#REF!</f>
        <v>#REF!</v>
      </c>
      <c r="AG460" s="89" t="e">
        <f>#REF!</f>
        <v>#REF!</v>
      </c>
      <c r="AH460" s="89" t="e">
        <f>#REF!</f>
        <v>#REF!</v>
      </c>
      <c r="AI460" s="89" t="e">
        <f>#REF!</f>
        <v>#REF!</v>
      </c>
      <c r="AJ460" s="89" t="e">
        <f>#REF!</f>
        <v>#REF!</v>
      </c>
      <c r="AK460" s="89" t="e">
        <f>#REF!</f>
        <v>#REF!</v>
      </c>
      <c r="AL460" s="89" t="e">
        <f>#REF!</f>
        <v>#REF!</v>
      </c>
      <c r="AM460" s="89" t="e">
        <f>#REF!</f>
        <v>#REF!</v>
      </c>
      <c r="AN460" s="89" t="e">
        <f>#REF!</f>
        <v>#REF!</v>
      </c>
      <c r="AO460" s="89" t="e">
        <f>#REF!</f>
        <v>#REF!</v>
      </c>
      <c r="AP460" s="89" t="e">
        <f>#REF!</f>
        <v>#REF!</v>
      </c>
      <c r="AQ460" s="89" t="e">
        <f>#REF!</f>
        <v>#REF!</v>
      </c>
      <c r="AR460" s="89" t="e">
        <f>#REF!</f>
        <v>#REF!</v>
      </c>
      <c r="AS460" s="89" t="e">
        <f>#REF!</f>
        <v>#REF!</v>
      </c>
      <c r="AT460" s="89" t="e">
        <f>#REF!</f>
        <v>#REF!</v>
      </c>
      <c r="AU460" s="89" t="e">
        <f>#REF!</f>
        <v>#REF!</v>
      </c>
      <c r="AV460" s="89" t="e">
        <f>#REF!</f>
        <v>#REF!</v>
      </c>
      <c r="AW460" s="89" t="e">
        <f>#REF!</f>
        <v>#REF!</v>
      </c>
      <c r="AX460" s="89" t="e">
        <f>#REF!</f>
        <v>#REF!</v>
      </c>
      <c r="AY460" s="89" t="e">
        <f>#REF!</f>
        <v>#REF!</v>
      </c>
      <c r="AZ460" s="89" t="e">
        <f>#REF!</f>
        <v>#REF!</v>
      </c>
      <c r="BA460" s="89" t="e">
        <f>#REF!</f>
        <v>#REF!</v>
      </c>
      <c r="BB460" s="89" t="e">
        <f>#REF!</f>
        <v>#REF!</v>
      </c>
      <c r="BC460" s="89" t="e">
        <f>#REF!</f>
        <v>#REF!</v>
      </c>
      <c r="BD460" s="89" t="e">
        <f>#REF!</f>
        <v>#REF!</v>
      </c>
      <c r="BE460" s="89" t="e">
        <f>#REF!</f>
        <v>#REF!</v>
      </c>
      <c r="BF460" s="89" t="e">
        <f>#REF!</f>
        <v>#REF!</v>
      </c>
    </row>
    <row r="461" spans="9:58" x14ac:dyDescent="0.25">
      <c r="I461" s="89">
        <f>ABCD!J510</f>
        <v>114.25</v>
      </c>
      <c r="J461" s="89">
        <f>ABCD!K510</f>
        <v>374.73999999999995</v>
      </c>
      <c r="K461" s="89">
        <f>ABCD!L510</f>
        <v>2.3470381880235922</v>
      </c>
      <c r="L461" s="89">
        <f>ABCD!M510</f>
        <v>0.37913097086691128</v>
      </c>
      <c r="M461" s="89">
        <f>ABCD!N510</f>
        <v>2.3774626283312119</v>
      </c>
      <c r="N461" s="89" t="e">
        <v>#REF!</v>
      </c>
      <c r="O461" s="89" t="e">
        <v>#REF!</v>
      </c>
      <c r="P461" s="89" t="e">
        <v>#REF!</v>
      </c>
      <c r="Q461" s="89" t="e">
        <v>#REF!</v>
      </c>
      <c r="R461" s="89" t="e">
        <v>#REF!</v>
      </c>
      <c r="S461" s="89" t="e">
        <f>#REF!</f>
        <v>#REF!</v>
      </c>
      <c r="T461" s="89" t="e">
        <f>#REF!</f>
        <v>#REF!</v>
      </c>
      <c r="U461" s="89" t="e">
        <f>#REF!</f>
        <v>#REF!</v>
      </c>
      <c r="V461" s="89" t="e">
        <f>#REF!</f>
        <v>#REF!</v>
      </c>
      <c r="W461" s="89" t="e">
        <f>#REF!</f>
        <v>#REF!</v>
      </c>
      <c r="X461" s="89" t="e">
        <f>#REF!</f>
        <v>#REF!</v>
      </c>
      <c r="Y461" s="89" t="e">
        <f>#REF!</f>
        <v>#REF!</v>
      </c>
      <c r="Z461" s="89" t="e">
        <f>#REF!</f>
        <v>#REF!</v>
      </c>
      <c r="AA461" s="89" t="e">
        <f>#REF!</f>
        <v>#REF!</v>
      </c>
      <c r="AB461" s="89" t="e">
        <f>#REF!</f>
        <v>#REF!</v>
      </c>
      <c r="AC461" s="89" t="e">
        <f>#REF!</f>
        <v>#REF!</v>
      </c>
      <c r="AD461" s="89" t="e">
        <f>#REF!</f>
        <v>#REF!</v>
      </c>
      <c r="AE461" s="89" t="e">
        <f>#REF!</f>
        <v>#REF!</v>
      </c>
      <c r="AF461" s="89" t="e">
        <f>#REF!</f>
        <v>#REF!</v>
      </c>
      <c r="AG461" s="89" t="e">
        <f>#REF!</f>
        <v>#REF!</v>
      </c>
      <c r="AH461" s="89" t="e">
        <f>#REF!</f>
        <v>#REF!</v>
      </c>
      <c r="AI461" s="89" t="e">
        <f>#REF!</f>
        <v>#REF!</v>
      </c>
      <c r="AJ461" s="89" t="e">
        <f>#REF!</f>
        <v>#REF!</v>
      </c>
      <c r="AK461" s="89" t="e">
        <f>#REF!</f>
        <v>#REF!</v>
      </c>
      <c r="AL461" s="89" t="e">
        <f>#REF!</f>
        <v>#REF!</v>
      </c>
      <c r="AM461" s="89" t="e">
        <f>#REF!</f>
        <v>#REF!</v>
      </c>
      <c r="AN461" s="89" t="e">
        <f>#REF!</f>
        <v>#REF!</v>
      </c>
      <c r="AO461" s="89" t="e">
        <f>#REF!</f>
        <v>#REF!</v>
      </c>
      <c r="AP461" s="89" t="e">
        <f>#REF!</f>
        <v>#REF!</v>
      </c>
      <c r="AQ461" s="89" t="e">
        <f>#REF!</f>
        <v>#REF!</v>
      </c>
      <c r="AR461" s="89" t="e">
        <f>#REF!</f>
        <v>#REF!</v>
      </c>
      <c r="AS461" s="89" t="e">
        <f>#REF!</f>
        <v>#REF!</v>
      </c>
      <c r="AT461" s="89" t="e">
        <f>#REF!</f>
        <v>#REF!</v>
      </c>
      <c r="AU461" s="89" t="e">
        <f>#REF!</f>
        <v>#REF!</v>
      </c>
      <c r="AV461" s="89" t="e">
        <f>#REF!</f>
        <v>#REF!</v>
      </c>
      <c r="AW461" s="89" t="e">
        <f>#REF!</f>
        <v>#REF!</v>
      </c>
      <c r="AX461" s="89" t="e">
        <f>#REF!</f>
        <v>#REF!</v>
      </c>
      <c r="AY461" s="89" t="e">
        <f>#REF!</f>
        <v>#REF!</v>
      </c>
      <c r="AZ461" s="89" t="e">
        <f>#REF!</f>
        <v>#REF!</v>
      </c>
      <c r="BA461" s="89" t="e">
        <f>#REF!</f>
        <v>#REF!</v>
      </c>
      <c r="BB461" s="89" t="e">
        <f>#REF!</f>
        <v>#REF!</v>
      </c>
      <c r="BC461" s="89" t="e">
        <f>#REF!</f>
        <v>#REF!</v>
      </c>
      <c r="BD461" s="89" t="e">
        <f>#REF!</f>
        <v>#REF!</v>
      </c>
      <c r="BE461" s="89" t="e">
        <f>#REF!</f>
        <v>#REF!</v>
      </c>
      <c r="BF461" s="89" t="e">
        <f>#REF!</f>
        <v>#REF!</v>
      </c>
    </row>
    <row r="462" spans="9:58" x14ac:dyDescent="0.25">
      <c r="I462" s="89">
        <f>ABCD!J511</f>
        <v>114.5</v>
      </c>
      <c r="J462" s="89">
        <f>ABCD!K511</f>
        <v>375.56</v>
      </c>
      <c r="K462" s="89">
        <f>ABCD!L511</f>
        <v>2.4250268105022892</v>
      </c>
      <c r="L462" s="89">
        <f>ABCD!M511</f>
        <v>0.39367994426626751</v>
      </c>
      <c r="M462" s="89">
        <f>ABCD!N511</f>
        <v>2.4567740901785</v>
      </c>
      <c r="N462" s="89" t="e">
        <v>#REF!</v>
      </c>
      <c r="O462" s="89" t="e">
        <v>#REF!</v>
      </c>
      <c r="P462" s="89" t="e">
        <v>#REF!</v>
      </c>
      <c r="Q462" s="89" t="e">
        <v>#REF!</v>
      </c>
      <c r="R462" s="89" t="e">
        <v>#REF!</v>
      </c>
      <c r="S462" s="89" t="e">
        <f>#REF!</f>
        <v>#REF!</v>
      </c>
      <c r="T462" s="89" t="e">
        <f>#REF!</f>
        <v>#REF!</v>
      </c>
      <c r="U462" s="89" t="e">
        <f>#REF!</f>
        <v>#REF!</v>
      </c>
      <c r="V462" s="89" t="e">
        <f>#REF!</f>
        <v>#REF!</v>
      </c>
      <c r="W462" s="89" t="e">
        <f>#REF!</f>
        <v>#REF!</v>
      </c>
      <c r="X462" s="89" t="e">
        <f>#REF!</f>
        <v>#REF!</v>
      </c>
      <c r="Y462" s="89" t="e">
        <f>#REF!</f>
        <v>#REF!</v>
      </c>
      <c r="Z462" s="89" t="e">
        <f>#REF!</f>
        <v>#REF!</v>
      </c>
      <c r="AA462" s="89" t="e">
        <f>#REF!</f>
        <v>#REF!</v>
      </c>
      <c r="AB462" s="89" t="e">
        <f>#REF!</f>
        <v>#REF!</v>
      </c>
      <c r="AC462" s="89" t="e">
        <f>#REF!</f>
        <v>#REF!</v>
      </c>
      <c r="AD462" s="89" t="e">
        <f>#REF!</f>
        <v>#REF!</v>
      </c>
      <c r="AE462" s="89" t="e">
        <f>#REF!</f>
        <v>#REF!</v>
      </c>
      <c r="AF462" s="89" t="e">
        <f>#REF!</f>
        <v>#REF!</v>
      </c>
      <c r="AG462" s="89" t="e">
        <f>#REF!</f>
        <v>#REF!</v>
      </c>
      <c r="AH462" s="89" t="e">
        <f>#REF!</f>
        <v>#REF!</v>
      </c>
      <c r="AI462" s="89" t="e">
        <f>#REF!</f>
        <v>#REF!</v>
      </c>
      <c r="AJ462" s="89" t="e">
        <f>#REF!</f>
        <v>#REF!</v>
      </c>
      <c r="AK462" s="89" t="e">
        <f>#REF!</f>
        <v>#REF!</v>
      </c>
      <c r="AL462" s="89" t="e">
        <f>#REF!</f>
        <v>#REF!</v>
      </c>
      <c r="AM462" s="89" t="e">
        <f>#REF!</f>
        <v>#REF!</v>
      </c>
      <c r="AN462" s="89" t="e">
        <f>#REF!</f>
        <v>#REF!</v>
      </c>
      <c r="AO462" s="89" t="e">
        <f>#REF!</f>
        <v>#REF!</v>
      </c>
      <c r="AP462" s="89" t="e">
        <f>#REF!</f>
        <v>#REF!</v>
      </c>
      <c r="AQ462" s="89" t="e">
        <f>#REF!</f>
        <v>#REF!</v>
      </c>
      <c r="AR462" s="89" t="e">
        <f>#REF!</f>
        <v>#REF!</v>
      </c>
      <c r="AS462" s="89" t="e">
        <f>#REF!</f>
        <v>#REF!</v>
      </c>
      <c r="AT462" s="89" t="e">
        <f>#REF!</f>
        <v>#REF!</v>
      </c>
      <c r="AU462" s="89" t="e">
        <f>#REF!</f>
        <v>#REF!</v>
      </c>
      <c r="AV462" s="89" t="e">
        <f>#REF!</f>
        <v>#REF!</v>
      </c>
      <c r="AW462" s="89" t="e">
        <f>#REF!</f>
        <v>#REF!</v>
      </c>
      <c r="AX462" s="89" t="e">
        <f>#REF!</f>
        <v>#REF!</v>
      </c>
      <c r="AY462" s="89" t="e">
        <f>#REF!</f>
        <v>#REF!</v>
      </c>
      <c r="AZ462" s="89" t="e">
        <f>#REF!</f>
        <v>#REF!</v>
      </c>
      <c r="BA462" s="89" t="e">
        <f>#REF!</f>
        <v>#REF!</v>
      </c>
      <c r="BB462" s="89" t="e">
        <f>#REF!</f>
        <v>#REF!</v>
      </c>
      <c r="BC462" s="89" t="e">
        <f>#REF!</f>
        <v>#REF!</v>
      </c>
      <c r="BD462" s="89" t="e">
        <f>#REF!</f>
        <v>#REF!</v>
      </c>
      <c r="BE462" s="89" t="e">
        <f>#REF!</f>
        <v>#REF!</v>
      </c>
      <c r="BF462" s="89" t="e">
        <f>#REF!</f>
        <v>#REF!</v>
      </c>
    </row>
    <row r="463" spans="9:58" x14ac:dyDescent="0.25">
      <c r="I463" s="89">
        <f>ABCD!J512</f>
        <v>114.75</v>
      </c>
      <c r="J463" s="89">
        <f>ABCD!K512</f>
        <v>376.38</v>
      </c>
      <c r="K463" s="89">
        <f>ABCD!L512</f>
        <v>2.5023854789993361</v>
      </c>
      <c r="L463" s="89">
        <f>ABCD!M512</f>
        <v>0.40812495197834942</v>
      </c>
      <c r="M463" s="89">
        <f>ABCD!N512</f>
        <v>2.5354484932520456</v>
      </c>
      <c r="N463" s="89" t="e">
        <v>#REF!</v>
      </c>
      <c r="O463" s="89" t="e">
        <v>#REF!</v>
      </c>
      <c r="P463" s="89" t="e">
        <v>#REF!</v>
      </c>
      <c r="Q463" s="89" t="e">
        <v>#REF!</v>
      </c>
      <c r="R463" s="89" t="e">
        <v>#REF!</v>
      </c>
      <c r="S463" s="89" t="e">
        <f>#REF!</f>
        <v>#REF!</v>
      </c>
      <c r="T463" s="89" t="e">
        <f>#REF!</f>
        <v>#REF!</v>
      </c>
      <c r="U463" s="89" t="e">
        <f>#REF!</f>
        <v>#REF!</v>
      </c>
      <c r="V463" s="89" t="e">
        <f>#REF!</f>
        <v>#REF!</v>
      </c>
      <c r="W463" s="89" t="e">
        <f>#REF!</f>
        <v>#REF!</v>
      </c>
      <c r="X463" s="89" t="e">
        <f>#REF!</f>
        <v>#REF!</v>
      </c>
      <c r="Y463" s="89" t="e">
        <f>#REF!</f>
        <v>#REF!</v>
      </c>
      <c r="Z463" s="89" t="e">
        <f>#REF!</f>
        <v>#REF!</v>
      </c>
      <c r="AA463" s="89" t="e">
        <f>#REF!</f>
        <v>#REF!</v>
      </c>
      <c r="AB463" s="89" t="e">
        <f>#REF!</f>
        <v>#REF!</v>
      </c>
      <c r="AC463" s="89" t="e">
        <f>#REF!</f>
        <v>#REF!</v>
      </c>
      <c r="AD463" s="89" t="e">
        <f>#REF!</f>
        <v>#REF!</v>
      </c>
      <c r="AE463" s="89" t="e">
        <f>#REF!</f>
        <v>#REF!</v>
      </c>
      <c r="AF463" s="89" t="e">
        <f>#REF!</f>
        <v>#REF!</v>
      </c>
      <c r="AG463" s="89" t="e">
        <f>#REF!</f>
        <v>#REF!</v>
      </c>
      <c r="AH463" s="89" t="e">
        <f>#REF!</f>
        <v>#REF!</v>
      </c>
      <c r="AI463" s="89" t="e">
        <f>#REF!</f>
        <v>#REF!</v>
      </c>
      <c r="AJ463" s="89" t="e">
        <f>#REF!</f>
        <v>#REF!</v>
      </c>
      <c r="AK463" s="89" t="e">
        <f>#REF!</f>
        <v>#REF!</v>
      </c>
      <c r="AL463" s="89" t="e">
        <f>#REF!</f>
        <v>#REF!</v>
      </c>
      <c r="AM463" s="89" t="e">
        <f>#REF!</f>
        <v>#REF!</v>
      </c>
      <c r="AN463" s="89" t="e">
        <f>#REF!</f>
        <v>#REF!</v>
      </c>
      <c r="AO463" s="89" t="e">
        <f>#REF!</f>
        <v>#REF!</v>
      </c>
      <c r="AP463" s="89" t="e">
        <f>#REF!</f>
        <v>#REF!</v>
      </c>
      <c r="AQ463" s="89" t="e">
        <f>#REF!</f>
        <v>#REF!</v>
      </c>
      <c r="AR463" s="89" t="e">
        <f>#REF!</f>
        <v>#REF!</v>
      </c>
      <c r="AS463" s="89" t="e">
        <f>#REF!</f>
        <v>#REF!</v>
      </c>
      <c r="AT463" s="89" t="e">
        <f>#REF!</f>
        <v>#REF!</v>
      </c>
      <c r="AU463" s="89" t="e">
        <f>#REF!</f>
        <v>#REF!</v>
      </c>
      <c r="AV463" s="89" t="e">
        <f>#REF!</f>
        <v>#REF!</v>
      </c>
      <c r="AW463" s="89" t="e">
        <f>#REF!</f>
        <v>#REF!</v>
      </c>
      <c r="AX463" s="89" t="e">
        <f>#REF!</f>
        <v>#REF!</v>
      </c>
      <c r="AY463" s="89" t="e">
        <f>#REF!</f>
        <v>#REF!</v>
      </c>
      <c r="AZ463" s="89" t="e">
        <f>#REF!</f>
        <v>#REF!</v>
      </c>
      <c r="BA463" s="89" t="e">
        <f>#REF!</f>
        <v>#REF!</v>
      </c>
      <c r="BB463" s="89" t="e">
        <f>#REF!</f>
        <v>#REF!</v>
      </c>
      <c r="BC463" s="89" t="e">
        <f>#REF!</f>
        <v>#REF!</v>
      </c>
      <c r="BD463" s="89" t="e">
        <f>#REF!</f>
        <v>#REF!</v>
      </c>
      <c r="BE463" s="89" t="e">
        <f>#REF!</f>
        <v>#REF!</v>
      </c>
      <c r="BF463" s="89" t="e">
        <f>#REF!</f>
        <v>#REF!</v>
      </c>
    </row>
    <row r="464" spans="9:58" x14ac:dyDescent="0.25">
      <c r="I464" s="89">
        <f>ABCD!J513</f>
        <v>115</v>
      </c>
      <c r="J464" s="89">
        <f>ABCD!K513</f>
        <v>377.2</v>
      </c>
      <c r="K464" s="89">
        <f>ABCD!L513</f>
        <v>2.5790969026600079</v>
      </c>
      <c r="L464" s="89">
        <f>ABCD!M513</f>
        <v>0.42246275302905945</v>
      </c>
      <c r="M464" s="89">
        <f>ABCD!N513</f>
        <v>2.6134681193784131</v>
      </c>
      <c r="N464" s="89" t="e">
        <v>#REF!</v>
      </c>
      <c r="O464" s="89" t="e">
        <v>#REF!</v>
      </c>
      <c r="P464" s="89" t="e">
        <v>#REF!</v>
      </c>
      <c r="Q464" s="89" t="e">
        <v>#REF!</v>
      </c>
      <c r="R464" s="89" t="e">
        <v>#REF!</v>
      </c>
      <c r="S464" s="89" t="e">
        <f>#REF!</f>
        <v>#REF!</v>
      </c>
      <c r="T464" s="89" t="e">
        <f>#REF!</f>
        <v>#REF!</v>
      </c>
      <c r="U464" s="89" t="e">
        <f>#REF!</f>
        <v>#REF!</v>
      </c>
      <c r="V464" s="89" t="e">
        <f>#REF!</f>
        <v>#REF!</v>
      </c>
      <c r="W464" s="89" t="e">
        <f>#REF!</f>
        <v>#REF!</v>
      </c>
      <c r="X464" s="89" t="e">
        <f>#REF!</f>
        <v>#REF!</v>
      </c>
      <c r="Y464" s="89" t="e">
        <f>#REF!</f>
        <v>#REF!</v>
      </c>
      <c r="Z464" s="89" t="e">
        <f>#REF!</f>
        <v>#REF!</v>
      </c>
      <c r="AA464" s="89" t="e">
        <f>#REF!</f>
        <v>#REF!</v>
      </c>
      <c r="AB464" s="89" t="e">
        <f>#REF!</f>
        <v>#REF!</v>
      </c>
      <c r="AC464" s="89" t="e">
        <f>#REF!</f>
        <v>#REF!</v>
      </c>
      <c r="AD464" s="89" t="e">
        <f>#REF!</f>
        <v>#REF!</v>
      </c>
      <c r="AE464" s="89" t="e">
        <f>#REF!</f>
        <v>#REF!</v>
      </c>
      <c r="AF464" s="89" t="e">
        <f>#REF!</f>
        <v>#REF!</v>
      </c>
      <c r="AG464" s="89" t="e">
        <f>#REF!</f>
        <v>#REF!</v>
      </c>
      <c r="AH464" s="89" t="e">
        <f>#REF!</f>
        <v>#REF!</v>
      </c>
      <c r="AI464" s="89" t="e">
        <f>#REF!</f>
        <v>#REF!</v>
      </c>
      <c r="AJ464" s="89" t="e">
        <f>#REF!</f>
        <v>#REF!</v>
      </c>
      <c r="AK464" s="89" t="e">
        <f>#REF!</f>
        <v>#REF!</v>
      </c>
      <c r="AL464" s="89" t="e">
        <f>#REF!</f>
        <v>#REF!</v>
      </c>
      <c r="AM464" s="89" t="e">
        <f>#REF!</f>
        <v>#REF!</v>
      </c>
      <c r="AN464" s="89" t="e">
        <f>#REF!</f>
        <v>#REF!</v>
      </c>
      <c r="AO464" s="89" t="e">
        <f>#REF!</f>
        <v>#REF!</v>
      </c>
      <c r="AP464" s="89" t="e">
        <f>#REF!</f>
        <v>#REF!</v>
      </c>
      <c r="AQ464" s="89" t="e">
        <f>#REF!</f>
        <v>#REF!</v>
      </c>
      <c r="AR464" s="89" t="e">
        <f>#REF!</f>
        <v>#REF!</v>
      </c>
      <c r="AS464" s="89" t="e">
        <f>#REF!</f>
        <v>#REF!</v>
      </c>
      <c r="AT464" s="89" t="e">
        <f>#REF!</f>
        <v>#REF!</v>
      </c>
      <c r="AU464" s="89" t="e">
        <f>#REF!</f>
        <v>#REF!</v>
      </c>
      <c r="AV464" s="89" t="e">
        <f>#REF!</f>
        <v>#REF!</v>
      </c>
      <c r="AW464" s="89" t="e">
        <f>#REF!</f>
        <v>#REF!</v>
      </c>
      <c r="AX464" s="89" t="e">
        <f>#REF!</f>
        <v>#REF!</v>
      </c>
      <c r="AY464" s="89" t="e">
        <f>#REF!</f>
        <v>#REF!</v>
      </c>
      <c r="AZ464" s="89" t="e">
        <f>#REF!</f>
        <v>#REF!</v>
      </c>
      <c r="BA464" s="89" t="e">
        <f>#REF!</f>
        <v>#REF!</v>
      </c>
      <c r="BB464" s="89" t="e">
        <f>#REF!</f>
        <v>#REF!</v>
      </c>
      <c r="BC464" s="89" t="e">
        <f>#REF!</f>
        <v>#REF!</v>
      </c>
      <c r="BD464" s="89" t="e">
        <f>#REF!</f>
        <v>#REF!</v>
      </c>
      <c r="BE464" s="89" t="e">
        <f>#REF!</f>
        <v>#REF!</v>
      </c>
      <c r="BF464" s="89" t="e">
        <f>#REF!</f>
        <v>#REF!</v>
      </c>
    </row>
    <row r="465" spans="9:58" x14ac:dyDescent="0.25">
      <c r="I465" s="89">
        <f>ABCD!J514</f>
        <v>115.25</v>
      </c>
      <c r="J465" s="89">
        <f>ABCD!K514</f>
        <v>378.02</v>
      </c>
      <c r="K465" s="89">
        <f>ABCD!L514</f>
        <v>2.65514395559505</v>
      </c>
      <c r="L465" s="89">
        <f>ABCD!M514</f>
        <v>0.43669013410757218</v>
      </c>
      <c r="M465" s="89">
        <f>ABCD!N514</f>
        <v>2.6908154336854504</v>
      </c>
      <c r="N465" s="89" t="e">
        <v>#REF!</v>
      </c>
      <c r="O465" s="89" t="e">
        <v>#REF!</v>
      </c>
      <c r="P465" s="89" t="e">
        <v>#REF!</v>
      </c>
      <c r="Q465" s="89" t="e">
        <v>#REF!</v>
      </c>
      <c r="R465" s="89" t="e">
        <v>#REF!</v>
      </c>
      <c r="S465" s="89" t="e">
        <f>#REF!</f>
        <v>#REF!</v>
      </c>
      <c r="T465" s="89" t="e">
        <f>#REF!</f>
        <v>#REF!</v>
      </c>
      <c r="U465" s="89" t="e">
        <f>#REF!</f>
        <v>#REF!</v>
      </c>
      <c r="V465" s="89" t="e">
        <f>#REF!</f>
        <v>#REF!</v>
      </c>
      <c r="W465" s="89" t="e">
        <f>#REF!</f>
        <v>#REF!</v>
      </c>
      <c r="X465" s="89" t="e">
        <f>#REF!</f>
        <v>#REF!</v>
      </c>
      <c r="Y465" s="89" t="e">
        <f>#REF!</f>
        <v>#REF!</v>
      </c>
      <c r="Z465" s="89" t="e">
        <f>#REF!</f>
        <v>#REF!</v>
      </c>
      <c r="AA465" s="89" t="e">
        <f>#REF!</f>
        <v>#REF!</v>
      </c>
      <c r="AB465" s="89" t="e">
        <f>#REF!</f>
        <v>#REF!</v>
      </c>
      <c r="AC465" s="89" t="e">
        <f>#REF!</f>
        <v>#REF!</v>
      </c>
      <c r="AD465" s="89" t="e">
        <f>#REF!</f>
        <v>#REF!</v>
      </c>
      <c r="AE465" s="89" t="e">
        <f>#REF!</f>
        <v>#REF!</v>
      </c>
      <c r="AF465" s="89" t="e">
        <f>#REF!</f>
        <v>#REF!</v>
      </c>
      <c r="AG465" s="89" t="e">
        <f>#REF!</f>
        <v>#REF!</v>
      </c>
      <c r="AH465" s="89" t="e">
        <f>#REF!</f>
        <v>#REF!</v>
      </c>
      <c r="AI465" s="89" t="e">
        <f>#REF!</f>
        <v>#REF!</v>
      </c>
      <c r="AJ465" s="89" t="e">
        <f>#REF!</f>
        <v>#REF!</v>
      </c>
      <c r="AK465" s="89" t="e">
        <f>#REF!</f>
        <v>#REF!</v>
      </c>
      <c r="AL465" s="89" t="e">
        <f>#REF!</f>
        <v>#REF!</v>
      </c>
      <c r="AM465" s="89" t="e">
        <f>#REF!</f>
        <v>#REF!</v>
      </c>
      <c r="AN465" s="89" t="e">
        <f>#REF!</f>
        <v>#REF!</v>
      </c>
      <c r="AO465" s="89" t="e">
        <f>#REF!</f>
        <v>#REF!</v>
      </c>
      <c r="AP465" s="89" t="e">
        <f>#REF!</f>
        <v>#REF!</v>
      </c>
      <c r="AQ465" s="89" t="e">
        <f>#REF!</f>
        <v>#REF!</v>
      </c>
      <c r="AR465" s="89" t="e">
        <f>#REF!</f>
        <v>#REF!</v>
      </c>
      <c r="AS465" s="89" t="e">
        <f>#REF!</f>
        <v>#REF!</v>
      </c>
      <c r="AT465" s="89" t="e">
        <f>#REF!</f>
        <v>#REF!</v>
      </c>
      <c r="AU465" s="89" t="e">
        <f>#REF!</f>
        <v>#REF!</v>
      </c>
      <c r="AV465" s="89" t="e">
        <f>#REF!</f>
        <v>#REF!</v>
      </c>
      <c r="AW465" s="89" t="e">
        <f>#REF!</f>
        <v>#REF!</v>
      </c>
      <c r="AX465" s="89" t="e">
        <f>#REF!</f>
        <v>#REF!</v>
      </c>
      <c r="AY465" s="89" t="e">
        <f>#REF!</f>
        <v>#REF!</v>
      </c>
      <c r="AZ465" s="89" t="e">
        <f>#REF!</f>
        <v>#REF!</v>
      </c>
      <c r="BA465" s="89" t="e">
        <f>#REF!</f>
        <v>#REF!</v>
      </c>
      <c r="BB465" s="89" t="e">
        <f>#REF!</f>
        <v>#REF!</v>
      </c>
      <c r="BC465" s="89" t="e">
        <f>#REF!</f>
        <v>#REF!</v>
      </c>
      <c r="BD465" s="89" t="e">
        <f>#REF!</f>
        <v>#REF!</v>
      </c>
      <c r="BE465" s="89" t="e">
        <f>#REF!</f>
        <v>#REF!</v>
      </c>
      <c r="BF465" s="89" t="e">
        <f>#REF!</f>
        <v>#REF!</v>
      </c>
    </row>
    <row r="466" spans="9:58" x14ac:dyDescent="0.25">
      <c r="I466" s="89">
        <f>ABCD!J515</f>
        <v>115.5</v>
      </c>
      <c r="J466" s="89">
        <f>ABCD!K515</f>
        <v>378.84</v>
      </c>
      <c r="K466" s="89">
        <f>ABCD!L515</f>
        <v>2.730509680685639</v>
      </c>
      <c r="L466" s="89">
        <f>ABCD!M515</f>
        <v>0.4508039102832071</v>
      </c>
      <c r="M466" s="89">
        <f>ABCD!N515</f>
        <v>2.7674730860199204</v>
      </c>
      <c r="N466" s="89" t="e">
        <v>#REF!</v>
      </c>
      <c r="O466" s="89" t="e">
        <v>#REF!</v>
      </c>
      <c r="P466" s="89" t="e">
        <v>#REF!</v>
      </c>
      <c r="Q466" s="89" t="e">
        <v>#REF!</v>
      </c>
      <c r="R466" s="89" t="e">
        <v>#REF!</v>
      </c>
      <c r="S466" s="89" t="e">
        <f>#REF!</f>
        <v>#REF!</v>
      </c>
      <c r="T466" s="89" t="e">
        <f>#REF!</f>
        <v>#REF!</v>
      </c>
      <c r="U466" s="89" t="e">
        <f>#REF!</f>
        <v>#REF!</v>
      </c>
      <c r="V466" s="89" t="e">
        <f>#REF!</f>
        <v>#REF!</v>
      </c>
      <c r="W466" s="89" t="e">
        <f>#REF!</f>
        <v>#REF!</v>
      </c>
      <c r="X466" s="89" t="e">
        <f>#REF!</f>
        <v>#REF!</v>
      </c>
      <c r="Y466" s="89" t="e">
        <f>#REF!</f>
        <v>#REF!</v>
      </c>
      <c r="Z466" s="89" t="e">
        <f>#REF!</f>
        <v>#REF!</v>
      </c>
      <c r="AA466" s="89" t="e">
        <f>#REF!</f>
        <v>#REF!</v>
      </c>
      <c r="AB466" s="89" t="e">
        <f>#REF!</f>
        <v>#REF!</v>
      </c>
      <c r="AC466" s="89" t="e">
        <f>#REF!</f>
        <v>#REF!</v>
      </c>
      <c r="AD466" s="89" t="e">
        <f>#REF!</f>
        <v>#REF!</v>
      </c>
      <c r="AE466" s="89" t="e">
        <f>#REF!</f>
        <v>#REF!</v>
      </c>
      <c r="AF466" s="89" t="e">
        <f>#REF!</f>
        <v>#REF!</v>
      </c>
      <c r="AG466" s="89" t="e">
        <f>#REF!</f>
        <v>#REF!</v>
      </c>
      <c r="AH466" s="89" t="e">
        <f>#REF!</f>
        <v>#REF!</v>
      </c>
      <c r="AI466" s="89" t="e">
        <f>#REF!</f>
        <v>#REF!</v>
      </c>
      <c r="AJ466" s="89" t="e">
        <f>#REF!</f>
        <v>#REF!</v>
      </c>
      <c r="AK466" s="89" t="e">
        <f>#REF!</f>
        <v>#REF!</v>
      </c>
      <c r="AL466" s="89" t="e">
        <f>#REF!</f>
        <v>#REF!</v>
      </c>
      <c r="AM466" s="89" t="e">
        <f>#REF!</f>
        <v>#REF!</v>
      </c>
      <c r="AN466" s="89" t="e">
        <f>#REF!</f>
        <v>#REF!</v>
      </c>
      <c r="AO466" s="89" t="e">
        <f>#REF!</f>
        <v>#REF!</v>
      </c>
      <c r="AP466" s="89" t="e">
        <f>#REF!</f>
        <v>#REF!</v>
      </c>
      <c r="AQ466" s="89" t="e">
        <f>#REF!</f>
        <v>#REF!</v>
      </c>
      <c r="AR466" s="89" t="e">
        <f>#REF!</f>
        <v>#REF!</v>
      </c>
      <c r="AS466" s="89" t="e">
        <f>#REF!</f>
        <v>#REF!</v>
      </c>
      <c r="AT466" s="89" t="e">
        <f>#REF!</f>
        <v>#REF!</v>
      </c>
      <c r="AU466" s="89" t="e">
        <f>#REF!</f>
        <v>#REF!</v>
      </c>
      <c r="AV466" s="89" t="e">
        <f>#REF!</f>
        <v>#REF!</v>
      </c>
      <c r="AW466" s="89" t="e">
        <f>#REF!</f>
        <v>#REF!</v>
      </c>
      <c r="AX466" s="89" t="e">
        <f>#REF!</f>
        <v>#REF!</v>
      </c>
      <c r="AY466" s="89" t="e">
        <f>#REF!</f>
        <v>#REF!</v>
      </c>
      <c r="AZ466" s="89" t="e">
        <f>#REF!</f>
        <v>#REF!</v>
      </c>
      <c r="BA466" s="89" t="e">
        <f>#REF!</f>
        <v>#REF!</v>
      </c>
      <c r="BB466" s="89" t="e">
        <f>#REF!</f>
        <v>#REF!</v>
      </c>
      <c r="BC466" s="89" t="e">
        <f>#REF!</f>
        <v>#REF!</v>
      </c>
      <c r="BD466" s="89" t="e">
        <f>#REF!</f>
        <v>#REF!</v>
      </c>
      <c r="BE466" s="89" t="e">
        <f>#REF!</f>
        <v>#REF!</v>
      </c>
      <c r="BF466" s="89" t="e">
        <f>#REF!</f>
        <v>#REF!</v>
      </c>
    </row>
    <row r="467" spans="9:58" x14ac:dyDescent="0.25">
      <c r="I467" s="89">
        <f>ABCD!J516</f>
        <v>115.75</v>
      </c>
      <c r="J467" s="89">
        <f>ABCD!K516</f>
        <v>379.65999999999997</v>
      </c>
      <c r="K467" s="89">
        <f>ABCD!L516</f>
        <v>2.8051772933459267</v>
      </c>
      <c r="L467" s="89">
        <f>ABCD!M516</f>
        <v>0.46480092571510534</v>
      </c>
      <c r="M467" s="89">
        <f>ABCD!N516</f>
        <v>2.8434239127589116</v>
      </c>
      <c r="N467" s="89" t="e">
        <v>#REF!</v>
      </c>
      <c r="O467" s="89" t="e">
        <v>#REF!</v>
      </c>
      <c r="P467" s="89" t="e">
        <v>#REF!</v>
      </c>
      <c r="Q467" s="89" t="e">
        <v>#REF!</v>
      </c>
      <c r="R467" s="89" t="e">
        <v>#REF!</v>
      </c>
      <c r="S467" s="89" t="e">
        <f>#REF!</f>
        <v>#REF!</v>
      </c>
      <c r="T467" s="89" t="e">
        <f>#REF!</f>
        <v>#REF!</v>
      </c>
      <c r="U467" s="89" t="e">
        <f>#REF!</f>
        <v>#REF!</v>
      </c>
      <c r="V467" s="89" t="e">
        <f>#REF!</f>
        <v>#REF!</v>
      </c>
      <c r="W467" s="89" t="e">
        <f>#REF!</f>
        <v>#REF!</v>
      </c>
      <c r="X467" s="89" t="e">
        <f>#REF!</f>
        <v>#REF!</v>
      </c>
      <c r="Y467" s="89" t="e">
        <f>#REF!</f>
        <v>#REF!</v>
      </c>
      <c r="Z467" s="89" t="e">
        <f>#REF!</f>
        <v>#REF!</v>
      </c>
      <c r="AA467" s="89" t="e">
        <f>#REF!</f>
        <v>#REF!</v>
      </c>
      <c r="AB467" s="89" t="e">
        <f>#REF!</f>
        <v>#REF!</v>
      </c>
      <c r="AC467" s="89" t="e">
        <f>#REF!</f>
        <v>#REF!</v>
      </c>
      <c r="AD467" s="89" t="e">
        <f>#REF!</f>
        <v>#REF!</v>
      </c>
      <c r="AE467" s="89" t="e">
        <f>#REF!</f>
        <v>#REF!</v>
      </c>
      <c r="AF467" s="89" t="e">
        <f>#REF!</f>
        <v>#REF!</v>
      </c>
      <c r="AG467" s="89" t="e">
        <f>#REF!</f>
        <v>#REF!</v>
      </c>
      <c r="AH467" s="89" t="e">
        <f>#REF!</f>
        <v>#REF!</v>
      </c>
      <c r="AI467" s="89" t="e">
        <f>#REF!</f>
        <v>#REF!</v>
      </c>
      <c r="AJ467" s="89" t="e">
        <f>#REF!</f>
        <v>#REF!</v>
      </c>
      <c r="AK467" s="89" t="e">
        <f>#REF!</f>
        <v>#REF!</v>
      </c>
      <c r="AL467" s="89" t="e">
        <f>#REF!</f>
        <v>#REF!</v>
      </c>
      <c r="AM467" s="89" t="e">
        <f>#REF!</f>
        <v>#REF!</v>
      </c>
      <c r="AN467" s="89" t="e">
        <f>#REF!</f>
        <v>#REF!</v>
      </c>
      <c r="AO467" s="89" t="e">
        <f>#REF!</f>
        <v>#REF!</v>
      </c>
      <c r="AP467" s="89" t="e">
        <f>#REF!</f>
        <v>#REF!</v>
      </c>
      <c r="AQ467" s="89" t="e">
        <f>#REF!</f>
        <v>#REF!</v>
      </c>
      <c r="AR467" s="89" t="e">
        <f>#REF!</f>
        <v>#REF!</v>
      </c>
      <c r="AS467" s="89" t="e">
        <f>#REF!</f>
        <v>#REF!</v>
      </c>
      <c r="AT467" s="89" t="e">
        <f>#REF!</f>
        <v>#REF!</v>
      </c>
      <c r="AU467" s="89" t="e">
        <f>#REF!</f>
        <v>#REF!</v>
      </c>
      <c r="AV467" s="89" t="e">
        <f>#REF!</f>
        <v>#REF!</v>
      </c>
      <c r="AW467" s="89" t="e">
        <f>#REF!</f>
        <v>#REF!</v>
      </c>
      <c r="AX467" s="89" t="e">
        <f>#REF!</f>
        <v>#REF!</v>
      </c>
      <c r="AY467" s="89" t="e">
        <f>#REF!</f>
        <v>#REF!</v>
      </c>
      <c r="AZ467" s="89" t="e">
        <f>#REF!</f>
        <v>#REF!</v>
      </c>
      <c r="BA467" s="89" t="e">
        <f>#REF!</f>
        <v>#REF!</v>
      </c>
      <c r="BB467" s="89" t="e">
        <f>#REF!</f>
        <v>#REF!</v>
      </c>
      <c r="BC467" s="89" t="e">
        <f>#REF!</f>
        <v>#REF!</v>
      </c>
      <c r="BD467" s="89" t="e">
        <f>#REF!</f>
        <v>#REF!</v>
      </c>
      <c r="BE467" s="89" t="e">
        <f>#REF!</f>
        <v>#REF!</v>
      </c>
      <c r="BF467" s="89" t="e">
        <f>#REF!</f>
        <v>#REF!</v>
      </c>
    </row>
    <row r="468" spans="9:58" x14ac:dyDescent="0.25">
      <c r="I468" s="89">
        <f>ABCD!J517</f>
        <v>116</v>
      </c>
      <c r="J468" s="89">
        <f>ABCD!K517</f>
        <v>380.47999999999996</v>
      </c>
      <c r="K468" s="89">
        <f>ABCD!L517</f>
        <v>2.8791301852424294</v>
      </c>
      <c r="L468" s="89">
        <f>ABCD!M517</f>
        <v>0.47867805435456301</v>
      </c>
      <c r="M468" s="89">
        <f>ABCD!N517</f>
        <v>2.9186509389261976</v>
      </c>
      <c r="N468" s="89" t="e">
        <v>#REF!</v>
      </c>
      <c r="O468" s="89" t="e">
        <v>#REF!</v>
      </c>
      <c r="P468" s="89" t="e">
        <v>#REF!</v>
      </c>
      <c r="Q468" s="89" t="e">
        <v>#REF!</v>
      </c>
      <c r="R468" s="89" t="e">
        <v>#REF!</v>
      </c>
      <c r="S468" s="89" t="e">
        <f>#REF!</f>
        <v>#REF!</v>
      </c>
      <c r="T468" s="89" t="e">
        <f>#REF!</f>
        <v>#REF!</v>
      </c>
      <c r="U468" s="89" t="e">
        <f>#REF!</f>
        <v>#REF!</v>
      </c>
      <c r="V468" s="89" t="e">
        <f>#REF!</f>
        <v>#REF!</v>
      </c>
      <c r="W468" s="89" t="e">
        <f>#REF!</f>
        <v>#REF!</v>
      </c>
      <c r="X468" s="89" t="e">
        <f>#REF!</f>
        <v>#REF!</v>
      </c>
      <c r="Y468" s="89" t="e">
        <f>#REF!</f>
        <v>#REF!</v>
      </c>
      <c r="Z468" s="89" t="e">
        <f>#REF!</f>
        <v>#REF!</v>
      </c>
      <c r="AA468" s="89" t="e">
        <f>#REF!</f>
        <v>#REF!</v>
      </c>
      <c r="AB468" s="89" t="e">
        <f>#REF!</f>
        <v>#REF!</v>
      </c>
      <c r="AC468" s="89" t="e">
        <f>#REF!</f>
        <v>#REF!</v>
      </c>
      <c r="AD468" s="89" t="e">
        <f>#REF!</f>
        <v>#REF!</v>
      </c>
      <c r="AE468" s="89" t="e">
        <f>#REF!</f>
        <v>#REF!</v>
      </c>
      <c r="AF468" s="89" t="e">
        <f>#REF!</f>
        <v>#REF!</v>
      </c>
      <c r="AG468" s="89" t="e">
        <f>#REF!</f>
        <v>#REF!</v>
      </c>
      <c r="AH468" s="89" t="e">
        <f>#REF!</f>
        <v>#REF!</v>
      </c>
      <c r="AI468" s="89" t="e">
        <f>#REF!</f>
        <v>#REF!</v>
      </c>
      <c r="AJ468" s="89" t="e">
        <f>#REF!</f>
        <v>#REF!</v>
      </c>
      <c r="AK468" s="89" t="e">
        <f>#REF!</f>
        <v>#REF!</v>
      </c>
      <c r="AL468" s="89" t="e">
        <f>#REF!</f>
        <v>#REF!</v>
      </c>
      <c r="AM468" s="89" t="e">
        <f>#REF!</f>
        <v>#REF!</v>
      </c>
      <c r="AN468" s="89" t="e">
        <f>#REF!</f>
        <v>#REF!</v>
      </c>
      <c r="AO468" s="89" t="e">
        <f>#REF!</f>
        <v>#REF!</v>
      </c>
      <c r="AP468" s="89" t="e">
        <f>#REF!</f>
        <v>#REF!</v>
      </c>
      <c r="AQ468" s="89" t="e">
        <f>#REF!</f>
        <v>#REF!</v>
      </c>
      <c r="AR468" s="89" t="e">
        <f>#REF!</f>
        <v>#REF!</v>
      </c>
      <c r="AS468" s="89" t="e">
        <f>#REF!</f>
        <v>#REF!</v>
      </c>
      <c r="AT468" s="89" t="e">
        <f>#REF!</f>
        <v>#REF!</v>
      </c>
      <c r="AU468" s="89" t="e">
        <f>#REF!</f>
        <v>#REF!</v>
      </c>
      <c r="AV468" s="89" t="e">
        <f>#REF!</f>
        <v>#REF!</v>
      </c>
      <c r="AW468" s="89" t="e">
        <f>#REF!</f>
        <v>#REF!</v>
      </c>
      <c r="AX468" s="89" t="e">
        <f>#REF!</f>
        <v>#REF!</v>
      </c>
      <c r="AY468" s="89" t="e">
        <f>#REF!</f>
        <v>#REF!</v>
      </c>
      <c r="AZ468" s="89" t="e">
        <f>#REF!</f>
        <v>#REF!</v>
      </c>
      <c r="BA468" s="89" t="e">
        <f>#REF!</f>
        <v>#REF!</v>
      </c>
      <c r="BB468" s="89" t="e">
        <f>#REF!</f>
        <v>#REF!</v>
      </c>
      <c r="BC468" s="89" t="e">
        <f>#REF!</f>
        <v>#REF!</v>
      </c>
      <c r="BD468" s="89" t="e">
        <f>#REF!</f>
        <v>#REF!</v>
      </c>
      <c r="BE468" s="89" t="e">
        <f>#REF!</f>
        <v>#REF!</v>
      </c>
      <c r="BF468" s="89" t="e">
        <f>#REF!</f>
        <v>#REF!</v>
      </c>
    </row>
    <row r="469" spans="9:58" x14ac:dyDescent="0.25">
      <c r="I469" s="89">
        <f>ABCD!J518</f>
        <v>116.25</v>
      </c>
      <c r="J469" s="89">
        <f>ABCD!K518</f>
        <v>381.29999999999995</v>
      </c>
      <c r="K469" s="89">
        <f>ABCD!L518</f>
        <v>2.9523519279693526</v>
      </c>
      <c r="L469" s="89">
        <f>ABCD!M518</f>
        <v>0.49243220063985405</v>
      </c>
      <c r="M469" s="89">
        <f>ABCD!N518</f>
        <v>2.9931373805442618</v>
      </c>
      <c r="N469" s="89" t="e">
        <v>#REF!</v>
      </c>
      <c r="O469" s="89" t="e">
        <v>#REF!</v>
      </c>
      <c r="P469" s="89" t="e">
        <v>#REF!</v>
      </c>
      <c r="Q469" s="89" t="e">
        <v>#REF!</v>
      </c>
      <c r="R469" s="89" t="e">
        <v>#REF!</v>
      </c>
      <c r="S469" s="89" t="e">
        <f>#REF!</f>
        <v>#REF!</v>
      </c>
      <c r="T469" s="89" t="e">
        <f>#REF!</f>
        <v>#REF!</v>
      </c>
      <c r="U469" s="89" t="e">
        <f>#REF!</f>
        <v>#REF!</v>
      </c>
      <c r="V469" s="89" t="e">
        <f>#REF!</f>
        <v>#REF!</v>
      </c>
      <c r="W469" s="89" t="e">
        <f>#REF!</f>
        <v>#REF!</v>
      </c>
      <c r="X469" s="89" t="e">
        <f>#REF!</f>
        <v>#REF!</v>
      </c>
      <c r="Y469" s="89" t="e">
        <f>#REF!</f>
        <v>#REF!</v>
      </c>
      <c r="Z469" s="89" t="e">
        <f>#REF!</f>
        <v>#REF!</v>
      </c>
      <c r="AA469" s="89" t="e">
        <f>#REF!</f>
        <v>#REF!</v>
      </c>
      <c r="AB469" s="89" t="e">
        <f>#REF!</f>
        <v>#REF!</v>
      </c>
      <c r="AC469" s="89" t="e">
        <f>#REF!</f>
        <v>#REF!</v>
      </c>
      <c r="AD469" s="89" t="e">
        <f>#REF!</f>
        <v>#REF!</v>
      </c>
      <c r="AE469" s="89" t="e">
        <f>#REF!</f>
        <v>#REF!</v>
      </c>
      <c r="AF469" s="89" t="e">
        <f>#REF!</f>
        <v>#REF!</v>
      </c>
      <c r="AG469" s="89" t="e">
        <f>#REF!</f>
        <v>#REF!</v>
      </c>
      <c r="AH469" s="89" t="e">
        <f>#REF!</f>
        <v>#REF!</v>
      </c>
      <c r="AI469" s="89" t="e">
        <f>#REF!</f>
        <v>#REF!</v>
      </c>
      <c r="AJ469" s="89" t="e">
        <f>#REF!</f>
        <v>#REF!</v>
      </c>
      <c r="AK469" s="89" t="e">
        <f>#REF!</f>
        <v>#REF!</v>
      </c>
      <c r="AL469" s="89" t="e">
        <f>#REF!</f>
        <v>#REF!</v>
      </c>
      <c r="AM469" s="89" t="e">
        <f>#REF!</f>
        <v>#REF!</v>
      </c>
      <c r="AN469" s="89" t="e">
        <f>#REF!</f>
        <v>#REF!</v>
      </c>
      <c r="AO469" s="89" t="e">
        <f>#REF!</f>
        <v>#REF!</v>
      </c>
      <c r="AP469" s="89" t="e">
        <f>#REF!</f>
        <v>#REF!</v>
      </c>
      <c r="AQ469" s="89" t="e">
        <f>#REF!</f>
        <v>#REF!</v>
      </c>
      <c r="AR469" s="89" t="e">
        <f>#REF!</f>
        <v>#REF!</v>
      </c>
      <c r="AS469" s="89" t="e">
        <f>#REF!</f>
        <v>#REF!</v>
      </c>
      <c r="AT469" s="89" t="e">
        <f>#REF!</f>
        <v>#REF!</v>
      </c>
      <c r="AU469" s="89" t="e">
        <f>#REF!</f>
        <v>#REF!</v>
      </c>
      <c r="AV469" s="89" t="e">
        <f>#REF!</f>
        <v>#REF!</v>
      </c>
      <c r="AW469" s="89" t="e">
        <f>#REF!</f>
        <v>#REF!</v>
      </c>
      <c r="AX469" s="89" t="e">
        <f>#REF!</f>
        <v>#REF!</v>
      </c>
      <c r="AY469" s="89" t="e">
        <f>#REF!</f>
        <v>#REF!</v>
      </c>
      <c r="AZ469" s="89" t="e">
        <f>#REF!</f>
        <v>#REF!</v>
      </c>
      <c r="BA469" s="89" t="e">
        <f>#REF!</f>
        <v>#REF!</v>
      </c>
      <c r="BB469" s="89" t="e">
        <f>#REF!</f>
        <v>#REF!</v>
      </c>
      <c r="BC469" s="89" t="e">
        <f>#REF!</f>
        <v>#REF!</v>
      </c>
      <c r="BD469" s="89" t="e">
        <f>#REF!</f>
        <v>#REF!</v>
      </c>
      <c r="BE469" s="89" t="e">
        <f>#REF!</f>
        <v>#REF!</v>
      </c>
      <c r="BF469" s="89" t="e">
        <f>#REF!</f>
        <v>#REF!</v>
      </c>
    </row>
    <row r="470" spans="9:58" x14ac:dyDescent="0.25">
      <c r="I470" s="89">
        <f>ABCD!J519</f>
        <v>116.5</v>
      </c>
      <c r="J470" s="89">
        <f>ABCD!K519</f>
        <v>382.12</v>
      </c>
      <c r="K470" s="89">
        <f>ABCD!L519</f>
        <v>3.0248262766790717</v>
      </c>
      <c r="L470" s="89">
        <f>ABCD!M519</f>
        <v>0.50606030018337966</v>
      </c>
      <c r="M470" s="89">
        <f>ABCD!N519</f>
        <v>3.0668666471677355</v>
      </c>
      <c r="N470" s="89" t="e">
        <v>#REF!</v>
      </c>
      <c r="O470" s="89" t="e">
        <v>#REF!</v>
      </c>
      <c r="P470" s="89" t="e">
        <v>#REF!</v>
      </c>
      <c r="Q470" s="89" t="e">
        <v>#REF!</v>
      </c>
      <c r="R470" s="89" t="e">
        <v>#REF!</v>
      </c>
      <c r="S470" s="89" t="e">
        <f>#REF!</f>
        <v>#REF!</v>
      </c>
      <c r="T470" s="89" t="e">
        <f>#REF!</f>
        <v>#REF!</v>
      </c>
      <c r="U470" s="89" t="e">
        <f>#REF!</f>
        <v>#REF!</v>
      </c>
      <c r="V470" s="89" t="e">
        <f>#REF!</f>
        <v>#REF!</v>
      </c>
      <c r="W470" s="89" t="e">
        <f>#REF!</f>
        <v>#REF!</v>
      </c>
      <c r="X470" s="89" t="e">
        <f>#REF!</f>
        <v>#REF!</v>
      </c>
      <c r="Y470" s="89" t="e">
        <f>#REF!</f>
        <v>#REF!</v>
      </c>
      <c r="Z470" s="89" t="e">
        <f>#REF!</f>
        <v>#REF!</v>
      </c>
      <c r="AA470" s="89" t="e">
        <f>#REF!</f>
        <v>#REF!</v>
      </c>
      <c r="AB470" s="89" t="e">
        <f>#REF!</f>
        <v>#REF!</v>
      </c>
      <c r="AC470" s="89" t="e">
        <f>#REF!</f>
        <v>#REF!</v>
      </c>
      <c r="AD470" s="89" t="e">
        <f>#REF!</f>
        <v>#REF!</v>
      </c>
      <c r="AE470" s="89" t="e">
        <f>#REF!</f>
        <v>#REF!</v>
      </c>
      <c r="AF470" s="89" t="e">
        <f>#REF!</f>
        <v>#REF!</v>
      </c>
      <c r="AG470" s="89" t="e">
        <f>#REF!</f>
        <v>#REF!</v>
      </c>
      <c r="AH470" s="89" t="e">
        <f>#REF!</f>
        <v>#REF!</v>
      </c>
      <c r="AI470" s="89" t="e">
        <f>#REF!</f>
        <v>#REF!</v>
      </c>
      <c r="AJ470" s="89" t="e">
        <f>#REF!</f>
        <v>#REF!</v>
      </c>
      <c r="AK470" s="89" t="e">
        <f>#REF!</f>
        <v>#REF!</v>
      </c>
      <c r="AL470" s="89" t="e">
        <f>#REF!</f>
        <v>#REF!</v>
      </c>
      <c r="AM470" s="89" t="e">
        <f>#REF!</f>
        <v>#REF!</v>
      </c>
      <c r="AN470" s="89" t="e">
        <f>#REF!</f>
        <v>#REF!</v>
      </c>
      <c r="AO470" s="89" t="e">
        <f>#REF!</f>
        <v>#REF!</v>
      </c>
      <c r="AP470" s="89" t="e">
        <f>#REF!</f>
        <v>#REF!</v>
      </c>
      <c r="AQ470" s="89" t="e">
        <f>#REF!</f>
        <v>#REF!</v>
      </c>
      <c r="AR470" s="89" t="e">
        <f>#REF!</f>
        <v>#REF!</v>
      </c>
      <c r="AS470" s="89" t="e">
        <f>#REF!</f>
        <v>#REF!</v>
      </c>
      <c r="AT470" s="89" t="e">
        <f>#REF!</f>
        <v>#REF!</v>
      </c>
      <c r="AU470" s="89" t="e">
        <f>#REF!</f>
        <v>#REF!</v>
      </c>
      <c r="AV470" s="89" t="e">
        <f>#REF!</f>
        <v>#REF!</v>
      </c>
      <c r="AW470" s="89" t="e">
        <f>#REF!</f>
        <v>#REF!</v>
      </c>
      <c r="AX470" s="89" t="e">
        <f>#REF!</f>
        <v>#REF!</v>
      </c>
      <c r="AY470" s="89" t="e">
        <f>#REF!</f>
        <v>#REF!</v>
      </c>
      <c r="AZ470" s="89" t="e">
        <f>#REF!</f>
        <v>#REF!</v>
      </c>
      <c r="BA470" s="89" t="e">
        <f>#REF!</f>
        <v>#REF!</v>
      </c>
      <c r="BB470" s="89" t="e">
        <f>#REF!</f>
        <v>#REF!</v>
      </c>
      <c r="BC470" s="89" t="e">
        <f>#REF!</f>
        <v>#REF!</v>
      </c>
      <c r="BD470" s="89" t="e">
        <f>#REF!</f>
        <v>#REF!</v>
      </c>
      <c r="BE470" s="89" t="e">
        <f>#REF!</f>
        <v>#REF!</v>
      </c>
      <c r="BF470" s="89" t="e">
        <f>#REF!</f>
        <v>#REF!</v>
      </c>
    </row>
    <row r="471" spans="9:58" x14ac:dyDescent="0.25">
      <c r="I471" s="89">
        <f>ABCD!J520</f>
        <v>116.75</v>
      </c>
      <c r="J471" s="89">
        <f>ABCD!K520</f>
        <v>382.94</v>
      </c>
      <c r="K471" s="89">
        <f>ABCD!L520</f>
        <v>3.0965371736669876</v>
      </c>
      <c r="L471" s="89">
        <f>ABCD!M520</f>
        <v>0.51955932045102093</v>
      </c>
      <c r="M471" s="89">
        <f>ABCD!N520</f>
        <v>3.139822344555351</v>
      </c>
      <c r="N471" s="89" t="e">
        <v>#REF!</v>
      </c>
      <c r="O471" s="89" t="e">
        <v>#REF!</v>
      </c>
      <c r="P471" s="89" t="e">
        <v>#REF!</v>
      </c>
      <c r="Q471" s="89" t="e">
        <v>#REF!</v>
      </c>
      <c r="R471" s="89" t="e">
        <v>#REF!</v>
      </c>
      <c r="S471" s="89" t="e">
        <f>#REF!</f>
        <v>#REF!</v>
      </c>
      <c r="T471" s="89" t="e">
        <f>#REF!</f>
        <v>#REF!</v>
      </c>
      <c r="U471" s="89" t="e">
        <f>#REF!</f>
        <v>#REF!</v>
      </c>
      <c r="V471" s="89" t="e">
        <f>#REF!</f>
        <v>#REF!</v>
      </c>
      <c r="W471" s="89" t="e">
        <f>#REF!</f>
        <v>#REF!</v>
      </c>
      <c r="X471" s="89" t="e">
        <f>#REF!</f>
        <v>#REF!</v>
      </c>
      <c r="Y471" s="89" t="e">
        <f>#REF!</f>
        <v>#REF!</v>
      </c>
      <c r="Z471" s="89" t="e">
        <f>#REF!</f>
        <v>#REF!</v>
      </c>
      <c r="AA471" s="89" t="e">
        <f>#REF!</f>
        <v>#REF!</v>
      </c>
      <c r="AB471" s="89" t="e">
        <f>#REF!</f>
        <v>#REF!</v>
      </c>
      <c r="AC471" s="89" t="e">
        <f>#REF!</f>
        <v>#REF!</v>
      </c>
      <c r="AD471" s="89" t="e">
        <f>#REF!</f>
        <v>#REF!</v>
      </c>
      <c r="AE471" s="89" t="e">
        <f>#REF!</f>
        <v>#REF!</v>
      </c>
      <c r="AF471" s="89" t="e">
        <f>#REF!</f>
        <v>#REF!</v>
      </c>
      <c r="AG471" s="89" t="e">
        <f>#REF!</f>
        <v>#REF!</v>
      </c>
      <c r="AH471" s="89" t="e">
        <f>#REF!</f>
        <v>#REF!</v>
      </c>
      <c r="AI471" s="89" t="e">
        <f>#REF!</f>
        <v>#REF!</v>
      </c>
      <c r="AJ471" s="89" t="e">
        <f>#REF!</f>
        <v>#REF!</v>
      </c>
      <c r="AK471" s="89" t="e">
        <f>#REF!</f>
        <v>#REF!</v>
      </c>
      <c r="AL471" s="89" t="e">
        <f>#REF!</f>
        <v>#REF!</v>
      </c>
      <c r="AM471" s="89" t="e">
        <f>#REF!</f>
        <v>#REF!</v>
      </c>
      <c r="AN471" s="89" t="e">
        <f>#REF!</f>
        <v>#REF!</v>
      </c>
      <c r="AO471" s="89" t="e">
        <f>#REF!</f>
        <v>#REF!</v>
      </c>
      <c r="AP471" s="89" t="e">
        <f>#REF!</f>
        <v>#REF!</v>
      </c>
      <c r="AQ471" s="89" t="e">
        <f>#REF!</f>
        <v>#REF!</v>
      </c>
      <c r="AR471" s="89" t="e">
        <f>#REF!</f>
        <v>#REF!</v>
      </c>
      <c r="AS471" s="89" t="e">
        <f>#REF!</f>
        <v>#REF!</v>
      </c>
      <c r="AT471" s="89" t="e">
        <f>#REF!</f>
        <v>#REF!</v>
      </c>
      <c r="AU471" s="89" t="e">
        <f>#REF!</f>
        <v>#REF!</v>
      </c>
      <c r="AV471" s="89" t="e">
        <f>#REF!</f>
        <v>#REF!</v>
      </c>
      <c r="AW471" s="89" t="e">
        <f>#REF!</f>
        <v>#REF!</v>
      </c>
      <c r="AX471" s="89" t="e">
        <f>#REF!</f>
        <v>#REF!</v>
      </c>
      <c r="AY471" s="89" t="e">
        <f>#REF!</f>
        <v>#REF!</v>
      </c>
      <c r="AZ471" s="89" t="e">
        <f>#REF!</f>
        <v>#REF!</v>
      </c>
      <c r="BA471" s="89" t="e">
        <f>#REF!</f>
        <v>#REF!</v>
      </c>
      <c r="BB471" s="89" t="e">
        <f>#REF!</f>
        <v>#REF!</v>
      </c>
      <c r="BC471" s="89" t="e">
        <f>#REF!</f>
        <v>#REF!</v>
      </c>
      <c r="BD471" s="89" t="e">
        <f>#REF!</f>
        <v>#REF!</v>
      </c>
      <c r="BE471" s="89" t="e">
        <f>#REF!</f>
        <v>#REF!</v>
      </c>
      <c r="BF471" s="89" t="e">
        <f>#REF!</f>
        <v>#REF!</v>
      </c>
    </row>
    <row r="472" spans="9:58" x14ac:dyDescent="0.25">
      <c r="I472" s="89">
        <f>ABCD!J521</f>
        <v>117</v>
      </c>
      <c r="J472" s="89">
        <f>ABCD!K521</f>
        <v>383.76</v>
      </c>
      <c r="K472" s="89">
        <f>ABCD!L521</f>
        <v>3.1674687519099418</v>
      </c>
      <c r="L472" s="89">
        <f>ABCD!M521</f>
        <v>0.53292626143350041</v>
      </c>
      <c r="M472" s="89">
        <f>ABCD!N521</f>
        <v>3.2119882774461384</v>
      </c>
      <c r="N472" s="89" t="e">
        <v>#REF!</v>
      </c>
      <c r="O472" s="89" t="e">
        <v>#REF!</v>
      </c>
      <c r="P472" s="89" t="e">
        <v>#REF!</v>
      </c>
      <c r="Q472" s="89" t="e">
        <v>#REF!</v>
      </c>
      <c r="R472" s="89" t="e">
        <v>#REF!</v>
      </c>
      <c r="S472" s="89" t="e">
        <f>#REF!</f>
        <v>#REF!</v>
      </c>
      <c r="T472" s="89" t="e">
        <f>#REF!</f>
        <v>#REF!</v>
      </c>
      <c r="U472" s="89" t="e">
        <f>#REF!</f>
        <v>#REF!</v>
      </c>
      <c r="V472" s="89" t="e">
        <f>#REF!</f>
        <v>#REF!</v>
      </c>
      <c r="W472" s="89" t="e">
        <f>#REF!</f>
        <v>#REF!</v>
      </c>
      <c r="X472" s="89" t="e">
        <f>#REF!</f>
        <v>#REF!</v>
      </c>
      <c r="Y472" s="89" t="e">
        <f>#REF!</f>
        <v>#REF!</v>
      </c>
      <c r="Z472" s="89" t="e">
        <f>#REF!</f>
        <v>#REF!</v>
      </c>
      <c r="AA472" s="89" t="e">
        <f>#REF!</f>
        <v>#REF!</v>
      </c>
      <c r="AB472" s="89" t="e">
        <f>#REF!</f>
        <v>#REF!</v>
      </c>
      <c r="AC472" s="89" t="e">
        <f>#REF!</f>
        <v>#REF!</v>
      </c>
      <c r="AD472" s="89" t="e">
        <f>#REF!</f>
        <v>#REF!</v>
      </c>
      <c r="AE472" s="89" t="e">
        <f>#REF!</f>
        <v>#REF!</v>
      </c>
      <c r="AF472" s="89" t="e">
        <f>#REF!</f>
        <v>#REF!</v>
      </c>
      <c r="AG472" s="89" t="e">
        <f>#REF!</f>
        <v>#REF!</v>
      </c>
      <c r="AH472" s="89" t="e">
        <f>#REF!</f>
        <v>#REF!</v>
      </c>
      <c r="AI472" s="89" t="e">
        <f>#REF!</f>
        <v>#REF!</v>
      </c>
      <c r="AJ472" s="89" t="e">
        <f>#REF!</f>
        <v>#REF!</v>
      </c>
      <c r="AK472" s="89" t="e">
        <f>#REF!</f>
        <v>#REF!</v>
      </c>
      <c r="AL472" s="89" t="e">
        <f>#REF!</f>
        <v>#REF!</v>
      </c>
      <c r="AM472" s="89" t="e">
        <f>#REF!</f>
        <v>#REF!</v>
      </c>
      <c r="AN472" s="89" t="e">
        <f>#REF!</f>
        <v>#REF!</v>
      </c>
      <c r="AO472" s="89" t="e">
        <f>#REF!</f>
        <v>#REF!</v>
      </c>
      <c r="AP472" s="89" t="e">
        <f>#REF!</f>
        <v>#REF!</v>
      </c>
      <c r="AQ472" s="89" t="e">
        <f>#REF!</f>
        <v>#REF!</v>
      </c>
      <c r="AR472" s="89" t="e">
        <f>#REF!</f>
        <v>#REF!</v>
      </c>
      <c r="AS472" s="89" t="e">
        <f>#REF!</f>
        <v>#REF!</v>
      </c>
      <c r="AT472" s="89" t="e">
        <f>#REF!</f>
        <v>#REF!</v>
      </c>
      <c r="AU472" s="89" t="e">
        <f>#REF!</f>
        <v>#REF!</v>
      </c>
      <c r="AV472" s="89" t="e">
        <f>#REF!</f>
        <v>#REF!</v>
      </c>
      <c r="AW472" s="89" t="e">
        <f>#REF!</f>
        <v>#REF!</v>
      </c>
      <c r="AX472" s="89" t="e">
        <f>#REF!</f>
        <v>#REF!</v>
      </c>
      <c r="AY472" s="89" t="e">
        <f>#REF!</f>
        <v>#REF!</v>
      </c>
      <c r="AZ472" s="89" t="e">
        <f>#REF!</f>
        <v>#REF!</v>
      </c>
      <c r="BA472" s="89" t="e">
        <f>#REF!</f>
        <v>#REF!</v>
      </c>
      <c r="BB472" s="89" t="e">
        <f>#REF!</f>
        <v>#REF!</v>
      </c>
      <c r="BC472" s="89" t="e">
        <f>#REF!</f>
        <v>#REF!</v>
      </c>
      <c r="BD472" s="89" t="e">
        <f>#REF!</f>
        <v>#REF!</v>
      </c>
      <c r="BE472" s="89" t="e">
        <f>#REF!</f>
        <v>#REF!</v>
      </c>
      <c r="BF472" s="89" t="e">
        <f>#REF!</f>
        <v>#REF!</v>
      </c>
    </row>
    <row r="473" spans="9:58" x14ac:dyDescent="0.25">
      <c r="I473" s="89">
        <f>ABCD!J522</f>
        <v>117.25</v>
      </c>
      <c r="J473" s="89">
        <f>ABCD!K522</f>
        <v>384.58</v>
      </c>
      <c r="K473" s="89">
        <f>ABCD!L522</f>
        <v>3.2376053385574721</v>
      </c>
      <c r="L473" s="89">
        <f>ABCD!M522</f>
        <v>0.54615815630966935</v>
      </c>
      <c r="M473" s="89">
        <f>ABCD!N522</f>
        <v>3.2833484524124787</v>
      </c>
      <c r="N473" s="89" t="e">
        <v>#REF!</v>
      </c>
      <c r="O473" s="89" t="e">
        <v>#REF!</v>
      </c>
      <c r="P473" s="89" t="e">
        <v>#REF!</v>
      </c>
      <c r="Q473" s="89" t="e">
        <v>#REF!</v>
      </c>
      <c r="R473" s="89" t="e">
        <v>#REF!</v>
      </c>
      <c r="S473" s="89" t="e">
        <f>#REF!</f>
        <v>#REF!</v>
      </c>
      <c r="T473" s="89" t="e">
        <f>#REF!</f>
        <v>#REF!</v>
      </c>
      <c r="U473" s="89" t="e">
        <f>#REF!</f>
        <v>#REF!</v>
      </c>
      <c r="V473" s="89" t="e">
        <f>#REF!</f>
        <v>#REF!</v>
      </c>
      <c r="W473" s="89" t="e">
        <f>#REF!</f>
        <v>#REF!</v>
      </c>
      <c r="X473" s="89" t="e">
        <f>#REF!</f>
        <v>#REF!</v>
      </c>
      <c r="Y473" s="89" t="e">
        <f>#REF!</f>
        <v>#REF!</v>
      </c>
      <c r="Z473" s="89" t="e">
        <f>#REF!</f>
        <v>#REF!</v>
      </c>
      <c r="AA473" s="89" t="e">
        <f>#REF!</f>
        <v>#REF!</v>
      </c>
      <c r="AB473" s="89" t="e">
        <f>#REF!</f>
        <v>#REF!</v>
      </c>
      <c r="AC473" s="89" t="e">
        <f>#REF!</f>
        <v>#REF!</v>
      </c>
      <c r="AD473" s="89" t="e">
        <f>#REF!</f>
        <v>#REF!</v>
      </c>
      <c r="AE473" s="89" t="e">
        <f>#REF!</f>
        <v>#REF!</v>
      </c>
      <c r="AF473" s="89" t="e">
        <f>#REF!</f>
        <v>#REF!</v>
      </c>
      <c r="AG473" s="89" t="e">
        <f>#REF!</f>
        <v>#REF!</v>
      </c>
      <c r="AH473" s="89" t="e">
        <f>#REF!</f>
        <v>#REF!</v>
      </c>
      <c r="AI473" s="89" t="e">
        <f>#REF!</f>
        <v>#REF!</v>
      </c>
      <c r="AJ473" s="89" t="e">
        <f>#REF!</f>
        <v>#REF!</v>
      </c>
      <c r="AK473" s="89" t="e">
        <f>#REF!</f>
        <v>#REF!</v>
      </c>
      <c r="AL473" s="89" t="e">
        <f>#REF!</f>
        <v>#REF!</v>
      </c>
      <c r="AM473" s="89" t="e">
        <f>#REF!</f>
        <v>#REF!</v>
      </c>
      <c r="AN473" s="89" t="e">
        <f>#REF!</f>
        <v>#REF!</v>
      </c>
      <c r="AO473" s="89" t="e">
        <f>#REF!</f>
        <v>#REF!</v>
      </c>
      <c r="AP473" s="89" t="e">
        <f>#REF!</f>
        <v>#REF!</v>
      </c>
      <c r="AQ473" s="89" t="e">
        <f>#REF!</f>
        <v>#REF!</v>
      </c>
      <c r="AR473" s="89" t="e">
        <f>#REF!</f>
        <v>#REF!</v>
      </c>
      <c r="AS473" s="89" t="e">
        <f>#REF!</f>
        <v>#REF!</v>
      </c>
      <c r="AT473" s="89" t="e">
        <f>#REF!</f>
        <v>#REF!</v>
      </c>
      <c r="AU473" s="89" t="e">
        <f>#REF!</f>
        <v>#REF!</v>
      </c>
      <c r="AV473" s="89" t="e">
        <f>#REF!</f>
        <v>#REF!</v>
      </c>
      <c r="AW473" s="89" t="e">
        <f>#REF!</f>
        <v>#REF!</v>
      </c>
      <c r="AX473" s="89" t="e">
        <f>#REF!</f>
        <v>#REF!</v>
      </c>
      <c r="AY473" s="89" t="e">
        <f>#REF!</f>
        <v>#REF!</v>
      </c>
      <c r="AZ473" s="89" t="e">
        <f>#REF!</f>
        <v>#REF!</v>
      </c>
      <c r="BA473" s="89" t="e">
        <f>#REF!</f>
        <v>#REF!</v>
      </c>
      <c r="BB473" s="89" t="e">
        <f>#REF!</f>
        <v>#REF!</v>
      </c>
      <c r="BC473" s="89" t="e">
        <f>#REF!</f>
        <v>#REF!</v>
      </c>
      <c r="BD473" s="89" t="e">
        <f>#REF!</f>
        <v>#REF!</v>
      </c>
      <c r="BE473" s="89" t="e">
        <f>#REF!</f>
        <v>#REF!</v>
      </c>
      <c r="BF473" s="89" t="e">
        <f>#REF!</f>
        <v>#REF!</v>
      </c>
    </row>
    <row r="474" spans="9:58" x14ac:dyDescent="0.25">
      <c r="I474" s="89">
        <f>ABCD!J523</f>
        <v>117.5</v>
      </c>
      <c r="J474" s="89">
        <f>ABCD!K523</f>
        <v>385.4</v>
      </c>
      <c r="K474" s="89">
        <f>ABCD!L523</f>
        <v>3.3069314583750287</v>
      </c>
      <c r="L474" s="89">
        <f>ABCD!M523</f>
        <v>0.55925207210149797</v>
      </c>
      <c r="M474" s="89">
        <f>ABCD!N523</f>
        <v>3.3538870807676595</v>
      </c>
      <c r="N474" s="89" t="e">
        <v>#REF!</v>
      </c>
      <c r="O474" s="89" t="e">
        <v>#REF!</v>
      </c>
      <c r="P474" s="89" t="e">
        <v>#REF!</v>
      </c>
      <c r="Q474" s="89" t="e">
        <v>#REF!</v>
      </c>
      <c r="R474" s="89" t="e">
        <v>#REF!</v>
      </c>
      <c r="S474" s="89" t="e">
        <f>#REF!</f>
        <v>#REF!</v>
      </c>
      <c r="T474" s="89" t="e">
        <f>#REF!</f>
        <v>#REF!</v>
      </c>
      <c r="U474" s="89" t="e">
        <f>#REF!</f>
        <v>#REF!</v>
      </c>
      <c r="V474" s="89" t="e">
        <f>#REF!</f>
        <v>#REF!</v>
      </c>
      <c r="W474" s="89" t="e">
        <f>#REF!</f>
        <v>#REF!</v>
      </c>
      <c r="X474" s="89" t="e">
        <f>#REF!</f>
        <v>#REF!</v>
      </c>
      <c r="Y474" s="89" t="e">
        <f>#REF!</f>
        <v>#REF!</v>
      </c>
      <c r="Z474" s="89" t="e">
        <f>#REF!</f>
        <v>#REF!</v>
      </c>
      <c r="AA474" s="89" t="e">
        <f>#REF!</f>
        <v>#REF!</v>
      </c>
      <c r="AB474" s="89" t="e">
        <f>#REF!</f>
        <v>#REF!</v>
      </c>
      <c r="AC474" s="89" t="e">
        <f>#REF!</f>
        <v>#REF!</v>
      </c>
      <c r="AD474" s="89" t="e">
        <f>#REF!</f>
        <v>#REF!</v>
      </c>
      <c r="AE474" s="89" t="e">
        <f>#REF!</f>
        <v>#REF!</v>
      </c>
      <c r="AF474" s="89" t="e">
        <f>#REF!</f>
        <v>#REF!</v>
      </c>
      <c r="AG474" s="89" t="e">
        <f>#REF!</f>
        <v>#REF!</v>
      </c>
      <c r="AH474" s="89" t="e">
        <f>#REF!</f>
        <v>#REF!</v>
      </c>
      <c r="AI474" s="89" t="e">
        <f>#REF!</f>
        <v>#REF!</v>
      </c>
      <c r="AJ474" s="89" t="e">
        <f>#REF!</f>
        <v>#REF!</v>
      </c>
      <c r="AK474" s="89" t="e">
        <f>#REF!</f>
        <v>#REF!</v>
      </c>
      <c r="AL474" s="89" t="e">
        <f>#REF!</f>
        <v>#REF!</v>
      </c>
      <c r="AM474" s="89" t="e">
        <f>#REF!</f>
        <v>#REF!</v>
      </c>
      <c r="AN474" s="89" t="e">
        <f>#REF!</f>
        <v>#REF!</v>
      </c>
      <c r="AO474" s="89" t="e">
        <f>#REF!</f>
        <v>#REF!</v>
      </c>
      <c r="AP474" s="89" t="e">
        <f>#REF!</f>
        <v>#REF!</v>
      </c>
      <c r="AQ474" s="89" t="e">
        <f>#REF!</f>
        <v>#REF!</v>
      </c>
      <c r="AR474" s="89" t="e">
        <f>#REF!</f>
        <v>#REF!</v>
      </c>
      <c r="AS474" s="89" t="e">
        <f>#REF!</f>
        <v>#REF!</v>
      </c>
      <c r="AT474" s="89" t="e">
        <f>#REF!</f>
        <v>#REF!</v>
      </c>
      <c r="AU474" s="89" t="e">
        <f>#REF!</f>
        <v>#REF!</v>
      </c>
      <c r="AV474" s="89" t="e">
        <f>#REF!</f>
        <v>#REF!</v>
      </c>
      <c r="AW474" s="89" t="e">
        <f>#REF!</f>
        <v>#REF!</v>
      </c>
      <c r="AX474" s="89" t="e">
        <f>#REF!</f>
        <v>#REF!</v>
      </c>
      <c r="AY474" s="89" t="e">
        <f>#REF!</f>
        <v>#REF!</v>
      </c>
      <c r="AZ474" s="89" t="e">
        <f>#REF!</f>
        <v>#REF!</v>
      </c>
      <c r="BA474" s="89" t="e">
        <f>#REF!</f>
        <v>#REF!</v>
      </c>
      <c r="BB474" s="89" t="e">
        <f>#REF!</f>
        <v>#REF!</v>
      </c>
      <c r="BC474" s="89" t="e">
        <f>#REF!</f>
        <v>#REF!</v>
      </c>
      <c r="BD474" s="89" t="e">
        <f>#REF!</f>
        <v>#REF!</v>
      </c>
      <c r="BE474" s="89" t="e">
        <f>#REF!</f>
        <v>#REF!</v>
      </c>
      <c r="BF474" s="89" t="e">
        <f>#REF!</f>
        <v>#REF!</v>
      </c>
    </row>
    <row r="475" spans="9:58" x14ac:dyDescent="0.25">
      <c r="I475" s="89">
        <f>ABCD!J524</f>
        <v>117.75</v>
      </c>
      <c r="J475" s="89">
        <f>ABCD!K524</f>
        <v>386.21999999999997</v>
      </c>
      <c r="K475" s="89">
        <f>ABCD!L524</f>
        <v>3.3754318371385486</v>
      </c>
      <c r="L475" s="89">
        <f>ABCD!M524</f>
        <v>0.57220511032069021</v>
      </c>
      <c r="M475" s="89">
        <f>ABCD!N524</f>
        <v>3.4235885815099967</v>
      </c>
      <c r="N475" s="89" t="e">
        <v>#REF!</v>
      </c>
      <c r="O475" s="89" t="e">
        <v>#REF!</v>
      </c>
      <c r="P475" s="89" t="e">
        <v>#REF!</v>
      </c>
      <c r="Q475" s="89" t="e">
        <v>#REF!</v>
      </c>
      <c r="R475" s="89" t="e">
        <v>#REF!</v>
      </c>
      <c r="S475" s="89" t="e">
        <f>#REF!</f>
        <v>#REF!</v>
      </c>
      <c r="T475" s="89" t="e">
        <f>#REF!</f>
        <v>#REF!</v>
      </c>
      <c r="U475" s="89" t="e">
        <f>#REF!</f>
        <v>#REF!</v>
      </c>
      <c r="V475" s="89" t="e">
        <f>#REF!</f>
        <v>#REF!</v>
      </c>
      <c r="W475" s="89" t="e">
        <f>#REF!</f>
        <v>#REF!</v>
      </c>
      <c r="X475" s="89" t="e">
        <f>#REF!</f>
        <v>#REF!</v>
      </c>
      <c r="Y475" s="89" t="e">
        <f>#REF!</f>
        <v>#REF!</v>
      </c>
      <c r="Z475" s="89" t="e">
        <f>#REF!</f>
        <v>#REF!</v>
      </c>
      <c r="AA475" s="89" t="e">
        <f>#REF!</f>
        <v>#REF!</v>
      </c>
      <c r="AB475" s="89" t="e">
        <f>#REF!</f>
        <v>#REF!</v>
      </c>
      <c r="AC475" s="89" t="e">
        <f>#REF!</f>
        <v>#REF!</v>
      </c>
      <c r="AD475" s="89" t="e">
        <f>#REF!</f>
        <v>#REF!</v>
      </c>
      <c r="AE475" s="89" t="e">
        <f>#REF!</f>
        <v>#REF!</v>
      </c>
      <c r="AF475" s="89" t="e">
        <f>#REF!</f>
        <v>#REF!</v>
      </c>
      <c r="AG475" s="89" t="e">
        <f>#REF!</f>
        <v>#REF!</v>
      </c>
      <c r="AH475" s="89" t="e">
        <f>#REF!</f>
        <v>#REF!</v>
      </c>
      <c r="AI475" s="89" t="e">
        <f>#REF!</f>
        <v>#REF!</v>
      </c>
      <c r="AJ475" s="89" t="e">
        <f>#REF!</f>
        <v>#REF!</v>
      </c>
      <c r="AK475" s="89" t="e">
        <f>#REF!</f>
        <v>#REF!</v>
      </c>
      <c r="AL475" s="89" t="e">
        <f>#REF!</f>
        <v>#REF!</v>
      </c>
      <c r="AM475" s="89" t="e">
        <f>#REF!</f>
        <v>#REF!</v>
      </c>
      <c r="AN475" s="89" t="e">
        <f>#REF!</f>
        <v>#REF!</v>
      </c>
      <c r="AO475" s="89" t="e">
        <f>#REF!</f>
        <v>#REF!</v>
      </c>
      <c r="AP475" s="89" t="e">
        <f>#REF!</f>
        <v>#REF!</v>
      </c>
      <c r="AQ475" s="89" t="e">
        <f>#REF!</f>
        <v>#REF!</v>
      </c>
      <c r="AR475" s="89" t="e">
        <f>#REF!</f>
        <v>#REF!</v>
      </c>
      <c r="AS475" s="89" t="e">
        <f>#REF!</f>
        <v>#REF!</v>
      </c>
      <c r="AT475" s="89" t="e">
        <f>#REF!</f>
        <v>#REF!</v>
      </c>
      <c r="AU475" s="89" t="e">
        <f>#REF!</f>
        <v>#REF!</v>
      </c>
      <c r="AV475" s="89" t="e">
        <f>#REF!</f>
        <v>#REF!</v>
      </c>
      <c r="AW475" s="89" t="e">
        <f>#REF!</f>
        <v>#REF!</v>
      </c>
      <c r="AX475" s="89" t="e">
        <f>#REF!</f>
        <v>#REF!</v>
      </c>
      <c r="AY475" s="89" t="e">
        <f>#REF!</f>
        <v>#REF!</v>
      </c>
      <c r="AZ475" s="89" t="e">
        <f>#REF!</f>
        <v>#REF!</v>
      </c>
      <c r="BA475" s="89" t="e">
        <f>#REF!</f>
        <v>#REF!</v>
      </c>
      <c r="BB475" s="89" t="e">
        <f>#REF!</f>
        <v>#REF!</v>
      </c>
      <c r="BC475" s="89" t="e">
        <f>#REF!</f>
        <v>#REF!</v>
      </c>
      <c r="BD475" s="89" t="e">
        <f>#REF!</f>
        <v>#REF!</v>
      </c>
      <c r="BE475" s="89" t="e">
        <f>#REF!</f>
        <v>#REF!</v>
      </c>
      <c r="BF475" s="89" t="e">
        <f>#REF!</f>
        <v>#REF!</v>
      </c>
    </row>
    <row r="476" spans="9:58" x14ac:dyDescent="0.25">
      <c r="I476" s="89">
        <f>ABCD!J525</f>
        <v>118</v>
      </c>
      <c r="J476" s="89">
        <f>ABCD!K525</f>
        <v>387.03999999999996</v>
      </c>
      <c r="K476" s="89">
        <f>ABCD!L525</f>
        <v>3.4430914049795507</v>
      </c>
      <c r="L476" s="89">
        <f>ABCD!M525</f>
        <v>0.58501440760675361</v>
      </c>
      <c r="M476" s="89">
        <f>ABCD!N525</f>
        <v>3.4924375842885924</v>
      </c>
      <c r="N476" s="89" t="e">
        <v>#REF!</v>
      </c>
      <c r="O476" s="89" t="e">
        <v>#REF!</v>
      </c>
      <c r="P476" s="89" t="e">
        <v>#REF!</v>
      </c>
      <c r="Q476" s="89" t="e">
        <v>#REF!</v>
      </c>
      <c r="R476" s="89" t="e">
        <v>#REF!</v>
      </c>
      <c r="S476" s="89" t="e">
        <f>#REF!</f>
        <v>#REF!</v>
      </c>
      <c r="T476" s="89" t="e">
        <f>#REF!</f>
        <v>#REF!</v>
      </c>
      <c r="U476" s="89" t="e">
        <f>#REF!</f>
        <v>#REF!</v>
      </c>
      <c r="V476" s="89" t="e">
        <f>#REF!</f>
        <v>#REF!</v>
      </c>
      <c r="W476" s="89" t="e">
        <f>#REF!</f>
        <v>#REF!</v>
      </c>
      <c r="X476" s="89" t="e">
        <f>#REF!</f>
        <v>#REF!</v>
      </c>
      <c r="Y476" s="89" t="e">
        <f>#REF!</f>
        <v>#REF!</v>
      </c>
      <c r="Z476" s="89" t="e">
        <f>#REF!</f>
        <v>#REF!</v>
      </c>
      <c r="AA476" s="89" t="e">
        <f>#REF!</f>
        <v>#REF!</v>
      </c>
      <c r="AB476" s="89" t="e">
        <f>#REF!</f>
        <v>#REF!</v>
      </c>
      <c r="AC476" s="89" t="e">
        <f>#REF!</f>
        <v>#REF!</v>
      </c>
      <c r="AD476" s="89" t="e">
        <f>#REF!</f>
        <v>#REF!</v>
      </c>
      <c r="AE476" s="89" t="e">
        <f>#REF!</f>
        <v>#REF!</v>
      </c>
      <c r="AF476" s="89" t="e">
        <f>#REF!</f>
        <v>#REF!</v>
      </c>
      <c r="AG476" s="89" t="e">
        <f>#REF!</f>
        <v>#REF!</v>
      </c>
      <c r="AH476" s="89" t="e">
        <f>#REF!</f>
        <v>#REF!</v>
      </c>
      <c r="AI476" s="89" t="e">
        <f>#REF!</f>
        <v>#REF!</v>
      </c>
      <c r="AJ476" s="89" t="e">
        <f>#REF!</f>
        <v>#REF!</v>
      </c>
      <c r="AK476" s="89" t="e">
        <f>#REF!</f>
        <v>#REF!</v>
      </c>
      <c r="AL476" s="89" t="e">
        <f>#REF!</f>
        <v>#REF!</v>
      </c>
      <c r="AM476" s="89" t="e">
        <f>#REF!</f>
        <v>#REF!</v>
      </c>
      <c r="AN476" s="89" t="e">
        <f>#REF!</f>
        <v>#REF!</v>
      </c>
      <c r="AO476" s="89" t="e">
        <f>#REF!</f>
        <v>#REF!</v>
      </c>
      <c r="AP476" s="89" t="e">
        <f>#REF!</f>
        <v>#REF!</v>
      </c>
      <c r="AQ476" s="89" t="e">
        <f>#REF!</f>
        <v>#REF!</v>
      </c>
      <c r="AR476" s="89" t="e">
        <f>#REF!</f>
        <v>#REF!</v>
      </c>
      <c r="AS476" s="89" t="e">
        <f>#REF!</f>
        <v>#REF!</v>
      </c>
      <c r="AT476" s="89" t="e">
        <f>#REF!</f>
        <v>#REF!</v>
      </c>
      <c r="AU476" s="89" t="e">
        <f>#REF!</f>
        <v>#REF!</v>
      </c>
      <c r="AV476" s="89" t="e">
        <f>#REF!</f>
        <v>#REF!</v>
      </c>
      <c r="AW476" s="89" t="e">
        <f>#REF!</f>
        <v>#REF!</v>
      </c>
      <c r="AX476" s="89" t="e">
        <f>#REF!</f>
        <v>#REF!</v>
      </c>
      <c r="AY476" s="89" t="e">
        <f>#REF!</f>
        <v>#REF!</v>
      </c>
      <c r="AZ476" s="89" t="e">
        <f>#REF!</f>
        <v>#REF!</v>
      </c>
      <c r="BA476" s="89" t="e">
        <f>#REF!</f>
        <v>#REF!</v>
      </c>
      <c r="BB476" s="89" t="e">
        <f>#REF!</f>
        <v>#REF!</v>
      </c>
      <c r="BC476" s="89" t="e">
        <f>#REF!</f>
        <v>#REF!</v>
      </c>
      <c r="BD476" s="89" t="e">
        <f>#REF!</f>
        <v>#REF!</v>
      </c>
      <c r="BE476" s="89" t="e">
        <f>#REF!</f>
        <v>#REF!</v>
      </c>
      <c r="BF476" s="89" t="e">
        <f>#REF!</f>
        <v>#REF!</v>
      </c>
    </row>
    <row r="477" spans="9:58" x14ac:dyDescent="0.25">
      <c r="I477" s="89">
        <f>ABCD!J526</f>
        <v>118.25</v>
      </c>
      <c r="J477" s="89">
        <f>ABCD!K526</f>
        <v>387.85999999999996</v>
      </c>
      <c r="K477" s="89">
        <f>ABCD!L526</f>
        <v>3.5098952996800161</v>
      </c>
      <c r="L477" s="89">
        <f>ABCD!M526</f>
        <v>0.59767713635636111</v>
      </c>
      <c r="M477" s="89">
        <f>ABCD!N526</f>
        <v>3.5604189323784654</v>
      </c>
      <c r="N477" s="89" t="e">
        <v>#REF!</v>
      </c>
      <c r="O477" s="89" t="e">
        <v>#REF!</v>
      </c>
      <c r="P477" s="89" t="e">
        <v>#REF!</v>
      </c>
      <c r="Q477" s="89" t="e">
        <v>#REF!</v>
      </c>
      <c r="R477" s="89" t="e">
        <v>#REF!</v>
      </c>
      <c r="S477" s="89" t="e">
        <f>#REF!</f>
        <v>#REF!</v>
      </c>
      <c r="T477" s="89" t="e">
        <f>#REF!</f>
        <v>#REF!</v>
      </c>
      <c r="U477" s="89" t="e">
        <f>#REF!</f>
        <v>#REF!</v>
      </c>
      <c r="V477" s="89" t="e">
        <f>#REF!</f>
        <v>#REF!</v>
      </c>
      <c r="W477" s="89" t="e">
        <f>#REF!</f>
        <v>#REF!</v>
      </c>
      <c r="X477" s="89" t="e">
        <f>#REF!</f>
        <v>#REF!</v>
      </c>
      <c r="Y477" s="89" t="e">
        <f>#REF!</f>
        <v>#REF!</v>
      </c>
      <c r="Z477" s="89" t="e">
        <f>#REF!</f>
        <v>#REF!</v>
      </c>
      <c r="AA477" s="89" t="e">
        <f>#REF!</f>
        <v>#REF!</v>
      </c>
      <c r="AB477" s="89" t="e">
        <f>#REF!</f>
        <v>#REF!</v>
      </c>
      <c r="AC477" s="89" t="e">
        <f>#REF!</f>
        <v>#REF!</v>
      </c>
      <c r="AD477" s="89" t="e">
        <f>#REF!</f>
        <v>#REF!</v>
      </c>
      <c r="AE477" s="89" t="e">
        <f>#REF!</f>
        <v>#REF!</v>
      </c>
      <c r="AF477" s="89" t="e">
        <f>#REF!</f>
        <v>#REF!</v>
      </c>
      <c r="AG477" s="89" t="e">
        <f>#REF!</f>
        <v>#REF!</v>
      </c>
      <c r="AH477" s="89" t="e">
        <f>#REF!</f>
        <v>#REF!</v>
      </c>
      <c r="AI477" s="89" t="e">
        <f>#REF!</f>
        <v>#REF!</v>
      </c>
      <c r="AJ477" s="89" t="e">
        <f>#REF!</f>
        <v>#REF!</v>
      </c>
      <c r="AK477" s="89" t="e">
        <f>#REF!</f>
        <v>#REF!</v>
      </c>
      <c r="AL477" s="89" t="e">
        <f>#REF!</f>
        <v>#REF!</v>
      </c>
      <c r="AM477" s="89" t="e">
        <f>#REF!</f>
        <v>#REF!</v>
      </c>
      <c r="AN477" s="89" t="e">
        <f>#REF!</f>
        <v>#REF!</v>
      </c>
      <c r="AO477" s="89" t="e">
        <f>#REF!</f>
        <v>#REF!</v>
      </c>
      <c r="AP477" s="89" t="e">
        <f>#REF!</f>
        <v>#REF!</v>
      </c>
      <c r="AQ477" s="89" t="e">
        <f>#REF!</f>
        <v>#REF!</v>
      </c>
      <c r="AR477" s="89" t="e">
        <f>#REF!</f>
        <v>#REF!</v>
      </c>
      <c r="AS477" s="89" t="e">
        <f>#REF!</f>
        <v>#REF!</v>
      </c>
      <c r="AT477" s="89" t="e">
        <f>#REF!</f>
        <v>#REF!</v>
      </c>
      <c r="AU477" s="89" t="e">
        <f>#REF!</f>
        <v>#REF!</v>
      </c>
      <c r="AV477" s="89" t="e">
        <f>#REF!</f>
        <v>#REF!</v>
      </c>
      <c r="AW477" s="89" t="e">
        <f>#REF!</f>
        <v>#REF!</v>
      </c>
      <c r="AX477" s="89" t="e">
        <f>#REF!</f>
        <v>#REF!</v>
      </c>
      <c r="AY477" s="89" t="e">
        <f>#REF!</f>
        <v>#REF!</v>
      </c>
      <c r="AZ477" s="89" t="e">
        <f>#REF!</f>
        <v>#REF!</v>
      </c>
      <c r="BA477" s="89" t="e">
        <f>#REF!</f>
        <v>#REF!</v>
      </c>
      <c r="BB477" s="89" t="e">
        <f>#REF!</f>
        <v>#REF!</v>
      </c>
      <c r="BC477" s="89" t="e">
        <f>#REF!</f>
        <v>#REF!</v>
      </c>
      <c r="BD477" s="89" t="e">
        <f>#REF!</f>
        <v>#REF!</v>
      </c>
      <c r="BE477" s="89" t="e">
        <f>#REF!</f>
        <v>#REF!</v>
      </c>
      <c r="BF477" s="89" t="e">
        <f>#REF!</f>
        <v>#REF!</v>
      </c>
    </row>
    <row r="478" spans="9:58" x14ac:dyDescent="0.25">
      <c r="I478" s="89">
        <f>ABCD!J527</f>
        <v>118.5</v>
      </c>
      <c r="J478" s="89">
        <f>ABCD!K527</f>
        <v>388.67999999999995</v>
      </c>
      <c r="K478" s="89">
        <f>ABCD!L527</f>
        <v>3.5758288699164185</v>
      </c>
      <c r="L478" s="89">
        <f>ABCD!M527</f>
        <v>0.61019050534393249</v>
      </c>
      <c r="M478" s="89">
        <f>ABCD!N527</f>
        <v>3.6275176856549733</v>
      </c>
      <c r="N478" s="89" t="e">
        <v>#REF!</v>
      </c>
      <c r="O478" s="89" t="e">
        <v>#REF!</v>
      </c>
      <c r="P478" s="89" t="e">
        <v>#REF!</v>
      </c>
      <c r="Q478" s="89" t="e">
        <v>#REF!</v>
      </c>
      <c r="R478" s="89" t="e">
        <v>#REF!</v>
      </c>
      <c r="S478" s="89" t="e">
        <f>#REF!</f>
        <v>#REF!</v>
      </c>
      <c r="T478" s="89" t="e">
        <f>#REF!</f>
        <v>#REF!</v>
      </c>
      <c r="U478" s="89" t="e">
        <f>#REF!</f>
        <v>#REF!</v>
      </c>
      <c r="V478" s="89" t="e">
        <f>#REF!</f>
        <v>#REF!</v>
      </c>
      <c r="W478" s="89" t="e">
        <f>#REF!</f>
        <v>#REF!</v>
      </c>
      <c r="X478" s="89" t="e">
        <f>#REF!</f>
        <v>#REF!</v>
      </c>
      <c r="Y478" s="89" t="e">
        <f>#REF!</f>
        <v>#REF!</v>
      </c>
      <c r="Z478" s="89" t="e">
        <f>#REF!</f>
        <v>#REF!</v>
      </c>
      <c r="AA478" s="89" t="e">
        <f>#REF!</f>
        <v>#REF!</v>
      </c>
      <c r="AB478" s="89" t="e">
        <f>#REF!</f>
        <v>#REF!</v>
      </c>
      <c r="AC478" s="89" t="e">
        <f>#REF!</f>
        <v>#REF!</v>
      </c>
      <c r="AD478" s="89" t="e">
        <f>#REF!</f>
        <v>#REF!</v>
      </c>
      <c r="AE478" s="89" t="e">
        <f>#REF!</f>
        <v>#REF!</v>
      </c>
      <c r="AF478" s="89" t="e">
        <f>#REF!</f>
        <v>#REF!</v>
      </c>
      <c r="AG478" s="89" t="e">
        <f>#REF!</f>
        <v>#REF!</v>
      </c>
      <c r="AH478" s="89" t="e">
        <f>#REF!</f>
        <v>#REF!</v>
      </c>
      <c r="AI478" s="89" t="e">
        <f>#REF!</f>
        <v>#REF!</v>
      </c>
      <c r="AJ478" s="89" t="e">
        <f>#REF!</f>
        <v>#REF!</v>
      </c>
      <c r="AK478" s="89" t="e">
        <f>#REF!</f>
        <v>#REF!</v>
      </c>
      <c r="AL478" s="89" t="e">
        <f>#REF!</f>
        <v>#REF!</v>
      </c>
      <c r="AM478" s="89" t="e">
        <f>#REF!</f>
        <v>#REF!</v>
      </c>
      <c r="AN478" s="89" t="e">
        <f>#REF!</f>
        <v>#REF!</v>
      </c>
      <c r="AO478" s="89" t="e">
        <f>#REF!</f>
        <v>#REF!</v>
      </c>
      <c r="AP478" s="89" t="e">
        <f>#REF!</f>
        <v>#REF!</v>
      </c>
      <c r="AQ478" s="89" t="e">
        <f>#REF!</f>
        <v>#REF!</v>
      </c>
      <c r="AR478" s="89" t="e">
        <f>#REF!</f>
        <v>#REF!</v>
      </c>
      <c r="AS478" s="89" t="e">
        <f>#REF!</f>
        <v>#REF!</v>
      </c>
      <c r="AT478" s="89" t="e">
        <f>#REF!</f>
        <v>#REF!</v>
      </c>
      <c r="AU478" s="89" t="e">
        <f>#REF!</f>
        <v>#REF!</v>
      </c>
      <c r="AV478" s="89" t="e">
        <f>#REF!</f>
        <v>#REF!</v>
      </c>
      <c r="AW478" s="89" t="e">
        <f>#REF!</f>
        <v>#REF!</v>
      </c>
      <c r="AX478" s="89" t="e">
        <f>#REF!</f>
        <v>#REF!</v>
      </c>
      <c r="AY478" s="89" t="e">
        <f>#REF!</f>
        <v>#REF!</v>
      </c>
      <c r="AZ478" s="89" t="e">
        <f>#REF!</f>
        <v>#REF!</v>
      </c>
      <c r="BA478" s="89" t="e">
        <f>#REF!</f>
        <v>#REF!</v>
      </c>
      <c r="BB478" s="89" t="e">
        <f>#REF!</f>
        <v>#REF!</v>
      </c>
      <c r="BC478" s="89" t="e">
        <f>#REF!</f>
        <v>#REF!</v>
      </c>
      <c r="BD478" s="89" t="e">
        <f>#REF!</f>
        <v>#REF!</v>
      </c>
      <c r="BE478" s="89" t="e">
        <f>#REF!</f>
        <v>#REF!</v>
      </c>
      <c r="BF478" s="89" t="e">
        <f>#REF!</f>
        <v>#REF!</v>
      </c>
    </row>
    <row r="479" spans="9:58" x14ac:dyDescent="0.25">
      <c r="I479" s="89">
        <f>ABCD!J528</f>
        <v>118.75</v>
      </c>
      <c r="J479" s="89">
        <f>ABCD!K528</f>
        <v>389.5</v>
      </c>
      <c r="K479" s="89">
        <f>ABCD!L528</f>
        <v>3.6408776784521306</v>
      </c>
      <c r="L479" s="89">
        <f>ABCD!M528</f>
        <v>0.62255176033322157</v>
      </c>
      <c r="M479" s="89">
        <f>ABCD!N528</f>
        <v>3.6937191235589326</v>
      </c>
      <c r="N479" s="89" t="e">
        <v>#REF!</v>
      </c>
      <c r="O479" s="89" t="e">
        <v>#REF!</v>
      </c>
      <c r="P479" s="89" t="e">
        <v>#REF!</v>
      </c>
      <c r="Q479" s="89" t="e">
        <v>#REF!</v>
      </c>
      <c r="R479" s="89" t="e">
        <v>#REF!</v>
      </c>
      <c r="S479" s="89" t="e">
        <f>#REF!</f>
        <v>#REF!</v>
      </c>
      <c r="T479" s="89" t="e">
        <f>#REF!</f>
        <v>#REF!</v>
      </c>
      <c r="U479" s="89" t="e">
        <f>#REF!</f>
        <v>#REF!</v>
      </c>
      <c r="V479" s="89" t="e">
        <f>#REF!</f>
        <v>#REF!</v>
      </c>
      <c r="W479" s="89" t="e">
        <f>#REF!</f>
        <v>#REF!</v>
      </c>
      <c r="X479" s="89" t="e">
        <f>#REF!</f>
        <v>#REF!</v>
      </c>
      <c r="Y479" s="89" t="e">
        <f>#REF!</f>
        <v>#REF!</v>
      </c>
      <c r="Z479" s="89" t="e">
        <f>#REF!</f>
        <v>#REF!</v>
      </c>
      <c r="AA479" s="89" t="e">
        <f>#REF!</f>
        <v>#REF!</v>
      </c>
      <c r="AB479" s="89" t="e">
        <f>#REF!</f>
        <v>#REF!</v>
      </c>
      <c r="AC479" s="89" t="e">
        <f>#REF!</f>
        <v>#REF!</v>
      </c>
      <c r="AD479" s="89" t="e">
        <f>#REF!</f>
        <v>#REF!</v>
      </c>
      <c r="AE479" s="89" t="e">
        <f>#REF!</f>
        <v>#REF!</v>
      </c>
      <c r="AF479" s="89" t="e">
        <f>#REF!</f>
        <v>#REF!</v>
      </c>
      <c r="AG479" s="89" t="e">
        <f>#REF!</f>
        <v>#REF!</v>
      </c>
      <c r="AH479" s="89" t="e">
        <f>#REF!</f>
        <v>#REF!</v>
      </c>
      <c r="AI479" s="89" t="e">
        <f>#REF!</f>
        <v>#REF!</v>
      </c>
      <c r="AJ479" s="89" t="e">
        <f>#REF!</f>
        <v>#REF!</v>
      </c>
      <c r="AK479" s="89" t="e">
        <f>#REF!</f>
        <v>#REF!</v>
      </c>
      <c r="AL479" s="89" t="e">
        <f>#REF!</f>
        <v>#REF!</v>
      </c>
      <c r="AM479" s="89" t="e">
        <f>#REF!</f>
        <v>#REF!</v>
      </c>
      <c r="AN479" s="89" t="e">
        <f>#REF!</f>
        <v>#REF!</v>
      </c>
      <c r="AO479" s="89" t="e">
        <f>#REF!</f>
        <v>#REF!</v>
      </c>
      <c r="AP479" s="89" t="e">
        <f>#REF!</f>
        <v>#REF!</v>
      </c>
      <c r="AQ479" s="89" t="e">
        <f>#REF!</f>
        <v>#REF!</v>
      </c>
      <c r="AR479" s="89" t="e">
        <f>#REF!</f>
        <v>#REF!</v>
      </c>
      <c r="AS479" s="89" t="e">
        <f>#REF!</f>
        <v>#REF!</v>
      </c>
      <c r="AT479" s="89" t="e">
        <f>#REF!</f>
        <v>#REF!</v>
      </c>
      <c r="AU479" s="89" t="e">
        <f>#REF!</f>
        <v>#REF!</v>
      </c>
      <c r="AV479" s="89" t="e">
        <f>#REF!</f>
        <v>#REF!</v>
      </c>
      <c r="AW479" s="89" t="e">
        <f>#REF!</f>
        <v>#REF!</v>
      </c>
      <c r="AX479" s="89" t="e">
        <f>#REF!</f>
        <v>#REF!</v>
      </c>
      <c r="AY479" s="89" t="e">
        <f>#REF!</f>
        <v>#REF!</v>
      </c>
      <c r="AZ479" s="89" t="e">
        <f>#REF!</f>
        <v>#REF!</v>
      </c>
      <c r="BA479" s="89" t="e">
        <f>#REF!</f>
        <v>#REF!</v>
      </c>
      <c r="BB479" s="89" t="e">
        <f>#REF!</f>
        <v>#REF!</v>
      </c>
      <c r="BC479" s="89" t="e">
        <f>#REF!</f>
        <v>#REF!</v>
      </c>
      <c r="BD479" s="89" t="e">
        <f>#REF!</f>
        <v>#REF!</v>
      </c>
      <c r="BE479" s="89" t="e">
        <f>#REF!</f>
        <v>#REF!</v>
      </c>
      <c r="BF479" s="89" t="e">
        <f>#REF!</f>
        <v>#REF!</v>
      </c>
    </row>
    <row r="480" spans="9:58" x14ac:dyDescent="0.25">
      <c r="I480" s="89">
        <f>ABCD!J529</f>
        <v>119</v>
      </c>
      <c r="J480" s="89">
        <f>ABCD!K529</f>
        <v>390.32</v>
      </c>
      <c r="K480" s="89">
        <f>ABCD!L529</f>
        <v>3.7050275052775308</v>
      </c>
      <c r="L480" s="89">
        <f>ABCD!M529</f>
        <v>0.63475818467984135</v>
      </c>
      <c r="M480" s="89">
        <f>ABCD!N529</f>
        <v>3.7590087480452996</v>
      </c>
      <c r="N480" s="89" t="e">
        <v>#REF!</v>
      </c>
      <c r="O480" s="89" t="e">
        <v>#REF!</v>
      </c>
      <c r="P480" s="89" t="e">
        <v>#REF!</v>
      </c>
      <c r="Q480" s="89" t="e">
        <v>#REF!</v>
      </c>
      <c r="R480" s="89" t="e">
        <v>#REF!</v>
      </c>
      <c r="S480" s="89" t="e">
        <f>#REF!</f>
        <v>#REF!</v>
      </c>
      <c r="T480" s="89" t="e">
        <f>#REF!</f>
        <v>#REF!</v>
      </c>
      <c r="U480" s="89" t="e">
        <f>#REF!</f>
        <v>#REF!</v>
      </c>
      <c r="V480" s="89" t="e">
        <f>#REF!</f>
        <v>#REF!</v>
      </c>
      <c r="W480" s="89" t="e">
        <f>#REF!</f>
        <v>#REF!</v>
      </c>
      <c r="X480" s="89" t="e">
        <f>#REF!</f>
        <v>#REF!</v>
      </c>
      <c r="Y480" s="89" t="e">
        <f>#REF!</f>
        <v>#REF!</v>
      </c>
      <c r="Z480" s="89" t="e">
        <f>#REF!</f>
        <v>#REF!</v>
      </c>
      <c r="AA480" s="89" t="e">
        <f>#REF!</f>
        <v>#REF!</v>
      </c>
      <c r="AB480" s="89" t="e">
        <f>#REF!</f>
        <v>#REF!</v>
      </c>
      <c r="AC480" s="89" t="e">
        <f>#REF!</f>
        <v>#REF!</v>
      </c>
      <c r="AD480" s="89" t="e">
        <f>#REF!</f>
        <v>#REF!</v>
      </c>
      <c r="AE480" s="89" t="e">
        <f>#REF!</f>
        <v>#REF!</v>
      </c>
      <c r="AF480" s="89" t="e">
        <f>#REF!</f>
        <v>#REF!</v>
      </c>
      <c r="AG480" s="89" t="e">
        <f>#REF!</f>
        <v>#REF!</v>
      </c>
      <c r="AH480" s="89" t="e">
        <f>#REF!</f>
        <v>#REF!</v>
      </c>
      <c r="AI480" s="89" t="e">
        <f>#REF!</f>
        <v>#REF!</v>
      </c>
      <c r="AJ480" s="89" t="e">
        <f>#REF!</f>
        <v>#REF!</v>
      </c>
      <c r="AK480" s="89" t="e">
        <f>#REF!</f>
        <v>#REF!</v>
      </c>
      <c r="AL480" s="89" t="e">
        <f>#REF!</f>
        <v>#REF!</v>
      </c>
      <c r="AM480" s="89" t="e">
        <f>#REF!</f>
        <v>#REF!</v>
      </c>
      <c r="AN480" s="89" t="e">
        <f>#REF!</f>
        <v>#REF!</v>
      </c>
      <c r="AO480" s="89" t="e">
        <f>#REF!</f>
        <v>#REF!</v>
      </c>
      <c r="AP480" s="89" t="e">
        <f>#REF!</f>
        <v>#REF!</v>
      </c>
      <c r="AQ480" s="89" t="e">
        <f>#REF!</f>
        <v>#REF!</v>
      </c>
      <c r="AR480" s="89" t="e">
        <f>#REF!</f>
        <v>#REF!</v>
      </c>
      <c r="AS480" s="89" t="e">
        <f>#REF!</f>
        <v>#REF!</v>
      </c>
      <c r="AT480" s="89" t="e">
        <f>#REF!</f>
        <v>#REF!</v>
      </c>
      <c r="AU480" s="89" t="e">
        <f>#REF!</f>
        <v>#REF!</v>
      </c>
      <c r="AV480" s="89" t="e">
        <f>#REF!</f>
        <v>#REF!</v>
      </c>
      <c r="AW480" s="89" t="e">
        <f>#REF!</f>
        <v>#REF!</v>
      </c>
      <c r="AX480" s="89" t="e">
        <f>#REF!</f>
        <v>#REF!</v>
      </c>
      <c r="AY480" s="89" t="e">
        <f>#REF!</f>
        <v>#REF!</v>
      </c>
      <c r="AZ480" s="89" t="e">
        <f>#REF!</f>
        <v>#REF!</v>
      </c>
      <c r="BA480" s="89" t="e">
        <f>#REF!</f>
        <v>#REF!</v>
      </c>
      <c r="BB480" s="89" t="e">
        <f>#REF!</f>
        <v>#REF!</v>
      </c>
      <c r="BC480" s="89" t="e">
        <f>#REF!</f>
        <v>#REF!</v>
      </c>
      <c r="BD480" s="89" t="e">
        <f>#REF!</f>
        <v>#REF!</v>
      </c>
      <c r="BE480" s="89" t="e">
        <f>#REF!</f>
        <v>#REF!</v>
      </c>
      <c r="BF480" s="89" t="e">
        <f>#REF!</f>
        <v>#REF!</v>
      </c>
    </row>
    <row r="481" spans="9:58" x14ac:dyDescent="0.25">
      <c r="I481" s="89">
        <f>ABCD!J530</f>
        <v>119.25</v>
      </c>
      <c r="J481" s="89">
        <f>ABCD!K530</f>
        <v>391.14</v>
      </c>
      <c r="K481" s="89">
        <f>ABCD!L530</f>
        <v>3.768264350697156</v>
      </c>
      <c r="L481" s="89">
        <f>ABCD!M530</f>
        <v>0.64680709992456031</v>
      </c>
      <c r="M481" s="89">
        <f>ABCD!N530</f>
        <v>3.8233722865093687</v>
      </c>
      <c r="N481" s="89" t="e">
        <v>#REF!</v>
      </c>
      <c r="O481" s="89" t="e">
        <v>#REF!</v>
      </c>
      <c r="P481" s="89" t="e">
        <v>#REF!</v>
      </c>
      <c r="Q481" s="89" t="e">
        <v>#REF!</v>
      </c>
      <c r="R481" s="89" t="e">
        <v>#REF!</v>
      </c>
      <c r="S481" s="89" t="e">
        <f>#REF!</f>
        <v>#REF!</v>
      </c>
      <c r="T481" s="89" t="e">
        <f>#REF!</f>
        <v>#REF!</v>
      </c>
      <c r="U481" s="89" t="e">
        <f>#REF!</f>
        <v>#REF!</v>
      </c>
      <c r="V481" s="89" t="e">
        <f>#REF!</f>
        <v>#REF!</v>
      </c>
      <c r="W481" s="89" t="e">
        <f>#REF!</f>
        <v>#REF!</v>
      </c>
      <c r="X481" s="89" t="e">
        <f>#REF!</f>
        <v>#REF!</v>
      </c>
      <c r="Y481" s="89" t="e">
        <f>#REF!</f>
        <v>#REF!</v>
      </c>
      <c r="Z481" s="89" t="e">
        <f>#REF!</f>
        <v>#REF!</v>
      </c>
      <c r="AA481" s="89" t="e">
        <f>#REF!</f>
        <v>#REF!</v>
      </c>
      <c r="AB481" s="89" t="e">
        <f>#REF!</f>
        <v>#REF!</v>
      </c>
      <c r="AC481" s="89" t="e">
        <f>#REF!</f>
        <v>#REF!</v>
      </c>
      <c r="AD481" s="89" t="e">
        <f>#REF!</f>
        <v>#REF!</v>
      </c>
      <c r="AE481" s="89" t="e">
        <f>#REF!</f>
        <v>#REF!</v>
      </c>
      <c r="AF481" s="89" t="e">
        <f>#REF!</f>
        <v>#REF!</v>
      </c>
      <c r="AG481" s="89" t="e">
        <f>#REF!</f>
        <v>#REF!</v>
      </c>
      <c r="AH481" s="89" t="e">
        <f>#REF!</f>
        <v>#REF!</v>
      </c>
      <c r="AI481" s="89" t="e">
        <f>#REF!</f>
        <v>#REF!</v>
      </c>
      <c r="AJ481" s="89" t="e">
        <f>#REF!</f>
        <v>#REF!</v>
      </c>
      <c r="AK481" s="89" t="e">
        <f>#REF!</f>
        <v>#REF!</v>
      </c>
      <c r="AL481" s="89" t="e">
        <f>#REF!</f>
        <v>#REF!</v>
      </c>
      <c r="AM481" s="89" t="e">
        <f>#REF!</f>
        <v>#REF!</v>
      </c>
      <c r="AN481" s="89" t="e">
        <f>#REF!</f>
        <v>#REF!</v>
      </c>
      <c r="AO481" s="89" t="e">
        <f>#REF!</f>
        <v>#REF!</v>
      </c>
      <c r="AP481" s="89" t="e">
        <f>#REF!</f>
        <v>#REF!</v>
      </c>
      <c r="AQ481" s="89" t="e">
        <f>#REF!</f>
        <v>#REF!</v>
      </c>
      <c r="AR481" s="89" t="e">
        <f>#REF!</f>
        <v>#REF!</v>
      </c>
      <c r="AS481" s="89" t="e">
        <f>#REF!</f>
        <v>#REF!</v>
      </c>
      <c r="AT481" s="89" t="e">
        <f>#REF!</f>
        <v>#REF!</v>
      </c>
      <c r="AU481" s="89" t="e">
        <f>#REF!</f>
        <v>#REF!</v>
      </c>
      <c r="AV481" s="89" t="e">
        <f>#REF!</f>
        <v>#REF!</v>
      </c>
      <c r="AW481" s="89" t="e">
        <f>#REF!</f>
        <v>#REF!</v>
      </c>
      <c r="AX481" s="89" t="e">
        <f>#REF!</f>
        <v>#REF!</v>
      </c>
      <c r="AY481" s="89" t="e">
        <f>#REF!</f>
        <v>#REF!</v>
      </c>
      <c r="AZ481" s="89" t="e">
        <f>#REF!</f>
        <v>#REF!</v>
      </c>
      <c r="BA481" s="89" t="e">
        <f>#REF!</f>
        <v>#REF!</v>
      </c>
      <c r="BB481" s="89" t="e">
        <f>#REF!</f>
        <v>#REF!</v>
      </c>
      <c r="BC481" s="89" t="e">
        <f>#REF!</f>
        <v>#REF!</v>
      </c>
      <c r="BD481" s="89" t="e">
        <f>#REF!</f>
        <v>#REF!</v>
      </c>
      <c r="BE481" s="89" t="e">
        <f>#REF!</f>
        <v>#REF!</v>
      </c>
      <c r="BF481" s="89" t="e">
        <f>#REF!</f>
        <v>#REF!</v>
      </c>
    </row>
    <row r="482" spans="9:58" x14ac:dyDescent="0.25">
      <c r="I482" s="89">
        <f>ABCD!J531</f>
        <v>119.5</v>
      </c>
      <c r="J482" s="89">
        <f>ABCD!K531</f>
        <v>391.96</v>
      </c>
      <c r="K482" s="89">
        <f>ABCD!L531</f>
        <v>3.8305744383632008</v>
      </c>
      <c r="L482" s="89">
        <f>ABCD!M531</f>
        <v>0.6586958663772382</v>
      </c>
      <c r="M482" s="89">
        <f>ABCD!N531</f>
        <v>3.886795694685278</v>
      </c>
      <c r="N482" s="89" t="e">
        <v>#REF!</v>
      </c>
      <c r="O482" s="89" t="e">
        <v>#REF!</v>
      </c>
      <c r="P482" s="89" t="e">
        <v>#REF!</v>
      </c>
      <c r="Q482" s="89" t="e">
        <v>#REF!</v>
      </c>
      <c r="R482" s="89" t="e">
        <v>#REF!</v>
      </c>
      <c r="S482" s="89" t="e">
        <f>#REF!</f>
        <v>#REF!</v>
      </c>
      <c r="T482" s="89" t="e">
        <f>#REF!</f>
        <v>#REF!</v>
      </c>
      <c r="U482" s="89" t="e">
        <f>#REF!</f>
        <v>#REF!</v>
      </c>
      <c r="V482" s="89" t="e">
        <f>#REF!</f>
        <v>#REF!</v>
      </c>
      <c r="W482" s="89" t="e">
        <f>#REF!</f>
        <v>#REF!</v>
      </c>
      <c r="X482" s="89" t="e">
        <f>#REF!</f>
        <v>#REF!</v>
      </c>
      <c r="Y482" s="89" t="e">
        <f>#REF!</f>
        <v>#REF!</v>
      </c>
      <c r="Z482" s="89" t="e">
        <f>#REF!</f>
        <v>#REF!</v>
      </c>
      <c r="AA482" s="89" t="e">
        <f>#REF!</f>
        <v>#REF!</v>
      </c>
      <c r="AB482" s="89" t="e">
        <f>#REF!</f>
        <v>#REF!</v>
      </c>
      <c r="AC482" s="89" t="e">
        <f>#REF!</f>
        <v>#REF!</v>
      </c>
      <c r="AD482" s="89" t="e">
        <f>#REF!</f>
        <v>#REF!</v>
      </c>
      <c r="AE482" s="89" t="e">
        <f>#REF!</f>
        <v>#REF!</v>
      </c>
      <c r="AF482" s="89" t="e">
        <f>#REF!</f>
        <v>#REF!</v>
      </c>
      <c r="AG482" s="89" t="e">
        <f>#REF!</f>
        <v>#REF!</v>
      </c>
      <c r="AH482" s="89" t="e">
        <f>#REF!</f>
        <v>#REF!</v>
      </c>
      <c r="AI482" s="89" t="e">
        <f>#REF!</f>
        <v>#REF!</v>
      </c>
      <c r="AJ482" s="89" t="e">
        <f>#REF!</f>
        <v>#REF!</v>
      </c>
      <c r="AK482" s="89" t="e">
        <f>#REF!</f>
        <v>#REF!</v>
      </c>
      <c r="AL482" s="89" t="e">
        <f>#REF!</f>
        <v>#REF!</v>
      </c>
      <c r="AM482" s="89" t="e">
        <f>#REF!</f>
        <v>#REF!</v>
      </c>
      <c r="AN482" s="89" t="e">
        <f>#REF!</f>
        <v>#REF!</v>
      </c>
      <c r="AO482" s="89" t="e">
        <f>#REF!</f>
        <v>#REF!</v>
      </c>
      <c r="AP482" s="89" t="e">
        <f>#REF!</f>
        <v>#REF!</v>
      </c>
      <c r="AQ482" s="89" t="e">
        <f>#REF!</f>
        <v>#REF!</v>
      </c>
      <c r="AR482" s="89" t="e">
        <f>#REF!</f>
        <v>#REF!</v>
      </c>
      <c r="AS482" s="89" t="e">
        <f>#REF!</f>
        <v>#REF!</v>
      </c>
      <c r="AT482" s="89" t="e">
        <f>#REF!</f>
        <v>#REF!</v>
      </c>
      <c r="AU482" s="89" t="e">
        <f>#REF!</f>
        <v>#REF!</v>
      </c>
      <c r="AV482" s="89" t="e">
        <f>#REF!</f>
        <v>#REF!</v>
      </c>
      <c r="AW482" s="89" t="e">
        <f>#REF!</f>
        <v>#REF!</v>
      </c>
      <c r="AX482" s="89" t="e">
        <f>#REF!</f>
        <v>#REF!</v>
      </c>
      <c r="AY482" s="89" t="e">
        <f>#REF!</f>
        <v>#REF!</v>
      </c>
      <c r="AZ482" s="89" t="e">
        <f>#REF!</f>
        <v>#REF!</v>
      </c>
      <c r="BA482" s="89" t="e">
        <f>#REF!</f>
        <v>#REF!</v>
      </c>
      <c r="BB482" s="89" t="e">
        <f>#REF!</f>
        <v>#REF!</v>
      </c>
      <c r="BC482" s="89" t="e">
        <f>#REF!</f>
        <v>#REF!</v>
      </c>
      <c r="BD482" s="89" t="e">
        <f>#REF!</f>
        <v>#REF!</v>
      </c>
      <c r="BE482" s="89" t="e">
        <f>#REF!</f>
        <v>#REF!</v>
      </c>
      <c r="BF482" s="89" t="e">
        <f>#REF!</f>
        <v>#REF!</v>
      </c>
    </row>
    <row r="483" spans="9:58" x14ac:dyDescent="0.25">
      <c r="I483" s="89">
        <f>ABCD!J532</f>
        <v>119.75</v>
      </c>
      <c r="J483" s="89">
        <f>ABCD!K532</f>
        <v>392.78</v>
      </c>
      <c r="K483" s="89">
        <f>ABCD!L532</f>
        <v>3.8919442182547721</v>
      </c>
      <c r="L483" s="89">
        <f>ABCD!M532</f>
        <v>0.67042188369131672</v>
      </c>
      <c r="M483" s="89">
        <f>ABCD!N532</f>
        <v>3.9492651595124584</v>
      </c>
      <c r="N483" s="89" t="e">
        <v>#REF!</v>
      </c>
      <c r="O483" s="89" t="e">
        <v>#REF!</v>
      </c>
      <c r="P483" s="89" t="e">
        <v>#REF!</v>
      </c>
      <c r="Q483" s="89" t="e">
        <v>#REF!</v>
      </c>
      <c r="R483" s="89" t="e">
        <v>#REF!</v>
      </c>
      <c r="S483" s="89" t="e">
        <f>#REF!</f>
        <v>#REF!</v>
      </c>
      <c r="T483" s="89" t="e">
        <f>#REF!</f>
        <v>#REF!</v>
      </c>
      <c r="U483" s="89" t="e">
        <f>#REF!</f>
        <v>#REF!</v>
      </c>
      <c r="V483" s="89" t="e">
        <f>#REF!</f>
        <v>#REF!</v>
      </c>
      <c r="W483" s="89" t="e">
        <f>#REF!</f>
        <v>#REF!</v>
      </c>
      <c r="X483" s="89" t="e">
        <f>#REF!</f>
        <v>#REF!</v>
      </c>
      <c r="Y483" s="89" t="e">
        <f>#REF!</f>
        <v>#REF!</v>
      </c>
      <c r="Z483" s="89" t="e">
        <f>#REF!</f>
        <v>#REF!</v>
      </c>
      <c r="AA483" s="89" t="e">
        <f>#REF!</f>
        <v>#REF!</v>
      </c>
      <c r="AB483" s="89" t="e">
        <f>#REF!</f>
        <v>#REF!</v>
      </c>
      <c r="AC483" s="89" t="e">
        <f>#REF!</f>
        <v>#REF!</v>
      </c>
      <c r="AD483" s="89" t="e">
        <f>#REF!</f>
        <v>#REF!</v>
      </c>
      <c r="AE483" s="89" t="e">
        <f>#REF!</f>
        <v>#REF!</v>
      </c>
      <c r="AF483" s="89" t="e">
        <f>#REF!</f>
        <v>#REF!</v>
      </c>
      <c r="AG483" s="89" t="e">
        <f>#REF!</f>
        <v>#REF!</v>
      </c>
      <c r="AH483" s="89" t="e">
        <f>#REF!</f>
        <v>#REF!</v>
      </c>
      <c r="AI483" s="89" t="e">
        <f>#REF!</f>
        <v>#REF!</v>
      </c>
      <c r="AJ483" s="89" t="e">
        <f>#REF!</f>
        <v>#REF!</v>
      </c>
      <c r="AK483" s="89" t="e">
        <f>#REF!</f>
        <v>#REF!</v>
      </c>
      <c r="AL483" s="89" t="e">
        <f>#REF!</f>
        <v>#REF!</v>
      </c>
      <c r="AM483" s="89" t="e">
        <f>#REF!</f>
        <v>#REF!</v>
      </c>
      <c r="AN483" s="89" t="e">
        <f>#REF!</f>
        <v>#REF!</v>
      </c>
      <c r="AO483" s="89" t="e">
        <f>#REF!</f>
        <v>#REF!</v>
      </c>
      <c r="AP483" s="89" t="e">
        <f>#REF!</f>
        <v>#REF!</v>
      </c>
      <c r="AQ483" s="89" t="e">
        <f>#REF!</f>
        <v>#REF!</v>
      </c>
      <c r="AR483" s="89" t="e">
        <f>#REF!</f>
        <v>#REF!</v>
      </c>
      <c r="AS483" s="89" t="e">
        <f>#REF!</f>
        <v>#REF!</v>
      </c>
      <c r="AT483" s="89" t="e">
        <f>#REF!</f>
        <v>#REF!</v>
      </c>
      <c r="AU483" s="89" t="e">
        <f>#REF!</f>
        <v>#REF!</v>
      </c>
      <c r="AV483" s="89" t="e">
        <f>#REF!</f>
        <v>#REF!</v>
      </c>
      <c r="AW483" s="89" t="e">
        <f>#REF!</f>
        <v>#REF!</v>
      </c>
      <c r="AX483" s="89" t="e">
        <f>#REF!</f>
        <v>#REF!</v>
      </c>
      <c r="AY483" s="89" t="e">
        <f>#REF!</f>
        <v>#REF!</v>
      </c>
      <c r="AZ483" s="89" t="e">
        <f>#REF!</f>
        <v>#REF!</v>
      </c>
      <c r="BA483" s="89" t="e">
        <f>#REF!</f>
        <v>#REF!</v>
      </c>
      <c r="BB483" s="89" t="e">
        <f>#REF!</f>
        <v>#REF!</v>
      </c>
      <c r="BC483" s="89" t="e">
        <f>#REF!</f>
        <v>#REF!</v>
      </c>
      <c r="BD483" s="89" t="e">
        <f>#REF!</f>
        <v>#REF!</v>
      </c>
      <c r="BE483" s="89" t="e">
        <f>#REF!</f>
        <v>#REF!</v>
      </c>
      <c r="BF483" s="89" t="e">
        <f>#REF!</f>
        <v>#REF!</v>
      </c>
    </row>
    <row r="484" spans="9:58" x14ac:dyDescent="0.25">
      <c r="I484" s="89">
        <f>ABCD!J533</f>
        <v>120</v>
      </c>
      <c r="J484" s="89">
        <f>ABCD!K533</f>
        <v>393.59999999999997</v>
      </c>
      <c r="K484" s="89">
        <f>ABCD!L533</f>
        <v>3.9523603696021503</v>
      </c>
      <c r="L484" s="89">
        <f>ABCD!M533</f>
        <v>0.68198259142867168</v>
      </c>
      <c r="M484" s="89">
        <f>ABCD!N533</f>
        <v>4.0107671019660831</v>
      </c>
      <c r="N484" s="89" t="e">
        <v>#REF!</v>
      </c>
      <c r="O484" s="89" t="e">
        <v>#REF!</v>
      </c>
      <c r="P484" s="89" t="e">
        <v>#REF!</v>
      </c>
      <c r="Q484" s="89" t="e">
        <v>#REF!</v>
      </c>
      <c r="R484" s="89" t="e">
        <v>#REF!</v>
      </c>
      <c r="S484" s="89" t="e">
        <f>#REF!</f>
        <v>#REF!</v>
      </c>
      <c r="T484" s="89" t="e">
        <f>#REF!</f>
        <v>#REF!</v>
      </c>
      <c r="U484" s="89" t="e">
        <f>#REF!</f>
        <v>#REF!</v>
      </c>
      <c r="V484" s="89" t="e">
        <f>#REF!</f>
        <v>#REF!</v>
      </c>
      <c r="W484" s="89" t="e">
        <f>#REF!</f>
        <v>#REF!</v>
      </c>
      <c r="X484" s="89" t="e">
        <f>#REF!</f>
        <v>#REF!</v>
      </c>
      <c r="Y484" s="89" t="e">
        <f>#REF!</f>
        <v>#REF!</v>
      </c>
      <c r="Z484" s="89" t="e">
        <f>#REF!</f>
        <v>#REF!</v>
      </c>
      <c r="AA484" s="89" t="e">
        <f>#REF!</f>
        <v>#REF!</v>
      </c>
      <c r="AB484" s="89" t="e">
        <f>#REF!</f>
        <v>#REF!</v>
      </c>
      <c r="AC484" s="89" t="e">
        <f>#REF!</f>
        <v>#REF!</v>
      </c>
      <c r="AD484" s="89" t="e">
        <f>#REF!</f>
        <v>#REF!</v>
      </c>
      <c r="AE484" s="89" t="e">
        <f>#REF!</f>
        <v>#REF!</v>
      </c>
      <c r="AF484" s="89" t="e">
        <f>#REF!</f>
        <v>#REF!</v>
      </c>
      <c r="AG484" s="89" t="e">
        <f>#REF!</f>
        <v>#REF!</v>
      </c>
      <c r="AH484" s="89" t="e">
        <f>#REF!</f>
        <v>#REF!</v>
      </c>
      <c r="AI484" s="89" t="e">
        <f>#REF!</f>
        <v>#REF!</v>
      </c>
      <c r="AJ484" s="89" t="e">
        <f>#REF!</f>
        <v>#REF!</v>
      </c>
      <c r="AK484" s="89" t="e">
        <f>#REF!</f>
        <v>#REF!</v>
      </c>
      <c r="AL484" s="89" t="e">
        <f>#REF!</f>
        <v>#REF!</v>
      </c>
      <c r="AM484" s="89" t="e">
        <f>#REF!</f>
        <v>#REF!</v>
      </c>
      <c r="AN484" s="89" t="e">
        <f>#REF!</f>
        <v>#REF!</v>
      </c>
      <c r="AO484" s="89" t="e">
        <f>#REF!</f>
        <v>#REF!</v>
      </c>
      <c r="AP484" s="89" t="e">
        <f>#REF!</f>
        <v>#REF!</v>
      </c>
      <c r="AQ484" s="89" t="e">
        <f>#REF!</f>
        <v>#REF!</v>
      </c>
      <c r="AR484" s="89" t="e">
        <f>#REF!</f>
        <v>#REF!</v>
      </c>
      <c r="AS484" s="89" t="e">
        <f>#REF!</f>
        <v>#REF!</v>
      </c>
      <c r="AT484" s="89" t="e">
        <f>#REF!</f>
        <v>#REF!</v>
      </c>
      <c r="AU484" s="89" t="e">
        <f>#REF!</f>
        <v>#REF!</v>
      </c>
      <c r="AV484" s="89" t="e">
        <f>#REF!</f>
        <v>#REF!</v>
      </c>
      <c r="AW484" s="89" t="e">
        <f>#REF!</f>
        <v>#REF!</v>
      </c>
      <c r="AX484" s="89" t="e">
        <f>#REF!</f>
        <v>#REF!</v>
      </c>
      <c r="AY484" s="89" t="e">
        <f>#REF!</f>
        <v>#REF!</v>
      </c>
      <c r="AZ484" s="89" t="e">
        <f>#REF!</f>
        <v>#REF!</v>
      </c>
      <c r="BA484" s="89" t="e">
        <f>#REF!</f>
        <v>#REF!</v>
      </c>
      <c r="BB484" s="89" t="e">
        <f>#REF!</f>
        <v>#REF!</v>
      </c>
      <c r="BC484" s="89" t="e">
        <f>#REF!</f>
        <v>#REF!</v>
      </c>
      <c r="BD484" s="89" t="e">
        <f>#REF!</f>
        <v>#REF!</v>
      </c>
      <c r="BE484" s="89" t="e">
        <f>#REF!</f>
        <v>#REF!</v>
      </c>
      <c r="BF484" s="89" t="e">
        <f>#REF!</f>
        <v>#REF!</v>
      </c>
    </row>
    <row r="485" spans="9:58" x14ac:dyDescent="0.25">
      <c r="I485" s="89">
        <f>ABCD!J534</f>
        <v>120.25</v>
      </c>
      <c r="J485" s="89">
        <f>ABCD!K534</f>
        <v>394.41999999999996</v>
      </c>
      <c r="K485" s="89">
        <f>ABCD!L534</f>
        <v>4.0118098037555558</v>
      </c>
      <c r="L485" s="89">
        <f>ABCD!M534</f>
        <v>0.69337546961478536</v>
      </c>
      <c r="M485" s="89">
        <f>ABCD!N534</f>
        <v>4.0712881798483282</v>
      </c>
      <c r="N485" s="89" t="e">
        <v>#REF!</v>
      </c>
      <c r="O485" s="89" t="e">
        <v>#REF!</v>
      </c>
      <c r="P485" s="89" t="e">
        <v>#REF!</v>
      </c>
      <c r="Q485" s="89" t="e">
        <v>#REF!</v>
      </c>
      <c r="R485" s="89" t="e">
        <v>#REF!</v>
      </c>
      <c r="S485" s="89" t="e">
        <f>#REF!</f>
        <v>#REF!</v>
      </c>
      <c r="T485" s="89" t="e">
        <f>#REF!</f>
        <v>#REF!</v>
      </c>
      <c r="U485" s="89" t="e">
        <f>#REF!</f>
        <v>#REF!</v>
      </c>
      <c r="V485" s="89" t="e">
        <f>#REF!</f>
        <v>#REF!</v>
      </c>
      <c r="W485" s="89" t="e">
        <f>#REF!</f>
        <v>#REF!</v>
      </c>
      <c r="X485" s="89" t="e">
        <f>#REF!</f>
        <v>#REF!</v>
      </c>
      <c r="Y485" s="89" t="e">
        <f>#REF!</f>
        <v>#REF!</v>
      </c>
      <c r="Z485" s="89" t="e">
        <f>#REF!</f>
        <v>#REF!</v>
      </c>
      <c r="AA485" s="89" t="e">
        <f>#REF!</f>
        <v>#REF!</v>
      </c>
      <c r="AB485" s="89" t="e">
        <f>#REF!</f>
        <v>#REF!</v>
      </c>
      <c r="AC485" s="89" t="e">
        <f>#REF!</f>
        <v>#REF!</v>
      </c>
      <c r="AD485" s="89" t="e">
        <f>#REF!</f>
        <v>#REF!</v>
      </c>
      <c r="AE485" s="89" t="e">
        <f>#REF!</f>
        <v>#REF!</v>
      </c>
      <c r="AF485" s="89" t="e">
        <f>#REF!</f>
        <v>#REF!</v>
      </c>
      <c r="AG485" s="89" t="e">
        <f>#REF!</f>
        <v>#REF!</v>
      </c>
      <c r="AH485" s="89" t="e">
        <f>#REF!</f>
        <v>#REF!</v>
      </c>
      <c r="AI485" s="89" t="e">
        <f>#REF!</f>
        <v>#REF!</v>
      </c>
      <c r="AJ485" s="89" t="e">
        <f>#REF!</f>
        <v>#REF!</v>
      </c>
      <c r="AK485" s="89" t="e">
        <f>#REF!</f>
        <v>#REF!</v>
      </c>
      <c r="AL485" s="89" t="e">
        <f>#REF!</f>
        <v>#REF!</v>
      </c>
      <c r="AM485" s="89" t="e">
        <f>#REF!</f>
        <v>#REF!</v>
      </c>
      <c r="AN485" s="89" t="e">
        <f>#REF!</f>
        <v>#REF!</v>
      </c>
      <c r="AO485" s="89" t="e">
        <f>#REF!</f>
        <v>#REF!</v>
      </c>
      <c r="AP485" s="89" t="e">
        <f>#REF!</f>
        <v>#REF!</v>
      </c>
      <c r="AQ485" s="89" t="e">
        <f>#REF!</f>
        <v>#REF!</v>
      </c>
      <c r="AR485" s="89" t="e">
        <f>#REF!</f>
        <v>#REF!</v>
      </c>
      <c r="AS485" s="89" t="e">
        <f>#REF!</f>
        <v>#REF!</v>
      </c>
      <c r="AT485" s="89" t="e">
        <f>#REF!</f>
        <v>#REF!</v>
      </c>
      <c r="AU485" s="89" t="e">
        <f>#REF!</f>
        <v>#REF!</v>
      </c>
      <c r="AV485" s="89" t="e">
        <f>#REF!</f>
        <v>#REF!</v>
      </c>
      <c r="AW485" s="89" t="e">
        <f>#REF!</f>
        <v>#REF!</v>
      </c>
      <c r="AX485" s="89" t="e">
        <f>#REF!</f>
        <v>#REF!</v>
      </c>
      <c r="AY485" s="89" t="e">
        <f>#REF!</f>
        <v>#REF!</v>
      </c>
      <c r="AZ485" s="89" t="e">
        <f>#REF!</f>
        <v>#REF!</v>
      </c>
      <c r="BA485" s="89" t="e">
        <f>#REF!</f>
        <v>#REF!</v>
      </c>
      <c r="BB485" s="89" t="e">
        <f>#REF!</f>
        <v>#REF!</v>
      </c>
      <c r="BC485" s="89" t="e">
        <f>#REF!</f>
        <v>#REF!</v>
      </c>
      <c r="BD485" s="89" t="e">
        <f>#REF!</f>
        <v>#REF!</v>
      </c>
      <c r="BE485" s="89" t="e">
        <f>#REF!</f>
        <v>#REF!</v>
      </c>
      <c r="BF485" s="89" t="e">
        <f>#REF!</f>
        <v>#REF!</v>
      </c>
    </row>
    <row r="486" spans="9:58" x14ac:dyDescent="0.25">
      <c r="I486" s="89">
        <f>ABCD!J535</f>
        <v>120.5</v>
      </c>
      <c r="J486" s="89">
        <f>ABCD!K535</f>
        <v>395.23999999999995</v>
      </c>
      <c r="K486" s="89">
        <f>ABCD!L535</f>
        <v>4.0702796669977443</v>
      </c>
      <c r="L486" s="89">
        <f>ABCD!M535</f>
        <v>0.70459803928405118</v>
      </c>
      <c r="M486" s="89">
        <f>ABCD!N535</f>
        <v>4.1308152905374742</v>
      </c>
      <c r="N486" s="89" t="e">
        <v>#REF!</v>
      </c>
      <c r="O486" s="89" t="e">
        <v>#REF!</v>
      </c>
      <c r="P486" s="89" t="e">
        <v>#REF!</v>
      </c>
      <c r="Q486" s="89" t="e">
        <v>#REF!</v>
      </c>
      <c r="R486" s="89" t="e">
        <v>#REF!</v>
      </c>
      <c r="S486" s="89" t="e">
        <f>#REF!</f>
        <v>#REF!</v>
      </c>
      <c r="T486" s="89" t="e">
        <f>#REF!</f>
        <v>#REF!</v>
      </c>
      <c r="U486" s="89" t="e">
        <f>#REF!</f>
        <v>#REF!</v>
      </c>
      <c r="V486" s="89" t="e">
        <f>#REF!</f>
        <v>#REF!</v>
      </c>
      <c r="W486" s="89" t="e">
        <f>#REF!</f>
        <v>#REF!</v>
      </c>
      <c r="X486" s="89" t="e">
        <f>#REF!</f>
        <v>#REF!</v>
      </c>
      <c r="Y486" s="89" t="e">
        <f>#REF!</f>
        <v>#REF!</v>
      </c>
      <c r="Z486" s="89" t="e">
        <f>#REF!</f>
        <v>#REF!</v>
      </c>
      <c r="AA486" s="89" t="e">
        <f>#REF!</f>
        <v>#REF!</v>
      </c>
      <c r="AB486" s="89" t="e">
        <f>#REF!</f>
        <v>#REF!</v>
      </c>
      <c r="AC486" s="89" t="e">
        <f>#REF!</f>
        <v>#REF!</v>
      </c>
      <c r="AD486" s="89" t="e">
        <f>#REF!</f>
        <v>#REF!</v>
      </c>
      <c r="AE486" s="89" t="e">
        <f>#REF!</f>
        <v>#REF!</v>
      </c>
      <c r="AF486" s="89" t="e">
        <f>#REF!</f>
        <v>#REF!</v>
      </c>
      <c r="AG486" s="89" t="e">
        <f>#REF!</f>
        <v>#REF!</v>
      </c>
      <c r="AH486" s="89" t="e">
        <f>#REF!</f>
        <v>#REF!</v>
      </c>
      <c r="AI486" s="89" t="e">
        <f>#REF!</f>
        <v>#REF!</v>
      </c>
      <c r="AJ486" s="89" t="e">
        <f>#REF!</f>
        <v>#REF!</v>
      </c>
      <c r="AK486" s="89" t="e">
        <f>#REF!</f>
        <v>#REF!</v>
      </c>
      <c r="AL486" s="89" t="e">
        <f>#REF!</f>
        <v>#REF!</v>
      </c>
      <c r="AM486" s="89" t="e">
        <f>#REF!</f>
        <v>#REF!</v>
      </c>
      <c r="AN486" s="89" t="e">
        <f>#REF!</f>
        <v>#REF!</v>
      </c>
      <c r="AO486" s="89" t="e">
        <f>#REF!</f>
        <v>#REF!</v>
      </c>
      <c r="AP486" s="89" t="e">
        <f>#REF!</f>
        <v>#REF!</v>
      </c>
      <c r="AQ486" s="89" t="e">
        <f>#REF!</f>
        <v>#REF!</v>
      </c>
      <c r="AR486" s="89" t="e">
        <f>#REF!</f>
        <v>#REF!</v>
      </c>
      <c r="AS486" s="89" t="e">
        <f>#REF!</f>
        <v>#REF!</v>
      </c>
      <c r="AT486" s="89" t="e">
        <f>#REF!</f>
        <v>#REF!</v>
      </c>
      <c r="AU486" s="89" t="e">
        <f>#REF!</f>
        <v>#REF!</v>
      </c>
      <c r="AV486" s="89" t="e">
        <f>#REF!</f>
        <v>#REF!</v>
      </c>
      <c r="AW486" s="89" t="e">
        <f>#REF!</f>
        <v>#REF!</v>
      </c>
      <c r="AX486" s="89" t="e">
        <f>#REF!</f>
        <v>#REF!</v>
      </c>
      <c r="AY486" s="89" t="e">
        <f>#REF!</f>
        <v>#REF!</v>
      </c>
      <c r="AZ486" s="89" t="e">
        <f>#REF!</f>
        <v>#REF!</v>
      </c>
      <c r="BA486" s="89" t="e">
        <f>#REF!</f>
        <v>#REF!</v>
      </c>
      <c r="BB486" s="89" t="e">
        <f>#REF!</f>
        <v>#REF!</v>
      </c>
      <c r="BC486" s="89" t="e">
        <f>#REF!</f>
        <v>#REF!</v>
      </c>
      <c r="BD486" s="89" t="e">
        <f>#REF!</f>
        <v>#REF!</v>
      </c>
      <c r="BE486" s="89" t="e">
        <f>#REF!</f>
        <v>#REF!</v>
      </c>
      <c r="BF486" s="89" t="e">
        <f>#REF!</f>
        <v>#REF!</v>
      </c>
    </row>
    <row r="487" spans="9:58" x14ac:dyDescent="0.25">
      <c r="I487" s="89">
        <f>ABCD!J536</f>
        <v>120.75</v>
      </c>
      <c r="J487" s="89">
        <f>ABCD!K536</f>
        <v>396.06</v>
      </c>
      <c r="K487" s="89">
        <f>ABCD!L536</f>
        <v>4.1277573432997992</v>
      </c>
      <c r="L487" s="89">
        <f>ABCD!M536</f>
        <v>0.71564786301512129</v>
      </c>
      <c r="M487" s="89">
        <f>ABCD!N536</f>
        <v>4.1893355736922677</v>
      </c>
      <c r="N487" s="89" t="e">
        <v>#REF!</v>
      </c>
      <c r="O487" s="89" t="e">
        <v>#REF!</v>
      </c>
      <c r="P487" s="89" t="e">
        <v>#REF!</v>
      </c>
      <c r="Q487" s="89" t="e">
        <v>#REF!</v>
      </c>
      <c r="R487" s="89" t="e">
        <v>#REF!</v>
      </c>
      <c r="S487" s="89" t="e">
        <f>#REF!</f>
        <v>#REF!</v>
      </c>
      <c r="T487" s="89" t="e">
        <f>#REF!</f>
        <v>#REF!</v>
      </c>
      <c r="U487" s="89" t="e">
        <f>#REF!</f>
        <v>#REF!</v>
      </c>
      <c r="V487" s="89" t="e">
        <f>#REF!</f>
        <v>#REF!</v>
      </c>
      <c r="W487" s="89" t="e">
        <f>#REF!</f>
        <v>#REF!</v>
      </c>
      <c r="X487" s="89" t="e">
        <f>#REF!</f>
        <v>#REF!</v>
      </c>
      <c r="Y487" s="89" t="e">
        <f>#REF!</f>
        <v>#REF!</v>
      </c>
      <c r="Z487" s="89" t="e">
        <f>#REF!</f>
        <v>#REF!</v>
      </c>
      <c r="AA487" s="89" t="e">
        <f>#REF!</f>
        <v>#REF!</v>
      </c>
      <c r="AB487" s="89" t="e">
        <f>#REF!</f>
        <v>#REF!</v>
      </c>
      <c r="AC487" s="89" t="e">
        <f>#REF!</f>
        <v>#REF!</v>
      </c>
      <c r="AD487" s="89" t="e">
        <f>#REF!</f>
        <v>#REF!</v>
      </c>
      <c r="AE487" s="89" t="e">
        <f>#REF!</f>
        <v>#REF!</v>
      </c>
      <c r="AF487" s="89" t="e">
        <f>#REF!</f>
        <v>#REF!</v>
      </c>
      <c r="AG487" s="89" t="e">
        <f>#REF!</f>
        <v>#REF!</v>
      </c>
      <c r="AH487" s="89" t="e">
        <f>#REF!</f>
        <v>#REF!</v>
      </c>
      <c r="AI487" s="89" t="e">
        <f>#REF!</f>
        <v>#REF!</v>
      </c>
      <c r="AJ487" s="89" t="e">
        <f>#REF!</f>
        <v>#REF!</v>
      </c>
      <c r="AK487" s="89" t="e">
        <f>#REF!</f>
        <v>#REF!</v>
      </c>
      <c r="AL487" s="89" t="e">
        <f>#REF!</f>
        <v>#REF!</v>
      </c>
      <c r="AM487" s="89" t="e">
        <f>#REF!</f>
        <v>#REF!</v>
      </c>
      <c r="AN487" s="89" t="e">
        <f>#REF!</f>
        <v>#REF!</v>
      </c>
      <c r="AO487" s="89" t="e">
        <f>#REF!</f>
        <v>#REF!</v>
      </c>
      <c r="AP487" s="89" t="e">
        <f>#REF!</f>
        <v>#REF!</v>
      </c>
      <c r="AQ487" s="89" t="e">
        <f>#REF!</f>
        <v>#REF!</v>
      </c>
      <c r="AR487" s="89" t="e">
        <f>#REF!</f>
        <v>#REF!</v>
      </c>
      <c r="AS487" s="89" t="e">
        <f>#REF!</f>
        <v>#REF!</v>
      </c>
      <c r="AT487" s="89" t="e">
        <f>#REF!</f>
        <v>#REF!</v>
      </c>
      <c r="AU487" s="89" t="e">
        <f>#REF!</f>
        <v>#REF!</v>
      </c>
      <c r="AV487" s="89" t="e">
        <f>#REF!</f>
        <v>#REF!</v>
      </c>
      <c r="AW487" s="89" t="e">
        <f>#REF!</f>
        <v>#REF!</v>
      </c>
      <c r="AX487" s="89" t="e">
        <f>#REF!</f>
        <v>#REF!</v>
      </c>
      <c r="AY487" s="89" t="e">
        <f>#REF!</f>
        <v>#REF!</v>
      </c>
      <c r="AZ487" s="89" t="e">
        <f>#REF!</f>
        <v>#REF!</v>
      </c>
      <c r="BA487" s="89" t="e">
        <f>#REF!</f>
        <v>#REF!</v>
      </c>
      <c r="BB487" s="89" t="e">
        <f>#REF!</f>
        <v>#REF!</v>
      </c>
      <c r="BC487" s="89" t="e">
        <f>#REF!</f>
        <v>#REF!</v>
      </c>
      <c r="BD487" s="89" t="e">
        <f>#REF!</f>
        <v>#REF!</v>
      </c>
      <c r="BE487" s="89" t="e">
        <f>#REF!</f>
        <v>#REF!</v>
      </c>
      <c r="BF487" s="89" t="e">
        <f>#REF!</f>
        <v>#REF!</v>
      </c>
    </row>
    <row r="488" spans="9:58" x14ac:dyDescent="0.25">
      <c r="I488" s="89">
        <f>ABCD!J537</f>
        <v>121</v>
      </c>
      <c r="J488" s="89">
        <f>ABCD!K537</f>
        <v>396.88</v>
      </c>
      <c r="K488" s="89">
        <f>ABCD!L537</f>
        <v>4.1842304570196314</v>
      </c>
      <c r="L488" s="89">
        <f>ABCD!M537</f>
        <v>0.72652254545620831</v>
      </c>
      <c r="M488" s="89">
        <f>ABCD!N537</f>
        <v>4.2468364139094037</v>
      </c>
      <c r="N488" s="89" t="e">
        <v>#REF!</v>
      </c>
      <c r="O488" s="89" t="e">
        <v>#REF!</v>
      </c>
      <c r="P488" s="89" t="e">
        <v>#REF!</v>
      </c>
      <c r="Q488" s="89" t="e">
        <v>#REF!</v>
      </c>
      <c r="R488" s="89" t="e">
        <v>#REF!</v>
      </c>
      <c r="S488" s="89" t="e">
        <f>#REF!</f>
        <v>#REF!</v>
      </c>
      <c r="T488" s="89" t="e">
        <f>#REF!</f>
        <v>#REF!</v>
      </c>
      <c r="U488" s="89" t="e">
        <f>#REF!</f>
        <v>#REF!</v>
      </c>
      <c r="V488" s="89" t="e">
        <f>#REF!</f>
        <v>#REF!</v>
      </c>
      <c r="W488" s="89" t="e">
        <f>#REF!</f>
        <v>#REF!</v>
      </c>
      <c r="X488" s="89" t="e">
        <f>#REF!</f>
        <v>#REF!</v>
      </c>
      <c r="Y488" s="89" t="e">
        <f>#REF!</f>
        <v>#REF!</v>
      </c>
      <c r="Z488" s="89" t="e">
        <f>#REF!</f>
        <v>#REF!</v>
      </c>
      <c r="AA488" s="89" t="e">
        <f>#REF!</f>
        <v>#REF!</v>
      </c>
      <c r="AB488" s="89" t="e">
        <f>#REF!</f>
        <v>#REF!</v>
      </c>
      <c r="AC488" s="89" t="e">
        <f>#REF!</f>
        <v>#REF!</v>
      </c>
      <c r="AD488" s="89" t="e">
        <f>#REF!</f>
        <v>#REF!</v>
      </c>
      <c r="AE488" s="89" t="e">
        <f>#REF!</f>
        <v>#REF!</v>
      </c>
      <c r="AF488" s="89" t="e">
        <f>#REF!</f>
        <v>#REF!</v>
      </c>
      <c r="AG488" s="89" t="e">
        <f>#REF!</f>
        <v>#REF!</v>
      </c>
      <c r="AH488" s="89" t="e">
        <f>#REF!</f>
        <v>#REF!</v>
      </c>
      <c r="AI488" s="89" t="e">
        <f>#REF!</f>
        <v>#REF!</v>
      </c>
      <c r="AJ488" s="89" t="e">
        <f>#REF!</f>
        <v>#REF!</v>
      </c>
      <c r="AK488" s="89" t="e">
        <f>#REF!</f>
        <v>#REF!</v>
      </c>
      <c r="AL488" s="89" t="e">
        <f>#REF!</f>
        <v>#REF!</v>
      </c>
      <c r="AM488" s="89" t="e">
        <f>#REF!</f>
        <v>#REF!</v>
      </c>
      <c r="AN488" s="89" t="e">
        <f>#REF!</f>
        <v>#REF!</v>
      </c>
      <c r="AO488" s="89" t="e">
        <f>#REF!</f>
        <v>#REF!</v>
      </c>
      <c r="AP488" s="89" t="e">
        <f>#REF!</f>
        <v>#REF!</v>
      </c>
      <c r="AQ488" s="89" t="e">
        <f>#REF!</f>
        <v>#REF!</v>
      </c>
      <c r="AR488" s="89" t="e">
        <f>#REF!</f>
        <v>#REF!</v>
      </c>
      <c r="AS488" s="89" t="e">
        <f>#REF!</f>
        <v>#REF!</v>
      </c>
      <c r="AT488" s="89" t="e">
        <f>#REF!</f>
        <v>#REF!</v>
      </c>
      <c r="AU488" s="89" t="e">
        <f>#REF!</f>
        <v>#REF!</v>
      </c>
      <c r="AV488" s="89" t="e">
        <f>#REF!</f>
        <v>#REF!</v>
      </c>
      <c r="AW488" s="89" t="e">
        <f>#REF!</f>
        <v>#REF!</v>
      </c>
      <c r="AX488" s="89" t="e">
        <f>#REF!</f>
        <v>#REF!</v>
      </c>
      <c r="AY488" s="89" t="e">
        <f>#REF!</f>
        <v>#REF!</v>
      </c>
      <c r="AZ488" s="89" t="e">
        <f>#REF!</f>
        <v>#REF!</v>
      </c>
      <c r="BA488" s="89" t="e">
        <f>#REF!</f>
        <v>#REF!</v>
      </c>
      <c r="BB488" s="89" t="e">
        <f>#REF!</f>
        <v>#REF!</v>
      </c>
      <c r="BC488" s="89" t="e">
        <f>#REF!</f>
        <v>#REF!</v>
      </c>
      <c r="BD488" s="89" t="e">
        <f>#REF!</f>
        <v>#REF!</v>
      </c>
      <c r="BE488" s="89" t="e">
        <f>#REF!</f>
        <v>#REF!</v>
      </c>
      <c r="BF488" s="89" t="e">
        <f>#REF!</f>
        <v>#REF!</v>
      </c>
    </row>
    <row r="489" spans="9:58" x14ac:dyDescent="0.25">
      <c r="I489" s="89">
        <f>ABCD!J538</f>
        <v>121.25</v>
      </c>
      <c r="J489" s="89">
        <f>ABCD!K538</f>
        <v>397.7</v>
      </c>
      <c r="K489" s="89">
        <f>ABCD!L538</f>
        <v>4.2396868755425254</v>
      </c>
      <c r="L489" s="89">
        <f>ABCD!M538</f>
        <v>0.73721973384016604</v>
      </c>
      <c r="M489" s="89">
        <f>ABCD!N538</f>
        <v>4.3033054433320101</v>
      </c>
      <c r="N489" s="89" t="e">
        <v>#REF!</v>
      </c>
      <c r="O489" s="89" t="e">
        <v>#REF!</v>
      </c>
      <c r="P489" s="89" t="e">
        <v>#REF!</v>
      </c>
      <c r="Q489" s="89" t="e">
        <v>#REF!</v>
      </c>
      <c r="R489" s="89" t="e">
        <v>#REF!</v>
      </c>
      <c r="S489" s="89" t="e">
        <f>#REF!</f>
        <v>#REF!</v>
      </c>
      <c r="T489" s="89" t="e">
        <f>#REF!</f>
        <v>#REF!</v>
      </c>
      <c r="U489" s="89" t="e">
        <f>#REF!</f>
        <v>#REF!</v>
      </c>
      <c r="V489" s="89" t="e">
        <f>#REF!</f>
        <v>#REF!</v>
      </c>
      <c r="W489" s="89" t="e">
        <f>#REF!</f>
        <v>#REF!</v>
      </c>
      <c r="X489" s="89" t="e">
        <f>#REF!</f>
        <v>#REF!</v>
      </c>
      <c r="Y489" s="89" t="e">
        <f>#REF!</f>
        <v>#REF!</v>
      </c>
      <c r="Z489" s="89" t="e">
        <f>#REF!</f>
        <v>#REF!</v>
      </c>
      <c r="AA489" s="89" t="e">
        <f>#REF!</f>
        <v>#REF!</v>
      </c>
      <c r="AB489" s="89" t="e">
        <f>#REF!</f>
        <v>#REF!</v>
      </c>
      <c r="AC489" s="89" t="e">
        <f>#REF!</f>
        <v>#REF!</v>
      </c>
      <c r="AD489" s="89" t="e">
        <f>#REF!</f>
        <v>#REF!</v>
      </c>
      <c r="AE489" s="89" t="e">
        <f>#REF!</f>
        <v>#REF!</v>
      </c>
      <c r="AF489" s="89" t="e">
        <f>#REF!</f>
        <v>#REF!</v>
      </c>
      <c r="AG489" s="89" t="e">
        <f>#REF!</f>
        <v>#REF!</v>
      </c>
      <c r="AH489" s="89" t="e">
        <f>#REF!</f>
        <v>#REF!</v>
      </c>
      <c r="AI489" s="89" t="e">
        <f>#REF!</f>
        <v>#REF!</v>
      </c>
      <c r="AJ489" s="89" t="e">
        <f>#REF!</f>
        <v>#REF!</v>
      </c>
      <c r="AK489" s="89" t="e">
        <f>#REF!</f>
        <v>#REF!</v>
      </c>
      <c r="AL489" s="89" t="e">
        <f>#REF!</f>
        <v>#REF!</v>
      </c>
      <c r="AM489" s="89" t="e">
        <f>#REF!</f>
        <v>#REF!</v>
      </c>
      <c r="AN489" s="89" t="e">
        <f>#REF!</f>
        <v>#REF!</v>
      </c>
      <c r="AO489" s="89" t="e">
        <f>#REF!</f>
        <v>#REF!</v>
      </c>
      <c r="AP489" s="89" t="e">
        <f>#REF!</f>
        <v>#REF!</v>
      </c>
      <c r="AQ489" s="89" t="e">
        <f>#REF!</f>
        <v>#REF!</v>
      </c>
      <c r="AR489" s="89" t="e">
        <f>#REF!</f>
        <v>#REF!</v>
      </c>
      <c r="AS489" s="89" t="e">
        <f>#REF!</f>
        <v>#REF!</v>
      </c>
      <c r="AT489" s="89" t="e">
        <f>#REF!</f>
        <v>#REF!</v>
      </c>
      <c r="AU489" s="89" t="e">
        <f>#REF!</f>
        <v>#REF!</v>
      </c>
      <c r="AV489" s="89" t="e">
        <f>#REF!</f>
        <v>#REF!</v>
      </c>
      <c r="AW489" s="89" t="e">
        <f>#REF!</f>
        <v>#REF!</v>
      </c>
      <c r="AX489" s="89" t="e">
        <f>#REF!</f>
        <v>#REF!</v>
      </c>
      <c r="AY489" s="89" t="e">
        <f>#REF!</f>
        <v>#REF!</v>
      </c>
      <c r="AZ489" s="89" t="e">
        <f>#REF!</f>
        <v>#REF!</v>
      </c>
      <c r="BA489" s="89" t="e">
        <f>#REF!</f>
        <v>#REF!</v>
      </c>
      <c r="BB489" s="89" t="e">
        <f>#REF!</f>
        <v>#REF!</v>
      </c>
      <c r="BC489" s="89" t="e">
        <f>#REF!</f>
        <v>#REF!</v>
      </c>
      <c r="BD489" s="89" t="e">
        <f>#REF!</f>
        <v>#REF!</v>
      </c>
      <c r="BE489" s="89" t="e">
        <f>#REF!</f>
        <v>#REF!</v>
      </c>
      <c r="BF489" s="89" t="e">
        <f>#REF!</f>
        <v>#REF!</v>
      </c>
    </row>
    <row r="490" spans="9:58" x14ac:dyDescent="0.25">
      <c r="I490" s="89">
        <f>ABCD!J539</f>
        <v>121.5</v>
      </c>
      <c r="J490" s="89">
        <f>ABCD!K539</f>
        <v>398.52</v>
      </c>
      <c r="K490" s="89">
        <f>ABCD!L539</f>
        <v>4.2941147118632177</v>
      </c>
      <c r="L490" s="89">
        <f>ABCD!M539</f>
        <v>0.74773711848931201</v>
      </c>
      <c r="M490" s="89">
        <f>ABCD!N539</f>
        <v>4.3587305442074333</v>
      </c>
      <c r="N490" s="89" t="e">
        <v>#REF!</v>
      </c>
      <c r="O490" s="89" t="e">
        <v>#REF!</v>
      </c>
      <c r="P490" s="89" t="e">
        <v>#REF!</v>
      </c>
      <c r="Q490" s="89" t="e">
        <v>#REF!</v>
      </c>
      <c r="R490" s="89" t="e">
        <v>#REF!</v>
      </c>
      <c r="S490" s="89" t="e">
        <f>#REF!</f>
        <v>#REF!</v>
      </c>
      <c r="T490" s="89" t="e">
        <f>#REF!</f>
        <v>#REF!</v>
      </c>
      <c r="U490" s="89" t="e">
        <f>#REF!</f>
        <v>#REF!</v>
      </c>
      <c r="V490" s="89" t="e">
        <f>#REF!</f>
        <v>#REF!</v>
      </c>
      <c r="W490" s="89" t="e">
        <f>#REF!</f>
        <v>#REF!</v>
      </c>
      <c r="X490" s="89" t="e">
        <f>#REF!</f>
        <v>#REF!</v>
      </c>
      <c r="Y490" s="89" t="e">
        <f>#REF!</f>
        <v>#REF!</v>
      </c>
      <c r="Z490" s="89" t="e">
        <f>#REF!</f>
        <v>#REF!</v>
      </c>
      <c r="AA490" s="89" t="e">
        <f>#REF!</f>
        <v>#REF!</v>
      </c>
      <c r="AB490" s="89" t="e">
        <f>#REF!</f>
        <v>#REF!</v>
      </c>
      <c r="AC490" s="89" t="e">
        <f>#REF!</f>
        <v>#REF!</v>
      </c>
      <c r="AD490" s="89" t="e">
        <f>#REF!</f>
        <v>#REF!</v>
      </c>
      <c r="AE490" s="89" t="e">
        <f>#REF!</f>
        <v>#REF!</v>
      </c>
      <c r="AF490" s="89" t="e">
        <f>#REF!</f>
        <v>#REF!</v>
      </c>
      <c r="AG490" s="89" t="e">
        <f>#REF!</f>
        <v>#REF!</v>
      </c>
      <c r="AH490" s="89" t="e">
        <f>#REF!</f>
        <v>#REF!</v>
      </c>
      <c r="AI490" s="89" t="e">
        <f>#REF!</f>
        <v>#REF!</v>
      </c>
      <c r="AJ490" s="89" t="e">
        <f>#REF!</f>
        <v>#REF!</v>
      </c>
      <c r="AK490" s="89" t="e">
        <f>#REF!</f>
        <v>#REF!</v>
      </c>
      <c r="AL490" s="89" t="e">
        <f>#REF!</f>
        <v>#REF!</v>
      </c>
      <c r="AM490" s="89" t="e">
        <f>#REF!</f>
        <v>#REF!</v>
      </c>
      <c r="AN490" s="89" t="e">
        <f>#REF!</f>
        <v>#REF!</v>
      </c>
      <c r="AO490" s="89" t="e">
        <f>#REF!</f>
        <v>#REF!</v>
      </c>
      <c r="AP490" s="89" t="e">
        <f>#REF!</f>
        <v>#REF!</v>
      </c>
      <c r="AQ490" s="89" t="e">
        <f>#REF!</f>
        <v>#REF!</v>
      </c>
      <c r="AR490" s="89" t="e">
        <f>#REF!</f>
        <v>#REF!</v>
      </c>
      <c r="AS490" s="89" t="e">
        <f>#REF!</f>
        <v>#REF!</v>
      </c>
      <c r="AT490" s="89" t="e">
        <f>#REF!</f>
        <v>#REF!</v>
      </c>
      <c r="AU490" s="89" t="e">
        <f>#REF!</f>
        <v>#REF!</v>
      </c>
      <c r="AV490" s="89" t="e">
        <f>#REF!</f>
        <v>#REF!</v>
      </c>
      <c r="AW490" s="89" t="e">
        <f>#REF!</f>
        <v>#REF!</v>
      </c>
      <c r="AX490" s="89" t="e">
        <f>#REF!</f>
        <v>#REF!</v>
      </c>
      <c r="AY490" s="89" t="e">
        <f>#REF!</f>
        <v>#REF!</v>
      </c>
      <c r="AZ490" s="89" t="e">
        <f>#REF!</f>
        <v>#REF!</v>
      </c>
      <c r="BA490" s="89" t="e">
        <f>#REF!</f>
        <v>#REF!</v>
      </c>
      <c r="BB490" s="89" t="e">
        <f>#REF!</f>
        <v>#REF!</v>
      </c>
      <c r="BC490" s="89" t="e">
        <f>#REF!</f>
        <v>#REF!</v>
      </c>
      <c r="BD490" s="89" t="e">
        <f>#REF!</f>
        <v>#REF!</v>
      </c>
      <c r="BE490" s="89" t="e">
        <f>#REF!</f>
        <v>#REF!</v>
      </c>
      <c r="BF490" s="89" t="e">
        <f>#REF!</f>
        <v>#REF!</v>
      </c>
    </row>
    <row r="491" spans="9:58" x14ac:dyDescent="0.25">
      <c r="I491" s="89">
        <f>ABCD!J540</f>
        <v>121.75</v>
      </c>
      <c r="J491" s="89">
        <f>ABCD!K540</f>
        <v>399.34</v>
      </c>
      <c r="K491" s="89">
        <f>ABCD!L540</f>
        <v>4.3475023271089626</v>
      </c>
      <c r="L491" s="89">
        <f>ABCD!M540</f>
        <v>0.75807243330982521</v>
      </c>
      <c r="M491" s="89">
        <f>ABCD!N540</f>
        <v>4.4130998513926833</v>
      </c>
      <c r="N491" s="89" t="e">
        <v>#REF!</v>
      </c>
      <c r="O491" s="89" t="e">
        <v>#REF!</v>
      </c>
      <c r="P491" s="89" t="e">
        <v>#REF!</v>
      </c>
      <c r="Q491" s="89" t="e">
        <v>#REF!</v>
      </c>
      <c r="R491" s="89" t="e">
        <v>#REF!</v>
      </c>
      <c r="S491" s="89" t="e">
        <f>#REF!</f>
        <v>#REF!</v>
      </c>
      <c r="T491" s="89" t="e">
        <f>#REF!</f>
        <v>#REF!</v>
      </c>
      <c r="U491" s="89" t="e">
        <f>#REF!</f>
        <v>#REF!</v>
      </c>
      <c r="V491" s="89" t="e">
        <f>#REF!</f>
        <v>#REF!</v>
      </c>
      <c r="W491" s="89" t="e">
        <f>#REF!</f>
        <v>#REF!</v>
      </c>
      <c r="X491" s="89" t="e">
        <f>#REF!</f>
        <v>#REF!</v>
      </c>
      <c r="Y491" s="89" t="e">
        <f>#REF!</f>
        <v>#REF!</v>
      </c>
      <c r="Z491" s="89" t="e">
        <f>#REF!</f>
        <v>#REF!</v>
      </c>
      <c r="AA491" s="89" t="e">
        <f>#REF!</f>
        <v>#REF!</v>
      </c>
      <c r="AB491" s="89" t="e">
        <f>#REF!</f>
        <v>#REF!</v>
      </c>
      <c r="AC491" s="89" t="e">
        <f>#REF!</f>
        <v>#REF!</v>
      </c>
      <c r="AD491" s="89" t="e">
        <f>#REF!</f>
        <v>#REF!</v>
      </c>
      <c r="AE491" s="89" t="e">
        <f>#REF!</f>
        <v>#REF!</v>
      </c>
      <c r="AF491" s="89" t="e">
        <f>#REF!</f>
        <v>#REF!</v>
      </c>
      <c r="AG491" s="89" t="e">
        <f>#REF!</f>
        <v>#REF!</v>
      </c>
      <c r="AH491" s="89" t="e">
        <f>#REF!</f>
        <v>#REF!</v>
      </c>
      <c r="AI491" s="89" t="e">
        <f>#REF!</f>
        <v>#REF!</v>
      </c>
      <c r="AJ491" s="89" t="e">
        <f>#REF!</f>
        <v>#REF!</v>
      </c>
      <c r="AK491" s="89" t="e">
        <f>#REF!</f>
        <v>#REF!</v>
      </c>
      <c r="AL491" s="89" t="e">
        <f>#REF!</f>
        <v>#REF!</v>
      </c>
      <c r="AM491" s="89" t="e">
        <f>#REF!</f>
        <v>#REF!</v>
      </c>
      <c r="AN491" s="89" t="e">
        <f>#REF!</f>
        <v>#REF!</v>
      </c>
      <c r="AO491" s="89" t="e">
        <f>#REF!</f>
        <v>#REF!</v>
      </c>
      <c r="AP491" s="89" t="e">
        <f>#REF!</f>
        <v>#REF!</v>
      </c>
      <c r="AQ491" s="89" t="e">
        <f>#REF!</f>
        <v>#REF!</v>
      </c>
      <c r="AR491" s="89" t="e">
        <f>#REF!</f>
        <v>#REF!</v>
      </c>
      <c r="AS491" s="89" t="e">
        <f>#REF!</f>
        <v>#REF!</v>
      </c>
      <c r="AT491" s="89" t="e">
        <f>#REF!</f>
        <v>#REF!</v>
      </c>
      <c r="AU491" s="89" t="e">
        <f>#REF!</f>
        <v>#REF!</v>
      </c>
      <c r="AV491" s="89" t="e">
        <f>#REF!</f>
        <v>#REF!</v>
      </c>
      <c r="AW491" s="89" t="e">
        <f>#REF!</f>
        <v>#REF!</v>
      </c>
      <c r="AX491" s="89" t="e">
        <f>#REF!</f>
        <v>#REF!</v>
      </c>
      <c r="AY491" s="89" t="e">
        <f>#REF!</f>
        <v>#REF!</v>
      </c>
      <c r="AZ491" s="89" t="e">
        <f>#REF!</f>
        <v>#REF!</v>
      </c>
      <c r="BA491" s="89" t="e">
        <f>#REF!</f>
        <v>#REF!</v>
      </c>
      <c r="BB491" s="89" t="e">
        <f>#REF!</f>
        <v>#REF!</v>
      </c>
      <c r="BC491" s="89" t="e">
        <f>#REF!</f>
        <v>#REF!</v>
      </c>
      <c r="BD491" s="89" t="e">
        <f>#REF!</f>
        <v>#REF!</v>
      </c>
      <c r="BE491" s="89" t="e">
        <f>#REF!</f>
        <v>#REF!</v>
      </c>
      <c r="BF491" s="89" t="e">
        <f>#REF!</f>
        <v>#REF!</v>
      </c>
    </row>
    <row r="492" spans="9:58" x14ac:dyDescent="0.25">
      <c r="I492" s="89">
        <f>ABCD!J541</f>
        <v>122</v>
      </c>
      <c r="J492" s="89">
        <f>ABCD!K541</f>
        <v>400.15999999999997</v>
      </c>
      <c r="K492" s="89">
        <f>ABCD!L541</f>
        <v>4.3998383330030277</v>
      </c>
      <c r="L492" s="89">
        <f>ABCD!M541</f>
        <v>0.76822345627564204</v>
      </c>
      <c r="M492" s="89">
        <f>ABCD!N541</f>
        <v>4.4664017548060935</v>
      </c>
      <c r="N492" s="89" t="e">
        <v>#REF!</v>
      </c>
      <c r="O492" s="89" t="e">
        <v>#REF!</v>
      </c>
      <c r="P492" s="89" t="e">
        <v>#REF!</v>
      </c>
      <c r="Q492" s="89" t="e">
        <v>#REF!</v>
      </c>
      <c r="R492" s="89" t="e">
        <v>#REF!</v>
      </c>
      <c r="S492" s="89" t="e">
        <f>#REF!</f>
        <v>#REF!</v>
      </c>
      <c r="T492" s="89" t="e">
        <f>#REF!</f>
        <v>#REF!</v>
      </c>
      <c r="U492" s="89" t="e">
        <f>#REF!</f>
        <v>#REF!</v>
      </c>
      <c r="V492" s="89" t="e">
        <f>#REF!</f>
        <v>#REF!</v>
      </c>
      <c r="W492" s="89" t="e">
        <f>#REF!</f>
        <v>#REF!</v>
      </c>
      <c r="X492" s="89" t="e">
        <f>#REF!</f>
        <v>#REF!</v>
      </c>
      <c r="Y492" s="89" t="e">
        <f>#REF!</f>
        <v>#REF!</v>
      </c>
      <c r="Z492" s="89" t="e">
        <f>#REF!</f>
        <v>#REF!</v>
      </c>
      <c r="AA492" s="89" t="e">
        <f>#REF!</f>
        <v>#REF!</v>
      </c>
      <c r="AB492" s="89" t="e">
        <f>#REF!</f>
        <v>#REF!</v>
      </c>
      <c r="AC492" s="89" t="e">
        <f>#REF!</f>
        <v>#REF!</v>
      </c>
      <c r="AD492" s="89" t="e">
        <f>#REF!</f>
        <v>#REF!</v>
      </c>
      <c r="AE492" s="89" t="e">
        <f>#REF!</f>
        <v>#REF!</v>
      </c>
      <c r="AF492" s="89" t="e">
        <f>#REF!</f>
        <v>#REF!</v>
      </c>
      <c r="AG492" s="89" t="e">
        <f>#REF!</f>
        <v>#REF!</v>
      </c>
      <c r="AH492" s="89" t="e">
        <f>#REF!</f>
        <v>#REF!</v>
      </c>
      <c r="AI492" s="89" t="e">
        <f>#REF!</f>
        <v>#REF!</v>
      </c>
      <c r="AJ492" s="89" t="e">
        <f>#REF!</f>
        <v>#REF!</v>
      </c>
      <c r="AK492" s="89" t="e">
        <f>#REF!</f>
        <v>#REF!</v>
      </c>
      <c r="AL492" s="89" t="e">
        <f>#REF!</f>
        <v>#REF!</v>
      </c>
      <c r="AM492" s="89" t="e">
        <f>#REF!</f>
        <v>#REF!</v>
      </c>
      <c r="AN492" s="89" t="e">
        <f>#REF!</f>
        <v>#REF!</v>
      </c>
      <c r="AO492" s="89" t="e">
        <f>#REF!</f>
        <v>#REF!</v>
      </c>
      <c r="AP492" s="89" t="e">
        <f>#REF!</f>
        <v>#REF!</v>
      </c>
      <c r="AQ492" s="89" t="e">
        <f>#REF!</f>
        <v>#REF!</v>
      </c>
      <c r="AR492" s="89" t="e">
        <f>#REF!</f>
        <v>#REF!</v>
      </c>
      <c r="AS492" s="89" t="e">
        <f>#REF!</f>
        <v>#REF!</v>
      </c>
      <c r="AT492" s="89" t="e">
        <f>#REF!</f>
        <v>#REF!</v>
      </c>
      <c r="AU492" s="89" t="e">
        <f>#REF!</f>
        <v>#REF!</v>
      </c>
      <c r="AV492" s="89" t="e">
        <f>#REF!</f>
        <v>#REF!</v>
      </c>
      <c r="AW492" s="89" t="e">
        <f>#REF!</f>
        <v>#REF!</v>
      </c>
      <c r="AX492" s="89" t="e">
        <f>#REF!</f>
        <v>#REF!</v>
      </c>
      <c r="AY492" s="89" t="e">
        <f>#REF!</f>
        <v>#REF!</v>
      </c>
      <c r="AZ492" s="89" t="e">
        <f>#REF!</f>
        <v>#REF!</v>
      </c>
      <c r="BA492" s="89" t="e">
        <f>#REF!</f>
        <v>#REF!</v>
      </c>
      <c r="BB492" s="89" t="e">
        <f>#REF!</f>
        <v>#REF!</v>
      </c>
      <c r="BC492" s="89" t="e">
        <f>#REF!</f>
        <v>#REF!</v>
      </c>
      <c r="BD492" s="89" t="e">
        <f>#REF!</f>
        <v>#REF!</v>
      </c>
      <c r="BE492" s="89" t="e">
        <f>#REF!</f>
        <v>#REF!</v>
      </c>
      <c r="BF492" s="89" t="e">
        <f>#REF!</f>
        <v>#REF!</v>
      </c>
    </row>
    <row r="493" spans="9:58" x14ac:dyDescent="0.25">
      <c r="I493" s="89">
        <f>ABCD!J542</f>
        <v>122.25</v>
      </c>
      <c r="J493" s="89">
        <f>ABCD!K542</f>
        <v>400.97999999999996</v>
      </c>
      <c r="K493" s="89">
        <f>ABCD!L542</f>
        <v>4.4511115942681716</v>
      </c>
      <c r="L493" s="89">
        <f>ABCD!M542</f>
        <v>0.77818800990175951</v>
      </c>
      <c r="M493" s="89">
        <f>ABCD!N542</f>
        <v>4.5186249018239391</v>
      </c>
      <c r="N493" s="89" t="e">
        <v>#REF!</v>
      </c>
      <c r="O493" s="89" t="e">
        <v>#REF!</v>
      </c>
      <c r="P493" s="89" t="e">
        <v>#REF!</v>
      </c>
      <c r="Q493" s="89" t="e">
        <v>#REF!</v>
      </c>
      <c r="R493" s="89" t="e">
        <v>#REF!</v>
      </c>
      <c r="S493" s="89" t="e">
        <f>#REF!</f>
        <v>#REF!</v>
      </c>
      <c r="T493" s="89" t="e">
        <f>#REF!</f>
        <v>#REF!</v>
      </c>
      <c r="U493" s="89" t="e">
        <f>#REF!</f>
        <v>#REF!</v>
      </c>
      <c r="V493" s="89" t="e">
        <f>#REF!</f>
        <v>#REF!</v>
      </c>
      <c r="W493" s="89" t="e">
        <f>#REF!</f>
        <v>#REF!</v>
      </c>
      <c r="X493" s="89" t="e">
        <f>#REF!</f>
        <v>#REF!</v>
      </c>
      <c r="Y493" s="89" t="e">
        <f>#REF!</f>
        <v>#REF!</v>
      </c>
      <c r="Z493" s="89" t="e">
        <f>#REF!</f>
        <v>#REF!</v>
      </c>
      <c r="AA493" s="89" t="e">
        <f>#REF!</f>
        <v>#REF!</v>
      </c>
      <c r="AB493" s="89" t="e">
        <f>#REF!</f>
        <v>#REF!</v>
      </c>
      <c r="AC493" s="89" t="e">
        <f>#REF!</f>
        <v>#REF!</v>
      </c>
      <c r="AD493" s="89" t="e">
        <f>#REF!</f>
        <v>#REF!</v>
      </c>
      <c r="AE493" s="89" t="e">
        <f>#REF!</f>
        <v>#REF!</v>
      </c>
      <c r="AF493" s="89" t="e">
        <f>#REF!</f>
        <v>#REF!</v>
      </c>
      <c r="AG493" s="89" t="e">
        <f>#REF!</f>
        <v>#REF!</v>
      </c>
      <c r="AH493" s="89" t="e">
        <f>#REF!</f>
        <v>#REF!</v>
      </c>
      <c r="AI493" s="89" t="e">
        <f>#REF!</f>
        <v>#REF!</v>
      </c>
      <c r="AJ493" s="89" t="e">
        <f>#REF!</f>
        <v>#REF!</v>
      </c>
      <c r="AK493" s="89" t="e">
        <f>#REF!</f>
        <v>#REF!</v>
      </c>
      <c r="AL493" s="89" t="e">
        <f>#REF!</f>
        <v>#REF!</v>
      </c>
      <c r="AM493" s="89" t="e">
        <f>#REF!</f>
        <v>#REF!</v>
      </c>
      <c r="AN493" s="89" t="e">
        <f>#REF!</f>
        <v>#REF!</v>
      </c>
      <c r="AO493" s="89" t="e">
        <f>#REF!</f>
        <v>#REF!</v>
      </c>
      <c r="AP493" s="89" t="e">
        <f>#REF!</f>
        <v>#REF!</v>
      </c>
      <c r="AQ493" s="89" t="e">
        <f>#REF!</f>
        <v>#REF!</v>
      </c>
      <c r="AR493" s="89" t="e">
        <f>#REF!</f>
        <v>#REF!</v>
      </c>
      <c r="AS493" s="89" t="e">
        <f>#REF!</f>
        <v>#REF!</v>
      </c>
      <c r="AT493" s="89" t="e">
        <f>#REF!</f>
        <v>#REF!</v>
      </c>
      <c r="AU493" s="89" t="e">
        <f>#REF!</f>
        <v>#REF!</v>
      </c>
      <c r="AV493" s="89" t="e">
        <f>#REF!</f>
        <v>#REF!</v>
      </c>
      <c r="AW493" s="89" t="e">
        <f>#REF!</f>
        <v>#REF!</v>
      </c>
      <c r="AX493" s="89" t="e">
        <f>#REF!</f>
        <v>#REF!</v>
      </c>
      <c r="AY493" s="89" t="e">
        <f>#REF!</f>
        <v>#REF!</v>
      </c>
      <c r="AZ493" s="89" t="e">
        <f>#REF!</f>
        <v>#REF!</v>
      </c>
      <c r="BA493" s="89" t="e">
        <f>#REF!</f>
        <v>#REF!</v>
      </c>
      <c r="BB493" s="89" t="e">
        <f>#REF!</f>
        <v>#REF!</v>
      </c>
      <c r="BC493" s="89" t="e">
        <f>#REF!</f>
        <v>#REF!</v>
      </c>
      <c r="BD493" s="89" t="e">
        <f>#REF!</f>
        <v>#REF!</v>
      </c>
      <c r="BE493" s="89" t="e">
        <f>#REF!</f>
        <v>#REF!</v>
      </c>
      <c r="BF493" s="89" t="e">
        <f>#REF!</f>
        <v>#REF!</v>
      </c>
    </row>
    <row r="494" spans="9:58" x14ac:dyDescent="0.25">
      <c r="I494" s="89">
        <f>ABCD!J543</f>
        <v>122.5</v>
      </c>
      <c r="J494" s="89">
        <f>ABCD!K543</f>
        <v>401.79999999999995</v>
      </c>
      <c r="K494" s="89">
        <f>ABCD!L543</f>
        <v>4.5013112309694909</v>
      </c>
      <c r="L494" s="89">
        <f>ABCD!M543</f>
        <v>0.78796396170680372</v>
      </c>
      <c r="M494" s="89">
        <f>ABCD!N543</f>
        <v>4.5697581996207148</v>
      </c>
      <c r="N494" s="89" t="e">
        <v>#REF!</v>
      </c>
      <c r="O494" s="89" t="e">
        <v>#REF!</v>
      </c>
      <c r="P494" s="89" t="e">
        <v>#REF!</v>
      </c>
      <c r="Q494" s="89" t="e">
        <v>#REF!</v>
      </c>
      <c r="R494" s="89" t="e">
        <v>#REF!</v>
      </c>
      <c r="S494" s="89" t="e">
        <f>#REF!</f>
        <v>#REF!</v>
      </c>
      <c r="T494" s="89" t="e">
        <f>#REF!</f>
        <v>#REF!</v>
      </c>
      <c r="U494" s="89" t="e">
        <f>#REF!</f>
        <v>#REF!</v>
      </c>
      <c r="V494" s="89" t="e">
        <f>#REF!</f>
        <v>#REF!</v>
      </c>
      <c r="W494" s="89" t="e">
        <f>#REF!</f>
        <v>#REF!</v>
      </c>
      <c r="X494" s="89" t="e">
        <f>#REF!</f>
        <v>#REF!</v>
      </c>
      <c r="Y494" s="89" t="e">
        <f>#REF!</f>
        <v>#REF!</v>
      </c>
      <c r="Z494" s="89" t="e">
        <f>#REF!</f>
        <v>#REF!</v>
      </c>
      <c r="AA494" s="89" t="e">
        <f>#REF!</f>
        <v>#REF!</v>
      </c>
      <c r="AB494" s="89" t="e">
        <f>#REF!</f>
        <v>#REF!</v>
      </c>
      <c r="AC494" s="89" t="e">
        <f>#REF!</f>
        <v>#REF!</v>
      </c>
      <c r="AD494" s="89" t="e">
        <f>#REF!</f>
        <v>#REF!</v>
      </c>
      <c r="AE494" s="89" t="e">
        <f>#REF!</f>
        <v>#REF!</v>
      </c>
      <c r="AF494" s="89" t="e">
        <f>#REF!</f>
        <v>#REF!</v>
      </c>
      <c r="AG494" s="89" t="e">
        <f>#REF!</f>
        <v>#REF!</v>
      </c>
      <c r="AH494" s="89" t="e">
        <f>#REF!</f>
        <v>#REF!</v>
      </c>
      <c r="AI494" s="89" t="e">
        <f>#REF!</f>
        <v>#REF!</v>
      </c>
      <c r="AJ494" s="89" t="e">
        <f>#REF!</f>
        <v>#REF!</v>
      </c>
      <c r="AK494" s="89" t="e">
        <f>#REF!</f>
        <v>#REF!</v>
      </c>
      <c r="AL494" s="89" t="e">
        <f>#REF!</f>
        <v>#REF!</v>
      </c>
      <c r="AM494" s="89" t="e">
        <f>#REF!</f>
        <v>#REF!</v>
      </c>
      <c r="AN494" s="89" t="e">
        <f>#REF!</f>
        <v>#REF!</v>
      </c>
      <c r="AO494" s="89" t="e">
        <f>#REF!</f>
        <v>#REF!</v>
      </c>
      <c r="AP494" s="89" t="e">
        <f>#REF!</f>
        <v>#REF!</v>
      </c>
      <c r="AQ494" s="89" t="e">
        <f>#REF!</f>
        <v>#REF!</v>
      </c>
      <c r="AR494" s="89" t="e">
        <f>#REF!</f>
        <v>#REF!</v>
      </c>
      <c r="AS494" s="89" t="e">
        <f>#REF!</f>
        <v>#REF!</v>
      </c>
      <c r="AT494" s="89" t="e">
        <f>#REF!</f>
        <v>#REF!</v>
      </c>
      <c r="AU494" s="89" t="e">
        <f>#REF!</f>
        <v>#REF!</v>
      </c>
      <c r="AV494" s="89" t="e">
        <f>#REF!</f>
        <v>#REF!</v>
      </c>
      <c r="AW494" s="89" t="e">
        <f>#REF!</f>
        <v>#REF!</v>
      </c>
      <c r="AX494" s="89" t="e">
        <f>#REF!</f>
        <v>#REF!</v>
      </c>
      <c r="AY494" s="89" t="e">
        <f>#REF!</f>
        <v>#REF!</v>
      </c>
      <c r="AZ494" s="89" t="e">
        <f>#REF!</f>
        <v>#REF!</v>
      </c>
      <c r="BA494" s="89" t="e">
        <f>#REF!</f>
        <v>#REF!</v>
      </c>
      <c r="BB494" s="89" t="e">
        <f>#REF!</f>
        <v>#REF!</v>
      </c>
      <c r="BC494" s="89" t="e">
        <f>#REF!</f>
        <v>#REF!</v>
      </c>
      <c r="BD494" s="89" t="e">
        <f>#REF!</f>
        <v>#REF!</v>
      </c>
      <c r="BE494" s="89" t="e">
        <f>#REF!</f>
        <v>#REF!</v>
      </c>
      <c r="BF494" s="89" t="e">
        <f>#REF!</f>
        <v>#REF!</v>
      </c>
    </row>
    <row r="495" spans="9:58" x14ac:dyDescent="0.25">
      <c r="I495" s="89">
        <f>ABCD!J544</f>
        <v>122.75</v>
      </c>
      <c r="J495" s="89">
        <f>ABCD!K544</f>
        <v>402.61999999999995</v>
      </c>
      <c r="K495" s="89">
        <f>ABCD!L544</f>
        <v>4.550426620796272</v>
      </c>
      <c r="L495" s="89">
        <f>ABCD!M544</f>
        <v>0.79754922466482592</v>
      </c>
      <c r="M495" s="89">
        <f>ABCD!N544</f>
        <v>4.6197908174521114</v>
      </c>
      <c r="N495" s="89" t="e">
        <v>#REF!</v>
      </c>
      <c r="O495" s="89" t="e">
        <v>#REF!</v>
      </c>
      <c r="P495" s="89" t="e">
        <v>#REF!</v>
      </c>
      <c r="Q495" s="89" t="e">
        <v>#REF!</v>
      </c>
      <c r="R495" s="89" t="e">
        <v>#REF!</v>
      </c>
      <c r="S495" s="89" t="e">
        <f>#REF!</f>
        <v>#REF!</v>
      </c>
      <c r="T495" s="89" t="e">
        <f>#REF!</f>
        <v>#REF!</v>
      </c>
      <c r="U495" s="89" t="e">
        <f>#REF!</f>
        <v>#REF!</v>
      </c>
      <c r="V495" s="89" t="e">
        <f>#REF!</f>
        <v>#REF!</v>
      </c>
      <c r="W495" s="89" t="e">
        <f>#REF!</f>
        <v>#REF!</v>
      </c>
      <c r="X495" s="89" t="e">
        <f>#REF!</f>
        <v>#REF!</v>
      </c>
      <c r="Y495" s="89" t="e">
        <f>#REF!</f>
        <v>#REF!</v>
      </c>
      <c r="Z495" s="89" t="e">
        <f>#REF!</f>
        <v>#REF!</v>
      </c>
      <c r="AA495" s="89" t="e">
        <f>#REF!</f>
        <v>#REF!</v>
      </c>
      <c r="AB495" s="89" t="e">
        <f>#REF!</f>
        <v>#REF!</v>
      </c>
      <c r="AC495" s="89" t="e">
        <f>#REF!</f>
        <v>#REF!</v>
      </c>
      <c r="AD495" s="89" t="e">
        <f>#REF!</f>
        <v>#REF!</v>
      </c>
      <c r="AE495" s="89" t="e">
        <f>#REF!</f>
        <v>#REF!</v>
      </c>
      <c r="AF495" s="89" t="e">
        <f>#REF!</f>
        <v>#REF!</v>
      </c>
      <c r="AG495" s="89" t="e">
        <f>#REF!</f>
        <v>#REF!</v>
      </c>
      <c r="AH495" s="89" t="e">
        <f>#REF!</f>
        <v>#REF!</v>
      </c>
      <c r="AI495" s="89" t="e">
        <f>#REF!</f>
        <v>#REF!</v>
      </c>
      <c r="AJ495" s="89" t="e">
        <f>#REF!</f>
        <v>#REF!</v>
      </c>
      <c r="AK495" s="89" t="e">
        <f>#REF!</f>
        <v>#REF!</v>
      </c>
      <c r="AL495" s="89" t="e">
        <f>#REF!</f>
        <v>#REF!</v>
      </c>
      <c r="AM495" s="89" t="e">
        <f>#REF!</f>
        <v>#REF!</v>
      </c>
      <c r="AN495" s="89" t="e">
        <f>#REF!</f>
        <v>#REF!</v>
      </c>
      <c r="AO495" s="89" t="e">
        <f>#REF!</f>
        <v>#REF!</v>
      </c>
      <c r="AP495" s="89" t="e">
        <f>#REF!</f>
        <v>#REF!</v>
      </c>
      <c r="AQ495" s="89" t="e">
        <f>#REF!</f>
        <v>#REF!</v>
      </c>
      <c r="AR495" s="89" t="e">
        <f>#REF!</f>
        <v>#REF!</v>
      </c>
      <c r="AS495" s="89" t="e">
        <f>#REF!</f>
        <v>#REF!</v>
      </c>
      <c r="AT495" s="89" t="e">
        <f>#REF!</f>
        <v>#REF!</v>
      </c>
      <c r="AU495" s="89" t="e">
        <f>#REF!</f>
        <v>#REF!</v>
      </c>
      <c r="AV495" s="89" t="e">
        <f>#REF!</f>
        <v>#REF!</v>
      </c>
      <c r="AW495" s="89" t="e">
        <f>#REF!</f>
        <v>#REF!</v>
      </c>
      <c r="AX495" s="89" t="e">
        <f>#REF!</f>
        <v>#REF!</v>
      </c>
      <c r="AY495" s="89" t="e">
        <f>#REF!</f>
        <v>#REF!</v>
      </c>
      <c r="AZ495" s="89" t="e">
        <f>#REF!</f>
        <v>#REF!</v>
      </c>
      <c r="BA495" s="89" t="e">
        <f>#REF!</f>
        <v>#REF!</v>
      </c>
      <c r="BB495" s="89" t="e">
        <f>#REF!</f>
        <v>#REF!</v>
      </c>
      <c r="BC495" s="89" t="e">
        <f>#REF!</f>
        <v>#REF!</v>
      </c>
      <c r="BD495" s="89" t="e">
        <f>#REF!</f>
        <v>#REF!</v>
      </c>
      <c r="BE495" s="89" t="e">
        <f>#REF!</f>
        <v>#REF!</v>
      </c>
      <c r="BF495" s="89" t="e">
        <f>#REF!</f>
        <v>#REF!</v>
      </c>
    </row>
    <row r="496" spans="9:58" x14ac:dyDescent="0.25">
      <c r="I496" s="89">
        <f>ABCD!J545</f>
        <v>123</v>
      </c>
      <c r="J496" s="89">
        <f>ABCD!K545</f>
        <v>403.44</v>
      </c>
      <c r="K496" s="89">
        <f>ABCD!L545</f>
        <v>4.5984474012823036</v>
      </c>
      <c r="L496" s="89">
        <f>ABCD!M545</f>
        <v>0.8069417576461746</v>
      </c>
      <c r="M496" s="89">
        <f>ABCD!N545</f>
        <v>4.6687121888796126</v>
      </c>
      <c r="N496" s="89" t="e">
        <v>#REF!</v>
      </c>
      <c r="O496" s="89" t="e">
        <v>#REF!</v>
      </c>
      <c r="P496" s="89" t="e">
        <v>#REF!</v>
      </c>
      <c r="Q496" s="89" t="e">
        <v>#REF!</v>
      </c>
      <c r="R496" s="89" t="e">
        <v>#REF!</v>
      </c>
      <c r="S496" s="89" t="e">
        <f>#REF!</f>
        <v>#REF!</v>
      </c>
      <c r="T496" s="89" t="e">
        <f>#REF!</f>
        <v>#REF!</v>
      </c>
      <c r="U496" s="89" t="e">
        <f>#REF!</f>
        <v>#REF!</v>
      </c>
      <c r="V496" s="89" t="e">
        <f>#REF!</f>
        <v>#REF!</v>
      </c>
      <c r="W496" s="89" t="e">
        <f>#REF!</f>
        <v>#REF!</v>
      </c>
      <c r="X496" s="89" t="e">
        <f>#REF!</f>
        <v>#REF!</v>
      </c>
      <c r="Y496" s="89" t="e">
        <f>#REF!</f>
        <v>#REF!</v>
      </c>
      <c r="Z496" s="89" t="e">
        <f>#REF!</f>
        <v>#REF!</v>
      </c>
      <c r="AA496" s="89" t="e">
        <f>#REF!</f>
        <v>#REF!</v>
      </c>
      <c r="AB496" s="89" t="e">
        <f>#REF!</f>
        <v>#REF!</v>
      </c>
      <c r="AC496" s="89" t="e">
        <f>#REF!</f>
        <v>#REF!</v>
      </c>
      <c r="AD496" s="89" t="e">
        <f>#REF!</f>
        <v>#REF!</v>
      </c>
      <c r="AE496" s="89" t="e">
        <f>#REF!</f>
        <v>#REF!</v>
      </c>
      <c r="AF496" s="89" t="e">
        <f>#REF!</f>
        <v>#REF!</v>
      </c>
      <c r="AG496" s="89" t="e">
        <f>#REF!</f>
        <v>#REF!</v>
      </c>
      <c r="AH496" s="89" t="e">
        <f>#REF!</f>
        <v>#REF!</v>
      </c>
      <c r="AI496" s="89" t="e">
        <f>#REF!</f>
        <v>#REF!</v>
      </c>
      <c r="AJ496" s="89" t="e">
        <f>#REF!</f>
        <v>#REF!</v>
      </c>
      <c r="AK496" s="89" t="e">
        <f>#REF!</f>
        <v>#REF!</v>
      </c>
      <c r="AL496" s="89" t="e">
        <f>#REF!</f>
        <v>#REF!</v>
      </c>
      <c r="AM496" s="89" t="e">
        <f>#REF!</f>
        <v>#REF!</v>
      </c>
      <c r="AN496" s="89" t="e">
        <f>#REF!</f>
        <v>#REF!</v>
      </c>
      <c r="AO496" s="89" t="e">
        <f>#REF!</f>
        <v>#REF!</v>
      </c>
      <c r="AP496" s="89" t="e">
        <f>#REF!</f>
        <v>#REF!</v>
      </c>
      <c r="AQ496" s="89" t="e">
        <f>#REF!</f>
        <v>#REF!</v>
      </c>
      <c r="AR496" s="89" t="e">
        <f>#REF!</f>
        <v>#REF!</v>
      </c>
      <c r="AS496" s="89" t="e">
        <f>#REF!</f>
        <v>#REF!</v>
      </c>
      <c r="AT496" s="89" t="e">
        <f>#REF!</f>
        <v>#REF!</v>
      </c>
      <c r="AU496" s="89" t="e">
        <f>#REF!</f>
        <v>#REF!</v>
      </c>
      <c r="AV496" s="89" t="e">
        <f>#REF!</f>
        <v>#REF!</v>
      </c>
      <c r="AW496" s="89" t="e">
        <f>#REF!</f>
        <v>#REF!</v>
      </c>
      <c r="AX496" s="89" t="e">
        <f>#REF!</f>
        <v>#REF!</v>
      </c>
      <c r="AY496" s="89" t="e">
        <f>#REF!</f>
        <v>#REF!</v>
      </c>
      <c r="AZ496" s="89" t="e">
        <f>#REF!</f>
        <v>#REF!</v>
      </c>
      <c r="BA496" s="89" t="e">
        <f>#REF!</f>
        <v>#REF!</v>
      </c>
      <c r="BB496" s="89" t="e">
        <f>#REF!</f>
        <v>#REF!</v>
      </c>
      <c r="BC496" s="89" t="e">
        <f>#REF!</f>
        <v>#REF!</v>
      </c>
      <c r="BD496" s="89" t="e">
        <f>#REF!</f>
        <v>#REF!</v>
      </c>
      <c r="BE496" s="89" t="e">
        <f>#REF!</f>
        <v>#REF!</v>
      </c>
      <c r="BF496" s="89" t="e">
        <f>#REF!</f>
        <v>#REF!</v>
      </c>
    </row>
    <row r="497" spans="9:58" x14ac:dyDescent="0.25">
      <c r="I497" s="89">
        <f>ABCD!J546</f>
        <v>123.25</v>
      </c>
      <c r="J497" s="89">
        <f>ABCD!K546</f>
        <v>404.26</v>
      </c>
      <c r="K497" s="89">
        <f>ABCD!L546</f>
        <v>4.645363471964183</v>
      </c>
      <c r="L497" s="89">
        <f>ABCD!M546</f>
        <v>0.81613956584737379</v>
      </c>
      <c r="M497" s="89">
        <f>ABCD!N546</f>
        <v>4.7165120139357928</v>
      </c>
      <c r="N497" s="89" t="e">
        <v>#REF!</v>
      </c>
      <c r="O497" s="89" t="e">
        <v>#REF!</v>
      </c>
      <c r="P497" s="89" t="e">
        <v>#REF!</v>
      </c>
      <c r="Q497" s="89" t="e">
        <v>#REF!</v>
      </c>
      <c r="R497" s="89" t="e">
        <v>#REF!</v>
      </c>
      <c r="S497" s="89" t="e">
        <f>#REF!</f>
        <v>#REF!</v>
      </c>
      <c r="T497" s="89" t="e">
        <f>#REF!</f>
        <v>#REF!</v>
      </c>
      <c r="U497" s="89" t="e">
        <f>#REF!</f>
        <v>#REF!</v>
      </c>
      <c r="V497" s="89" t="e">
        <f>#REF!</f>
        <v>#REF!</v>
      </c>
      <c r="W497" s="89" t="e">
        <f>#REF!</f>
        <v>#REF!</v>
      </c>
      <c r="X497" s="89" t="e">
        <f>#REF!</f>
        <v>#REF!</v>
      </c>
      <c r="Y497" s="89" t="e">
        <f>#REF!</f>
        <v>#REF!</v>
      </c>
      <c r="Z497" s="89" t="e">
        <f>#REF!</f>
        <v>#REF!</v>
      </c>
      <c r="AA497" s="89" t="e">
        <f>#REF!</f>
        <v>#REF!</v>
      </c>
      <c r="AB497" s="89" t="e">
        <f>#REF!</f>
        <v>#REF!</v>
      </c>
      <c r="AC497" s="89" t="e">
        <f>#REF!</f>
        <v>#REF!</v>
      </c>
      <c r="AD497" s="89" t="e">
        <f>#REF!</f>
        <v>#REF!</v>
      </c>
      <c r="AE497" s="89" t="e">
        <f>#REF!</f>
        <v>#REF!</v>
      </c>
      <c r="AF497" s="89" t="e">
        <f>#REF!</f>
        <v>#REF!</v>
      </c>
      <c r="AG497" s="89" t="e">
        <f>#REF!</f>
        <v>#REF!</v>
      </c>
      <c r="AH497" s="89" t="e">
        <f>#REF!</f>
        <v>#REF!</v>
      </c>
      <c r="AI497" s="89" t="e">
        <f>#REF!</f>
        <v>#REF!</v>
      </c>
      <c r="AJ497" s="89" t="e">
        <f>#REF!</f>
        <v>#REF!</v>
      </c>
      <c r="AK497" s="89" t="e">
        <f>#REF!</f>
        <v>#REF!</v>
      </c>
      <c r="AL497" s="89" t="e">
        <f>#REF!</f>
        <v>#REF!</v>
      </c>
      <c r="AM497" s="89" t="e">
        <f>#REF!</f>
        <v>#REF!</v>
      </c>
      <c r="AN497" s="89" t="e">
        <f>#REF!</f>
        <v>#REF!</v>
      </c>
      <c r="AO497" s="89" t="e">
        <f>#REF!</f>
        <v>#REF!</v>
      </c>
      <c r="AP497" s="89" t="e">
        <f>#REF!</f>
        <v>#REF!</v>
      </c>
      <c r="AQ497" s="89" t="e">
        <f>#REF!</f>
        <v>#REF!</v>
      </c>
      <c r="AR497" s="89" t="e">
        <f>#REF!</f>
        <v>#REF!</v>
      </c>
      <c r="AS497" s="89" t="e">
        <f>#REF!</f>
        <v>#REF!</v>
      </c>
      <c r="AT497" s="89" t="e">
        <f>#REF!</f>
        <v>#REF!</v>
      </c>
      <c r="AU497" s="89" t="e">
        <f>#REF!</f>
        <v>#REF!</v>
      </c>
      <c r="AV497" s="89" t="e">
        <f>#REF!</f>
        <v>#REF!</v>
      </c>
      <c r="AW497" s="89" t="e">
        <f>#REF!</f>
        <v>#REF!</v>
      </c>
      <c r="AX497" s="89" t="e">
        <f>#REF!</f>
        <v>#REF!</v>
      </c>
      <c r="AY497" s="89" t="e">
        <f>#REF!</f>
        <v>#REF!</v>
      </c>
      <c r="AZ497" s="89" t="e">
        <f>#REF!</f>
        <v>#REF!</v>
      </c>
      <c r="BA497" s="89" t="e">
        <f>#REF!</f>
        <v>#REF!</v>
      </c>
      <c r="BB497" s="89" t="e">
        <f>#REF!</f>
        <v>#REF!</v>
      </c>
      <c r="BC497" s="89" t="e">
        <f>#REF!</f>
        <v>#REF!</v>
      </c>
      <c r="BD497" s="89" t="e">
        <f>#REF!</f>
        <v>#REF!</v>
      </c>
      <c r="BE497" s="89" t="e">
        <f>#REF!</f>
        <v>#REF!</v>
      </c>
      <c r="BF497" s="89" t="e">
        <f>#REF!</f>
        <v>#REF!</v>
      </c>
    </row>
    <row r="498" spans="9:58" x14ac:dyDescent="0.25">
      <c r="I498" s="89">
        <f>ABCD!J547</f>
        <v>123.5</v>
      </c>
      <c r="J498" s="89">
        <f>ABCD!K547</f>
        <v>405.08</v>
      </c>
      <c r="K498" s="89">
        <f>ABCD!L547</f>
        <v>4.6911649964772408</v>
      </c>
      <c r="L498" s="89">
        <f>ABCD!M547</f>
        <v>0.82514070120995231</v>
      </c>
      <c r="M498" s="89">
        <f>ABCD!N547</f>
        <v>4.7631802612295244</v>
      </c>
      <c r="N498" s="89" t="e">
        <v>#REF!</v>
      </c>
      <c r="O498" s="89" t="e">
        <v>#REF!</v>
      </c>
      <c r="P498" s="89" t="e">
        <v>#REF!</v>
      </c>
      <c r="Q498" s="89" t="e">
        <v>#REF!</v>
      </c>
      <c r="R498" s="89" t="e">
        <v>#REF!</v>
      </c>
      <c r="S498" s="89" t="e">
        <f>#REF!</f>
        <v>#REF!</v>
      </c>
      <c r="T498" s="89" t="e">
        <f>#REF!</f>
        <v>#REF!</v>
      </c>
      <c r="U498" s="89" t="e">
        <f>#REF!</f>
        <v>#REF!</v>
      </c>
      <c r="V498" s="89" t="e">
        <f>#REF!</f>
        <v>#REF!</v>
      </c>
      <c r="W498" s="89" t="e">
        <f>#REF!</f>
        <v>#REF!</v>
      </c>
      <c r="X498" s="89" t="e">
        <f>#REF!</f>
        <v>#REF!</v>
      </c>
      <c r="Y498" s="89" t="e">
        <f>#REF!</f>
        <v>#REF!</v>
      </c>
      <c r="Z498" s="89" t="e">
        <f>#REF!</f>
        <v>#REF!</v>
      </c>
      <c r="AA498" s="89" t="e">
        <f>#REF!</f>
        <v>#REF!</v>
      </c>
      <c r="AB498" s="89" t="e">
        <f>#REF!</f>
        <v>#REF!</v>
      </c>
      <c r="AC498" s="89" t="e">
        <f>#REF!</f>
        <v>#REF!</v>
      </c>
      <c r="AD498" s="89" t="e">
        <f>#REF!</f>
        <v>#REF!</v>
      </c>
      <c r="AE498" s="89" t="e">
        <f>#REF!</f>
        <v>#REF!</v>
      </c>
      <c r="AF498" s="89" t="e">
        <f>#REF!</f>
        <v>#REF!</v>
      </c>
      <c r="AG498" s="89" t="e">
        <f>#REF!</f>
        <v>#REF!</v>
      </c>
      <c r="AH498" s="89" t="e">
        <f>#REF!</f>
        <v>#REF!</v>
      </c>
      <c r="AI498" s="89" t="e">
        <f>#REF!</f>
        <v>#REF!</v>
      </c>
      <c r="AJ498" s="89" t="e">
        <f>#REF!</f>
        <v>#REF!</v>
      </c>
      <c r="AK498" s="89" t="e">
        <f>#REF!</f>
        <v>#REF!</v>
      </c>
      <c r="AL498" s="89" t="e">
        <f>#REF!</f>
        <v>#REF!</v>
      </c>
      <c r="AM498" s="89" t="e">
        <f>#REF!</f>
        <v>#REF!</v>
      </c>
      <c r="AN498" s="89" t="e">
        <f>#REF!</f>
        <v>#REF!</v>
      </c>
      <c r="AO498" s="89" t="e">
        <f>#REF!</f>
        <v>#REF!</v>
      </c>
      <c r="AP498" s="89" t="e">
        <f>#REF!</f>
        <v>#REF!</v>
      </c>
      <c r="AQ498" s="89" t="e">
        <f>#REF!</f>
        <v>#REF!</v>
      </c>
      <c r="AR498" s="89" t="e">
        <f>#REF!</f>
        <v>#REF!</v>
      </c>
      <c r="AS498" s="89" t="e">
        <f>#REF!</f>
        <v>#REF!</v>
      </c>
      <c r="AT498" s="89" t="e">
        <f>#REF!</f>
        <v>#REF!</v>
      </c>
      <c r="AU498" s="89" t="e">
        <f>#REF!</f>
        <v>#REF!</v>
      </c>
      <c r="AV498" s="89" t="e">
        <f>#REF!</f>
        <v>#REF!</v>
      </c>
      <c r="AW498" s="89" t="e">
        <f>#REF!</f>
        <v>#REF!</v>
      </c>
      <c r="AX498" s="89" t="e">
        <f>#REF!</f>
        <v>#REF!</v>
      </c>
      <c r="AY498" s="89" t="e">
        <f>#REF!</f>
        <v>#REF!</v>
      </c>
      <c r="AZ498" s="89" t="e">
        <f>#REF!</f>
        <v>#REF!</v>
      </c>
      <c r="BA498" s="89" t="e">
        <f>#REF!</f>
        <v>#REF!</v>
      </c>
      <c r="BB498" s="89" t="e">
        <f>#REF!</f>
        <v>#REF!</v>
      </c>
      <c r="BC498" s="89" t="e">
        <f>#REF!</f>
        <v>#REF!</v>
      </c>
      <c r="BD498" s="89" t="e">
        <f>#REF!</f>
        <v>#REF!</v>
      </c>
      <c r="BE498" s="89" t="e">
        <f>#REF!</f>
        <v>#REF!</v>
      </c>
      <c r="BF498" s="89" t="e">
        <f>#REF!</f>
        <v>#REF!</v>
      </c>
    </row>
    <row r="499" spans="9:58" x14ac:dyDescent="0.25">
      <c r="I499" s="89">
        <f>ABCD!J548</f>
        <v>123.75</v>
      </c>
      <c r="J499" s="89">
        <f>ABCD!K548</f>
        <v>405.9</v>
      </c>
      <c r="K499" s="89">
        <f>ABCD!L548</f>
        <v>4.7358424045885927</v>
      </c>
      <c r="L499" s="89">
        <f>ABCD!M548</f>
        <v>0.83394326282806386</v>
      </c>
      <c r="M499" s="89">
        <f>ABCD!N548</f>
        <v>4.8087071699902646</v>
      </c>
      <c r="N499" s="89" t="e">
        <v>#REF!</v>
      </c>
      <c r="O499" s="89" t="e">
        <v>#REF!</v>
      </c>
      <c r="P499" s="89" t="e">
        <v>#REF!</v>
      </c>
      <c r="Q499" s="89" t="e">
        <v>#REF!</v>
      </c>
      <c r="R499" s="89" t="e">
        <v>#REF!</v>
      </c>
      <c r="S499" s="89" t="e">
        <f>#REF!</f>
        <v>#REF!</v>
      </c>
      <c r="T499" s="89" t="e">
        <f>#REF!</f>
        <v>#REF!</v>
      </c>
      <c r="U499" s="89" t="e">
        <f>#REF!</f>
        <v>#REF!</v>
      </c>
      <c r="V499" s="89" t="e">
        <f>#REF!</f>
        <v>#REF!</v>
      </c>
      <c r="W499" s="89" t="e">
        <f>#REF!</f>
        <v>#REF!</v>
      </c>
      <c r="X499" s="89" t="e">
        <f>#REF!</f>
        <v>#REF!</v>
      </c>
      <c r="Y499" s="89" t="e">
        <f>#REF!</f>
        <v>#REF!</v>
      </c>
      <c r="Z499" s="89" t="e">
        <f>#REF!</f>
        <v>#REF!</v>
      </c>
      <c r="AA499" s="89" t="e">
        <f>#REF!</f>
        <v>#REF!</v>
      </c>
      <c r="AB499" s="89" t="e">
        <f>#REF!</f>
        <v>#REF!</v>
      </c>
      <c r="AC499" s="89" t="e">
        <f>#REF!</f>
        <v>#REF!</v>
      </c>
      <c r="AD499" s="89" t="e">
        <f>#REF!</f>
        <v>#REF!</v>
      </c>
      <c r="AE499" s="89" t="e">
        <f>#REF!</f>
        <v>#REF!</v>
      </c>
      <c r="AF499" s="89" t="e">
        <f>#REF!</f>
        <v>#REF!</v>
      </c>
      <c r="AG499" s="89" t="e">
        <f>#REF!</f>
        <v>#REF!</v>
      </c>
      <c r="AH499" s="89" t="e">
        <f>#REF!</f>
        <v>#REF!</v>
      </c>
      <c r="AI499" s="89" t="e">
        <f>#REF!</f>
        <v>#REF!</v>
      </c>
      <c r="AJ499" s="89" t="e">
        <f>#REF!</f>
        <v>#REF!</v>
      </c>
      <c r="AK499" s="89" t="e">
        <f>#REF!</f>
        <v>#REF!</v>
      </c>
      <c r="AL499" s="89" t="e">
        <f>#REF!</f>
        <v>#REF!</v>
      </c>
      <c r="AM499" s="89" t="e">
        <f>#REF!</f>
        <v>#REF!</v>
      </c>
      <c r="AN499" s="89" t="e">
        <f>#REF!</f>
        <v>#REF!</v>
      </c>
      <c r="AO499" s="89" t="e">
        <f>#REF!</f>
        <v>#REF!</v>
      </c>
      <c r="AP499" s="89" t="e">
        <f>#REF!</f>
        <v>#REF!</v>
      </c>
      <c r="AQ499" s="89" t="e">
        <f>#REF!</f>
        <v>#REF!</v>
      </c>
      <c r="AR499" s="89" t="e">
        <f>#REF!</f>
        <v>#REF!</v>
      </c>
      <c r="AS499" s="89" t="e">
        <f>#REF!</f>
        <v>#REF!</v>
      </c>
      <c r="AT499" s="89" t="e">
        <f>#REF!</f>
        <v>#REF!</v>
      </c>
      <c r="AU499" s="89" t="e">
        <f>#REF!</f>
        <v>#REF!</v>
      </c>
      <c r="AV499" s="89" t="e">
        <f>#REF!</f>
        <v>#REF!</v>
      </c>
      <c r="AW499" s="89" t="e">
        <f>#REF!</f>
        <v>#REF!</v>
      </c>
      <c r="AX499" s="89" t="e">
        <f>#REF!</f>
        <v>#REF!</v>
      </c>
      <c r="AY499" s="89" t="e">
        <f>#REF!</f>
        <v>#REF!</v>
      </c>
      <c r="AZ499" s="89" t="e">
        <f>#REF!</f>
        <v>#REF!</v>
      </c>
      <c r="BA499" s="89" t="e">
        <f>#REF!</f>
        <v>#REF!</v>
      </c>
      <c r="BB499" s="89" t="e">
        <f>#REF!</f>
        <v>#REF!</v>
      </c>
      <c r="BC499" s="89" t="e">
        <f>#REF!</f>
        <v>#REF!</v>
      </c>
      <c r="BD499" s="89" t="e">
        <f>#REF!</f>
        <v>#REF!</v>
      </c>
      <c r="BE499" s="89" t="e">
        <f>#REF!</f>
        <v>#REF!</v>
      </c>
      <c r="BF499" s="89" t="e">
        <f>#REF!</f>
        <v>#REF!</v>
      </c>
    </row>
    <row r="500" spans="9:58" x14ac:dyDescent="0.25">
      <c r="I500" s="89">
        <f>ABCD!J549</f>
        <v>124</v>
      </c>
      <c r="J500" s="89">
        <f>ABCD!K549</f>
        <v>406.71999999999997</v>
      </c>
      <c r="K500" s="89">
        <f>ABCD!L549</f>
        <v>4.7793863941669237</v>
      </c>
      <c r="L500" s="89">
        <f>ABCD!M549</f>
        <v>0.84254539734488954</v>
      </c>
      <c r="M500" s="89">
        <f>ABCD!N549</f>
        <v>4.8530832520506966</v>
      </c>
      <c r="N500" s="89" t="e">
        <v>#REF!</v>
      </c>
      <c r="O500" s="89" t="e">
        <v>#REF!</v>
      </c>
      <c r="P500" s="89" t="e">
        <v>#REF!</v>
      </c>
      <c r="Q500" s="89" t="e">
        <v>#REF!</v>
      </c>
      <c r="R500" s="89" t="e">
        <v>#REF!</v>
      </c>
      <c r="S500" s="89" t="e">
        <f>#REF!</f>
        <v>#REF!</v>
      </c>
      <c r="T500" s="89" t="e">
        <f>#REF!</f>
        <v>#REF!</v>
      </c>
      <c r="U500" s="89" t="e">
        <f>#REF!</f>
        <v>#REF!</v>
      </c>
      <c r="V500" s="89" t="e">
        <f>#REF!</f>
        <v>#REF!</v>
      </c>
      <c r="W500" s="89" t="e">
        <f>#REF!</f>
        <v>#REF!</v>
      </c>
      <c r="X500" s="89" t="e">
        <f>#REF!</f>
        <v>#REF!</v>
      </c>
      <c r="Y500" s="89" t="e">
        <f>#REF!</f>
        <v>#REF!</v>
      </c>
      <c r="Z500" s="89" t="e">
        <f>#REF!</f>
        <v>#REF!</v>
      </c>
      <c r="AA500" s="89" t="e">
        <f>#REF!</f>
        <v>#REF!</v>
      </c>
      <c r="AB500" s="89" t="e">
        <f>#REF!</f>
        <v>#REF!</v>
      </c>
      <c r="AC500" s="89" t="e">
        <f>#REF!</f>
        <v>#REF!</v>
      </c>
      <c r="AD500" s="89" t="e">
        <f>#REF!</f>
        <v>#REF!</v>
      </c>
      <c r="AE500" s="89" t="e">
        <f>#REF!</f>
        <v>#REF!</v>
      </c>
      <c r="AF500" s="89" t="e">
        <f>#REF!</f>
        <v>#REF!</v>
      </c>
      <c r="AG500" s="89" t="e">
        <f>#REF!</f>
        <v>#REF!</v>
      </c>
      <c r="AH500" s="89" t="e">
        <f>#REF!</f>
        <v>#REF!</v>
      </c>
      <c r="AI500" s="89" t="e">
        <f>#REF!</f>
        <v>#REF!</v>
      </c>
      <c r="AJ500" s="89" t="e">
        <f>#REF!</f>
        <v>#REF!</v>
      </c>
      <c r="AK500" s="89" t="e">
        <f>#REF!</f>
        <v>#REF!</v>
      </c>
      <c r="AL500" s="89" t="e">
        <f>#REF!</f>
        <v>#REF!</v>
      </c>
      <c r="AM500" s="89" t="e">
        <f>#REF!</f>
        <v>#REF!</v>
      </c>
      <c r="AN500" s="89" t="e">
        <f>#REF!</f>
        <v>#REF!</v>
      </c>
      <c r="AO500" s="89" t="e">
        <f>#REF!</f>
        <v>#REF!</v>
      </c>
      <c r="AP500" s="89" t="e">
        <f>#REF!</f>
        <v>#REF!</v>
      </c>
      <c r="AQ500" s="89" t="e">
        <f>#REF!</f>
        <v>#REF!</v>
      </c>
      <c r="AR500" s="89" t="e">
        <f>#REF!</f>
        <v>#REF!</v>
      </c>
      <c r="AS500" s="89" t="e">
        <f>#REF!</f>
        <v>#REF!</v>
      </c>
      <c r="AT500" s="89" t="e">
        <f>#REF!</f>
        <v>#REF!</v>
      </c>
      <c r="AU500" s="89" t="e">
        <f>#REF!</f>
        <v>#REF!</v>
      </c>
      <c r="AV500" s="89" t="e">
        <f>#REF!</f>
        <v>#REF!</v>
      </c>
      <c r="AW500" s="89" t="e">
        <f>#REF!</f>
        <v>#REF!</v>
      </c>
      <c r="AX500" s="89" t="e">
        <f>#REF!</f>
        <v>#REF!</v>
      </c>
      <c r="AY500" s="89" t="e">
        <f>#REF!</f>
        <v>#REF!</v>
      </c>
      <c r="AZ500" s="89" t="e">
        <f>#REF!</f>
        <v>#REF!</v>
      </c>
      <c r="BA500" s="89" t="e">
        <f>#REF!</f>
        <v>#REF!</v>
      </c>
      <c r="BB500" s="89" t="e">
        <f>#REF!</f>
        <v>#REF!</v>
      </c>
      <c r="BC500" s="89" t="e">
        <f>#REF!</f>
        <v>#REF!</v>
      </c>
      <c r="BD500" s="89" t="e">
        <f>#REF!</f>
        <v>#REF!</v>
      </c>
      <c r="BE500" s="89" t="e">
        <f>#REF!</f>
        <v>#REF!</v>
      </c>
      <c r="BF500" s="89" t="e">
        <f>#REF!</f>
        <v>#REF!</v>
      </c>
    </row>
    <row r="501" spans="9:58" x14ac:dyDescent="0.25">
      <c r="I501" s="89">
        <f>ABCD!J550</f>
        <v>124.25</v>
      </c>
      <c r="J501" s="89">
        <f>ABCD!K550</f>
        <v>407.53999999999996</v>
      </c>
      <c r="K501" s="89">
        <f>ABCD!L550</f>
        <v>4.8217879330886273</v>
      </c>
      <c r="L501" s="89">
        <f>ABCD!M550</f>
        <v>0.85094529933769003</v>
      </c>
      <c r="M501" s="89">
        <f>ABCD!N550</f>
        <v>4.89629929376708</v>
      </c>
      <c r="N501" s="89" t="e">
        <v>#REF!</v>
      </c>
      <c r="O501" s="89" t="e">
        <v>#REF!</v>
      </c>
      <c r="P501" s="89" t="e">
        <v>#REF!</v>
      </c>
      <c r="Q501" s="89" t="e">
        <v>#REF!</v>
      </c>
      <c r="R501" s="89" t="e">
        <v>#REF!</v>
      </c>
      <c r="S501" s="89" t="e">
        <f>#REF!</f>
        <v>#REF!</v>
      </c>
      <c r="T501" s="89" t="e">
        <f>#REF!</f>
        <v>#REF!</v>
      </c>
      <c r="U501" s="89" t="e">
        <f>#REF!</f>
        <v>#REF!</v>
      </c>
      <c r="V501" s="89" t="e">
        <f>#REF!</f>
        <v>#REF!</v>
      </c>
      <c r="W501" s="89" t="e">
        <f>#REF!</f>
        <v>#REF!</v>
      </c>
      <c r="X501" s="89" t="e">
        <f>#REF!</f>
        <v>#REF!</v>
      </c>
      <c r="Y501" s="89" t="e">
        <f>#REF!</f>
        <v>#REF!</v>
      </c>
      <c r="Z501" s="89" t="e">
        <f>#REF!</f>
        <v>#REF!</v>
      </c>
      <c r="AA501" s="89" t="e">
        <f>#REF!</f>
        <v>#REF!</v>
      </c>
      <c r="AB501" s="89" t="e">
        <f>#REF!</f>
        <v>#REF!</v>
      </c>
      <c r="AC501" s="89" t="e">
        <f>#REF!</f>
        <v>#REF!</v>
      </c>
      <c r="AD501" s="89" t="e">
        <f>#REF!</f>
        <v>#REF!</v>
      </c>
      <c r="AE501" s="89" t="e">
        <f>#REF!</f>
        <v>#REF!</v>
      </c>
      <c r="AF501" s="89" t="e">
        <f>#REF!</f>
        <v>#REF!</v>
      </c>
      <c r="AG501" s="89" t="e">
        <f>#REF!</f>
        <v>#REF!</v>
      </c>
      <c r="AH501" s="89" t="e">
        <f>#REF!</f>
        <v>#REF!</v>
      </c>
      <c r="AI501" s="89" t="e">
        <f>#REF!</f>
        <v>#REF!</v>
      </c>
      <c r="AJ501" s="89" t="e">
        <f>#REF!</f>
        <v>#REF!</v>
      </c>
      <c r="AK501" s="89" t="e">
        <f>#REF!</f>
        <v>#REF!</v>
      </c>
      <c r="AL501" s="89" t="e">
        <f>#REF!</f>
        <v>#REF!</v>
      </c>
      <c r="AM501" s="89" t="e">
        <f>#REF!</f>
        <v>#REF!</v>
      </c>
      <c r="AN501" s="89" t="e">
        <f>#REF!</f>
        <v>#REF!</v>
      </c>
      <c r="AO501" s="89" t="e">
        <f>#REF!</f>
        <v>#REF!</v>
      </c>
      <c r="AP501" s="89" t="e">
        <f>#REF!</f>
        <v>#REF!</v>
      </c>
      <c r="AQ501" s="89" t="e">
        <f>#REF!</f>
        <v>#REF!</v>
      </c>
      <c r="AR501" s="89" t="e">
        <f>#REF!</f>
        <v>#REF!</v>
      </c>
      <c r="AS501" s="89" t="e">
        <f>#REF!</f>
        <v>#REF!</v>
      </c>
      <c r="AT501" s="89" t="e">
        <f>#REF!</f>
        <v>#REF!</v>
      </c>
      <c r="AU501" s="89" t="e">
        <f>#REF!</f>
        <v>#REF!</v>
      </c>
      <c r="AV501" s="89" t="e">
        <f>#REF!</f>
        <v>#REF!</v>
      </c>
      <c r="AW501" s="89" t="e">
        <f>#REF!</f>
        <v>#REF!</v>
      </c>
      <c r="AX501" s="89" t="e">
        <f>#REF!</f>
        <v>#REF!</v>
      </c>
      <c r="AY501" s="89" t="e">
        <f>#REF!</f>
        <v>#REF!</v>
      </c>
      <c r="AZ501" s="89" t="e">
        <f>#REF!</f>
        <v>#REF!</v>
      </c>
      <c r="BA501" s="89" t="e">
        <f>#REF!</f>
        <v>#REF!</v>
      </c>
      <c r="BB501" s="89" t="e">
        <f>#REF!</f>
        <v>#REF!</v>
      </c>
      <c r="BC501" s="89" t="e">
        <f>#REF!</f>
        <v>#REF!</v>
      </c>
      <c r="BD501" s="89" t="e">
        <f>#REF!</f>
        <v>#REF!</v>
      </c>
      <c r="BE501" s="89" t="e">
        <f>#REF!</f>
        <v>#REF!</v>
      </c>
      <c r="BF501" s="89" t="e">
        <f>#REF!</f>
        <v>#REF!</v>
      </c>
    </row>
    <row r="502" spans="9:58" x14ac:dyDescent="0.25">
      <c r="I502" s="89">
        <f>ABCD!J551</f>
        <v>124.5</v>
      </c>
      <c r="J502" s="89">
        <f>ABCD!K551</f>
        <v>408.35999999999996</v>
      </c>
      <c r="K502" s="89">
        <f>ABCD!L551</f>
        <v>4.8630382610798826</v>
      </c>
      <c r="L502" s="89">
        <f>ABCD!M551</f>
        <v>0.85914121169144109</v>
      </c>
      <c r="M502" s="89">
        <f>ABCD!N551</f>
        <v>4.9383463578766413</v>
      </c>
      <c r="N502" s="89" t="e">
        <v>#REF!</v>
      </c>
      <c r="O502" s="89" t="e">
        <v>#REF!</v>
      </c>
      <c r="P502" s="89" t="e">
        <v>#REF!</v>
      </c>
      <c r="Q502" s="89" t="e">
        <v>#REF!</v>
      </c>
      <c r="R502" s="89" t="e">
        <v>#REF!</v>
      </c>
      <c r="S502" s="89" t="e">
        <f>#REF!</f>
        <v>#REF!</v>
      </c>
      <c r="T502" s="89" t="e">
        <f>#REF!</f>
        <v>#REF!</v>
      </c>
      <c r="U502" s="89" t="e">
        <f>#REF!</f>
        <v>#REF!</v>
      </c>
      <c r="V502" s="89" t="e">
        <f>#REF!</f>
        <v>#REF!</v>
      </c>
      <c r="W502" s="89" t="e">
        <f>#REF!</f>
        <v>#REF!</v>
      </c>
      <c r="X502" s="89" t="e">
        <f>#REF!</f>
        <v>#REF!</v>
      </c>
      <c r="Y502" s="89" t="e">
        <f>#REF!</f>
        <v>#REF!</v>
      </c>
      <c r="Z502" s="89" t="e">
        <f>#REF!</f>
        <v>#REF!</v>
      </c>
      <c r="AA502" s="89" t="e">
        <f>#REF!</f>
        <v>#REF!</v>
      </c>
      <c r="AB502" s="89" t="e">
        <f>#REF!</f>
        <v>#REF!</v>
      </c>
      <c r="AC502" s="89" t="e">
        <f>#REF!</f>
        <v>#REF!</v>
      </c>
      <c r="AD502" s="89" t="e">
        <f>#REF!</f>
        <v>#REF!</v>
      </c>
      <c r="AE502" s="89" t="e">
        <f>#REF!</f>
        <v>#REF!</v>
      </c>
      <c r="AF502" s="89" t="e">
        <f>#REF!</f>
        <v>#REF!</v>
      </c>
      <c r="AG502" s="89" t="e">
        <f>#REF!</f>
        <v>#REF!</v>
      </c>
      <c r="AH502" s="89" t="e">
        <f>#REF!</f>
        <v>#REF!</v>
      </c>
      <c r="AI502" s="89" t="e">
        <f>#REF!</f>
        <v>#REF!</v>
      </c>
      <c r="AJ502" s="89" t="e">
        <f>#REF!</f>
        <v>#REF!</v>
      </c>
      <c r="AK502" s="89" t="e">
        <f>#REF!</f>
        <v>#REF!</v>
      </c>
      <c r="AL502" s="89" t="e">
        <f>#REF!</f>
        <v>#REF!</v>
      </c>
      <c r="AM502" s="89" t="e">
        <f>#REF!</f>
        <v>#REF!</v>
      </c>
      <c r="AN502" s="89" t="e">
        <f>#REF!</f>
        <v>#REF!</v>
      </c>
      <c r="AO502" s="89" t="e">
        <f>#REF!</f>
        <v>#REF!</v>
      </c>
      <c r="AP502" s="89" t="e">
        <f>#REF!</f>
        <v>#REF!</v>
      </c>
      <c r="AQ502" s="89" t="e">
        <f>#REF!</f>
        <v>#REF!</v>
      </c>
      <c r="AR502" s="89" t="e">
        <f>#REF!</f>
        <v>#REF!</v>
      </c>
      <c r="AS502" s="89" t="e">
        <f>#REF!</f>
        <v>#REF!</v>
      </c>
      <c r="AT502" s="89" t="e">
        <f>#REF!</f>
        <v>#REF!</v>
      </c>
      <c r="AU502" s="89" t="e">
        <f>#REF!</f>
        <v>#REF!</v>
      </c>
      <c r="AV502" s="89" t="e">
        <f>#REF!</f>
        <v>#REF!</v>
      </c>
      <c r="AW502" s="89" t="e">
        <f>#REF!</f>
        <v>#REF!</v>
      </c>
      <c r="AX502" s="89" t="e">
        <f>#REF!</f>
        <v>#REF!</v>
      </c>
      <c r="AY502" s="89" t="e">
        <f>#REF!</f>
        <v>#REF!</v>
      </c>
      <c r="AZ502" s="89" t="e">
        <f>#REF!</f>
        <v>#REF!</v>
      </c>
      <c r="BA502" s="89" t="e">
        <f>#REF!</f>
        <v>#REF!</v>
      </c>
      <c r="BB502" s="89" t="e">
        <f>#REF!</f>
        <v>#REF!</v>
      </c>
      <c r="BC502" s="89" t="e">
        <f>#REF!</f>
        <v>#REF!</v>
      </c>
      <c r="BD502" s="89" t="e">
        <f>#REF!</f>
        <v>#REF!</v>
      </c>
      <c r="BE502" s="89" t="e">
        <f>#REF!</f>
        <v>#REF!</v>
      </c>
      <c r="BF502" s="89" t="e">
        <f>#REF!</f>
        <v>#REF!</v>
      </c>
    </row>
    <row r="503" spans="9:58" x14ac:dyDescent="0.25">
      <c r="I503" s="89">
        <f>ABCD!J552</f>
        <v>124.75</v>
      </c>
      <c r="J503" s="89">
        <f>ABCD!K552</f>
        <v>409.17999999999995</v>
      </c>
      <c r="K503" s="89">
        <f>ABCD!L552</f>
        <v>4.9031288914943509</v>
      </c>
      <c r="L503" s="89">
        <f>ABCD!M552</f>
        <v>0.86713142596100812</v>
      </c>
      <c r="M503" s="89">
        <f>ABCD!N552</f>
        <v>4.9792157852914745</v>
      </c>
      <c r="N503" s="89" t="e">
        <v>#REF!</v>
      </c>
      <c r="O503" s="89" t="e">
        <v>#REF!</v>
      </c>
      <c r="P503" s="89" t="e">
        <v>#REF!</v>
      </c>
      <c r="Q503" s="89" t="e">
        <v>#REF!</v>
      </c>
      <c r="R503" s="89" t="e">
        <v>#REF!</v>
      </c>
      <c r="S503" s="89" t="e">
        <f>#REF!</f>
        <v>#REF!</v>
      </c>
      <c r="T503" s="89" t="e">
        <f>#REF!</f>
        <v>#REF!</v>
      </c>
      <c r="U503" s="89" t="e">
        <f>#REF!</f>
        <v>#REF!</v>
      </c>
      <c r="V503" s="89" t="e">
        <f>#REF!</f>
        <v>#REF!</v>
      </c>
      <c r="W503" s="89" t="e">
        <f>#REF!</f>
        <v>#REF!</v>
      </c>
      <c r="X503" s="89" t="e">
        <f>#REF!</f>
        <v>#REF!</v>
      </c>
      <c r="Y503" s="89" t="e">
        <f>#REF!</f>
        <v>#REF!</v>
      </c>
      <c r="Z503" s="89" t="e">
        <f>#REF!</f>
        <v>#REF!</v>
      </c>
      <c r="AA503" s="89" t="e">
        <f>#REF!</f>
        <v>#REF!</v>
      </c>
      <c r="AB503" s="89" t="e">
        <f>#REF!</f>
        <v>#REF!</v>
      </c>
      <c r="AC503" s="89" t="e">
        <f>#REF!</f>
        <v>#REF!</v>
      </c>
      <c r="AD503" s="89" t="e">
        <f>#REF!</f>
        <v>#REF!</v>
      </c>
      <c r="AE503" s="89" t="e">
        <f>#REF!</f>
        <v>#REF!</v>
      </c>
      <c r="AF503" s="89" t="e">
        <f>#REF!</f>
        <v>#REF!</v>
      </c>
      <c r="AG503" s="89" t="e">
        <f>#REF!</f>
        <v>#REF!</v>
      </c>
      <c r="AH503" s="89" t="e">
        <f>#REF!</f>
        <v>#REF!</v>
      </c>
      <c r="AI503" s="89" t="e">
        <f>#REF!</f>
        <v>#REF!</v>
      </c>
      <c r="AJ503" s="89" t="e">
        <f>#REF!</f>
        <v>#REF!</v>
      </c>
      <c r="AK503" s="89" t="e">
        <f>#REF!</f>
        <v>#REF!</v>
      </c>
      <c r="AL503" s="89" t="e">
        <f>#REF!</f>
        <v>#REF!</v>
      </c>
      <c r="AM503" s="89" t="e">
        <f>#REF!</f>
        <v>#REF!</v>
      </c>
      <c r="AN503" s="89" t="e">
        <f>#REF!</f>
        <v>#REF!</v>
      </c>
      <c r="AO503" s="89" t="e">
        <f>#REF!</f>
        <v>#REF!</v>
      </c>
      <c r="AP503" s="89" t="e">
        <f>#REF!</f>
        <v>#REF!</v>
      </c>
      <c r="AQ503" s="89" t="e">
        <f>#REF!</f>
        <v>#REF!</v>
      </c>
      <c r="AR503" s="89" t="e">
        <f>#REF!</f>
        <v>#REF!</v>
      </c>
      <c r="AS503" s="89" t="e">
        <f>#REF!</f>
        <v>#REF!</v>
      </c>
      <c r="AT503" s="89" t="e">
        <f>#REF!</f>
        <v>#REF!</v>
      </c>
      <c r="AU503" s="89" t="e">
        <f>#REF!</f>
        <v>#REF!</v>
      </c>
      <c r="AV503" s="89" t="e">
        <f>#REF!</f>
        <v>#REF!</v>
      </c>
      <c r="AW503" s="89" t="e">
        <f>#REF!</f>
        <v>#REF!</v>
      </c>
      <c r="AX503" s="89" t="e">
        <f>#REF!</f>
        <v>#REF!</v>
      </c>
      <c r="AY503" s="89" t="e">
        <f>#REF!</f>
        <v>#REF!</v>
      </c>
      <c r="AZ503" s="89" t="e">
        <f>#REF!</f>
        <v>#REF!</v>
      </c>
      <c r="BA503" s="89" t="e">
        <f>#REF!</f>
        <v>#REF!</v>
      </c>
      <c r="BB503" s="89" t="e">
        <f>#REF!</f>
        <v>#REF!</v>
      </c>
      <c r="BC503" s="89" t="e">
        <f>#REF!</f>
        <v>#REF!</v>
      </c>
      <c r="BD503" s="89" t="e">
        <f>#REF!</f>
        <v>#REF!</v>
      </c>
      <c r="BE503" s="89" t="e">
        <f>#REF!</f>
        <v>#REF!</v>
      </c>
      <c r="BF503" s="89" t="e">
        <f>#REF!</f>
        <v>#REF!</v>
      </c>
    </row>
    <row r="504" spans="9:58" x14ac:dyDescent="0.25">
      <c r="I504" s="89">
        <f>ABCD!J553</f>
        <v>125</v>
      </c>
      <c r="J504" s="89">
        <f>ABCD!K553</f>
        <v>410</v>
      </c>
      <c r="K504" s="89">
        <f>ABCD!L553</f>
        <v>4.9420516130260612</v>
      </c>
      <c r="L504" s="89">
        <f>ABCD!M553</f>
        <v>0.87491428272172378</v>
      </c>
      <c r="M504" s="89">
        <f>ABCD!N553</f>
        <v>5.0188991968283201</v>
      </c>
      <c r="N504" s="89" t="e">
        <v>#REF!</v>
      </c>
      <c r="O504" s="89" t="e">
        <v>#REF!</v>
      </c>
      <c r="P504" s="89" t="e">
        <v>#REF!</v>
      </c>
      <c r="Q504" s="89" t="e">
        <v>#REF!</v>
      </c>
      <c r="R504" s="89" t="e">
        <v>#REF!</v>
      </c>
      <c r="S504" s="89" t="e">
        <f>#REF!</f>
        <v>#REF!</v>
      </c>
      <c r="T504" s="89" t="e">
        <f>#REF!</f>
        <v>#REF!</v>
      </c>
      <c r="U504" s="89" t="e">
        <f>#REF!</f>
        <v>#REF!</v>
      </c>
      <c r="V504" s="89" t="e">
        <f>#REF!</f>
        <v>#REF!</v>
      </c>
      <c r="W504" s="89" t="e">
        <f>#REF!</f>
        <v>#REF!</v>
      </c>
      <c r="X504" s="89" t="e">
        <f>#REF!</f>
        <v>#REF!</v>
      </c>
      <c r="Y504" s="89" t="e">
        <f>#REF!</f>
        <v>#REF!</v>
      </c>
      <c r="Z504" s="89" t="e">
        <f>#REF!</f>
        <v>#REF!</v>
      </c>
      <c r="AA504" s="89" t="e">
        <f>#REF!</f>
        <v>#REF!</v>
      </c>
      <c r="AB504" s="89" t="e">
        <f>#REF!</f>
        <v>#REF!</v>
      </c>
      <c r="AC504" s="89" t="e">
        <f>#REF!</f>
        <v>#REF!</v>
      </c>
      <c r="AD504" s="89" t="e">
        <f>#REF!</f>
        <v>#REF!</v>
      </c>
      <c r="AE504" s="89" t="e">
        <f>#REF!</f>
        <v>#REF!</v>
      </c>
      <c r="AF504" s="89" t="e">
        <f>#REF!</f>
        <v>#REF!</v>
      </c>
      <c r="AG504" s="89" t="e">
        <f>#REF!</f>
        <v>#REF!</v>
      </c>
      <c r="AH504" s="89" t="e">
        <f>#REF!</f>
        <v>#REF!</v>
      </c>
      <c r="AI504" s="89" t="e">
        <f>#REF!</f>
        <v>#REF!</v>
      </c>
      <c r="AJ504" s="89" t="e">
        <f>#REF!</f>
        <v>#REF!</v>
      </c>
      <c r="AK504" s="89" t="e">
        <f>#REF!</f>
        <v>#REF!</v>
      </c>
      <c r="AL504" s="89" t="e">
        <f>#REF!</f>
        <v>#REF!</v>
      </c>
      <c r="AM504" s="89" t="e">
        <f>#REF!</f>
        <v>#REF!</v>
      </c>
      <c r="AN504" s="89" t="e">
        <f>#REF!</f>
        <v>#REF!</v>
      </c>
      <c r="AO504" s="89" t="e">
        <f>#REF!</f>
        <v>#REF!</v>
      </c>
      <c r="AP504" s="89" t="e">
        <f>#REF!</f>
        <v>#REF!</v>
      </c>
      <c r="AQ504" s="89" t="e">
        <f>#REF!</f>
        <v>#REF!</v>
      </c>
      <c r="AR504" s="89" t="e">
        <f>#REF!</f>
        <v>#REF!</v>
      </c>
      <c r="AS504" s="89" t="e">
        <f>#REF!</f>
        <v>#REF!</v>
      </c>
      <c r="AT504" s="89" t="e">
        <f>#REF!</f>
        <v>#REF!</v>
      </c>
      <c r="AU504" s="89" t="e">
        <f>#REF!</f>
        <v>#REF!</v>
      </c>
      <c r="AV504" s="89" t="e">
        <f>#REF!</f>
        <v>#REF!</v>
      </c>
      <c r="AW504" s="89" t="e">
        <f>#REF!</f>
        <v>#REF!</v>
      </c>
      <c r="AX504" s="89" t="e">
        <f>#REF!</f>
        <v>#REF!</v>
      </c>
      <c r="AY504" s="89" t="e">
        <f>#REF!</f>
        <v>#REF!</v>
      </c>
      <c r="AZ504" s="89" t="e">
        <f>#REF!</f>
        <v>#REF!</v>
      </c>
      <c r="BA504" s="89" t="e">
        <f>#REF!</f>
        <v>#REF!</v>
      </c>
      <c r="BB504" s="89" t="e">
        <f>#REF!</f>
        <v>#REF!</v>
      </c>
      <c r="BC504" s="89" t="e">
        <f>#REF!</f>
        <v>#REF!</v>
      </c>
      <c r="BD504" s="89" t="e">
        <f>#REF!</f>
        <v>#REF!</v>
      </c>
      <c r="BE504" s="89" t="e">
        <f>#REF!</f>
        <v>#REF!</v>
      </c>
      <c r="BF504" s="89" t="e">
        <f>#REF!</f>
        <v>#REF!</v>
      </c>
    </row>
    <row r="505" spans="9:58" x14ac:dyDescent="0.25">
      <c r="I505" s="89">
        <f>ABCD!J554</f>
        <v>125.25</v>
      </c>
      <c r="J505" s="89">
        <f>ABCD!K554</f>
        <v>410.82</v>
      </c>
      <c r="K505" s="89">
        <f>ABCD!L554</f>
        <v>4.9797984913572435</v>
      </c>
      <c r="L505" s="89">
        <f>ABCD!M554</f>
        <v>0.88248817190836659</v>
      </c>
      <c r="M505" s="89">
        <f>ABCD!N554</f>
        <v>5.057388494873817</v>
      </c>
      <c r="N505" s="89" t="e">
        <v>#REF!</v>
      </c>
      <c r="O505" s="89" t="e">
        <v>#REF!</v>
      </c>
      <c r="P505" s="89" t="e">
        <v>#REF!</v>
      </c>
      <c r="Q505" s="89" t="e">
        <v>#REF!</v>
      </c>
      <c r="R505" s="89" t="e">
        <v>#REF!</v>
      </c>
      <c r="S505" s="89" t="e">
        <f>#REF!</f>
        <v>#REF!</v>
      </c>
      <c r="T505" s="89" t="e">
        <f>#REF!</f>
        <v>#REF!</v>
      </c>
      <c r="U505" s="89" t="e">
        <f>#REF!</f>
        <v>#REF!</v>
      </c>
      <c r="V505" s="89" t="e">
        <f>#REF!</f>
        <v>#REF!</v>
      </c>
      <c r="W505" s="89" t="e">
        <f>#REF!</f>
        <v>#REF!</v>
      </c>
      <c r="X505" s="89" t="e">
        <f>#REF!</f>
        <v>#REF!</v>
      </c>
      <c r="Y505" s="89" t="e">
        <f>#REF!</f>
        <v>#REF!</v>
      </c>
      <c r="Z505" s="89" t="e">
        <f>#REF!</f>
        <v>#REF!</v>
      </c>
      <c r="AA505" s="89" t="e">
        <f>#REF!</f>
        <v>#REF!</v>
      </c>
      <c r="AB505" s="89" t="e">
        <f>#REF!</f>
        <v>#REF!</v>
      </c>
      <c r="AC505" s="89" t="e">
        <f>#REF!</f>
        <v>#REF!</v>
      </c>
      <c r="AD505" s="89" t="e">
        <f>#REF!</f>
        <v>#REF!</v>
      </c>
      <c r="AE505" s="89" t="e">
        <f>#REF!</f>
        <v>#REF!</v>
      </c>
      <c r="AF505" s="89" t="e">
        <f>#REF!</f>
        <v>#REF!</v>
      </c>
      <c r="AG505" s="89" t="e">
        <f>#REF!</f>
        <v>#REF!</v>
      </c>
      <c r="AH505" s="89" t="e">
        <f>#REF!</f>
        <v>#REF!</v>
      </c>
      <c r="AI505" s="89" t="e">
        <f>#REF!</f>
        <v>#REF!</v>
      </c>
      <c r="AJ505" s="89" t="e">
        <f>#REF!</f>
        <v>#REF!</v>
      </c>
      <c r="AK505" s="89" t="e">
        <f>#REF!</f>
        <v>#REF!</v>
      </c>
      <c r="AL505" s="89" t="e">
        <f>#REF!</f>
        <v>#REF!</v>
      </c>
      <c r="AM505" s="89" t="e">
        <f>#REF!</f>
        <v>#REF!</v>
      </c>
      <c r="AN505" s="89" t="e">
        <f>#REF!</f>
        <v>#REF!</v>
      </c>
      <c r="AO505" s="89" t="e">
        <f>#REF!</f>
        <v>#REF!</v>
      </c>
      <c r="AP505" s="89" t="e">
        <f>#REF!</f>
        <v>#REF!</v>
      </c>
      <c r="AQ505" s="89" t="e">
        <f>#REF!</f>
        <v>#REF!</v>
      </c>
      <c r="AR505" s="89" t="e">
        <f>#REF!</f>
        <v>#REF!</v>
      </c>
      <c r="AS505" s="89" t="e">
        <f>#REF!</f>
        <v>#REF!</v>
      </c>
      <c r="AT505" s="89" t="e">
        <f>#REF!</f>
        <v>#REF!</v>
      </c>
      <c r="AU505" s="89" t="e">
        <f>#REF!</f>
        <v>#REF!</v>
      </c>
      <c r="AV505" s="89" t="e">
        <f>#REF!</f>
        <v>#REF!</v>
      </c>
      <c r="AW505" s="89" t="e">
        <f>#REF!</f>
        <v>#REF!</v>
      </c>
      <c r="AX505" s="89" t="e">
        <f>#REF!</f>
        <v>#REF!</v>
      </c>
      <c r="AY505" s="89" t="e">
        <f>#REF!</f>
        <v>#REF!</v>
      </c>
      <c r="AZ505" s="89" t="e">
        <f>#REF!</f>
        <v>#REF!</v>
      </c>
      <c r="BA505" s="89" t="e">
        <f>#REF!</f>
        <v>#REF!</v>
      </c>
      <c r="BB505" s="89" t="e">
        <f>#REF!</f>
        <v>#REF!</v>
      </c>
      <c r="BC505" s="89" t="e">
        <f>#REF!</f>
        <v>#REF!</v>
      </c>
      <c r="BD505" s="89" t="e">
        <f>#REF!</f>
        <v>#REF!</v>
      </c>
      <c r="BE505" s="89" t="e">
        <f>#REF!</f>
        <v>#REF!</v>
      </c>
      <c r="BF505" s="89" t="e">
        <f>#REF!</f>
        <v>#REF!</v>
      </c>
    </row>
    <row r="506" spans="9:58" x14ac:dyDescent="0.25">
      <c r="I506" s="89">
        <f>ABCD!J555</f>
        <v>125.5</v>
      </c>
      <c r="J506" s="89">
        <f>ABCD!K555</f>
        <v>411.64</v>
      </c>
      <c r="K506" s="89">
        <f>ABCD!L555</f>
        <v>5.0163618707407132</v>
      </c>
      <c r="L506" s="89">
        <f>ABCD!M555</f>
        <v>0.88985153314242404</v>
      </c>
      <c r="M506" s="89">
        <f>ABCD!N555</f>
        <v>5.0946758649846595</v>
      </c>
      <c r="N506" s="89" t="e">
        <v>#REF!</v>
      </c>
      <c r="O506" s="89" t="e">
        <v>#REF!</v>
      </c>
      <c r="P506" s="89" t="e">
        <v>#REF!</v>
      </c>
      <c r="Q506" s="89" t="e">
        <v>#REF!</v>
      </c>
      <c r="R506" s="89" t="e">
        <v>#REF!</v>
      </c>
      <c r="S506" s="89" t="e">
        <f>#REF!</f>
        <v>#REF!</v>
      </c>
      <c r="T506" s="89" t="e">
        <f>#REF!</f>
        <v>#REF!</v>
      </c>
      <c r="U506" s="89" t="e">
        <f>#REF!</f>
        <v>#REF!</v>
      </c>
      <c r="V506" s="89" t="e">
        <f>#REF!</f>
        <v>#REF!</v>
      </c>
      <c r="W506" s="89" t="e">
        <f>#REF!</f>
        <v>#REF!</v>
      </c>
      <c r="X506" s="89" t="e">
        <f>#REF!</f>
        <v>#REF!</v>
      </c>
      <c r="Y506" s="89" t="e">
        <f>#REF!</f>
        <v>#REF!</v>
      </c>
      <c r="Z506" s="89" t="e">
        <f>#REF!</f>
        <v>#REF!</v>
      </c>
      <c r="AA506" s="89" t="e">
        <f>#REF!</f>
        <v>#REF!</v>
      </c>
      <c r="AB506" s="89" t="e">
        <f>#REF!</f>
        <v>#REF!</v>
      </c>
      <c r="AC506" s="89" t="e">
        <f>#REF!</f>
        <v>#REF!</v>
      </c>
      <c r="AD506" s="89" t="e">
        <f>#REF!</f>
        <v>#REF!</v>
      </c>
      <c r="AE506" s="89" t="e">
        <f>#REF!</f>
        <v>#REF!</v>
      </c>
      <c r="AF506" s="89" t="e">
        <f>#REF!</f>
        <v>#REF!</v>
      </c>
      <c r="AG506" s="89" t="e">
        <f>#REF!</f>
        <v>#REF!</v>
      </c>
      <c r="AH506" s="89" t="e">
        <f>#REF!</f>
        <v>#REF!</v>
      </c>
      <c r="AI506" s="89" t="e">
        <f>#REF!</f>
        <v>#REF!</v>
      </c>
      <c r="AJ506" s="89" t="e">
        <f>#REF!</f>
        <v>#REF!</v>
      </c>
      <c r="AK506" s="89" t="e">
        <f>#REF!</f>
        <v>#REF!</v>
      </c>
      <c r="AL506" s="89" t="e">
        <f>#REF!</f>
        <v>#REF!</v>
      </c>
      <c r="AM506" s="89" t="e">
        <f>#REF!</f>
        <v>#REF!</v>
      </c>
      <c r="AN506" s="89" t="e">
        <f>#REF!</f>
        <v>#REF!</v>
      </c>
      <c r="AO506" s="89" t="e">
        <f>#REF!</f>
        <v>#REF!</v>
      </c>
      <c r="AP506" s="89" t="e">
        <f>#REF!</f>
        <v>#REF!</v>
      </c>
      <c r="AQ506" s="89" t="e">
        <f>#REF!</f>
        <v>#REF!</v>
      </c>
      <c r="AR506" s="89" t="e">
        <f>#REF!</f>
        <v>#REF!</v>
      </c>
      <c r="AS506" s="89" t="e">
        <f>#REF!</f>
        <v>#REF!</v>
      </c>
      <c r="AT506" s="89" t="e">
        <f>#REF!</f>
        <v>#REF!</v>
      </c>
      <c r="AU506" s="89" t="e">
        <f>#REF!</f>
        <v>#REF!</v>
      </c>
      <c r="AV506" s="89" t="e">
        <f>#REF!</f>
        <v>#REF!</v>
      </c>
      <c r="AW506" s="89" t="e">
        <f>#REF!</f>
        <v>#REF!</v>
      </c>
      <c r="AX506" s="89" t="e">
        <f>#REF!</f>
        <v>#REF!</v>
      </c>
      <c r="AY506" s="89" t="e">
        <f>#REF!</f>
        <v>#REF!</v>
      </c>
      <c r="AZ506" s="89" t="e">
        <f>#REF!</f>
        <v>#REF!</v>
      </c>
      <c r="BA506" s="89" t="e">
        <f>#REF!</f>
        <v>#REF!</v>
      </c>
      <c r="BB506" s="89" t="e">
        <f>#REF!</f>
        <v>#REF!</v>
      </c>
      <c r="BC506" s="89" t="e">
        <f>#REF!</f>
        <v>#REF!</v>
      </c>
      <c r="BD506" s="89" t="e">
        <f>#REF!</f>
        <v>#REF!</v>
      </c>
      <c r="BE506" s="89" t="e">
        <f>#REF!</f>
        <v>#REF!</v>
      </c>
      <c r="BF506" s="89" t="e">
        <f>#REF!</f>
        <v>#REF!</v>
      </c>
    </row>
    <row r="507" spans="9:58" x14ac:dyDescent="0.25">
      <c r="I507" s="89">
        <f>ABCD!J556</f>
        <v>125.75</v>
      </c>
      <c r="J507" s="89">
        <f>ABCD!K556</f>
        <v>412.46</v>
      </c>
      <c r="K507" s="89">
        <f>ABCD!L556</f>
        <v>5.0517343755165207</v>
      </c>
      <c r="L507" s="89">
        <f>ABCD!M556</f>
        <v>0.89700285604758201</v>
      </c>
      <c r="M507" s="89">
        <f>ABCD!N556</f>
        <v>5.130753777422262</v>
      </c>
      <c r="N507" s="89" t="e">
        <v>#REF!</v>
      </c>
      <c r="O507" s="89" t="e">
        <v>#REF!</v>
      </c>
      <c r="P507" s="89" t="e">
        <v>#REF!</v>
      </c>
      <c r="Q507" s="89" t="e">
        <v>#REF!</v>
      </c>
      <c r="R507" s="89" t="e">
        <v>#REF!</v>
      </c>
      <c r="S507" s="89" t="e">
        <f>#REF!</f>
        <v>#REF!</v>
      </c>
      <c r="T507" s="89" t="e">
        <f>#REF!</f>
        <v>#REF!</v>
      </c>
      <c r="U507" s="89" t="e">
        <f>#REF!</f>
        <v>#REF!</v>
      </c>
      <c r="V507" s="89" t="e">
        <f>#REF!</f>
        <v>#REF!</v>
      </c>
      <c r="W507" s="89" t="e">
        <f>#REF!</f>
        <v>#REF!</v>
      </c>
      <c r="X507" s="89" t="e">
        <f>#REF!</f>
        <v>#REF!</v>
      </c>
      <c r="Y507" s="89" t="e">
        <f>#REF!</f>
        <v>#REF!</v>
      </c>
      <c r="Z507" s="89" t="e">
        <f>#REF!</f>
        <v>#REF!</v>
      </c>
      <c r="AA507" s="89" t="e">
        <f>#REF!</f>
        <v>#REF!</v>
      </c>
      <c r="AB507" s="89" t="e">
        <f>#REF!</f>
        <v>#REF!</v>
      </c>
      <c r="AC507" s="89" t="e">
        <f>#REF!</f>
        <v>#REF!</v>
      </c>
      <c r="AD507" s="89" t="e">
        <f>#REF!</f>
        <v>#REF!</v>
      </c>
      <c r="AE507" s="89" t="e">
        <f>#REF!</f>
        <v>#REF!</v>
      </c>
      <c r="AF507" s="89" t="e">
        <f>#REF!</f>
        <v>#REF!</v>
      </c>
      <c r="AG507" s="89" t="e">
        <f>#REF!</f>
        <v>#REF!</v>
      </c>
      <c r="AH507" s="89" t="e">
        <f>#REF!</f>
        <v>#REF!</v>
      </c>
      <c r="AI507" s="89" t="e">
        <f>#REF!</f>
        <v>#REF!</v>
      </c>
      <c r="AJ507" s="89" t="e">
        <f>#REF!</f>
        <v>#REF!</v>
      </c>
      <c r="AK507" s="89" t="e">
        <f>#REF!</f>
        <v>#REF!</v>
      </c>
      <c r="AL507" s="89" t="e">
        <f>#REF!</f>
        <v>#REF!</v>
      </c>
      <c r="AM507" s="89" t="e">
        <f>#REF!</f>
        <v>#REF!</v>
      </c>
      <c r="AN507" s="89" t="e">
        <f>#REF!</f>
        <v>#REF!</v>
      </c>
      <c r="AO507" s="89" t="e">
        <f>#REF!</f>
        <v>#REF!</v>
      </c>
      <c r="AP507" s="89" t="e">
        <f>#REF!</f>
        <v>#REF!</v>
      </c>
      <c r="AQ507" s="89" t="e">
        <f>#REF!</f>
        <v>#REF!</v>
      </c>
      <c r="AR507" s="89" t="e">
        <f>#REF!</f>
        <v>#REF!</v>
      </c>
      <c r="AS507" s="89" t="e">
        <f>#REF!</f>
        <v>#REF!</v>
      </c>
      <c r="AT507" s="89" t="e">
        <f>#REF!</f>
        <v>#REF!</v>
      </c>
      <c r="AU507" s="89" t="e">
        <f>#REF!</f>
        <v>#REF!</v>
      </c>
      <c r="AV507" s="89" t="e">
        <f>#REF!</f>
        <v>#REF!</v>
      </c>
      <c r="AW507" s="89" t="e">
        <f>#REF!</f>
        <v>#REF!</v>
      </c>
      <c r="AX507" s="89" t="e">
        <f>#REF!</f>
        <v>#REF!</v>
      </c>
      <c r="AY507" s="89" t="e">
        <f>#REF!</f>
        <v>#REF!</v>
      </c>
      <c r="AZ507" s="89" t="e">
        <f>#REF!</f>
        <v>#REF!</v>
      </c>
      <c r="BA507" s="89" t="e">
        <f>#REF!</f>
        <v>#REF!</v>
      </c>
      <c r="BB507" s="89" t="e">
        <f>#REF!</f>
        <v>#REF!</v>
      </c>
      <c r="BC507" s="89" t="e">
        <f>#REF!</f>
        <v>#REF!</v>
      </c>
      <c r="BD507" s="89" t="e">
        <f>#REF!</f>
        <v>#REF!</v>
      </c>
      <c r="BE507" s="89" t="e">
        <f>#REF!</f>
        <v>#REF!</v>
      </c>
      <c r="BF507" s="89" t="e">
        <f>#REF!</f>
        <v>#REF!</v>
      </c>
    </row>
    <row r="508" spans="9:58" x14ac:dyDescent="0.25">
      <c r="I508" s="89">
        <f>ABCD!J557</f>
        <v>126</v>
      </c>
      <c r="J508" s="89">
        <f>ABCD!K557</f>
        <v>413.28</v>
      </c>
      <c r="K508" s="89">
        <f>ABCD!L557</f>
        <v>5.0859089115626039</v>
      </c>
      <c r="L508" s="89">
        <f>ABCD!M557</f>
        <v>0.90394068055342025</v>
      </c>
      <c r="M508" s="89">
        <f>ABCD!N557</f>
        <v>5.1656149886215186</v>
      </c>
      <c r="N508" s="89" t="e">
        <v>#REF!</v>
      </c>
      <c r="O508" s="89" t="e">
        <v>#REF!</v>
      </c>
      <c r="P508" s="89" t="e">
        <v>#REF!</v>
      </c>
      <c r="Q508" s="89" t="e">
        <v>#REF!</v>
      </c>
      <c r="R508" s="89" t="e">
        <v>#REF!</v>
      </c>
      <c r="S508" s="89" t="e">
        <f>#REF!</f>
        <v>#REF!</v>
      </c>
      <c r="T508" s="89" t="e">
        <f>#REF!</f>
        <v>#REF!</v>
      </c>
      <c r="U508" s="89" t="e">
        <f>#REF!</f>
        <v>#REF!</v>
      </c>
      <c r="V508" s="89" t="e">
        <f>#REF!</f>
        <v>#REF!</v>
      </c>
      <c r="W508" s="89" t="e">
        <f>#REF!</f>
        <v>#REF!</v>
      </c>
      <c r="X508" s="89" t="e">
        <f>#REF!</f>
        <v>#REF!</v>
      </c>
      <c r="Y508" s="89" t="e">
        <f>#REF!</f>
        <v>#REF!</v>
      </c>
      <c r="Z508" s="89" t="e">
        <f>#REF!</f>
        <v>#REF!</v>
      </c>
      <c r="AA508" s="89" t="e">
        <f>#REF!</f>
        <v>#REF!</v>
      </c>
      <c r="AB508" s="89" t="e">
        <f>#REF!</f>
        <v>#REF!</v>
      </c>
      <c r="AC508" s="89" t="e">
        <f>#REF!</f>
        <v>#REF!</v>
      </c>
      <c r="AD508" s="89" t="e">
        <f>#REF!</f>
        <v>#REF!</v>
      </c>
      <c r="AE508" s="89" t="e">
        <f>#REF!</f>
        <v>#REF!</v>
      </c>
      <c r="AF508" s="89" t="e">
        <f>#REF!</f>
        <v>#REF!</v>
      </c>
      <c r="AG508" s="89" t="e">
        <f>#REF!</f>
        <v>#REF!</v>
      </c>
      <c r="AH508" s="89" t="e">
        <f>#REF!</f>
        <v>#REF!</v>
      </c>
      <c r="AI508" s="89" t="e">
        <f>#REF!</f>
        <v>#REF!</v>
      </c>
      <c r="AJ508" s="89" t="e">
        <f>#REF!</f>
        <v>#REF!</v>
      </c>
      <c r="AK508" s="89" t="e">
        <f>#REF!</f>
        <v>#REF!</v>
      </c>
      <c r="AL508" s="89" t="e">
        <f>#REF!</f>
        <v>#REF!</v>
      </c>
      <c r="AM508" s="89" t="e">
        <f>#REF!</f>
        <v>#REF!</v>
      </c>
      <c r="AN508" s="89" t="e">
        <f>#REF!</f>
        <v>#REF!</v>
      </c>
      <c r="AO508" s="89" t="e">
        <f>#REF!</f>
        <v>#REF!</v>
      </c>
      <c r="AP508" s="89" t="e">
        <f>#REF!</f>
        <v>#REF!</v>
      </c>
      <c r="AQ508" s="89" t="e">
        <f>#REF!</f>
        <v>#REF!</v>
      </c>
      <c r="AR508" s="89" t="e">
        <f>#REF!</f>
        <v>#REF!</v>
      </c>
      <c r="AS508" s="89" t="e">
        <f>#REF!</f>
        <v>#REF!</v>
      </c>
      <c r="AT508" s="89" t="e">
        <f>#REF!</f>
        <v>#REF!</v>
      </c>
      <c r="AU508" s="89" t="e">
        <f>#REF!</f>
        <v>#REF!</v>
      </c>
      <c r="AV508" s="89" t="e">
        <f>#REF!</f>
        <v>#REF!</v>
      </c>
      <c r="AW508" s="89" t="e">
        <f>#REF!</f>
        <v>#REF!</v>
      </c>
      <c r="AX508" s="89" t="e">
        <f>#REF!</f>
        <v>#REF!</v>
      </c>
      <c r="AY508" s="89" t="e">
        <f>#REF!</f>
        <v>#REF!</v>
      </c>
      <c r="AZ508" s="89" t="e">
        <f>#REF!</f>
        <v>#REF!</v>
      </c>
      <c r="BA508" s="89" t="e">
        <f>#REF!</f>
        <v>#REF!</v>
      </c>
      <c r="BB508" s="89" t="e">
        <f>#REF!</f>
        <v>#REF!</v>
      </c>
      <c r="BC508" s="89" t="e">
        <f>#REF!</f>
        <v>#REF!</v>
      </c>
      <c r="BD508" s="89" t="e">
        <f>#REF!</f>
        <v>#REF!</v>
      </c>
      <c r="BE508" s="89" t="e">
        <f>#REF!</f>
        <v>#REF!</v>
      </c>
      <c r="BF508" s="89" t="e">
        <f>#REF!</f>
        <v>#REF!</v>
      </c>
    </row>
    <row r="509" spans="9:58" x14ac:dyDescent="0.25">
      <c r="I509" s="89">
        <f>ABCD!J558</f>
        <v>126.25</v>
      </c>
      <c r="J509" s="89">
        <f>ABCD!K558</f>
        <v>414.09999999999997</v>
      </c>
      <c r="K509" s="89">
        <f>ABCD!L558</f>
        <v>5.1188786676791311</v>
      </c>
      <c r="L509" s="89">
        <f>ABCD!M558</f>
        <v>0.91066359718718082</v>
      </c>
      <c r="M509" s="89">
        <f>ABCD!N558</f>
        <v>5.1992525425932499</v>
      </c>
      <c r="N509" s="89" t="e">
        <v>#REF!</v>
      </c>
      <c r="O509" s="89" t="e">
        <v>#REF!</v>
      </c>
      <c r="P509" s="89" t="e">
        <v>#REF!</v>
      </c>
      <c r="Q509" s="89" t="e">
        <v>#REF!</v>
      </c>
      <c r="R509" s="89" t="e">
        <v>#REF!</v>
      </c>
      <c r="S509" s="89" t="e">
        <f>#REF!</f>
        <v>#REF!</v>
      </c>
      <c r="T509" s="89" t="e">
        <f>#REF!</f>
        <v>#REF!</v>
      </c>
      <c r="U509" s="89" t="e">
        <f>#REF!</f>
        <v>#REF!</v>
      </c>
      <c r="V509" s="89" t="e">
        <f>#REF!</f>
        <v>#REF!</v>
      </c>
      <c r="W509" s="89" t="e">
        <f>#REF!</f>
        <v>#REF!</v>
      </c>
      <c r="X509" s="89" t="e">
        <f>#REF!</f>
        <v>#REF!</v>
      </c>
      <c r="Y509" s="89" t="e">
        <f>#REF!</f>
        <v>#REF!</v>
      </c>
      <c r="Z509" s="89" t="e">
        <f>#REF!</f>
        <v>#REF!</v>
      </c>
      <c r="AA509" s="89" t="e">
        <f>#REF!</f>
        <v>#REF!</v>
      </c>
      <c r="AB509" s="89" t="e">
        <f>#REF!</f>
        <v>#REF!</v>
      </c>
      <c r="AC509" s="89" t="e">
        <f>#REF!</f>
        <v>#REF!</v>
      </c>
      <c r="AD509" s="89" t="e">
        <f>#REF!</f>
        <v>#REF!</v>
      </c>
      <c r="AE509" s="89" t="e">
        <f>#REF!</f>
        <v>#REF!</v>
      </c>
      <c r="AF509" s="89" t="e">
        <f>#REF!</f>
        <v>#REF!</v>
      </c>
      <c r="AG509" s="89" t="e">
        <f>#REF!</f>
        <v>#REF!</v>
      </c>
      <c r="AH509" s="89" t="e">
        <f>#REF!</f>
        <v>#REF!</v>
      </c>
      <c r="AI509" s="89" t="e">
        <f>#REF!</f>
        <v>#REF!</v>
      </c>
      <c r="AJ509" s="89" t="e">
        <f>#REF!</f>
        <v>#REF!</v>
      </c>
      <c r="AK509" s="89" t="e">
        <f>#REF!</f>
        <v>#REF!</v>
      </c>
      <c r="AL509" s="89" t="e">
        <f>#REF!</f>
        <v>#REF!</v>
      </c>
      <c r="AM509" s="89" t="e">
        <f>#REF!</f>
        <v>#REF!</v>
      </c>
      <c r="AN509" s="89" t="e">
        <f>#REF!</f>
        <v>#REF!</v>
      </c>
      <c r="AO509" s="89" t="e">
        <f>#REF!</f>
        <v>#REF!</v>
      </c>
      <c r="AP509" s="89" t="e">
        <f>#REF!</f>
        <v>#REF!</v>
      </c>
      <c r="AQ509" s="89" t="e">
        <f>#REF!</f>
        <v>#REF!</v>
      </c>
      <c r="AR509" s="89" t="e">
        <f>#REF!</f>
        <v>#REF!</v>
      </c>
      <c r="AS509" s="89" t="e">
        <f>#REF!</f>
        <v>#REF!</v>
      </c>
      <c r="AT509" s="89" t="e">
        <f>#REF!</f>
        <v>#REF!</v>
      </c>
      <c r="AU509" s="89" t="e">
        <f>#REF!</f>
        <v>#REF!</v>
      </c>
      <c r="AV509" s="89" t="e">
        <f>#REF!</f>
        <v>#REF!</v>
      </c>
      <c r="AW509" s="89" t="e">
        <f>#REF!</f>
        <v>#REF!</v>
      </c>
      <c r="AX509" s="89" t="e">
        <f>#REF!</f>
        <v>#REF!</v>
      </c>
      <c r="AY509" s="89" t="e">
        <f>#REF!</f>
        <v>#REF!</v>
      </c>
      <c r="AZ509" s="89" t="e">
        <f>#REF!</f>
        <v>#REF!</v>
      </c>
      <c r="BA509" s="89" t="e">
        <f>#REF!</f>
        <v>#REF!</v>
      </c>
      <c r="BB509" s="89" t="e">
        <f>#REF!</f>
        <v>#REF!</v>
      </c>
      <c r="BC509" s="89" t="e">
        <f>#REF!</f>
        <v>#REF!</v>
      </c>
      <c r="BD509" s="89" t="e">
        <f>#REF!</f>
        <v>#REF!</v>
      </c>
      <c r="BE509" s="89" t="e">
        <f>#REF!</f>
        <v>#REF!</v>
      </c>
      <c r="BF509" s="89" t="e">
        <f>#REF!</f>
        <v>#REF!</v>
      </c>
    </row>
    <row r="510" spans="9:58" x14ac:dyDescent="0.25">
      <c r="I510" s="89">
        <f>ABCD!J559</f>
        <v>126.5</v>
      </c>
      <c r="J510" s="89">
        <f>ABCD!K559</f>
        <v>414.91999999999996</v>
      </c>
      <c r="K510" s="89">
        <f>ABCD!L559</f>
        <v>5.1506371169062817</v>
      </c>
      <c r="L510" s="89">
        <f>ABCD!M559</f>
        <v>0.91717024735363251</v>
      </c>
      <c r="M510" s="89">
        <f>ABCD!N559</f>
        <v>5.2316597722599827</v>
      </c>
      <c r="N510" s="89" t="e">
        <v>#REF!</v>
      </c>
      <c r="O510" s="89" t="e">
        <v>#REF!</v>
      </c>
      <c r="P510" s="89" t="e">
        <v>#REF!</v>
      </c>
      <c r="Q510" s="89" t="e">
        <v>#REF!</v>
      </c>
      <c r="R510" s="89" t="e">
        <v>#REF!</v>
      </c>
      <c r="S510" s="89" t="e">
        <f>#REF!</f>
        <v>#REF!</v>
      </c>
      <c r="T510" s="89" t="e">
        <f>#REF!</f>
        <v>#REF!</v>
      </c>
      <c r="U510" s="89" t="e">
        <f>#REF!</f>
        <v>#REF!</v>
      </c>
      <c r="V510" s="89" t="e">
        <f>#REF!</f>
        <v>#REF!</v>
      </c>
      <c r="W510" s="89" t="e">
        <f>#REF!</f>
        <v>#REF!</v>
      </c>
      <c r="X510" s="89" t="e">
        <f>#REF!</f>
        <v>#REF!</v>
      </c>
      <c r="Y510" s="89" t="e">
        <f>#REF!</f>
        <v>#REF!</v>
      </c>
      <c r="Z510" s="89" t="e">
        <f>#REF!</f>
        <v>#REF!</v>
      </c>
      <c r="AA510" s="89" t="e">
        <f>#REF!</f>
        <v>#REF!</v>
      </c>
      <c r="AB510" s="89" t="e">
        <f>#REF!</f>
        <v>#REF!</v>
      </c>
      <c r="AC510" s="89" t="e">
        <f>#REF!</f>
        <v>#REF!</v>
      </c>
      <c r="AD510" s="89" t="e">
        <f>#REF!</f>
        <v>#REF!</v>
      </c>
      <c r="AE510" s="89" t="e">
        <f>#REF!</f>
        <v>#REF!</v>
      </c>
      <c r="AF510" s="89" t="e">
        <f>#REF!</f>
        <v>#REF!</v>
      </c>
      <c r="AG510" s="89" t="e">
        <f>#REF!</f>
        <v>#REF!</v>
      </c>
      <c r="AH510" s="89" t="e">
        <f>#REF!</f>
        <v>#REF!</v>
      </c>
      <c r="AI510" s="89" t="e">
        <f>#REF!</f>
        <v>#REF!</v>
      </c>
      <c r="AJ510" s="89" t="e">
        <f>#REF!</f>
        <v>#REF!</v>
      </c>
      <c r="AK510" s="89" t="e">
        <f>#REF!</f>
        <v>#REF!</v>
      </c>
      <c r="AL510" s="89" t="e">
        <f>#REF!</f>
        <v>#REF!</v>
      </c>
      <c r="AM510" s="89" t="e">
        <f>#REF!</f>
        <v>#REF!</v>
      </c>
      <c r="AN510" s="89" t="e">
        <f>#REF!</f>
        <v>#REF!</v>
      </c>
      <c r="AO510" s="89" t="e">
        <f>#REF!</f>
        <v>#REF!</v>
      </c>
      <c r="AP510" s="89" t="e">
        <f>#REF!</f>
        <v>#REF!</v>
      </c>
      <c r="AQ510" s="89" t="e">
        <f>#REF!</f>
        <v>#REF!</v>
      </c>
      <c r="AR510" s="89" t="e">
        <f>#REF!</f>
        <v>#REF!</v>
      </c>
      <c r="AS510" s="89" t="e">
        <f>#REF!</f>
        <v>#REF!</v>
      </c>
      <c r="AT510" s="89" t="e">
        <f>#REF!</f>
        <v>#REF!</v>
      </c>
      <c r="AU510" s="89" t="e">
        <f>#REF!</f>
        <v>#REF!</v>
      </c>
      <c r="AV510" s="89" t="e">
        <f>#REF!</f>
        <v>#REF!</v>
      </c>
      <c r="AW510" s="89" t="e">
        <f>#REF!</f>
        <v>#REF!</v>
      </c>
      <c r="AX510" s="89" t="e">
        <f>#REF!</f>
        <v>#REF!</v>
      </c>
      <c r="AY510" s="89" t="e">
        <f>#REF!</f>
        <v>#REF!</v>
      </c>
      <c r="AZ510" s="89" t="e">
        <f>#REF!</f>
        <v>#REF!</v>
      </c>
      <c r="BA510" s="89" t="e">
        <f>#REF!</f>
        <v>#REF!</v>
      </c>
      <c r="BB510" s="89" t="e">
        <f>#REF!</f>
        <v>#REF!</v>
      </c>
      <c r="BC510" s="89" t="e">
        <f>#REF!</f>
        <v>#REF!</v>
      </c>
      <c r="BD510" s="89" t="e">
        <f>#REF!</f>
        <v>#REF!</v>
      </c>
      <c r="BE510" s="89" t="e">
        <f>#REF!</f>
        <v>#REF!</v>
      </c>
      <c r="BF510" s="89" t="e">
        <f>#REF!</f>
        <v>#REF!</v>
      </c>
    </row>
    <row r="511" spans="9:58" x14ac:dyDescent="0.25">
      <c r="I511" s="89">
        <f>ABCD!J560</f>
        <v>126.75</v>
      </c>
      <c r="J511" s="89">
        <f>ABCD!K560</f>
        <v>415.73999999999995</v>
      </c>
      <c r="K511" s="89">
        <f>ABCD!L560</f>
        <v>5.1811780177752453</v>
      </c>
      <c r="L511" s="89">
        <f>ABCD!M560</f>
        <v>0.92345932360291383</v>
      </c>
      <c r="M511" s="89">
        <f>ABCD!N560</f>
        <v>5.262830300724751</v>
      </c>
      <c r="N511" s="89" t="e">
        <v>#REF!</v>
      </c>
      <c r="O511" s="89" t="e">
        <v>#REF!</v>
      </c>
      <c r="P511" s="89" t="e">
        <v>#REF!</v>
      </c>
      <c r="Q511" s="89" t="e">
        <v>#REF!</v>
      </c>
      <c r="R511" s="89" t="e">
        <v>#REF!</v>
      </c>
      <c r="S511" s="89" t="e">
        <f>#REF!</f>
        <v>#REF!</v>
      </c>
      <c r="T511" s="89" t="e">
        <f>#REF!</f>
        <v>#REF!</v>
      </c>
      <c r="U511" s="89" t="e">
        <f>#REF!</f>
        <v>#REF!</v>
      </c>
      <c r="V511" s="89" t="e">
        <f>#REF!</f>
        <v>#REF!</v>
      </c>
      <c r="W511" s="89" t="e">
        <f>#REF!</f>
        <v>#REF!</v>
      </c>
      <c r="X511" s="89" t="e">
        <f>#REF!</f>
        <v>#REF!</v>
      </c>
      <c r="Y511" s="89" t="e">
        <f>#REF!</f>
        <v>#REF!</v>
      </c>
      <c r="Z511" s="89" t="e">
        <f>#REF!</f>
        <v>#REF!</v>
      </c>
      <c r="AA511" s="89" t="e">
        <f>#REF!</f>
        <v>#REF!</v>
      </c>
      <c r="AB511" s="89" t="e">
        <f>#REF!</f>
        <v>#REF!</v>
      </c>
      <c r="AC511" s="89" t="e">
        <f>#REF!</f>
        <v>#REF!</v>
      </c>
      <c r="AD511" s="89" t="e">
        <f>#REF!</f>
        <v>#REF!</v>
      </c>
      <c r="AE511" s="89" t="e">
        <f>#REF!</f>
        <v>#REF!</v>
      </c>
      <c r="AF511" s="89" t="e">
        <f>#REF!</f>
        <v>#REF!</v>
      </c>
      <c r="AG511" s="89" t="e">
        <f>#REF!</f>
        <v>#REF!</v>
      </c>
      <c r="AH511" s="89" t="e">
        <f>#REF!</f>
        <v>#REF!</v>
      </c>
      <c r="AI511" s="89" t="e">
        <f>#REF!</f>
        <v>#REF!</v>
      </c>
      <c r="AJ511" s="89" t="e">
        <f>#REF!</f>
        <v>#REF!</v>
      </c>
      <c r="AK511" s="89" t="e">
        <f>#REF!</f>
        <v>#REF!</v>
      </c>
      <c r="AL511" s="89" t="e">
        <f>#REF!</f>
        <v>#REF!</v>
      </c>
      <c r="AM511" s="89" t="e">
        <f>#REF!</f>
        <v>#REF!</v>
      </c>
      <c r="AN511" s="89" t="e">
        <f>#REF!</f>
        <v>#REF!</v>
      </c>
      <c r="AO511" s="89" t="e">
        <f>#REF!</f>
        <v>#REF!</v>
      </c>
      <c r="AP511" s="89" t="e">
        <f>#REF!</f>
        <v>#REF!</v>
      </c>
      <c r="AQ511" s="89" t="e">
        <f>#REF!</f>
        <v>#REF!</v>
      </c>
      <c r="AR511" s="89" t="e">
        <f>#REF!</f>
        <v>#REF!</v>
      </c>
      <c r="AS511" s="89" t="e">
        <f>#REF!</f>
        <v>#REF!</v>
      </c>
      <c r="AT511" s="89" t="e">
        <f>#REF!</f>
        <v>#REF!</v>
      </c>
      <c r="AU511" s="89" t="e">
        <f>#REF!</f>
        <v>#REF!</v>
      </c>
      <c r="AV511" s="89" t="e">
        <f>#REF!</f>
        <v>#REF!</v>
      </c>
      <c r="AW511" s="89" t="e">
        <f>#REF!</f>
        <v>#REF!</v>
      </c>
      <c r="AX511" s="89" t="e">
        <f>#REF!</f>
        <v>#REF!</v>
      </c>
      <c r="AY511" s="89" t="e">
        <f>#REF!</f>
        <v>#REF!</v>
      </c>
      <c r="AZ511" s="89" t="e">
        <f>#REF!</f>
        <v>#REF!</v>
      </c>
      <c r="BA511" s="89" t="e">
        <f>#REF!</f>
        <v>#REF!</v>
      </c>
      <c r="BB511" s="89" t="e">
        <f>#REF!</f>
        <v>#REF!</v>
      </c>
      <c r="BC511" s="89" t="e">
        <f>#REF!</f>
        <v>#REF!</v>
      </c>
      <c r="BD511" s="89" t="e">
        <f>#REF!</f>
        <v>#REF!</v>
      </c>
      <c r="BE511" s="89" t="e">
        <f>#REF!</f>
        <v>#REF!</v>
      </c>
      <c r="BF511" s="89" t="e">
        <f>#REF!</f>
        <v>#REF!</v>
      </c>
    </row>
    <row r="512" spans="9:58" x14ac:dyDescent="0.25">
      <c r="I512" s="89">
        <f>ABCD!J561</f>
        <v>127</v>
      </c>
      <c r="J512" s="89">
        <f>ABCD!K561</f>
        <v>416.56</v>
      </c>
      <c r="K512" s="89">
        <f>ABCD!L561</f>
        <v>5.2104954154921757</v>
      </c>
      <c r="L512" s="89">
        <f>ABCD!M561</f>
        <v>0.92952956988632762</v>
      </c>
      <c r="M512" s="89">
        <f>ABCD!N561</f>
        <v>5.2927580424725669</v>
      </c>
      <c r="N512" s="89" t="e">
        <v>#REF!</v>
      </c>
      <c r="O512" s="89" t="e">
        <v>#REF!</v>
      </c>
      <c r="P512" s="89" t="e">
        <v>#REF!</v>
      </c>
      <c r="Q512" s="89" t="e">
        <v>#REF!</v>
      </c>
      <c r="R512" s="89" t="e">
        <v>#REF!</v>
      </c>
      <c r="S512" s="89" t="e">
        <f>#REF!</f>
        <v>#REF!</v>
      </c>
      <c r="T512" s="89" t="e">
        <f>#REF!</f>
        <v>#REF!</v>
      </c>
      <c r="U512" s="89" t="e">
        <f>#REF!</f>
        <v>#REF!</v>
      </c>
      <c r="V512" s="89" t="e">
        <f>#REF!</f>
        <v>#REF!</v>
      </c>
      <c r="W512" s="89" t="e">
        <f>#REF!</f>
        <v>#REF!</v>
      </c>
      <c r="X512" s="89" t="e">
        <f>#REF!</f>
        <v>#REF!</v>
      </c>
      <c r="Y512" s="89" t="e">
        <f>#REF!</f>
        <v>#REF!</v>
      </c>
      <c r="Z512" s="89" t="e">
        <f>#REF!</f>
        <v>#REF!</v>
      </c>
      <c r="AA512" s="89" t="e">
        <f>#REF!</f>
        <v>#REF!</v>
      </c>
      <c r="AB512" s="89" t="e">
        <f>#REF!</f>
        <v>#REF!</v>
      </c>
      <c r="AC512" s="89" t="e">
        <f>#REF!</f>
        <v>#REF!</v>
      </c>
      <c r="AD512" s="89" t="e">
        <f>#REF!</f>
        <v>#REF!</v>
      </c>
      <c r="AE512" s="89" t="e">
        <f>#REF!</f>
        <v>#REF!</v>
      </c>
      <c r="AF512" s="89" t="e">
        <f>#REF!</f>
        <v>#REF!</v>
      </c>
      <c r="AG512" s="89" t="e">
        <f>#REF!</f>
        <v>#REF!</v>
      </c>
      <c r="AH512" s="89" t="e">
        <f>#REF!</f>
        <v>#REF!</v>
      </c>
      <c r="AI512" s="89" t="e">
        <f>#REF!</f>
        <v>#REF!</v>
      </c>
      <c r="AJ512" s="89" t="e">
        <f>#REF!</f>
        <v>#REF!</v>
      </c>
      <c r="AK512" s="89" t="e">
        <f>#REF!</f>
        <v>#REF!</v>
      </c>
      <c r="AL512" s="89" t="e">
        <f>#REF!</f>
        <v>#REF!</v>
      </c>
      <c r="AM512" s="89" t="e">
        <f>#REF!</f>
        <v>#REF!</v>
      </c>
      <c r="AN512" s="89" t="e">
        <f>#REF!</f>
        <v>#REF!</v>
      </c>
      <c r="AO512" s="89" t="e">
        <f>#REF!</f>
        <v>#REF!</v>
      </c>
      <c r="AP512" s="89" t="e">
        <f>#REF!</f>
        <v>#REF!</v>
      </c>
      <c r="AQ512" s="89" t="e">
        <f>#REF!</f>
        <v>#REF!</v>
      </c>
      <c r="AR512" s="89" t="e">
        <f>#REF!</f>
        <v>#REF!</v>
      </c>
      <c r="AS512" s="89" t="e">
        <f>#REF!</f>
        <v>#REF!</v>
      </c>
      <c r="AT512" s="89" t="e">
        <f>#REF!</f>
        <v>#REF!</v>
      </c>
      <c r="AU512" s="89" t="e">
        <f>#REF!</f>
        <v>#REF!</v>
      </c>
      <c r="AV512" s="89" t="e">
        <f>#REF!</f>
        <v>#REF!</v>
      </c>
      <c r="AW512" s="89" t="e">
        <f>#REF!</f>
        <v>#REF!</v>
      </c>
      <c r="AX512" s="89" t="e">
        <f>#REF!</f>
        <v>#REF!</v>
      </c>
      <c r="AY512" s="89" t="e">
        <f>#REF!</f>
        <v>#REF!</v>
      </c>
      <c r="AZ512" s="89" t="e">
        <f>#REF!</f>
        <v>#REF!</v>
      </c>
      <c r="BA512" s="89" t="e">
        <f>#REF!</f>
        <v>#REF!</v>
      </c>
      <c r="BB512" s="89" t="e">
        <f>#REF!</f>
        <v>#REF!</v>
      </c>
      <c r="BC512" s="89" t="e">
        <f>#REF!</f>
        <v>#REF!</v>
      </c>
      <c r="BD512" s="89" t="e">
        <f>#REF!</f>
        <v>#REF!</v>
      </c>
      <c r="BE512" s="89" t="e">
        <f>#REF!</f>
        <v>#REF!</v>
      </c>
      <c r="BF512" s="89" t="e">
        <f>#REF!</f>
        <v>#REF!</v>
      </c>
    </row>
    <row r="513" spans="9:58" x14ac:dyDescent="0.25">
      <c r="I513" s="89">
        <f>ABCD!J562</f>
        <v>127.25</v>
      </c>
      <c r="J513" s="89">
        <f>ABCD!K562</f>
        <v>417.38</v>
      </c>
      <c r="K513" s="89">
        <f>ABCD!L562</f>
        <v>5.2385836430549197</v>
      </c>
      <c r="L513" s="89">
        <f>ABCD!M562</f>
        <v>0.93537978180006842</v>
      </c>
      <c r="M513" s="89">
        <f>ABCD!N562</f>
        <v>5.3214372045043339</v>
      </c>
      <c r="N513" s="89" t="e">
        <v>#REF!</v>
      </c>
      <c r="O513" s="89" t="e">
        <v>#REF!</v>
      </c>
      <c r="P513" s="89" t="e">
        <v>#REF!</v>
      </c>
      <c r="Q513" s="89" t="e">
        <v>#REF!</v>
      </c>
      <c r="R513" s="89" t="e">
        <v>#REF!</v>
      </c>
      <c r="S513" s="89" t="e">
        <f>#REF!</f>
        <v>#REF!</v>
      </c>
      <c r="T513" s="89" t="e">
        <f>#REF!</f>
        <v>#REF!</v>
      </c>
      <c r="U513" s="89" t="e">
        <f>#REF!</f>
        <v>#REF!</v>
      </c>
      <c r="V513" s="89" t="e">
        <f>#REF!</f>
        <v>#REF!</v>
      </c>
      <c r="W513" s="89" t="e">
        <f>#REF!</f>
        <v>#REF!</v>
      </c>
      <c r="X513" s="89" t="e">
        <f>#REF!</f>
        <v>#REF!</v>
      </c>
      <c r="Y513" s="89" t="e">
        <f>#REF!</f>
        <v>#REF!</v>
      </c>
      <c r="Z513" s="89" t="e">
        <f>#REF!</f>
        <v>#REF!</v>
      </c>
      <c r="AA513" s="89" t="e">
        <f>#REF!</f>
        <v>#REF!</v>
      </c>
      <c r="AB513" s="89" t="e">
        <f>#REF!</f>
        <v>#REF!</v>
      </c>
      <c r="AC513" s="89" t="e">
        <f>#REF!</f>
        <v>#REF!</v>
      </c>
      <c r="AD513" s="89" t="e">
        <f>#REF!</f>
        <v>#REF!</v>
      </c>
      <c r="AE513" s="89" t="e">
        <f>#REF!</f>
        <v>#REF!</v>
      </c>
      <c r="AF513" s="89" t="e">
        <f>#REF!</f>
        <v>#REF!</v>
      </c>
      <c r="AG513" s="89" t="e">
        <f>#REF!</f>
        <v>#REF!</v>
      </c>
      <c r="AH513" s="89" t="e">
        <f>#REF!</f>
        <v>#REF!</v>
      </c>
      <c r="AI513" s="89" t="e">
        <f>#REF!</f>
        <v>#REF!</v>
      </c>
      <c r="AJ513" s="89" t="e">
        <f>#REF!</f>
        <v>#REF!</v>
      </c>
      <c r="AK513" s="89" t="e">
        <f>#REF!</f>
        <v>#REF!</v>
      </c>
      <c r="AL513" s="89" t="e">
        <f>#REF!</f>
        <v>#REF!</v>
      </c>
      <c r="AM513" s="89" t="e">
        <f>#REF!</f>
        <v>#REF!</v>
      </c>
      <c r="AN513" s="89" t="e">
        <f>#REF!</f>
        <v>#REF!</v>
      </c>
      <c r="AO513" s="89" t="e">
        <f>#REF!</f>
        <v>#REF!</v>
      </c>
      <c r="AP513" s="89" t="e">
        <f>#REF!</f>
        <v>#REF!</v>
      </c>
      <c r="AQ513" s="89" t="e">
        <f>#REF!</f>
        <v>#REF!</v>
      </c>
      <c r="AR513" s="89" t="e">
        <f>#REF!</f>
        <v>#REF!</v>
      </c>
      <c r="AS513" s="89" t="e">
        <f>#REF!</f>
        <v>#REF!</v>
      </c>
      <c r="AT513" s="89" t="e">
        <f>#REF!</f>
        <v>#REF!</v>
      </c>
      <c r="AU513" s="89" t="e">
        <f>#REF!</f>
        <v>#REF!</v>
      </c>
      <c r="AV513" s="89" t="e">
        <f>#REF!</f>
        <v>#REF!</v>
      </c>
      <c r="AW513" s="89" t="e">
        <f>#REF!</f>
        <v>#REF!</v>
      </c>
      <c r="AX513" s="89" t="e">
        <f>#REF!</f>
        <v>#REF!</v>
      </c>
      <c r="AY513" s="89" t="e">
        <f>#REF!</f>
        <v>#REF!</v>
      </c>
      <c r="AZ513" s="89" t="e">
        <f>#REF!</f>
        <v>#REF!</v>
      </c>
      <c r="BA513" s="89" t="e">
        <f>#REF!</f>
        <v>#REF!</v>
      </c>
      <c r="BB513" s="89" t="e">
        <f>#REF!</f>
        <v>#REF!</v>
      </c>
      <c r="BC513" s="89" t="e">
        <f>#REF!</f>
        <v>#REF!</v>
      </c>
      <c r="BD513" s="89" t="e">
        <f>#REF!</f>
        <v>#REF!</v>
      </c>
      <c r="BE513" s="89" t="e">
        <f>#REF!</f>
        <v>#REF!</v>
      </c>
      <c r="BF513" s="89" t="e">
        <f>#REF!</f>
        <v>#REF!</v>
      </c>
    </row>
    <row r="514" spans="9:58" x14ac:dyDescent="0.25">
      <c r="I514" s="89">
        <f>ABCD!J563</f>
        <v>127.5</v>
      </c>
      <c r="J514" s="89">
        <f>ABCD!K563</f>
        <v>418.2</v>
      </c>
      <c r="K514" s="89">
        <f>ABCD!L563</f>
        <v>5.2654373223022883</v>
      </c>
      <c r="L514" s="89">
        <f>ABCD!M563</f>
        <v>0.9410088068167648</v>
      </c>
      <c r="M514" s="89">
        <f>ABCD!N563</f>
        <v>5.3488622874028646</v>
      </c>
      <c r="N514" s="89" t="e">
        <v>#REF!</v>
      </c>
      <c r="O514" s="89" t="e">
        <v>#REF!</v>
      </c>
      <c r="P514" s="89" t="e">
        <v>#REF!</v>
      </c>
      <c r="Q514" s="89" t="e">
        <v>#REF!</v>
      </c>
      <c r="R514" s="89" t="e">
        <v>#REF!</v>
      </c>
      <c r="S514" s="89" t="e">
        <f>#REF!</f>
        <v>#REF!</v>
      </c>
      <c r="T514" s="89" t="e">
        <f>#REF!</f>
        <v>#REF!</v>
      </c>
      <c r="U514" s="89" t="e">
        <f>#REF!</f>
        <v>#REF!</v>
      </c>
      <c r="V514" s="89" t="e">
        <f>#REF!</f>
        <v>#REF!</v>
      </c>
      <c r="W514" s="89" t="e">
        <f>#REF!</f>
        <v>#REF!</v>
      </c>
      <c r="X514" s="89" t="e">
        <f>#REF!</f>
        <v>#REF!</v>
      </c>
      <c r="Y514" s="89" t="e">
        <f>#REF!</f>
        <v>#REF!</v>
      </c>
      <c r="Z514" s="89" t="e">
        <f>#REF!</f>
        <v>#REF!</v>
      </c>
      <c r="AA514" s="89" t="e">
        <f>#REF!</f>
        <v>#REF!</v>
      </c>
      <c r="AB514" s="89" t="e">
        <f>#REF!</f>
        <v>#REF!</v>
      </c>
      <c r="AC514" s="89" t="e">
        <f>#REF!</f>
        <v>#REF!</v>
      </c>
      <c r="AD514" s="89" t="e">
        <f>#REF!</f>
        <v>#REF!</v>
      </c>
      <c r="AE514" s="89" t="e">
        <f>#REF!</f>
        <v>#REF!</v>
      </c>
      <c r="AF514" s="89" t="e">
        <f>#REF!</f>
        <v>#REF!</v>
      </c>
      <c r="AG514" s="89" t="e">
        <f>#REF!</f>
        <v>#REF!</v>
      </c>
      <c r="AH514" s="89" t="e">
        <f>#REF!</f>
        <v>#REF!</v>
      </c>
      <c r="AI514" s="89" t="e">
        <f>#REF!</f>
        <v>#REF!</v>
      </c>
      <c r="AJ514" s="89" t="e">
        <f>#REF!</f>
        <v>#REF!</v>
      </c>
      <c r="AK514" s="89" t="e">
        <f>#REF!</f>
        <v>#REF!</v>
      </c>
      <c r="AL514" s="89" t="e">
        <f>#REF!</f>
        <v>#REF!</v>
      </c>
      <c r="AM514" s="89" t="e">
        <f>#REF!</f>
        <v>#REF!</v>
      </c>
      <c r="AN514" s="89" t="e">
        <f>#REF!</f>
        <v>#REF!</v>
      </c>
      <c r="AO514" s="89" t="e">
        <f>#REF!</f>
        <v>#REF!</v>
      </c>
      <c r="AP514" s="89" t="e">
        <f>#REF!</f>
        <v>#REF!</v>
      </c>
      <c r="AQ514" s="89" t="e">
        <f>#REF!</f>
        <v>#REF!</v>
      </c>
      <c r="AR514" s="89" t="e">
        <f>#REF!</f>
        <v>#REF!</v>
      </c>
      <c r="AS514" s="89" t="e">
        <f>#REF!</f>
        <v>#REF!</v>
      </c>
      <c r="AT514" s="89" t="e">
        <f>#REF!</f>
        <v>#REF!</v>
      </c>
      <c r="AU514" s="89" t="e">
        <f>#REF!</f>
        <v>#REF!</v>
      </c>
      <c r="AV514" s="89" t="e">
        <f>#REF!</f>
        <v>#REF!</v>
      </c>
      <c r="AW514" s="89" t="e">
        <f>#REF!</f>
        <v>#REF!</v>
      </c>
      <c r="AX514" s="89" t="e">
        <f>#REF!</f>
        <v>#REF!</v>
      </c>
      <c r="AY514" s="89" t="e">
        <f>#REF!</f>
        <v>#REF!</v>
      </c>
      <c r="AZ514" s="89" t="e">
        <f>#REF!</f>
        <v>#REF!</v>
      </c>
      <c r="BA514" s="89" t="e">
        <f>#REF!</f>
        <v>#REF!</v>
      </c>
      <c r="BB514" s="89" t="e">
        <f>#REF!</f>
        <v>#REF!</v>
      </c>
      <c r="BC514" s="89" t="e">
        <f>#REF!</f>
        <v>#REF!</v>
      </c>
      <c r="BD514" s="89" t="e">
        <f>#REF!</f>
        <v>#REF!</v>
      </c>
      <c r="BE514" s="89" t="e">
        <f>#REF!</f>
        <v>#REF!</v>
      </c>
      <c r="BF514" s="89" t="e">
        <f>#REF!</f>
        <v>#REF!</v>
      </c>
    </row>
    <row r="515" spans="9:58" x14ac:dyDescent="0.25">
      <c r="I515" s="89">
        <f>ABCD!J564</f>
        <v>127.75</v>
      </c>
      <c r="J515" s="89">
        <f>ABCD!K564</f>
        <v>419.02</v>
      </c>
      <c r="K515" s="89">
        <f>ABCD!L564</f>
        <v>5.2910513648957185</v>
      </c>
      <c r="L515" s="89">
        <f>ABCD!M564</f>
        <v>0.94641554450488408</v>
      </c>
      <c r="M515" s="89">
        <f>ABCD!N564</f>
        <v>5.3750280863308353</v>
      </c>
      <c r="N515" s="89" t="e">
        <v>#REF!</v>
      </c>
      <c r="O515" s="89" t="e">
        <v>#REF!</v>
      </c>
      <c r="P515" s="89" t="e">
        <v>#REF!</v>
      </c>
      <c r="Q515" s="89" t="e">
        <v>#REF!</v>
      </c>
      <c r="R515" s="89" t="e">
        <v>#REF!</v>
      </c>
      <c r="S515" s="89" t="e">
        <f>#REF!</f>
        <v>#REF!</v>
      </c>
      <c r="T515" s="89" t="e">
        <f>#REF!</f>
        <v>#REF!</v>
      </c>
      <c r="U515" s="89" t="e">
        <f>#REF!</f>
        <v>#REF!</v>
      </c>
      <c r="V515" s="89" t="e">
        <f>#REF!</f>
        <v>#REF!</v>
      </c>
      <c r="W515" s="89" t="e">
        <f>#REF!</f>
        <v>#REF!</v>
      </c>
      <c r="X515" s="89" t="e">
        <f>#REF!</f>
        <v>#REF!</v>
      </c>
      <c r="Y515" s="89" t="e">
        <f>#REF!</f>
        <v>#REF!</v>
      </c>
      <c r="Z515" s="89" t="e">
        <f>#REF!</f>
        <v>#REF!</v>
      </c>
      <c r="AA515" s="89" t="e">
        <f>#REF!</f>
        <v>#REF!</v>
      </c>
      <c r="AB515" s="89" t="e">
        <f>#REF!</f>
        <v>#REF!</v>
      </c>
      <c r="AC515" s="89" t="e">
        <f>#REF!</f>
        <v>#REF!</v>
      </c>
      <c r="AD515" s="89" t="e">
        <f>#REF!</f>
        <v>#REF!</v>
      </c>
      <c r="AE515" s="89" t="e">
        <f>#REF!</f>
        <v>#REF!</v>
      </c>
      <c r="AF515" s="89" t="e">
        <f>#REF!</f>
        <v>#REF!</v>
      </c>
      <c r="AG515" s="89" t="e">
        <f>#REF!</f>
        <v>#REF!</v>
      </c>
      <c r="AH515" s="89" t="e">
        <f>#REF!</f>
        <v>#REF!</v>
      </c>
      <c r="AI515" s="89" t="e">
        <f>#REF!</f>
        <v>#REF!</v>
      </c>
      <c r="AJ515" s="89" t="e">
        <f>#REF!</f>
        <v>#REF!</v>
      </c>
      <c r="AK515" s="89" t="e">
        <f>#REF!</f>
        <v>#REF!</v>
      </c>
      <c r="AL515" s="89" t="e">
        <f>#REF!</f>
        <v>#REF!</v>
      </c>
      <c r="AM515" s="89" t="e">
        <f>#REF!</f>
        <v>#REF!</v>
      </c>
      <c r="AN515" s="89" t="e">
        <f>#REF!</f>
        <v>#REF!</v>
      </c>
      <c r="AO515" s="89" t="e">
        <f>#REF!</f>
        <v>#REF!</v>
      </c>
      <c r="AP515" s="89" t="e">
        <f>#REF!</f>
        <v>#REF!</v>
      </c>
      <c r="AQ515" s="89" t="e">
        <f>#REF!</f>
        <v>#REF!</v>
      </c>
      <c r="AR515" s="89" t="e">
        <f>#REF!</f>
        <v>#REF!</v>
      </c>
      <c r="AS515" s="89" t="e">
        <f>#REF!</f>
        <v>#REF!</v>
      </c>
      <c r="AT515" s="89" t="e">
        <f>#REF!</f>
        <v>#REF!</v>
      </c>
      <c r="AU515" s="89" t="e">
        <f>#REF!</f>
        <v>#REF!</v>
      </c>
      <c r="AV515" s="89" t="e">
        <f>#REF!</f>
        <v>#REF!</v>
      </c>
      <c r="AW515" s="89" t="e">
        <f>#REF!</f>
        <v>#REF!</v>
      </c>
      <c r="AX515" s="89" t="e">
        <f>#REF!</f>
        <v>#REF!</v>
      </c>
      <c r="AY515" s="89" t="e">
        <f>#REF!</f>
        <v>#REF!</v>
      </c>
      <c r="AZ515" s="89" t="e">
        <f>#REF!</f>
        <v>#REF!</v>
      </c>
      <c r="BA515" s="89" t="e">
        <f>#REF!</f>
        <v>#REF!</v>
      </c>
      <c r="BB515" s="89" t="e">
        <f>#REF!</f>
        <v>#REF!</v>
      </c>
      <c r="BC515" s="89" t="e">
        <f>#REF!</f>
        <v>#REF!</v>
      </c>
      <c r="BD515" s="89" t="e">
        <f>#REF!</f>
        <v>#REF!</v>
      </c>
      <c r="BE515" s="89" t="e">
        <f>#REF!</f>
        <v>#REF!</v>
      </c>
      <c r="BF515" s="89" t="e">
        <f>#REF!</f>
        <v>#REF!</v>
      </c>
    </row>
    <row r="516" spans="9:58" x14ac:dyDescent="0.25">
      <c r="I516" s="89">
        <f>ABCD!J565</f>
        <v>128</v>
      </c>
      <c r="J516" s="89">
        <f>ABCD!K565</f>
        <v>419.84</v>
      </c>
      <c r="K516" s="89">
        <f>ABCD!L565</f>
        <v>5.3154209732331577</v>
      </c>
      <c r="L516" s="89">
        <f>ABCD!M565</f>
        <v>0.95159894673588075</v>
      </c>
      <c r="M516" s="89">
        <f>ABCD!N565</f>
        <v>5.3999296919604207</v>
      </c>
      <c r="N516" s="89" t="e">
        <v>#REF!</v>
      </c>
      <c r="O516" s="89" t="e">
        <v>#REF!</v>
      </c>
      <c r="P516" s="89" t="e">
        <v>#REF!</v>
      </c>
      <c r="Q516" s="89" t="e">
        <v>#REF!</v>
      </c>
      <c r="R516" s="89" t="e">
        <v>#REF!</v>
      </c>
      <c r="S516" s="89" t="e">
        <f>#REF!</f>
        <v>#REF!</v>
      </c>
      <c r="T516" s="89" t="e">
        <f>#REF!</f>
        <v>#REF!</v>
      </c>
      <c r="U516" s="89" t="e">
        <f>#REF!</f>
        <v>#REF!</v>
      </c>
      <c r="V516" s="89" t="e">
        <f>#REF!</f>
        <v>#REF!</v>
      </c>
      <c r="W516" s="89" t="e">
        <f>#REF!</f>
        <v>#REF!</v>
      </c>
      <c r="X516" s="89" t="e">
        <f>#REF!</f>
        <v>#REF!</v>
      </c>
      <c r="Y516" s="89" t="e">
        <f>#REF!</f>
        <v>#REF!</v>
      </c>
      <c r="Z516" s="89" t="e">
        <f>#REF!</f>
        <v>#REF!</v>
      </c>
      <c r="AA516" s="89" t="e">
        <f>#REF!</f>
        <v>#REF!</v>
      </c>
      <c r="AB516" s="89" t="e">
        <f>#REF!</f>
        <v>#REF!</v>
      </c>
      <c r="AC516" s="89" t="e">
        <f>#REF!</f>
        <v>#REF!</v>
      </c>
      <c r="AD516" s="89" t="e">
        <f>#REF!</f>
        <v>#REF!</v>
      </c>
      <c r="AE516" s="89" t="e">
        <f>#REF!</f>
        <v>#REF!</v>
      </c>
      <c r="AF516" s="89" t="e">
        <f>#REF!</f>
        <v>#REF!</v>
      </c>
      <c r="AG516" s="89" t="e">
        <f>#REF!</f>
        <v>#REF!</v>
      </c>
      <c r="AH516" s="89" t="e">
        <f>#REF!</f>
        <v>#REF!</v>
      </c>
      <c r="AI516" s="89" t="e">
        <f>#REF!</f>
        <v>#REF!</v>
      </c>
      <c r="AJ516" s="89" t="e">
        <f>#REF!</f>
        <v>#REF!</v>
      </c>
      <c r="AK516" s="89" t="e">
        <f>#REF!</f>
        <v>#REF!</v>
      </c>
      <c r="AL516" s="89" t="e">
        <f>#REF!</f>
        <v>#REF!</v>
      </c>
      <c r="AM516" s="89" t="e">
        <f>#REF!</f>
        <v>#REF!</v>
      </c>
      <c r="AN516" s="89" t="e">
        <f>#REF!</f>
        <v>#REF!</v>
      </c>
      <c r="AO516" s="89" t="e">
        <f>#REF!</f>
        <v>#REF!</v>
      </c>
      <c r="AP516" s="89" t="e">
        <f>#REF!</f>
        <v>#REF!</v>
      </c>
      <c r="AQ516" s="89" t="e">
        <f>#REF!</f>
        <v>#REF!</v>
      </c>
      <c r="AR516" s="89" t="e">
        <f>#REF!</f>
        <v>#REF!</v>
      </c>
      <c r="AS516" s="89" t="e">
        <f>#REF!</f>
        <v>#REF!</v>
      </c>
      <c r="AT516" s="89" t="e">
        <f>#REF!</f>
        <v>#REF!</v>
      </c>
      <c r="AU516" s="89" t="e">
        <f>#REF!</f>
        <v>#REF!</v>
      </c>
      <c r="AV516" s="89" t="e">
        <f>#REF!</f>
        <v>#REF!</v>
      </c>
      <c r="AW516" s="89" t="e">
        <f>#REF!</f>
        <v>#REF!</v>
      </c>
      <c r="AX516" s="89" t="e">
        <f>#REF!</f>
        <v>#REF!</v>
      </c>
      <c r="AY516" s="89" t="e">
        <f>#REF!</f>
        <v>#REF!</v>
      </c>
      <c r="AZ516" s="89" t="e">
        <f>#REF!</f>
        <v>#REF!</v>
      </c>
      <c r="BA516" s="89" t="e">
        <f>#REF!</f>
        <v>#REF!</v>
      </c>
      <c r="BB516" s="89" t="e">
        <f>#REF!</f>
        <v>#REF!</v>
      </c>
      <c r="BC516" s="89" t="e">
        <f>#REF!</f>
        <v>#REF!</v>
      </c>
      <c r="BD516" s="89" t="e">
        <f>#REF!</f>
        <v>#REF!</v>
      </c>
      <c r="BE516" s="89" t="e">
        <f>#REF!</f>
        <v>#REF!</v>
      </c>
      <c r="BF516" s="89" t="e">
        <f>#REF!</f>
        <v>#REF!</v>
      </c>
    </row>
    <row r="517" spans="9:58" x14ac:dyDescent="0.25">
      <c r="I517" s="89">
        <f>ABCD!J566</f>
        <v>128.25</v>
      </c>
      <c r="J517" s="89">
        <f>ABCD!K566</f>
        <v>420.65999999999997</v>
      </c>
      <c r="K517" s="89">
        <f>ABCD!L566</f>
        <v>5.3385416412949862</v>
      </c>
      <c r="L517" s="89">
        <f>ABCD!M566</f>
        <v>0.95655801787909134</v>
      </c>
      <c r="M517" s="89">
        <f>ABCD!N566</f>
        <v>5.4235624913343941</v>
      </c>
      <c r="N517" s="89" t="e">
        <v>#REF!</v>
      </c>
      <c r="O517" s="89" t="e">
        <v>#REF!</v>
      </c>
      <c r="P517" s="89" t="e">
        <v>#REF!</v>
      </c>
      <c r="Q517" s="89" t="e">
        <v>#REF!</v>
      </c>
      <c r="R517" s="89" t="e">
        <v>#REF!</v>
      </c>
      <c r="S517" s="89" t="e">
        <f>#REF!</f>
        <v>#REF!</v>
      </c>
      <c r="T517" s="89" t="e">
        <f>#REF!</f>
        <v>#REF!</v>
      </c>
      <c r="U517" s="89" t="e">
        <f>#REF!</f>
        <v>#REF!</v>
      </c>
      <c r="V517" s="89" t="e">
        <f>#REF!</f>
        <v>#REF!</v>
      </c>
      <c r="W517" s="89" t="e">
        <f>#REF!</f>
        <v>#REF!</v>
      </c>
      <c r="X517" s="89" t="e">
        <f>#REF!</f>
        <v>#REF!</v>
      </c>
      <c r="Y517" s="89" t="e">
        <f>#REF!</f>
        <v>#REF!</v>
      </c>
      <c r="Z517" s="89" t="e">
        <f>#REF!</f>
        <v>#REF!</v>
      </c>
      <c r="AA517" s="89" t="e">
        <f>#REF!</f>
        <v>#REF!</v>
      </c>
      <c r="AB517" s="89" t="e">
        <f>#REF!</f>
        <v>#REF!</v>
      </c>
      <c r="AC517" s="89" t="e">
        <f>#REF!</f>
        <v>#REF!</v>
      </c>
      <c r="AD517" s="89" t="e">
        <f>#REF!</f>
        <v>#REF!</v>
      </c>
      <c r="AE517" s="89" t="e">
        <f>#REF!</f>
        <v>#REF!</v>
      </c>
      <c r="AF517" s="89" t="e">
        <f>#REF!</f>
        <v>#REF!</v>
      </c>
      <c r="AG517" s="89" t="e">
        <f>#REF!</f>
        <v>#REF!</v>
      </c>
      <c r="AH517" s="89" t="e">
        <f>#REF!</f>
        <v>#REF!</v>
      </c>
      <c r="AI517" s="89" t="e">
        <f>#REF!</f>
        <v>#REF!</v>
      </c>
      <c r="AJ517" s="89" t="e">
        <f>#REF!</f>
        <v>#REF!</v>
      </c>
      <c r="AK517" s="89" t="e">
        <f>#REF!</f>
        <v>#REF!</v>
      </c>
      <c r="AL517" s="89" t="e">
        <f>#REF!</f>
        <v>#REF!</v>
      </c>
      <c r="AM517" s="89" t="e">
        <f>#REF!</f>
        <v>#REF!</v>
      </c>
      <c r="AN517" s="89" t="e">
        <f>#REF!</f>
        <v>#REF!</v>
      </c>
      <c r="AO517" s="89" t="e">
        <f>#REF!</f>
        <v>#REF!</v>
      </c>
      <c r="AP517" s="89" t="e">
        <f>#REF!</f>
        <v>#REF!</v>
      </c>
      <c r="AQ517" s="89" t="e">
        <f>#REF!</f>
        <v>#REF!</v>
      </c>
      <c r="AR517" s="89" t="e">
        <f>#REF!</f>
        <v>#REF!</v>
      </c>
      <c r="AS517" s="89" t="e">
        <f>#REF!</f>
        <v>#REF!</v>
      </c>
      <c r="AT517" s="89" t="e">
        <f>#REF!</f>
        <v>#REF!</v>
      </c>
      <c r="AU517" s="89" t="e">
        <f>#REF!</f>
        <v>#REF!</v>
      </c>
      <c r="AV517" s="89" t="e">
        <f>#REF!</f>
        <v>#REF!</v>
      </c>
      <c r="AW517" s="89" t="e">
        <f>#REF!</f>
        <v>#REF!</v>
      </c>
      <c r="AX517" s="89" t="e">
        <f>#REF!</f>
        <v>#REF!</v>
      </c>
      <c r="AY517" s="89" t="e">
        <f>#REF!</f>
        <v>#REF!</v>
      </c>
      <c r="AZ517" s="89" t="e">
        <f>#REF!</f>
        <v>#REF!</v>
      </c>
      <c r="BA517" s="89" t="e">
        <f>#REF!</f>
        <v>#REF!</v>
      </c>
      <c r="BB517" s="89" t="e">
        <f>#REF!</f>
        <v>#REF!</v>
      </c>
      <c r="BC517" s="89" t="e">
        <f>#REF!</f>
        <v>#REF!</v>
      </c>
      <c r="BD517" s="89" t="e">
        <f>#REF!</f>
        <v>#REF!</v>
      </c>
      <c r="BE517" s="89" t="e">
        <f>#REF!</f>
        <v>#REF!</v>
      </c>
      <c r="BF517" s="89" t="e">
        <f>#REF!</f>
        <v>#REF!</v>
      </c>
    </row>
    <row r="518" spans="9:58" x14ac:dyDescent="0.25">
      <c r="I518" s="89">
        <f>ABCD!J567</f>
        <v>128.5</v>
      </c>
      <c r="J518" s="89">
        <f>ABCD!K567</f>
        <v>421.47999999999996</v>
      </c>
      <c r="K518" s="89">
        <f>ABCD!L567</f>
        <v>5.3604091554219</v>
      </c>
      <c r="L518" s="89">
        <f>ABCD!M567</f>
        <v>0.96129181498435712</v>
      </c>
      <c r="M518" s="89">
        <f>ABCD!N567</f>
        <v>5.4459221686585684</v>
      </c>
      <c r="N518" s="89" t="e">
        <v>#REF!</v>
      </c>
      <c r="O518" s="89" t="e">
        <v>#REF!</v>
      </c>
      <c r="P518" s="89" t="e">
        <v>#REF!</v>
      </c>
      <c r="Q518" s="89" t="e">
        <v>#REF!</v>
      </c>
      <c r="R518" s="89" t="e">
        <v>#REF!</v>
      </c>
      <c r="S518" s="89" t="e">
        <f>#REF!</f>
        <v>#REF!</v>
      </c>
      <c r="T518" s="89" t="e">
        <f>#REF!</f>
        <v>#REF!</v>
      </c>
      <c r="U518" s="89" t="e">
        <f>#REF!</f>
        <v>#REF!</v>
      </c>
      <c r="V518" s="89" t="e">
        <f>#REF!</f>
        <v>#REF!</v>
      </c>
      <c r="W518" s="89" t="e">
        <f>#REF!</f>
        <v>#REF!</v>
      </c>
      <c r="X518" s="89" t="e">
        <f>#REF!</f>
        <v>#REF!</v>
      </c>
      <c r="Y518" s="89" t="e">
        <f>#REF!</f>
        <v>#REF!</v>
      </c>
      <c r="Z518" s="89" t="e">
        <f>#REF!</f>
        <v>#REF!</v>
      </c>
      <c r="AA518" s="89" t="e">
        <f>#REF!</f>
        <v>#REF!</v>
      </c>
      <c r="AB518" s="89" t="e">
        <f>#REF!</f>
        <v>#REF!</v>
      </c>
      <c r="AC518" s="89" t="e">
        <f>#REF!</f>
        <v>#REF!</v>
      </c>
      <c r="AD518" s="89" t="e">
        <f>#REF!</f>
        <v>#REF!</v>
      </c>
      <c r="AE518" s="89" t="e">
        <f>#REF!</f>
        <v>#REF!</v>
      </c>
      <c r="AF518" s="89" t="e">
        <f>#REF!</f>
        <v>#REF!</v>
      </c>
      <c r="AG518" s="89" t="e">
        <f>#REF!</f>
        <v>#REF!</v>
      </c>
      <c r="AH518" s="89" t="e">
        <f>#REF!</f>
        <v>#REF!</v>
      </c>
      <c r="AI518" s="89" t="e">
        <f>#REF!</f>
        <v>#REF!</v>
      </c>
      <c r="AJ518" s="89" t="e">
        <f>#REF!</f>
        <v>#REF!</v>
      </c>
      <c r="AK518" s="89" t="e">
        <f>#REF!</f>
        <v>#REF!</v>
      </c>
      <c r="AL518" s="89" t="e">
        <f>#REF!</f>
        <v>#REF!</v>
      </c>
      <c r="AM518" s="89" t="e">
        <f>#REF!</f>
        <v>#REF!</v>
      </c>
      <c r="AN518" s="89" t="e">
        <f>#REF!</f>
        <v>#REF!</v>
      </c>
      <c r="AO518" s="89" t="e">
        <f>#REF!</f>
        <v>#REF!</v>
      </c>
      <c r="AP518" s="89" t="e">
        <f>#REF!</f>
        <v>#REF!</v>
      </c>
      <c r="AQ518" s="89" t="e">
        <f>#REF!</f>
        <v>#REF!</v>
      </c>
      <c r="AR518" s="89" t="e">
        <f>#REF!</f>
        <v>#REF!</v>
      </c>
      <c r="AS518" s="89" t="e">
        <f>#REF!</f>
        <v>#REF!</v>
      </c>
      <c r="AT518" s="89" t="e">
        <f>#REF!</f>
        <v>#REF!</v>
      </c>
      <c r="AU518" s="89" t="e">
        <f>#REF!</f>
        <v>#REF!</v>
      </c>
      <c r="AV518" s="89" t="e">
        <f>#REF!</f>
        <v>#REF!</v>
      </c>
      <c r="AW518" s="89" t="e">
        <f>#REF!</f>
        <v>#REF!</v>
      </c>
      <c r="AX518" s="89" t="e">
        <f>#REF!</f>
        <v>#REF!</v>
      </c>
      <c r="AY518" s="89" t="e">
        <f>#REF!</f>
        <v>#REF!</v>
      </c>
      <c r="AZ518" s="89" t="e">
        <f>#REF!</f>
        <v>#REF!</v>
      </c>
      <c r="BA518" s="89" t="e">
        <f>#REF!</f>
        <v>#REF!</v>
      </c>
      <c r="BB518" s="89" t="e">
        <f>#REF!</f>
        <v>#REF!</v>
      </c>
      <c r="BC518" s="89" t="e">
        <f>#REF!</f>
        <v>#REF!</v>
      </c>
      <c r="BD518" s="89" t="e">
        <f>#REF!</f>
        <v>#REF!</v>
      </c>
      <c r="BE518" s="89" t="e">
        <f>#REF!</f>
        <v>#REF!</v>
      </c>
      <c r="BF518" s="89" t="e">
        <f>#REF!</f>
        <v>#REF!</v>
      </c>
    </row>
    <row r="519" spans="9:58" x14ac:dyDescent="0.25">
      <c r="I519" s="89">
        <f>ABCD!J568</f>
        <v>128.75</v>
      </c>
      <c r="J519" s="89">
        <f>ABCD!K568</f>
        <v>422.29999999999995</v>
      </c>
      <c r="K519" s="89">
        <f>ABCD!L568</f>
        <v>5.3810195950245836</v>
      </c>
      <c r="L519" s="89">
        <f>ABCD!M568</f>
        <v>0.96579944795228179</v>
      </c>
      <c r="M519" s="89">
        <f>ABCD!N568</f>
        <v>5.4670047060253628</v>
      </c>
      <c r="N519" s="89" t="e">
        <v>#REF!</v>
      </c>
      <c r="O519" s="89" t="e">
        <v>#REF!</v>
      </c>
      <c r="P519" s="89" t="e">
        <v>#REF!</v>
      </c>
      <c r="Q519" s="89" t="e">
        <v>#REF!</v>
      </c>
      <c r="R519" s="89" t="e">
        <v>#REF!</v>
      </c>
      <c r="S519" s="89" t="e">
        <f>#REF!</f>
        <v>#REF!</v>
      </c>
      <c r="T519" s="89" t="e">
        <f>#REF!</f>
        <v>#REF!</v>
      </c>
      <c r="U519" s="89" t="e">
        <f>#REF!</f>
        <v>#REF!</v>
      </c>
      <c r="V519" s="89" t="e">
        <f>#REF!</f>
        <v>#REF!</v>
      </c>
      <c r="W519" s="89" t="e">
        <f>#REF!</f>
        <v>#REF!</v>
      </c>
      <c r="X519" s="89" t="e">
        <f>#REF!</f>
        <v>#REF!</v>
      </c>
      <c r="Y519" s="89" t="e">
        <f>#REF!</f>
        <v>#REF!</v>
      </c>
      <c r="Z519" s="89" t="e">
        <f>#REF!</f>
        <v>#REF!</v>
      </c>
      <c r="AA519" s="89" t="e">
        <f>#REF!</f>
        <v>#REF!</v>
      </c>
      <c r="AB519" s="89" t="e">
        <f>#REF!</f>
        <v>#REF!</v>
      </c>
      <c r="AC519" s="89" t="e">
        <f>#REF!</f>
        <v>#REF!</v>
      </c>
      <c r="AD519" s="89" t="e">
        <f>#REF!</f>
        <v>#REF!</v>
      </c>
      <c r="AE519" s="89" t="e">
        <f>#REF!</f>
        <v>#REF!</v>
      </c>
      <c r="AF519" s="89" t="e">
        <f>#REF!</f>
        <v>#REF!</v>
      </c>
      <c r="AG519" s="89" t="e">
        <f>#REF!</f>
        <v>#REF!</v>
      </c>
      <c r="AH519" s="89" t="e">
        <f>#REF!</f>
        <v>#REF!</v>
      </c>
      <c r="AI519" s="89" t="e">
        <f>#REF!</f>
        <v>#REF!</v>
      </c>
      <c r="AJ519" s="89" t="e">
        <f>#REF!</f>
        <v>#REF!</v>
      </c>
      <c r="AK519" s="89" t="e">
        <f>#REF!</f>
        <v>#REF!</v>
      </c>
      <c r="AL519" s="89" t="e">
        <f>#REF!</f>
        <v>#REF!</v>
      </c>
      <c r="AM519" s="89" t="e">
        <f>#REF!</f>
        <v>#REF!</v>
      </c>
      <c r="AN519" s="89" t="e">
        <f>#REF!</f>
        <v>#REF!</v>
      </c>
      <c r="AO519" s="89" t="e">
        <f>#REF!</f>
        <v>#REF!</v>
      </c>
      <c r="AP519" s="89" t="e">
        <f>#REF!</f>
        <v>#REF!</v>
      </c>
      <c r="AQ519" s="89" t="e">
        <f>#REF!</f>
        <v>#REF!</v>
      </c>
      <c r="AR519" s="89" t="e">
        <f>#REF!</f>
        <v>#REF!</v>
      </c>
      <c r="AS519" s="89" t="e">
        <f>#REF!</f>
        <v>#REF!</v>
      </c>
      <c r="AT519" s="89" t="e">
        <f>#REF!</f>
        <v>#REF!</v>
      </c>
      <c r="AU519" s="89" t="e">
        <f>#REF!</f>
        <v>#REF!</v>
      </c>
      <c r="AV519" s="89" t="e">
        <f>#REF!</f>
        <v>#REF!</v>
      </c>
      <c r="AW519" s="89" t="e">
        <f>#REF!</f>
        <v>#REF!</v>
      </c>
      <c r="AX519" s="89" t="e">
        <f>#REF!</f>
        <v>#REF!</v>
      </c>
      <c r="AY519" s="89" t="e">
        <f>#REF!</f>
        <v>#REF!</v>
      </c>
      <c r="AZ519" s="89" t="e">
        <f>#REF!</f>
        <v>#REF!</v>
      </c>
      <c r="BA519" s="89" t="e">
        <f>#REF!</f>
        <v>#REF!</v>
      </c>
      <c r="BB519" s="89" t="e">
        <f>#REF!</f>
        <v>#REF!</v>
      </c>
      <c r="BC519" s="89" t="e">
        <f>#REF!</f>
        <v>#REF!</v>
      </c>
      <c r="BD519" s="89" t="e">
        <f>#REF!</f>
        <v>#REF!</v>
      </c>
      <c r="BE519" s="89" t="e">
        <f>#REF!</f>
        <v>#REF!</v>
      </c>
      <c r="BF519" s="89" t="e">
        <f>#REF!</f>
        <v>#REF!</v>
      </c>
    </row>
    <row r="520" spans="9:58" x14ac:dyDescent="0.25">
      <c r="I520" s="89">
        <f>ABCD!J569</f>
        <v>129</v>
      </c>
      <c r="J520" s="89">
        <f>ABCD!K569</f>
        <v>423.11999999999995</v>
      </c>
      <c r="K520" s="89">
        <f>ABCD!L569</f>
        <v>5.4003693332251004</v>
      </c>
      <c r="L520" s="89">
        <f>ABCD!M569</f>
        <v>0.97008007969218335</v>
      </c>
      <c r="M520" s="89">
        <f>ABCD!N569</f>
        <v>5.4868063840683963</v>
      </c>
      <c r="N520" s="89" t="e">
        <v>#REF!</v>
      </c>
      <c r="O520" s="89" t="e">
        <v>#REF!</v>
      </c>
      <c r="P520" s="89" t="e">
        <v>#REF!</v>
      </c>
      <c r="Q520" s="89" t="e">
        <v>#REF!</v>
      </c>
      <c r="R520" s="89" t="e">
        <v>#REF!</v>
      </c>
      <c r="S520" s="89" t="e">
        <f>#REF!</f>
        <v>#REF!</v>
      </c>
      <c r="T520" s="89" t="e">
        <f>#REF!</f>
        <v>#REF!</v>
      </c>
      <c r="U520" s="89" t="e">
        <f>#REF!</f>
        <v>#REF!</v>
      </c>
      <c r="V520" s="89" t="e">
        <f>#REF!</f>
        <v>#REF!</v>
      </c>
      <c r="W520" s="89" t="e">
        <f>#REF!</f>
        <v>#REF!</v>
      </c>
      <c r="X520" s="89" t="e">
        <f>#REF!</f>
        <v>#REF!</v>
      </c>
      <c r="Y520" s="89" t="e">
        <f>#REF!</f>
        <v>#REF!</v>
      </c>
      <c r="Z520" s="89" t="e">
        <f>#REF!</f>
        <v>#REF!</v>
      </c>
      <c r="AA520" s="89" t="e">
        <f>#REF!</f>
        <v>#REF!</v>
      </c>
      <c r="AB520" s="89" t="e">
        <f>#REF!</f>
        <v>#REF!</v>
      </c>
      <c r="AC520" s="89" t="e">
        <f>#REF!</f>
        <v>#REF!</v>
      </c>
      <c r="AD520" s="89" t="e">
        <f>#REF!</f>
        <v>#REF!</v>
      </c>
      <c r="AE520" s="89" t="e">
        <f>#REF!</f>
        <v>#REF!</v>
      </c>
      <c r="AF520" s="89" t="e">
        <f>#REF!</f>
        <v>#REF!</v>
      </c>
      <c r="AG520" s="89" t="e">
        <f>#REF!</f>
        <v>#REF!</v>
      </c>
      <c r="AH520" s="89" t="e">
        <f>#REF!</f>
        <v>#REF!</v>
      </c>
      <c r="AI520" s="89" t="e">
        <f>#REF!</f>
        <v>#REF!</v>
      </c>
      <c r="AJ520" s="89" t="e">
        <f>#REF!</f>
        <v>#REF!</v>
      </c>
      <c r="AK520" s="89" t="e">
        <f>#REF!</f>
        <v>#REF!</v>
      </c>
      <c r="AL520" s="89" t="e">
        <f>#REF!</f>
        <v>#REF!</v>
      </c>
      <c r="AM520" s="89" t="e">
        <f>#REF!</f>
        <v>#REF!</v>
      </c>
      <c r="AN520" s="89" t="e">
        <f>#REF!</f>
        <v>#REF!</v>
      </c>
      <c r="AO520" s="89" t="e">
        <f>#REF!</f>
        <v>#REF!</v>
      </c>
      <c r="AP520" s="89" t="e">
        <f>#REF!</f>
        <v>#REF!</v>
      </c>
      <c r="AQ520" s="89" t="e">
        <f>#REF!</f>
        <v>#REF!</v>
      </c>
      <c r="AR520" s="89" t="e">
        <f>#REF!</f>
        <v>#REF!</v>
      </c>
      <c r="AS520" s="89" t="e">
        <f>#REF!</f>
        <v>#REF!</v>
      </c>
      <c r="AT520" s="89" t="e">
        <f>#REF!</f>
        <v>#REF!</v>
      </c>
      <c r="AU520" s="89" t="e">
        <f>#REF!</f>
        <v>#REF!</v>
      </c>
      <c r="AV520" s="89" t="e">
        <f>#REF!</f>
        <v>#REF!</v>
      </c>
      <c r="AW520" s="89" t="e">
        <f>#REF!</f>
        <v>#REF!</v>
      </c>
      <c r="AX520" s="89" t="e">
        <f>#REF!</f>
        <v>#REF!</v>
      </c>
      <c r="AY520" s="89" t="e">
        <f>#REF!</f>
        <v>#REF!</v>
      </c>
      <c r="AZ520" s="89" t="e">
        <f>#REF!</f>
        <v>#REF!</v>
      </c>
      <c r="BA520" s="89" t="e">
        <f>#REF!</f>
        <v>#REF!</v>
      </c>
      <c r="BB520" s="89" t="e">
        <f>#REF!</f>
        <v>#REF!</v>
      </c>
      <c r="BC520" s="89" t="e">
        <f>#REF!</f>
        <v>#REF!</v>
      </c>
      <c r="BD520" s="89" t="e">
        <f>#REF!</f>
        <v>#REF!</v>
      </c>
      <c r="BE520" s="89" t="e">
        <f>#REF!</f>
        <v>#REF!</v>
      </c>
      <c r="BF520" s="89" t="e">
        <f>#REF!</f>
        <v>#REF!</v>
      </c>
    </row>
    <row r="521" spans="9:58" x14ac:dyDescent="0.25">
      <c r="I521" s="89">
        <f>ABCD!J570</f>
        <v>129.25</v>
      </c>
      <c r="J521" s="89">
        <f>ABCD!K570</f>
        <v>423.94</v>
      </c>
      <c r="K521" s="89">
        <f>ABCD!L570</f>
        <v>5.418455037429899</v>
      </c>
      <c r="L521" s="89">
        <f>ABCD!M570</f>
        <v>0.97413292626761749</v>
      </c>
      <c r="M521" s="89">
        <f>ABCD!N570</f>
        <v>5.5053237825479586</v>
      </c>
      <c r="N521" s="89" t="e">
        <v>#REF!</v>
      </c>
      <c r="O521" s="89" t="e">
        <v>#REF!</v>
      </c>
      <c r="P521" s="89" t="e">
        <v>#REF!</v>
      </c>
      <c r="Q521" s="89" t="e">
        <v>#REF!</v>
      </c>
      <c r="R521" s="89" t="e">
        <v>#REF!</v>
      </c>
      <c r="S521" s="89" t="e">
        <f>#REF!</f>
        <v>#REF!</v>
      </c>
      <c r="T521" s="89" t="e">
        <f>#REF!</f>
        <v>#REF!</v>
      </c>
      <c r="U521" s="89" t="e">
        <f>#REF!</f>
        <v>#REF!</v>
      </c>
      <c r="V521" s="89" t="e">
        <f>#REF!</f>
        <v>#REF!</v>
      </c>
      <c r="W521" s="89" t="e">
        <f>#REF!</f>
        <v>#REF!</v>
      </c>
      <c r="X521" s="89" t="e">
        <f>#REF!</f>
        <v>#REF!</v>
      </c>
      <c r="Y521" s="89" t="e">
        <f>#REF!</f>
        <v>#REF!</v>
      </c>
      <c r="Z521" s="89" t="e">
        <f>#REF!</f>
        <v>#REF!</v>
      </c>
      <c r="AA521" s="89" t="e">
        <f>#REF!</f>
        <v>#REF!</v>
      </c>
      <c r="AB521" s="89" t="e">
        <f>#REF!</f>
        <v>#REF!</v>
      </c>
      <c r="AC521" s="89" t="e">
        <f>#REF!</f>
        <v>#REF!</v>
      </c>
      <c r="AD521" s="89" t="e">
        <f>#REF!</f>
        <v>#REF!</v>
      </c>
      <c r="AE521" s="89" t="e">
        <f>#REF!</f>
        <v>#REF!</v>
      </c>
      <c r="AF521" s="89" t="e">
        <f>#REF!</f>
        <v>#REF!</v>
      </c>
      <c r="AG521" s="89" t="e">
        <f>#REF!</f>
        <v>#REF!</v>
      </c>
      <c r="AH521" s="89" t="e">
        <f>#REF!</f>
        <v>#REF!</v>
      </c>
      <c r="AI521" s="89" t="e">
        <f>#REF!</f>
        <v>#REF!</v>
      </c>
      <c r="AJ521" s="89" t="e">
        <f>#REF!</f>
        <v>#REF!</v>
      </c>
      <c r="AK521" s="89" t="e">
        <f>#REF!</f>
        <v>#REF!</v>
      </c>
      <c r="AL521" s="89" t="e">
        <f>#REF!</f>
        <v>#REF!</v>
      </c>
      <c r="AM521" s="89" t="e">
        <f>#REF!</f>
        <v>#REF!</v>
      </c>
      <c r="AN521" s="89" t="e">
        <f>#REF!</f>
        <v>#REF!</v>
      </c>
      <c r="AO521" s="89" t="e">
        <f>#REF!</f>
        <v>#REF!</v>
      </c>
      <c r="AP521" s="89" t="e">
        <f>#REF!</f>
        <v>#REF!</v>
      </c>
      <c r="AQ521" s="89" t="e">
        <f>#REF!</f>
        <v>#REF!</v>
      </c>
      <c r="AR521" s="89" t="e">
        <f>#REF!</f>
        <v>#REF!</v>
      </c>
      <c r="AS521" s="89" t="e">
        <f>#REF!</f>
        <v>#REF!</v>
      </c>
      <c r="AT521" s="89" t="e">
        <f>#REF!</f>
        <v>#REF!</v>
      </c>
      <c r="AU521" s="89" t="e">
        <f>#REF!</f>
        <v>#REF!</v>
      </c>
      <c r="AV521" s="89" t="e">
        <f>#REF!</f>
        <v>#REF!</v>
      </c>
      <c r="AW521" s="89" t="e">
        <f>#REF!</f>
        <v>#REF!</v>
      </c>
      <c r="AX521" s="89" t="e">
        <f>#REF!</f>
        <v>#REF!</v>
      </c>
      <c r="AY521" s="89" t="e">
        <f>#REF!</f>
        <v>#REF!</v>
      </c>
      <c r="AZ521" s="89" t="e">
        <f>#REF!</f>
        <v>#REF!</v>
      </c>
      <c r="BA521" s="89" t="e">
        <f>#REF!</f>
        <v>#REF!</v>
      </c>
      <c r="BB521" s="89" t="e">
        <f>#REF!</f>
        <v>#REF!</v>
      </c>
      <c r="BC521" s="89" t="e">
        <f>#REF!</f>
        <v>#REF!</v>
      </c>
      <c r="BD521" s="89" t="e">
        <f>#REF!</f>
        <v>#REF!</v>
      </c>
      <c r="BE521" s="89" t="e">
        <f>#REF!</f>
        <v>#REF!</v>
      </c>
      <c r="BF521" s="89" t="e">
        <f>#REF!</f>
        <v>#REF!</v>
      </c>
    </row>
    <row r="522" spans="9:58" x14ac:dyDescent="0.25">
      <c r="I522" s="89">
        <f>ABCD!J571</f>
        <v>129.5</v>
      </c>
      <c r="J522" s="89">
        <f>ABCD!K571</f>
        <v>424.76</v>
      </c>
      <c r="K522" s="89">
        <f>ABCD!L571</f>
        <v>5.4352736698343875</v>
      </c>
      <c r="L522" s="89">
        <f>ABCD!M571</f>
        <v>0.97795725702954794</v>
      </c>
      <c r="M522" s="89">
        <f>ABCD!N571</f>
        <v>5.5225537808673018</v>
      </c>
      <c r="N522" s="89" t="e">
        <v>#REF!</v>
      </c>
      <c r="O522" s="89" t="e">
        <v>#REF!</v>
      </c>
      <c r="P522" s="89" t="e">
        <v>#REF!</v>
      </c>
      <c r="Q522" s="89" t="e">
        <v>#REF!</v>
      </c>
      <c r="R522" s="89" t="e">
        <v>#REF!</v>
      </c>
      <c r="S522" s="89" t="e">
        <f>#REF!</f>
        <v>#REF!</v>
      </c>
      <c r="T522" s="89" t="e">
        <f>#REF!</f>
        <v>#REF!</v>
      </c>
      <c r="U522" s="89" t="e">
        <f>#REF!</f>
        <v>#REF!</v>
      </c>
      <c r="V522" s="89" t="e">
        <f>#REF!</f>
        <v>#REF!</v>
      </c>
      <c r="W522" s="89" t="e">
        <f>#REF!</f>
        <v>#REF!</v>
      </c>
      <c r="X522" s="89" t="e">
        <f>#REF!</f>
        <v>#REF!</v>
      </c>
      <c r="Y522" s="89" t="e">
        <f>#REF!</f>
        <v>#REF!</v>
      </c>
      <c r="Z522" s="89" t="e">
        <f>#REF!</f>
        <v>#REF!</v>
      </c>
      <c r="AA522" s="89" t="e">
        <f>#REF!</f>
        <v>#REF!</v>
      </c>
      <c r="AB522" s="89" t="e">
        <f>#REF!</f>
        <v>#REF!</v>
      </c>
      <c r="AC522" s="89" t="e">
        <f>#REF!</f>
        <v>#REF!</v>
      </c>
      <c r="AD522" s="89" t="e">
        <f>#REF!</f>
        <v>#REF!</v>
      </c>
      <c r="AE522" s="89" t="e">
        <f>#REF!</f>
        <v>#REF!</v>
      </c>
      <c r="AF522" s="89" t="e">
        <f>#REF!</f>
        <v>#REF!</v>
      </c>
      <c r="AG522" s="89" t="e">
        <f>#REF!</f>
        <v>#REF!</v>
      </c>
      <c r="AH522" s="89" t="e">
        <f>#REF!</f>
        <v>#REF!</v>
      </c>
      <c r="AI522" s="89" t="e">
        <f>#REF!</f>
        <v>#REF!</v>
      </c>
      <c r="AJ522" s="89" t="e">
        <f>#REF!</f>
        <v>#REF!</v>
      </c>
      <c r="AK522" s="89" t="e">
        <f>#REF!</f>
        <v>#REF!</v>
      </c>
      <c r="AL522" s="89" t="e">
        <f>#REF!</f>
        <v>#REF!</v>
      </c>
      <c r="AM522" s="89" t="e">
        <f>#REF!</f>
        <v>#REF!</v>
      </c>
      <c r="AN522" s="89" t="e">
        <f>#REF!</f>
        <v>#REF!</v>
      </c>
      <c r="AO522" s="89" t="e">
        <f>#REF!</f>
        <v>#REF!</v>
      </c>
      <c r="AP522" s="89" t="e">
        <f>#REF!</f>
        <v>#REF!</v>
      </c>
      <c r="AQ522" s="89" t="e">
        <f>#REF!</f>
        <v>#REF!</v>
      </c>
      <c r="AR522" s="89" t="e">
        <f>#REF!</f>
        <v>#REF!</v>
      </c>
      <c r="AS522" s="89" t="e">
        <f>#REF!</f>
        <v>#REF!</v>
      </c>
      <c r="AT522" s="89" t="e">
        <f>#REF!</f>
        <v>#REF!</v>
      </c>
      <c r="AU522" s="89" t="e">
        <f>#REF!</f>
        <v>#REF!</v>
      </c>
      <c r="AV522" s="89" t="e">
        <f>#REF!</f>
        <v>#REF!</v>
      </c>
      <c r="AW522" s="89" t="e">
        <f>#REF!</f>
        <v>#REF!</v>
      </c>
      <c r="AX522" s="89" t="e">
        <f>#REF!</f>
        <v>#REF!</v>
      </c>
      <c r="AY522" s="89" t="e">
        <f>#REF!</f>
        <v>#REF!</v>
      </c>
      <c r="AZ522" s="89" t="e">
        <f>#REF!</f>
        <v>#REF!</v>
      </c>
      <c r="BA522" s="89" t="e">
        <f>#REF!</f>
        <v>#REF!</v>
      </c>
      <c r="BB522" s="89" t="e">
        <f>#REF!</f>
        <v>#REF!</v>
      </c>
      <c r="BC522" s="89" t="e">
        <f>#REF!</f>
        <v>#REF!</v>
      </c>
      <c r="BD522" s="89" t="e">
        <f>#REF!</f>
        <v>#REF!</v>
      </c>
      <c r="BE522" s="89" t="e">
        <f>#REF!</f>
        <v>#REF!</v>
      </c>
      <c r="BF522" s="89" t="e">
        <f>#REF!</f>
        <v>#REF!</v>
      </c>
    </row>
    <row r="523" spans="9:58" x14ac:dyDescent="0.25">
      <c r="I523" s="89">
        <f>ABCD!J572</f>
        <v>129.75</v>
      </c>
      <c r="J523" s="89">
        <f>ABCD!K572</f>
        <v>425.58</v>
      </c>
      <c r="K523" s="89">
        <f>ABCD!L572</f>
        <v>5.4508224878589786</v>
      </c>
      <c r="L523" s="89">
        <f>ABCD!M572</f>
        <v>0.9815523947370608</v>
      </c>
      <c r="M523" s="89">
        <f>ABCD!N572</f>
        <v>5.5384935585196091</v>
      </c>
      <c r="N523" s="89" t="e">
        <v>#REF!</v>
      </c>
      <c r="O523" s="89" t="e">
        <v>#REF!</v>
      </c>
      <c r="P523" s="89" t="e">
        <v>#REF!</v>
      </c>
      <c r="Q523" s="89" t="e">
        <v>#REF!</v>
      </c>
      <c r="R523" s="89" t="e">
        <v>#REF!</v>
      </c>
      <c r="S523" s="89" t="e">
        <f>#REF!</f>
        <v>#REF!</v>
      </c>
      <c r="T523" s="89" t="e">
        <f>#REF!</f>
        <v>#REF!</v>
      </c>
      <c r="U523" s="89" t="e">
        <f>#REF!</f>
        <v>#REF!</v>
      </c>
      <c r="V523" s="89" t="e">
        <f>#REF!</f>
        <v>#REF!</v>
      </c>
      <c r="W523" s="89" t="e">
        <f>#REF!</f>
        <v>#REF!</v>
      </c>
      <c r="X523" s="89" t="e">
        <f>#REF!</f>
        <v>#REF!</v>
      </c>
      <c r="Y523" s="89" t="e">
        <f>#REF!</f>
        <v>#REF!</v>
      </c>
      <c r="Z523" s="89" t="e">
        <f>#REF!</f>
        <v>#REF!</v>
      </c>
      <c r="AA523" s="89" t="e">
        <f>#REF!</f>
        <v>#REF!</v>
      </c>
      <c r="AB523" s="89" t="e">
        <f>#REF!</f>
        <v>#REF!</v>
      </c>
      <c r="AC523" s="89" t="e">
        <f>#REF!</f>
        <v>#REF!</v>
      </c>
      <c r="AD523" s="89" t="e">
        <f>#REF!</f>
        <v>#REF!</v>
      </c>
      <c r="AE523" s="89" t="e">
        <f>#REF!</f>
        <v>#REF!</v>
      </c>
      <c r="AF523" s="89" t="e">
        <f>#REF!</f>
        <v>#REF!</v>
      </c>
      <c r="AG523" s="89" t="e">
        <f>#REF!</f>
        <v>#REF!</v>
      </c>
      <c r="AH523" s="89" t="e">
        <f>#REF!</f>
        <v>#REF!</v>
      </c>
      <c r="AI523" s="89" t="e">
        <f>#REF!</f>
        <v>#REF!</v>
      </c>
      <c r="AJ523" s="89" t="e">
        <f>#REF!</f>
        <v>#REF!</v>
      </c>
      <c r="AK523" s="89" t="e">
        <f>#REF!</f>
        <v>#REF!</v>
      </c>
      <c r="AL523" s="89" t="e">
        <f>#REF!</f>
        <v>#REF!</v>
      </c>
      <c r="AM523" s="89" t="e">
        <f>#REF!</f>
        <v>#REF!</v>
      </c>
      <c r="AN523" s="89" t="e">
        <f>#REF!</f>
        <v>#REF!</v>
      </c>
      <c r="AO523" s="89" t="e">
        <f>#REF!</f>
        <v>#REF!</v>
      </c>
      <c r="AP523" s="89" t="e">
        <f>#REF!</f>
        <v>#REF!</v>
      </c>
      <c r="AQ523" s="89" t="e">
        <f>#REF!</f>
        <v>#REF!</v>
      </c>
      <c r="AR523" s="89" t="e">
        <f>#REF!</f>
        <v>#REF!</v>
      </c>
      <c r="AS523" s="89" t="e">
        <f>#REF!</f>
        <v>#REF!</v>
      </c>
      <c r="AT523" s="89" t="e">
        <f>#REF!</f>
        <v>#REF!</v>
      </c>
      <c r="AU523" s="89" t="e">
        <f>#REF!</f>
        <v>#REF!</v>
      </c>
      <c r="AV523" s="89" t="e">
        <f>#REF!</f>
        <v>#REF!</v>
      </c>
      <c r="AW523" s="89" t="e">
        <f>#REF!</f>
        <v>#REF!</v>
      </c>
      <c r="AX523" s="89" t="e">
        <f>#REF!</f>
        <v>#REF!</v>
      </c>
      <c r="AY523" s="89" t="e">
        <f>#REF!</f>
        <v>#REF!</v>
      </c>
      <c r="AZ523" s="89" t="e">
        <f>#REF!</f>
        <v>#REF!</v>
      </c>
      <c r="BA523" s="89" t="e">
        <f>#REF!</f>
        <v>#REF!</v>
      </c>
      <c r="BB523" s="89" t="e">
        <f>#REF!</f>
        <v>#REF!</v>
      </c>
      <c r="BC523" s="89" t="e">
        <f>#REF!</f>
        <v>#REF!</v>
      </c>
      <c r="BD523" s="89" t="e">
        <f>#REF!</f>
        <v>#REF!</v>
      </c>
      <c r="BE523" s="89" t="e">
        <f>#REF!</f>
        <v>#REF!</v>
      </c>
      <c r="BF523" s="89" t="e">
        <f>#REF!</f>
        <v>#REF!</v>
      </c>
    </row>
    <row r="524" spans="9:58" x14ac:dyDescent="0.25">
      <c r="I524" s="89">
        <f>ABCD!J573</f>
        <v>130</v>
      </c>
      <c r="J524" s="89">
        <f>ABCD!K573</f>
        <v>426.4</v>
      </c>
      <c r="K524" s="89">
        <f>ABCD!L573</f>
        <v>5.4650990445166174</v>
      </c>
      <c r="L524" s="89">
        <f>ABCD!M573</f>
        <v>0.98491771566565001</v>
      </c>
      <c r="M524" s="89">
        <f>ABCD!N573</f>
        <v>5.5531405954656403</v>
      </c>
      <c r="N524" s="89" t="e">
        <v>#REF!</v>
      </c>
      <c r="O524" s="89" t="e">
        <v>#REF!</v>
      </c>
      <c r="P524" s="89" t="e">
        <v>#REF!</v>
      </c>
      <c r="Q524" s="89" t="e">
        <v>#REF!</v>
      </c>
      <c r="R524" s="89" t="e">
        <v>#REF!</v>
      </c>
      <c r="S524" s="89" t="e">
        <f>#REF!</f>
        <v>#REF!</v>
      </c>
      <c r="T524" s="89" t="e">
        <f>#REF!</f>
        <v>#REF!</v>
      </c>
      <c r="U524" s="89" t="e">
        <f>#REF!</f>
        <v>#REF!</v>
      </c>
      <c r="V524" s="89" t="e">
        <f>#REF!</f>
        <v>#REF!</v>
      </c>
      <c r="W524" s="89" t="e">
        <f>#REF!</f>
        <v>#REF!</v>
      </c>
      <c r="X524" s="89" t="e">
        <f>#REF!</f>
        <v>#REF!</v>
      </c>
      <c r="Y524" s="89" t="e">
        <f>#REF!</f>
        <v>#REF!</v>
      </c>
      <c r="Z524" s="89" t="e">
        <f>#REF!</f>
        <v>#REF!</v>
      </c>
      <c r="AA524" s="89" t="e">
        <f>#REF!</f>
        <v>#REF!</v>
      </c>
      <c r="AB524" s="89" t="e">
        <f>#REF!</f>
        <v>#REF!</v>
      </c>
      <c r="AC524" s="89" t="e">
        <f>#REF!</f>
        <v>#REF!</v>
      </c>
      <c r="AD524" s="89" t="e">
        <f>#REF!</f>
        <v>#REF!</v>
      </c>
      <c r="AE524" s="89" t="e">
        <f>#REF!</f>
        <v>#REF!</v>
      </c>
      <c r="AF524" s="89" t="e">
        <f>#REF!</f>
        <v>#REF!</v>
      </c>
      <c r="AG524" s="89" t="e">
        <f>#REF!</f>
        <v>#REF!</v>
      </c>
      <c r="AH524" s="89" t="e">
        <f>#REF!</f>
        <v>#REF!</v>
      </c>
      <c r="AI524" s="89" t="e">
        <f>#REF!</f>
        <v>#REF!</v>
      </c>
      <c r="AJ524" s="89" t="e">
        <f>#REF!</f>
        <v>#REF!</v>
      </c>
      <c r="AK524" s="89" t="e">
        <f>#REF!</f>
        <v>#REF!</v>
      </c>
      <c r="AL524" s="89" t="e">
        <f>#REF!</f>
        <v>#REF!</v>
      </c>
      <c r="AM524" s="89" t="e">
        <f>#REF!</f>
        <v>#REF!</v>
      </c>
      <c r="AN524" s="89" t="e">
        <f>#REF!</f>
        <v>#REF!</v>
      </c>
      <c r="AO524" s="89" t="e">
        <f>#REF!</f>
        <v>#REF!</v>
      </c>
      <c r="AP524" s="89" t="e">
        <f>#REF!</f>
        <v>#REF!</v>
      </c>
      <c r="AQ524" s="89" t="e">
        <f>#REF!</f>
        <v>#REF!</v>
      </c>
      <c r="AR524" s="89" t="e">
        <f>#REF!</f>
        <v>#REF!</v>
      </c>
      <c r="AS524" s="89" t="e">
        <f>#REF!</f>
        <v>#REF!</v>
      </c>
      <c r="AT524" s="89" t="e">
        <f>#REF!</f>
        <v>#REF!</v>
      </c>
      <c r="AU524" s="89" t="e">
        <f>#REF!</f>
        <v>#REF!</v>
      </c>
      <c r="AV524" s="89" t="e">
        <f>#REF!</f>
        <v>#REF!</v>
      </c>
      <c r="AW524" s="89" t="e">
        <f>#REF!</f>
        <v>#REF!</v>
      </c>
      <c r="AX524" s="89" t="e">
        <f>#REF!</f>
        <v>#REF!</v>
      </c>
      <c r="AY524" s="89" t="e">
        <f>#REF!</f>
        <v>#REF!</v>
      </c>
      <c r="AZ524" s="89" t="e">
        <f>#REF!</f>
        <v>#REF!</v>
      </c>
      <c r="BA524" s="89" t="e">
        <f>#REF!</f>
        <v>#REF!</v>
      </c>
      <c r="BB524" s="89" t="e">
        <f>#REF!</f>
        <v>#REF!</v>
      </c>
      <c r="BC524" s="89" t="e">
        <f>#REF!</f>
        <v>#REF!</v>
      </c>
      <c r="BD524" s="89" t="e">
        <f>#REF!</f>
        <v>#REF!</v>
      </c>
      <c r="BE524" s="89" t="e">
        <f>#REF!</f>
        <v>#REF!</v>
      </c>
      <c r="BF524" s="89" t="e">
        <f>#REF!</f>
        <v>#REF!</v>
      </c>
    </row>
    <row r="525" spans="9:58" x14ac:dyDescent="0.25">
      <c r="I525" s="89">
        <f>ABCD!J574</f>
        <v>130.25</v>
      </c>
      <c r="J525" s="89">
        <f>ABCD!K574</f>
        <v>427.21999999999997</v>
      </c>
      <c r="K525" s="89">
        <f>ABCD!L574</f>
        <v>5.4781011887117277</v>
      </c>
      <c r="L525" s="89">
        <f>ABCD!M574</f>
        <v>0.98805264970306761</v>
      </c>
      <c r="M525" s="89">
        <f>ABCD!N574</f>
        <v>5.5664926724419654</v>
      </c>
      <c r="N525" s="89" t="e">
        <v>#REF!</v>
      </c>
      <c r="O525" s="89" t="e">
        <v>#REF!</v>
      </c>
      <c r="P525" s="89" t="e">
        <v>#REF!</v>
      </c>
      <c r="Q525" s="89" t="e">
        <v>#REF!</v>
      </c>
      <c r="R525" s="89" t="e">
        <v>#REF!</v>
      </c>
      <c r="S525" s="89" t="e">
        <f>#REF!</f>
        <v>#REF!</v>
      </c>
      <c r="T525" s="89" t="e">
        <f>#REF!</f>
        <v>#REF!</v>
      </c>
      <c r="U525" s="89" t="e">
        <f>#REF!</f>
        <v>#REF!</v>
      </c>
      <c r="V525" s="89" t="e">
        <f>#REF!</f>
        <v>#REF!</v>
      </c>
      <c r="W525" s="89" t="e">
        <f>#REF!</f>
        <v>#REF!</v>
      </c>
      <c r="X525" s="89" t="e">
        <f>#REF!</f>
        <v>#REF!</v>
      </c>
      <c r="Y525" s="89" t="e">
        <f>#REF!</f>
        <v>#REF!</v>
      </c>
      <c r="Z525" s="89" t="e">
        <f>#REF!</f>
        <v>#REF!</v>
      </c>
      <c r="AA525" s="89" t="e">
        <f>#REF!</f>
        <v>#REF!</v>
      </c>
      <c r="AB525" s="89" t="e">
        <f>#REF!</f>
        <v>#REF!</v>
      </c>
      <c r="AC525" s="89" t="e">
        <f>#REF!</f>
        <v>#REF!</v>
      </c>
      <c r="AD525" s="89" t="e">
        <f>#REF!</f>
        <v>#REF!</v>
      </c>
      <c r="AE525" s="89" t="e">
        <f>#REF!</f>
        <v>#REF!</v>
      </c>
      <c r="AF525" s="89" t="e">
        <f>#REF!</f>
        <v>#REF!</v>
      </c>
      <c r="AG525" s="89" t="e">
        <f>#REF!</f>
        <v>#REF!</v>
      </c>
      <c r="AH525" s="89" t="e">
        <f>#REF!</f>
        <v>#REF!</v>
      </c>
      <c r="AI525" s="89" t="e">
        <f>#REF!</f>
        <v>#REF!</v>
      </c>
      <c r="AJ525" s="89" t="e">
        <f>#REF!</f>
        <v>#REF!</v>
      </c>
      <c r="AK525" s="89" t="e">
        <f>#REF!</f>
        <v>#REF!</v>
      </c>
      <c r="AL525" s="89" t="e">
        <f>#REF!</f>
        <v>#REF!</v>
      </c>
      <c r="AM525" s="89" t="e">
        <f>#REF!</f>
        <v>#REF!</v>
      </c>
      <c r="AN525" s="89" t="e">
        <f>#REF!</f>
        <v>#REF!</v>
      </c>
      <c r="AO525" s="89" t="e">
        <f>#REF!</f>
        <v>#REF!</v>
      </c>
      <c r="AP525" s="89" t="e">
        <f>#REF!</f>
        <v>#REF!</v>
      </c>
      <c r="AQ525" s="89" t="e">
        <f>#REF!</f>
        <v>#REF!</v>
      </c>
      <c r="AR525" s="89" t="e">
        <f>#REF!</f>
        <v>#REF!</v>
      </c>
      <c r="AS525" s="89" t="e">
        <f>#REF!</f>
        <v>#REF!</v>
      </c>
      <c r="AT525" s="89" t="e">
        <f>#REF!</f>
        <v>#REF!</v>
      </c>
      <c r="AU525" s="89" t="e">
        <f>#REF!</f>
        <v>#REF!</v>
      </c>
      <c r="AV525" s="89" t="e">
        <f>#REF!</f>
        <v>#REF!</v>
      </c>
      <c r="AW525" s="89" t="e">
        <f>#REF!</f>
        <v>#REF!</v>
      </c>
      <c r="AX525" s="89" t="e">
        <f>#REF!</f>
        <v>#REF!</v>
      </c>
      <c r="AY525" s="89" t="e">
        <f>#REF!</f>
        <v>#REF!</v>
      </c>
      <c r="AZ525" s="89" t="e">
        <f>#REF!</f>
        <v>#REF!</v>
      </c>
      <c r="BA525" s="89" t="e">
        <f>#REF!</f>
        <v>#REF!</v>
      </c>
      <c r="BB525" s="89" t="e">
        <f>#REF!</f>
        <v>#REF!</v>
      </c>
      <c r="BC525" s="89" t="e">
        <f>#REF!</f>
        <v>#REF!</v>
      </c>
      <c r="BD525" s="89" t="e">
        <f>#REF!</f>
        <v>#REF!</v>
      </c>
      <c r="BE525" s="89" t="e">
        <f>#REF!</f>
        <v>#REF!</v>
      </c>
      <c r="BF525" s="89" t="e">
        <f>#REF!</f>
        <v>#REF!</v>
      </c>
    </row>
    <row r="526" spans="9:58" x14ac:dyDescent="0.25">
      <c r="I526" s="89">
        <f>ABCD!J575</f>
        <v>130.5</v>
      </c>
      <c r="J526" s="89">
        <f>ABCD!K575</f>
        <v>428.03999999999996</v>
      </c>
      <c r="K526" s="89">
        <f>ABCD!L575</f>
        <v>5.4898270654705907</v>
      </c>
      <c r="L526" s="89">
        <f>ABCD!M575</f>
        <v>0.99095668043269447</v>
      </c>
      <c r="M526" s="89">
        <f>ABCD!N575</f>
        <v>5.578547871199782</v>
      </c>
      <c r="N526" s="89" t="e">
        <v>#REF!</v>
      </c>
      <c r="O526" s="89" t="e">
        <v>#REF!</v>
      </c>
      <c r="P526" s="89" t="e">
        <v>#REF!</v>
      </c>
      <c r="Q526" s="89" t="e">
        <v>#REF!</v>
      </c>
      <c r="R526" s="89" t="e">
        <v>#REF!</v>
      </c>
      <c r="S526" s="89" t="e">
        <f>#REF!</f>
        <v>#REF!</v>
      </c>
      <c r="T526" s="89" t="e">
        <f>#REF!</f>
        <v>#REF!</v>
      </c>
      <c r="U526" s="89" t="e">
        <f>#REF!</f>
        <v>#REF!</v>
      </c>
      <c r="V526" s="89" t="e">
        <f>#REF!</f>
        <v>#REF!</v>
      </c>
      <c r="W526" s="89" t="e">
        <f>#REF!</f>
        <v>#REF!</v>
      </c>
      <c r="X526" s="89" t="e">
        <f>#REF!</f>
        <v>#REF!</v>
      </c>
      <c r="Y526" s="89" t="e">
        <f>#REF!</f>
        <v>#REF!</v>
      </c>
      <c r="Z526" s="89" t="e">
        <f>#REF!</f>
        <v>#REF!</v>
      </c>
      <c r="AA526" s="89" t="e">
        <f>#REF!</f>
        <v>#REF!</v>
      </c>
      <c r="AB526" s="89" t="e">
        <f>#REF!</f>
        <v>#REF!</v>
      </c>
      <c r="AC526" s="89" t="e">
        <f>#REF!</f>
        <v>#REF!</v>
      </c>
      <c r="AD526" s="89" t="e">
        <f>#REF!</f>
        <v>#REF!</v>
      </c>
      <c r="AE526" s="89" t="e">
        <f>#REF!</f>
        <v>#REF!</v>
      </c>
      <c r="AF526" s="89" t="e">
        <f>#REF!</f>
        <v>#REF!</v>
      </c>
      <c r="AG526" s="89" t="e">
        <f>#REF!</f>
        <v>#REF!</v>
      </c>
      <c r="AH526" s="89" t="e">
        <f>#REF!</f>
        <v>#REF!</v>
      </c>
      <c r="AI526" s="89" t="e">
        <f>#REF!</f>
        <v>#REF!</v>
      </c>
      <c r="AJ526" s="89" t="e">
        <f>#REF!</f>
        <v>#REF!</v>
      </c>
      <c r="AK526" s="89" t="e">
        <f>#REF!</f>
        <v>#REF!</v>
      </c>
      <c r="AL526" s="89" t="e">
        <f>#REF!</f>
        <v>#REF!</v>
      </c>
      <c r="AM526" s="89" t="e">
        <f>#REF!</f>
        <v>#REF!</v>
      </c>
      <c r="AN526" s="89" t="e">
        <f>#REF!</f>
        <v>#REF!</v>
      </c>
      <c r="AO526" s="89" t="e">
        <f>#REF!</f>
        <v>#REF!</v>
      </c>
      <c r="AP526" s="89" t="e">
        <f>#REF!</f>
        <v>#REF!</v>
      </c>
      <c r="AQ526" s="89" t="e">
        <f>#REF!</f>
        <v>#REF!</v>
      </c>
      <c r="AR526" s="89" t="e">
        <f>#REF!</f>
        <v>#REF!</v>
      </c>
      <c r="AS526" s="89" t="e">
        <f>#REF!</f>
        <v>#REF!</v>
      </c>
      <c r="AT526" s="89" t="e">
        <f>#REF!</f>
        <v>#REF!</v>
      </c>
      <c r="AU526" s="89" t="e">
        <f>#REF!</f>
        <v>#REF!</v>
      </c>
      <c r="AV526" s="89" t="e">
        <f>#REF!</f>
        <v>#REF!</v>
      </c>
      <c r="AW526" s="89" t="e">
        <f>#REF!</f>
        <v>#REF!</v>
      </c>
      <c r="AX526" s="89" t="e">
        <f>#REF!</f>
        <v>#REF!</v>
      </c>
      <c r="AY526" s="89" t="e">
        <f>#REF!</f>
        <v>#REF!</v>
      </c>
      <c r="AZ526" s="89" t="e">
        <f>#REF!</f>
        <v>#REF!</v>
      </c>
      <c r="BA526" s="89" t="e">
        <f>#REF!</f>
        <v>#REF!</v>
      </c>
      <c r="BB526" s="89" t="e">
        <f>#REF!</f>
        <v>#REF!</v>
      </c>
      <c r="BC526" s="89" t="e">
        <f>#REF!</f>
        <v>#REF!</v>
      </c>
      <c r="BD526" s="89" t="e">
        <f>#REF!</f>
        <v>#REF!</v>
      </c>
      <c r="BE526" s="89" t="e">
        <f>#REF!</f>
        <v>#REF!</v>
      </c>
      <c r="BF526" s="89" t="e">
        <f>#REF!</f>
        <v>#REF!</v>
      </c>
    </row>
    <row r="527" spans="9:58" x14ac:dyDescent="0.25">
      <c r="I527" s="89">
        <f>ABCD!J576</f>
        <v>130.75</v>
      </c>
      <c r="J527" s="89">
        <f>ABCD!K576</f>
        <v>428.85999999999996</v>
      </c>
      <c r="K527" s="89">
        <f>ABCD!L576</f>
        <v>5.5002751161031629</v>
      </c>
      <c r="L527" s="89">
        <f>ABCD!M576</f>
        <v>0.99362934520443746</v>
      </c>
      <c r="M527" s="89">
        <f>ABCD!N576</f>
        <v>5.5893045746743004</v>
      </c>
      <c r="N527" s="89" t="e">
        <v>#REF!</v>
      </c>
      <c r="O527" s="89" t="e">
        <v>#REF!</v>
      </c>
      <c r="P527" s="89" t="e">
        <v>#REF!</v>
      </c>
      <c r="Q527" s="89" t="e">
        <v>#REF!</v>
      </c>
      <c r="R527" s="89" t="e">
        <v>#REF!</v>
      </c>
      <c r="S527" s="89" t="e">
        <f>#REF!</f>
        <v>#REF!</v>
      </c>
      <c r="T527" s="89" t="e">
        <f>#REF!</f>
        <v>#REF!</v>
      </c>
      <c r="U527" s="89" t="e">
        <f>#REF!</f>
        <v>#REF!</v>
      </c>
      <c r="V527" s="89" t="e">
        <f>#REF!</f>
        <v>#REF!</v>
      </c>
      <c r="W527" s="89" t="e">
        <f>#REF!</f>
        <v>#REF!</v>
      </c>
      <c r="X527" s="89" t="e">
        <f>#REF!</f>
        <v>#REF!</v>
      </c>
      <c r="Y527" s="89" t="e">
        <f>#REF!</f>
        <v>#REF!</v>
      </c>
      <c r="Z527" s="89" t="e">
        <f>#REF!</f>
        <v>#REF!</v>
      </c>
      <c r="AA527" s="89" t="e">
        <f>#REF!</f>
        <v>#REF!</v>
      </c>
      <c r="AB527" s="89" t="e">
        <f>#REF!</f>
        <v>#REF!</v>
      </c>
      <c r="AC527" s="89" t="e">
        <f>#REF!</f>
        <v>#REF!</v>
      </c>
      <c r="AD527" s="89" t="e">
        <f>#REF!</f>
        <v>#REF!</v>
      </c>
      <c r="AE527" s="89" t="e">
        <f>#REF!</f>
        <v>#REF!</v>
      </c>
      <c r="AF527" s="89" t="e">
        <f>#REF!</f>
        <v>#REF!</v>
      </c>
      <c r="AG527" s="89" t="e">
        <f>#REF!</f>
        <v>#REF!</v>
      </c>
      <c r="AH527" s="89" t="e">
        <f>#REF!</f>
        <v>#REF!</v>
      </c>
      <c r="AI527" s="89" t="e">
        <f>#REF!</f>
        <v>#REF!</v>
      </c>
      <c r="AJ527" s="89" t="e">
        <f>#REF!</f>
        <v>#REF!</v>
      </c>
      <c r="AK527" s="89" t="e">
        <f>#REF!</f>
        <v>#REF!</v>
      </c>
      <c r="AL527" s="89" t="e">
        <f>#REF!</f>
        <v>#REF!</v>
      </c>
      <c r="AM527" s="89" t="e">
        <f>#REF!</f>
        <v>#REF!</v>
      </c>
      <c r="AN527" s="89" t="e">
        <f>#REF!</f>
        <v>#REF!</v>
      </c>
      <c r="AO527" s="89" t="e">
        <f>#REF!</f>
        <v>#REF!</v>
      </c>
      <c r="AP527" s="89" t="e">
        <f>#REF!</f>
        <v>#REF!</v>
      </c>
      <c r="AQ527" s="89" t="e">
        <f>#REF!</f>
        <v>#REF!</v>
      </c>
      <c r="AR527" s="89" t="e">
        <f>#REF!</f>
        <v>#REF!</v>
      </c>
      <c r="AS527" s="89" t="e">
        <f>#REF!</f>
        <v>#REF!</v>
      </c>
      <c r="AT527" s="89" t="e">
        <f>#REF!</f>
        <v>#REF!</v>
      </c>
      <c r="AU527" s="89" t="e">
        <f>#REF!</f>
        <v>#REF!</v>
      </c>
      <c r="AV527" s="89" t="e">
        <f>#REF!</f>
        <v>#REF!</v>
      </c>
      <c r="AW527" s="89" t="e">
        <f>#REF!</f>
        <v>#REF!</v>
      </c>
      <c r="AX527" s="89" t="e">
        <f>#REF!</f>
        <v>#REF!</v>
      </c>
      <c r="AY527" s="89" t="e">
        <f>#REF!</f>
        <v>#REF!</v>
      </c>
      <c r="AZ527" s="89" t="e">
        <f>#REF!</f>
        <v>#REF!</v>
      </c>
      <c r="BA527" s="89" t="e">
        <f>#REF!</f>
        <v>#REF!</v>
      </c>
      <c r="BB527" s="89" t="e">
        <f>#REF!</f>
        <v>#REF!</v>
      </c>
      <c r="BC527" s="89" t="e">
        <f>#REF!</f>
        <v>#REF!</v>
      </c>
      <c r="BD527" s="89" t="e">
        <f>#REF!</f>
        <v>#REF!</v>
      </c>
      <c r="BE527" s="89" t="e">
        <f>#REF!</f>
        <v>#REF!</v>
      </c>
      <c r="BF527" s="89" t="e">
        <f>#REF!</f>
        <v>#REF!</v>
      </c>
    </row>
    <row r="528" spans="9:58" x14ac:dyDescent="0.25">
      <c r="I528" s="89">
        <f>ABCD!J577</f>
        <v>131</v>
      </c>
      <c r="J528" s="89">
        <f>ABCD!K577</f>
        <v>429.67999999999995</v>
      </c>
      <c r="K528" s="89">
        <f>ABCD!L577</f>
        <v>5.5094440782963474</v>
      </c>
      <c r="L528" s="89">
        <f>ABCD!M577</f>
        <v>0.99607023519317817</v>
      </c>
      <c r="M528" s="89">
        <f>ABCD!N577</f>
        <v>5.5987614670847057</v>
      </c>
      <c r="N528" s="89" t="e">
        <v>#REF!</v>
      </c>
      <c r="O528" s="89" t="e">
        <v>#REF!</v>
      </c>
      <c r="P528" s="89" t="e">
        <v>#REF!</v>
      </c>
      <c r="Q528" s="89" t="e">
        <v>#REF!</v>
      </c>
      <c r="R528" s="89" t="e">
        <v>#REF!</v>
      </c>
      <c r="S528" s="89" t="e">
        <f>#REF!</f>
        <v>#REF!</v>
      </c>
      <c r="T528" s="89" t="e">
        <f>#REF!</f>
        <v>#REF!</v>
      </c>
      <c r="U528" s="89" t="e">
        <f>#REF!</f>
        <v>#REF!</v>
      </c>
      <c r="V528" s="89" t="e">
        <f>#REF!</f>
        <v>#REF!</v>
      </c>
      <c r="W528" s="89" t="e">
        <f>#REF!</f>
        <v>#REF!</v>
      </c>
      <c r="X528" s="89" t="e">
        <f>#REF!</f>
        <v>#REF!</v>
      </c>
      <c r="Y528" s="89" t="e">
        <f>#REF!</f>
        <v>#REF!</v>
      </c>
      <c r="Z528" s="89" t="e">
        <f>#REF!</f>
        <v>#REF!</v>
      </c>
      <c r="AA528" s="89" t="e">
        <f>#REF!</f>
        <v>#REF!</v>
      </c>
      <c r="AB528" s="89" t="e">
        <f>#REF!</f>
        <v>#REF!</v>
      </c>
      <c r="AC528" s="89" t="e">
        <f>#REF!</f>
        <v>#REF!</v>
      </c>
      <c r="AD528" s="89" t="e">
        <f>#REF!</f>
        <v>#REF!</v>
      </c>
      <c r="AE528" s="89" t="e">
        <f>#REF!</f>
        <v>#REF!</v>
      </c>
      <c r="AF528" s="89" t="e">
        <f>#REF!</f>
        <v>#REF!</v>
      </c>
      <c r="AG528" s="89" t="e">
        <f>#REF!</f>
        <v>#REF!</v>
      </c>
      <c r="AH528" s="89" t="e">
        <f>#REF!</f>
        <v>#REF!</v>
      </c>
      <c r="AI528" s="89" t="e">
        <f>#REF!</f>
        <v>#REF!</v>
      </c>
      <c r="AJ528" s="89" t="e">
        <f>#REF!</f>
        <v>#REF!</v>
      </c>
      <c r="AK528" s="89" t="e">
        <f>#REF!</f>
        <v>#REF!</v>
      </c>
      <c r="AL528" s="89" t="e">
        <f>#REF!</f>
        <v>#REF!</v>
      </c>
      <c r="AM528" s="89" t="e">
        <f>#REF!</f>
        <v>#REF!</v>
      </c>
      <c r="AN528" s="89" t="e">
        <f>#REF!</f>
        <v>#REF!</v>
      </c>
      <c r="AO528" s="89" t="e">
        <f>#REF!</f>
        <v>#REF!</v>
      </c>
      <c r="AP528" s="89" t="e">
        <f>#REF!</f>
        <v>#REF!</v>
      </c>
      <c r="AQ528" s="89" t="e">
        <f>#REF!</f>
        <v>#REF!</v>
      </c>
      <c r="AR528" s="89" t="e">
        <f>#REF!</f>
        <v>#REF!</v>
      </c>
      <c r="AS528" s="89" t="e">
        <f>#REF!</f>
        <v>#REF!</v>
      </c>
      <c r="AT528" s="89" t="e">
        <f>#REF!</f>
        <v>#REF!</v>
      </c>
      <c r="AU528" s="89" t="e">
        <f>#REF!</f>
        <v>#REF!</v>
      </c>
      <c r="AV528" s="89" t="e">
        <f>#REF!</f>
        <v>#REF!</v>
      </c>
      <c r="AW528" s="89" t="e">
        <f>#REF!</f>
        <v>#REF!</v>
      </c>
      <c r="AX528" s="89" t="e">
        <f>#REF!</f>
        <v>#REF!</v>
      </c>
      <c r="AY528" s="89" t="e">
        <f>#REF!</f>
        <v>#REF!</v>
      </c>
      <c r="AZ528" s="89" t="e">
        <f>#REF!</f>
        <v>#REF!</v>
      </c>
      <c r="BA528" s="89" t="e">
        <f>#REF!</f>
        <v>#REF!</v>
      </c>
      <c r="BB528" s="89" t="e">
        <f>#REF!</f>
        <v>#REF!</v>
      </c>
      <c r="BC528" s="89" t="e">
        <f>#REF!</f>
        <v>#REF!</v>
      </c>
      <c r="BD528" s="89" t="e">
        <f>#REF!</f>
        <v>#REF!</v>
      </c>
      <c r="BE528" s="89" t="e">
        <f>#REF!</f>
        <v>#REF!</v>
      </c>
      <c r="BF528" s="89" t="e">
        <f>#REF!</f>
        <v>#REF!</v>
      </c>
    </row>
    <row r="529" spans="9:58" x14ac:dyDescent="0.25">
      <c r="I529" s="89">
        <f>ABCD!J578</f>
        <v>131.25</v>
      </c>
      <c r="J529" s="89">
        <f>ABCD!K578</f>
        <v>430.5</v>
      </c>
      <c r="K529" s="89">
        <f>ABCD!L578</f>
        <v>5.5173329861387712</v>
      </c>
      <c r="L529" s="89">
        <f>ABCD!M578</f>
        <v>0.99827899544470489</v>
      </c>
      <c r="M529" s="89">
        <f>ABCD!N578</f>
        <v>5.6069175339647241</v>
      </c>
      <c r="N529" s="89" t="e">
        <v>#REF!</v>
      </c>
      <c r="O529" s="89" t="e">
        <v>#REF!</v>
      </c>
      <c r="P529" s="89" t="e">
        <v>#REF!</v>
      </c>
      <c r="Q529" s="89" t="e">
        <v>#REF!</v>
      </c>
      <c r="R529" s="89" t="e">
        <v>#REF!</v>
      </c>
      <c r="S529" s="89" t="e">
        <f>#REF!</f>
        <v>#REF!</v>
      </c>
      <c r="T529" s="89" t="e">
        <f>#REF!</f>
        <v>#REF!</v>
      </c>
      <c r="U529" s="89" t="e">
        <f>#REF!</f>
        <v>#REF!</v>
      </c>
      <c r="V529" s="89" t="e">
        <f>#REF!</f>
        <v>#REF!</v>
      </c>
      <c r="W529" s="89" t="e">
        <f>#REF!</f>
        <v>#REF!</v>
      </c>
      <c r="X529" s="89" t="e">
        <f>#REF!</f>
        <v>#REF!</v>
      </c>
      <c r="Y529" s="89" t="e">
        <f>#REF!</f>
        <v>#REF!</v>
      </c>
      <c r="Z529" s="89" t="e">
        <f>#REF!</f>
        <v>#REF!</v>
      </c>
      <c r="AA529" s="89" t="e">
        <f>#REF!</f>
        <v>#REF!</v>
      </c>
      <c r="AB529" s="89" t="e">
        <f>#REF!</f>
        <v>#REF!</v>
      </c>
      <c r="AC529" s="89" t="e">
        <f>#REF!</f>
        <v>#REF!</v>
      </c>
      <c r="AD529" s="89" t="e">
        <f>#REF!</f>
        <v>#REF!</v>
      </c>
      <c r="AE529" s="89" t="e">
        <f>#REF!</f>
        <v>#REF!</v>
      </c>
      <c r="AF529" s="89" t="e">
        <f>#REF!</f>
        <v>#REF!</v>
      </c>
      <c r="AG529" s="89" t="e">
        <f>#REF!</f>
        <v>#REF!</v>
      </c>
      <c r="AH529" s="89" t="e">
        <f>#REF!</f>
        <v>#REF!</v>
      </c>
      <c r="AI529" s="89" t="e">
        <f>#REF!</f>
        <v>#REF!</v>
      </c>
      <c r="AJ529" s="89" t="e">
        <f>#REF!</f>
        <v>#REF!</v>
      </c>
      <c r="AK529" s="89" t="e">
        <f>#REF!</f>
        <v>#REF!</v>
      </c>
      <c r="AL529" s="89" t="e">
        <f>#REF!</f>
        <v>#REF!</v>
      </c>
      <c r="AM529" s="89" t="e">
        <f>#REF!</f>
        <v>#REF!</v>
      </c>
      <c r="AN529" s="89" t="e">
        <f>#REF!</f>
        <v>#REF!</v>
      </c>
      <c r="AO529" s="89" t="e">
        <f>#REF!</f>
        <v>#REF!</v>
      </c>
      <c r="AP529" s="89" t="e">
        <f>#REF!</f>
        <v>#REF!</v>
      </c>
      <c r="AQ529" s="89" t="e">
        <f>#REF!</f>
        <v>#REF!</v>
      </c>
      <c r="AR529" s="89" t="e">
        <f>#REF!</f>
        <v>#REF!</v>
      </c>
      <c r="AS529" s="89" t="e">
        <f>#REF!</f>
        <v>#REF!</v>
      </c>
      <c r="AT529" s="89" t="e">
        <f>#REF!</f>
        <v>#REF!</v>
      </c>
      <c r="AU529" s="89" t="e">
        <f>#REF!</f>
        <v>#REF!</v>
      </c>
      <c r="AV529" s="89" t="e">
        <f>#REF!</f>
        <v>#REF!</v>
      </c>
      <c r="AW529" s="89" t="e">
        <f>#REF!</f>
        <v>#REF!</v>
      </c>
      <c r="AX529" s="89" t="e">
        <f>#REF!</f>
        <v>#REF!</v>
      </c>
      <c r="AY529" s="89" t="e">
        <f>#REF!</f>
        <v>#REF!</v>
      </c>
      <c r="AZ529" s="89" t="e">
        <f>#REF!</f>
        <v>#REF!</v>
      </c>
      <c r="BA529" s="89" t="e">
        <f>#REF!</f>
        <v>#REF!</v>
      </c>
      <c r="BB529" s="89" t="e">
        <f>#REF!</f>
        <v>#REF!</v>
      </c>
      <c r="BC529" s="89" t="e">
        <f>#REF!</f>
        <v>#REF!</v>
      </c>
      <c r="BD529" s="89" t="e">
        <f>#REF!</f>
        <v>#REF!</v>
      </c>
      <c r="BE529" s="89" t="e">
        <f>#REF!</f>
        <v>#REF!</v>
      </c>
      <c r="BF529" s="89" t="e">
        <f>#REF!</f>
        <v>#REF!</v>
      </c>
    </row>
    <row r="530" spans="9:58" x14ac:dyDescent="0.25">
      <c r="I530" s="89">
        <f>ABCD!J579</f>
        <v>131.5</v>
      </c>
      <c r="J530" s="89">
        <f>ABCD!K579</f>
        <v>431.32</v>
      </c>
      <c r="K530" s="89">
        <f>ABCD!L579</f>
        <v>5.5239411700771104</v>
      </c>
      <c r="L530" s="89">
        <f>ABCD!M579</f>
        <v>1.0002553249092094</v>
      </c>
      <c r="M530" s="89">
        <f>ABCD!N579</f>
        <v>5.6137720621238358</v>
      </c>
      <c r="N530" s="89" t="e">
        <v>#REF!</v>
      </c>
      <c r="O530" s="89" t="e">
        <v>#REF!</v>
      </c>
      <c r="P530" s="89" t="e">
        <v>#REF!</v>
      </c>
      <c r="Q530" s="89" t="e">
        <v>#REF!</v>
      </c>
      <c r="R530" s="89" t="e">
        <v>#REF!</v>
      </c>
      <c r="S530" s="89" t="e">
        <f>#REF!</f>
        <v>#REF!</v>
      </c>
      <c r="T530" s="89" t="e">
        <f>#REF!</f>
        <v>#REF!</v>
      </c>
      <c r="U530" s="89" t="e">
        <f>#REF!</f>
        <v>#REF!</v>
      </c>
      <c r="V530" s="89" t="e">
        <f>#REF!</f>
        <v>#REF!</v>
      </c>
      <c r="W530" s="89" t="e">
        <f>#REF!</f>
        <v>#REF!</v>
      </c>
      <c r="X530" s="89" t="e">
        <f>#REF!</f>
        <v>#REF!</v>
      </c>
      <c r="Y530" s="89" t="e">
        <f>#REF!</f>
        <v>#REF!</v>
      </c>
      <c r="Z530" s="89" t="e">
        <f>#REF!</f>
        <v>#REF!</v>
      </c>
      <c r="AA530" s="89" t="e">
        <f>#REF!</f>
        <v>#REF!</v>
      </c>
      <c r="AB530" s="89" t="e">
        <f>#REF!</f>
        <v>#REF!</v>
      </c>
      <c r="AC530" s="89" t="e">
        <f>#REF!</f>
        <v>#REF!</v>
      </c>
      <c r="AD530" s="89" t="e">
        <f>#REF!</f>
        <v>#REF!</v>
      </c>
      <c r="AE530" s="89" t="e">
        <f>#REF!</f>
        <v>#REF!</v>
      </c>
      <c r="AF530" s="89" t="e">
        <f>#REF!</f>
        <v>#REF!</v>
      </c>
      <c r="AG530" s="89" t="e">
        <f>#REF!</f>
        <v>#REF!</v>
      </c>
      <c r="AH530" s="89" t="e">
        <f>#REF!</f>
        <v>#REF!</v>
      </c>
      <c r="AI530" s="89" t="e">
        <f>#REF!</f>
        <v>#REF!</v>
      </c>
      <c r="AJ530" s="89" t="e">
        <f>#REF!</f>
        <v>#REF!</v>
      </c>
      <c r="AK530" s="89" t="e">
        <f>#REF!</f>
        <v>#REF!</v>
      </c>
      <c r="AL530" s="89" t="e">
        <f>#REF!</f>
        <v>#REF!</v>
      </c>
      <c r="AM530" s="89" t="e">
        <f>#REF!</f>
        <v>#REF!</v>
      </c>
      <c r="AN530" s="89" t="e">
        <f>#REF!</f>
        <v>#REF!</v>
      </c>
      <c r="AO530" s="89" t="e">
        <f>#REF!</f>
        <v>#REF!</v>
      </c>
      <c r="AP530" s="89" t="e">
        <f>#REF!</f>
        <v>#REF!</v>
      </c>
      <c r="AQ530" s="89" t="e">
        <f>#REF!</f>
        <v>#REF!</v>
      </c>
      <c r="AR530" s="89" t="e">
        <f>#REF!</f>
        <v>#REF!</v>
      </c>
      <c r="AS530" s="89" t="e">
        <f>#REF!</f>
        <v>#REF!</v>
      </c>
      <c r="AT530" s="89" t="e">
        <f>#REF!</f>
        <v>#REF!</v>
      </c>
      <c r="AU530" s="89" t="e">
        <f>#REF!</f>
        <v>#REF!</v>
      </c>
      <c r="AV530" s="89" t="e">
        <f>#REF!</f>
        <v>#REF!</v>
      </c>
      <c r="AW530" s="89" t="e">
        <f>#REF!</f>
        <v>#REF!</v>
      </c>
      <c r="AX530" s="89" t="e">
        <f>#REF!</f>
        <v>#REF!</v>
      </c>
      <c r="AY530" s="89" t="e">
        <f>#REF!</f>
        <v>#REF!</v>
      </c>
      <c r="AZ530" s="89" t="e">
        <f>#REF!</f>
        <v>#REF!</v>
      </c>
      <c r="BA530" s="89" t="e">
        <f>#REF!</f>
        <v>#REF!</v>
      </c>
      <c r="BB530" s="89" t="e">
        <f>#REF!</f>
        <v>#REF!</v>
      </c>
      <c r="BC530" s="89" t="e">
        <f>#REF!</f>
        <v>#REF!</v>
      </c>
      <c r="BD530" s="89" t="e">
        <f>#REF!</f>
        <v>#REF!</v>
      </c>
      <c r="BE530" s="89" t="e">
        <f>#REF!</f>
        <v>#REF!</v>
      </c>
      <c r="BF530" s="89" t="e">
        <f>#REF!</f>
        <v>#REF!</v>
      </c>
    </row>
    <row r="531" spans="9:58" x14ac:dyDescent="0.25">
      <c r="I531" s="89">
        <f>ABCD!J580</f>
        <v>131.75</v>
      </c>
      <c r="J531" s="89">
        <f>ABCD!K580</f>
        <v>432.14</v>
      </c>
      <c r="K531" s="89">
        <f>ABCD!L580</f>
        <v>5.5292682568040501</v>
      </c>
      <c r="L531" s="89">
        <f>ABCD!M580</f>
        <v>1.0019989764622701</v>
      </c>
      <c r="M531" s="89">
        <f>ABCD!N580</f>
        <v>5.6193246395391983</v>
      </c>
      <c r="N531" s="89" t="e">
        <v>#REF!</v>
      </c>
      <c r="O531" s="89" t="e">
        <v>#REF!</v>
      </c>
      <c r="P531" s="89" t="e">
        <v>#REF!</v>
      </c>
      <c r="Q531" s="89" t="e">
        <v>#REF!</v>
      </c>
      <c r="R531" s="89" t="e">
        <v>#REF!</v>
      </c>
      <c r="S531" s="89" t="e">
        <f>#REF!</f>
        <v>#REF!</v>
      </c>
      <c r="T531" s="89" t="e">
        <f>#REF!</f>
        <v>#REF!</v>
      </c>
      <c r="U531" s="89" t="e">
        <f>#REF!</f>
        <v>#REF!</v>
      </c>
      <c r="V531" s="89" t="e">
        <f>#REF!</f>
        <v>#REF!</v>
      </c>
      <c r="W531" s="89" t="e">
        <f>#REF!</f>
        <v>#REF!</v>
      </c>
      <c r="X531" s="89" t="e">
        <f>#REF!</f>
        <v>#REF!</v>
      </c>
      <c r="Y531" s="89" t="e">
        <f>#REF!</f>
        <v>#REF!</v>
      </c>
      <c r="Z531" s="89" t="e">
        <f>#REF!</f>
        <v>#REF!</v>
      </c>
      <c r="AA531" s="89" t="e">
        <f>#REF!</f>
        <v>#REF!</v>
      </c>
      <c r="AB531" s="89" t="e">
        <f>#REF!</f>
        <v>#REF!</v>
      </c>
      <c r="AC531" s="89" t="e">
        <f>#REF!</f>
        <v>#REF!</v>
      </c>
      <c r="AD531" s="89" t="e">
        <f>#REF!</f>
        <v>#REF!</v>
      </c>
      <c r="AE531" s="89" t="e">
        <f>#REF!</f>
        <v>#REF!</v>
      </c>
      <c r="AF531" s="89" t="e">
        <f>#REF!</f>
        <v>#REF!</v>
      </c>
      <c r="AG531" s="89" t="e">
        <f>#REF!</f>
        <v>#REF!</v>
      </c>
      <c r="AH531" s="89" t="e">
        <f>#REF!</f>
        <v>#REF!</v>
      </c>
      <c r="AI531" s="89" t="e">
        <f>#REF!</f>
        <v>#REF!</v>
      </c>
      <c r="AJ531" s="89" t="e">
        <f>#REF!</f>
        <v>#REF!</v>
      </c>
      <c r="AK531" s="89" t="e">
        <f>#REF!</f>
        <v>#REF!</v>
      </c>
      <c r="AL531" s="89" t="e">
        <f>#REF!</f>
        <v>#REF!</v>
      </c>
      <c r="AM531" s="89" t="e">
        <f>#REF!</f>
        <v>#REF!</v>
      </c>
      <c r="AN531" s="89" t="e">
        <f>#REF!</f>
        <v>#REF!</v>
      </c>
      <c r="AO531" s="89" t="e">
        <f>#REF!</f>
        <v>#REF!</v>
      </c>
      <c r="AP531" s="89" t="e">
        <f>#REF!</f>
        <v>#REF!</v>
      </c>
      <c r="AQ531" s="89" t="e">
        <f>#REF!</f>
        <v>#REF!</v>
      </c>
      <c r="AR531" s="89" t="e">
        <f>#REF!</f>
        <v>#REF!</v>
      </c>
      <c r="AS531" s="89" t="e">
        <f>#REF!</f>
        <v>#REF!</v>
      </c>
      <c r="AT531" s="89" t="e">
        <f>#REF!</f>
        <v>#REF!</v>
      </c>
      <c r="AU531" s="89" t="e">
        <f>#REF!</f>
        <v>#REF!</v>
      </c>
      <c r="AV531" s="89" t="e">
        <f>#REF!</f>
        <v>#REF!</v>
      </c>
      <c r="AW531" s="89" t="e">
        <f>#REF!</f>
        <v>#REF!</v>
      </c>
      <c r="AX531" s="89" t="e">
        <f>#REF!</f>
        <v>#REF!</v>
      </c>
      <c r="AY531" s="89" t="e">
        <f>#REF!</f>
        <v>#REF!</v>
      </c>
      <c r="AZ531" s="89" t="e">
        <f>#REF!</f>
        <v>#REF!</v>
      </c>
      <c r="BA531" s="89" t="e">
        <f>#REF!</f>
        <v>#REF!</v>
      </c>
      <c r="BB531" s="89" t="e">
        <f>#REF!</f>
        <v>#REF!</v>
      </c>
      <c r="BC531" s="89" t="e">
        <f>#REF!</f>
        <v>#REF!</v>
      </c>
      <c r="BD531" s="89" t="e">
        <f>#REF!</f>
        <v>#REF!</v>
      </c>
      <c r="BE531" s="89" t="e">
        <f>#REF!</f>
        <v>#REF!</v>
      </c>
      <c r="BF531" s="89" t="e">
        <f>#REF!</f>
        <v>#REF!</v>
      </c>
    </row>
    <row r="532" spans="9:58" x14ac:dyDescent="0.25">
      <c r="I532" s="89">
        <f>ABCD!J581</f>
        <v>132</v>
      </c>
      <c r="J532" s="89">
        <f>ABCD!K581</f>
        <v>432.96</v>
      </c>
      <c r="K532" s="89">
        <f>ABCD!L581</f>
        <v>5.5333141690779666</v>
      </c>
      <c r="L532" s="89">
        <f>ABCD!M581</f>
        <v>1.0035097569134028</v>
      </c>
      <c r="M532" s="89">
        <f>ABCD!N581</f>
        <v>5.6235751551783659</v>
      </c>
      <c r="N532" s="89" t="e">
        <v>#REF!</v>
      </c>
      <c r="O532" s="89" t="e">
        <v>#REF!</v>
      </c>
      <c r="P532" s="89" t="e">
        <v>#REF!</v>
      </c>
      <c r="Q532" s="89" t="e">
        <v>#REF!</v>
      </c>
      <c r="R532" s="89" t="e">
        <v>#REF!</v>
      </c>
      <c r="S532" s="89" t="e">
        <f>#REF!</f>
        <v>#REF!</v>
      </c>
      <c r="T532" s="89" t="e">
        <f>#REF!</f>
        <v>#REF!</v>
      </c>
      <c r="U532" s="89" t="e">
        <f>#REF!</f>
        <v>#REF!</v>
      </c>
      <c r="V532" s="89" t="e">
        <f>#REF!</f>
        <v>#REF!</v>
      </c>
      <c r="W532" s="89" t="e">
        <f>#REF!</f>
        <v>#REF!</v>
      </c>
      <c r="X532" s="89" t="e">
        <f>#REF!</f>
        <v>#REF!</v>
      </c>
      <c r="Y532" s="89" t="e">
        <f>#REF!</f>
        <v>#REF!</v>
      </c>
      <c r="Z532" s="89" t="e">
        <f>#REF!</f>
        <v>#REF!</v>
      </c>
      <c r="AA532" s="89" t="e">
        <f>#REF!</f>
        <v>#REF!</v>
      </c>
      <c r="AB532" s="89" t="e">
        <f>#REF!</f>
        <v>#REF!</v>
      </c>
      <c r="AC532" s="89" t="e">
        <f>#REF!</f>
        <v>#REF!</v>
      </c>
      <c r="AD532" s="89" t="e">
        <f>#REF!</f>
        <v>#REF!</v>
      </c>
      <c r="AE532" s="89" t="e">
        <f>#REF!</f>
        <v>#REF!</v>
      </c>
      <c r="AF532" s="89" t="e">
        <f>#REF!</f>
        <v>#REF!</v>
      </c>
      <c r="AG532" s="89" t="e">
        <f>#REF!</f>
        <v>#REF!</v>
      </c>
      <c r="AH532" s="89" t="e">
        <f>#REF!</f>
        <v>#REF!</v>
      </c>
      <c r="AI532" s="89" t="e">
        <f>#REF!</f>
        <v>#REF!</v>
      </c>
      <c r="AJ532" s="89" t="e">
        <f>#REF!</f>
        <v>#REF!</v>
      </c>
      <c r="AK532" s="89" t="e">
        <f>#REF!</f>
        <v>#REF!</v>
      </c>
      <c r="AL532" s="89" t="e">
        <f>#REF!</f>
        <v>#REF!</v>
      </c>
      <c r="AM532" s="89" t="e">
        <f>#REF!</f>
        <v>#REF!</v>
      </c>
      <c r="AN532" s="89" t="e">
        <f>#REF!</f>
        <v>#REF!</v>
      </c>
      <c r="AO532" s="89" t="e">
        <f>#REF!</f>
        <v>#REF!</v>
      </c>
      <c r="AP532" s="89" t="e">
        <f>#REF!</f>
        <v>#REF!</v>
      </c>
      <c r="AQ532" s="89" t="e">
        <f>#REF!</f>
        <v>#REF!</v>
      </c>
      <c r="AR532" s="89" t="e">
        <f>#REF!</f>
        <v>#REF!</v>
      </c>
      <c r="AS532" s="89" t="e">
        <f>#REF!</f>
        <v>#REF!</v>
      </c>
      <c r="AT532" s="89" t="e">
        <f>#REF!</f>
        <v>#REF!</v>
      </c>
      <c r="AU532" s="89" t="e">
        <f>#REF!</f>
        <v>#REF!</v>
      </c>
      <c r="AV532" s="89" t="e">
        <f>#REF!</f>
        <v>#REF!</v>
      </c>
      <c r="AW532" s="89" t="e">
        <f>#REF!</f>
        <v>#REF!</v>
      </c>
      <c r="AX532" s="89" t="e">
        <f>#REF!</f>
        <v>#REF!</v>
      </c>
      <c r="AY532" s="89" t="e">
        <f>#REF!</f>
        <v>#REF!</v>
      </c>
      <c r="AZ532" s="89" t="e">
        <f>#REF!</f>
        <v>#REF!</v>
      </c>
      <c r="BA532" s="89" t="e">
        <f>#REF!</f>
        <v>#REF!</v>
      </c>
      <c r="BB532" s="89" t="e">
        <f>#REF!</f>
        <v>#REF!</v>
      </c>
      <c r="BC532" s="89" t="e">
        <f>#REF!</f>
        <v>#REF!</v>
      </c>
      <c r="BD532" s="89" t="e">
        <f>#REF!</f>
        <v>#REF!</v>
      </c>
      <c r="BE532" s="89" t="e">
        <f>#REF!</f>
        <v>#REF!</v>
      </c>
      <c r="BF532" s="89" t="e">
        <f>#REF!</f>
        <v>#REF!</v>
      </c>
    </row>
    <row r="533" spans="9:58" x14ac:dyDescent="0.25">
      <c r="I533" s="89">
        <f>ABCD!J582</f>
        <v>132.25</v>
      </c>
      <c r="J533" s="89">
        <f>ABCD!K582</f>
        <v>433.78</v>
      </c>
      <c r="K533" s="89">
        <f>ABCD!L582</f>
        <v>5.5360791254744033</v>
      </c>
      <c r="L533" s="89">
        <f>ABCD!M582</f>
        <v>1.0047875270021331</v>
      </c>
      <c r="M533" s="89">
        <f>ABCD!N582</f>
        <v>5.626523798752876</v>
      </c>
      <c r="N533" s="89" t="e">
        <v>#REF!</v>
      </c>
      <c r="O533" s="89" t="e">
        <v>#REF!</v>
      </c>
      <c r="P533" s="89" t="e">
        <v>#REF!</v>
      </c>
      <c r="Q533" s="89" t="e">
        <v>#REF!</v>
      </c>
      <c r="R533" s="89" t="e">
        <v>#REF!</v>
      </c>
      <c r="S533" s="89" t="e">
        <f>#REF!</f>
        <v>#REF!</v>
      </c>
      <c r="T533" s="89" t="e">
        <f>#REF!</f>
        <v>#REF!</v>
      </c>
      <c r="U533" s="89" t="e">
        <f>#REF!</f>
        <v>#REF!</v>
      </c>
      <c r="V533" s="89" t="e">
        <f>#REF!</f>
        <v>#REF!</v>
      </c>
      <c r="W533" s="89" t="e">
        <f>#REF!</f>
        <v>#REF!</v>
      </c>
      <c r="X533" s="89" t="e">
        <f>#REF!</f>
        <v>#REF!</v>
      </c>
      <c r="Y533" s="89" t="e">
        <f>#REF!</f>
        <v>#REF!</v>
      </c>
      <c r="Z533" s="89" t="e">
        <f>#REF!</f>
        <v>#REF!</v>
      </c>
      <c r="AA533" s="89" t="e">
        <f>#REF!</f>
        <v>#REF!</v>
      </c>
      <c r="AB533" s="89" t="e">
        <f>#REF!</f>
        <v>#REF!</v>
      </c>
      <c r="AC533" s="89" t="e">
        <f>#REF!</f>
        <v>#REF!</v>
      </c>
      <c r="AD533" s="89" t="e">
        <f>#REF!</f>
        <v>#REF!</v>
      </c>
      <c r="AE533" s="89" t="e">
        <f>#REF!</f>
        <v>#REF!</v>
      </c>
      <c r="AF533" s="89" t="e">
        <f>#REF!</f>
        <v>#REF!</v>
      </c>
      <c r="AG533" s="89" t="e">
        <f>#REF!</f>
        <v>#REF!</v>
      </c>
      <c r="AH533" s="89" t="e">
        <f>#REF!</f>
        <v>#REF!</v>
      </c>
      <c r="AI533" s="89" t="e">
        <f>#REF!</f>
        <v>#REF!</v>
      </c>
      <c r="AJ533" s="89" t="e">
        <f>#REF!</f>
        <v>#REF!</v>
      </c>
      <c r="AK533" s="89" t="e">
        <f>#REF!</f>
        <v>#REF!</v>
      </c>
      <c r="AL533" s="89" t="e">
        <f>#REF!</f>
        <v>#REF!</v>
      </c>
      <c r="AM533" s="89" t="e">
        <f>#REF!</f>
        <v>#REF!</v>
      </c>
      <c r="AN533" s="89" t="e">
        <f>#REF!</f>
        <v>#REF!</v>
      </c>
      <c r="AO533" s="89" t="e">
        <f>#REF!</f>
        <v>#REF!</v>
      </c>
      <c r="AP533" s="89" t="e">
        <f>#REF!</f>
        <v>#REF!</v>
      </c>
      <c r="AQ533" s="89" t="e">
        <f>#REF!</f>
        <v>#REF!</v>
      </c>
      <c r="AR533" s="89" t="e">
        <f>#REF!</f>
        <v>#REF!</v>
      </c>
      <c r="AS533" s="89" t="e">
        <f>#REF!</f>
        <v>#REF!</v>
      </c>
      <c r="AT533" s="89" t="e">
        <f>#REF!</f>
        <v>#REF!</v>
      </c>
      <c r="AU533" s="89" t="e">
        <f>#REF!</f>
        <v>#REF!</v>
      </c>
      <c r="AV533" s="89" t="e">
        <f>#REF!</f>
        <v>#REF!</v>
      </c>
      <c r="AW533" s="89" t="e">
        <f>#REF!</f>
        <v>#REF!</v>
      </c>
      <c r="AX533" s="89" t="e">
        <f>#REF!</f>
        <v>#REF!</v>
      </c>
      <c r="AY533" s="89" t="e">
        <f>#REF!</f>
        <v>#REF!</v>
      </c>
      <c r="AZ533" s="89" t="e">
        <f>#REF!</f>
        <v>#REF!</v>
      </c>
      <c r="BA533" s="89" t="e">
        <f>#REF!</f>
        <v>#REF!</v>
      </c>
      <c r="BB533" s="89" t="e">
        <f>#REF!</f>
        <v>#REF!</v>
      </c>
      <c r="BC533" s="89" t="e">
        <f>#REF!</f>
        <v>#REF!</v>
      </c>
      <c r="BD533" s="89" t="e">
        <f>#REF!</f>
        <v>#REF!</v>
      </c>
      <c r="BE533" s="89" t="e">
        <f>#REF!</f>
        <v>#REF!</v>
      </c>
      <c r="BF533" s="89" t="e">
        <f>#REF!</f>
        <v>#REF!</v>
      </c>
    </row>
    <row r="534" spans="9:58" x14ac:dyDescent="0.25">
      <c r="I534" s="89">
        <f>ABCD!J583</f>
        <v>132.5</v>
      </c>
      <c r="J534" s="89">
        <f>ABCD!K583</f>
        <v>434.59999999999997</v>
      </c>
      <c r="K534" s="89">
        <f>ABCD!L583</f>
        <v>5.5375636400695107</v>
      </c>
      <c r="L534" s="89">
        <f>ABCD!M583</f>
        <v>1.0058322013816197</v>
      </c>
      <c r="M534" s="89">
        <f>ABCD!N583</f>
        <v>5.6281710604028454</v>
      </c>
      <c r="N534" s="89" t="e">
        <v>#REF!</v>
      </c>
      <c r="O534" s="89" t="e">
        <v>#REF!</v>
      </c>
      <c r="P534" s="89" t="e">
        <v>#REF!</v>
      </c>
      <c r="Q534" s="89" t="e">
        <v>#REF!</v>
      </c>
      <c r="R534" s="89" t="e">
        <v>#REF!</v>
      </c>
      <c r="S534" s="89" t="e">
        <f>#REF!</f>
        <v>#REF!</v>
      </c>
      <c r="T534" s="89" t="e">
        <f>#REF!</f>
        <v>#REF!</v>
      </c>
      <c r="U534" s="89" t="e">
        <f>#REF!</f>
        <v>#REF!</v>
      </c>
      <c r="V534" s="89" t="e">
        <f>#REF!</f>
        <v>#REF!</v>
      </c>
      <c r="W534" s="89" t="e">
        <f>#REF!</f>
        <v>#REF!</v>
      </c>
      <c r="X534" s="89" t="e">
        <f>#REF!</f>
        <v>#REF!</v>
      </c>
      <c r="Y534" s="89" t="e">
        <f>#REF!</f>
        <v>#REF!</v>
      </c>
      <c r="Z534" s="89" t="e">
        <f>#REF!</f>
        <v>#REF!</v>
      </c>
      <c r="AA534" s="89" t="e">
        <f>#REF!</f>
        <v>#REF!</v>
      </c>
      <c r="AB534" s="89" t="e">
        <f>#REF!</f>
        <v>#REF!</v>
      </c>
      <c r="AC534" s="89" t="e">
        <f>#REF!</f>
        <v>#REF!</v>
      </c>
      <c r="AD534" s="89" t="e">
        <f>#REF!</f>
        <v>#REF!</v>
      </c>
      <c r="AE534" s="89" t="e">
        <f>#REF!</f>
        <v>#REF!</v>
      </c>
      <c r="AF534" s="89" t="e">
        <f>#REF!</f>
        <v>#REF!</v>
      </c>
      <c r="AG534" s="89" t="e">
        <f>#REF!</f>
        <v>#REF!</v>
      </c>
      <c r="AH534" s="89" t="e">
        <f>#REF!</f>
        <v>#REF!</v>
      </c>
      <c r="AI534" s="89" t="e">
        <f>#REF!</f>
        <v>#REF!</v>
      </c>
      <c r="AJ534" s="89" t="e">
        <f>#REF!</f>
        <v>#REF!</v>
      </c>
      <c r="AK534" s="89" t="e">
        <f>#REF!</f>
        <v>#REF!</v>
      </c>
      <c r="AL534" s="89" t="e">
        <f>#REF!</f>
        <v>#REF!</v>
      </c>
      <c r="AM534" s="89" t="e">
        <f>#REF!</f>
        <v>#REF!</v>
      </c>
      <c r="AN534" s="89" t="e">
        <f>#REF!</f>
        <v>#REF!</v>
      </c>
      <c r="AO534" s="89" t="e">
        <f>#REF!</f>
        <v>#REF!</v>
      </c>
      <c r="AP534" s="89" t="e">
        <f>#REF!</f>
        <v>#REF!</v>
      </c>
      <c r="AQ534" s="89" t="e">
        <f>#REF!</f>
        <v>#REF!</v>
      </c>
      <c r="AR534" s="89" t="e">
        <f>#REF!</f>
        <v>#REF!</v>
      </c>
      <c r="AS534" s="89" t="e">
        <f>#REF!</f>
        <v>#REF!</v>
      </c>
      <c r="AT534" s="89" t="e">
        <f>#REF!</f>
        <v>#REF!</v>
      </c>
      <c r="AU534" s="89" t="e">
        <f>#REF!</f>
        <v>#REF!</v>
      </c>
      <c r="AV534" s="89" t="e">
        <f>#REF!</f>
        <v>#REF!</v>
      </c>
      <c r="AW534" s="89" t="e">
        <f>#REF!</f>
        <v>#REF!</v>
      </c>
      <c r="AX534" s="89" t="e">
        <f>#REF!</f>
        <v>#REF!</v>
      </c>
      <c r="AY534" s="89" t="e">
        <f>#REF!</f>
        <v>#REF!</v>
      </c>
      <c r="AZ534" s="89" t="e">
        <f>#REF!</f>
        <v>#REF!</v>
      </c>
      <c r="BA534" s="89" t="e">
        <f>#REF!</f>
        <v>#REF!</v>
      </c>
      <c r="BB534" s="89" t="e">
        <f>#REF!</f>
        <v>#REF!</v>
      </c>
      <c r="BC534" s="89" t="e">
        <f>#REF!</f>
        <v>#REF!</v>
      </c>
      <c r="BD534" s="89" t="e">
        <f>#REF!</f>
        <v>#REF!</v>
      </c>
      <c r="BE534" s="89" t="e">
        <f>#REF!</f>
        <v>#REF!</v>
      </c>
      <c r="BF534" s="89" t="e">
        <f>#REF!</f>
        <v>#REF!</v>
      </c>
    </row>
    <row r="535" spans="9:58" x14ac:dyDescent="0.25">
      <c r="I535" s="89">
        <f>ABCD!J584</f>
        <v>132.75</v>
      </c>
      <c r="J535" s="89">
        <f>ABCD!K584</f>
        <v>435.41999999999996</v>
      </c>
      <c r="K535" s="89">
        <f>ABCD!L584</f>
        <v>5.5377685220555399</v>
      </c>
      <c r="L535" s="89">
        <f>ABCD!M584</f>
        <v>1.0066437485898703</v>
      </c>
      <c r="M535" s="89">
        <f>ABCD!N584</f>
        <v>5.6285177303126854</v>
      </c>
      <c r="N535" s="89" t="e">
        <v>#REF!</v>
      </c>
      <c r="O535" s="89" t="e">
        <v>#REF!</v>
      </c>
      <c r="P535" s="89" t="e">
        <v>#REF!</v>
      </c>
      <c r="Q535" s="89" t="e">
        <v>#REF!</v>
      </c>
      <c r="R535" s="89" t="e">
        <v>#REF!</v>
      </c>
      <c r="S535" s="89" t="e">
        <f>#REF!</f>
        <v>#REF!</v>
      </c>
      <c r="T535" s="89" t="e">
        <f>#REF!</f>
        <v>#REF!</v>
      </c>
      <c r="U535" s="89" t="e">
        <f>#REF!</f>
        <v>#REF!</v>
      </c>
      <c r="V535" s="89" t="e">
        <f>#REF!</f>
        <v>#REF!</v>
      </c>
      <c r="W535" s="89" t="e">
        <f>#REF!</f>
        <v>#REF!</v>
      </c>
      <c r="X535" s="89" t="e">
        <f>#REF!</f>
        <v>#REF!</v>
      </c>
      <c r="Y535" s="89" t="e">
        <f>#REF!</f>
        <v>#REF!</v>
      </c>
      <c r="Z535" s="89" t="e">
        <f>#REF!</f>
        <v>#REF!</v>
      </c>
      <c r="AA535" s="89" t="e">
        <f>#REF!</f>
        <v>#REF!</v>
      </c>
      <c r="AB535" s="89" t="e">
        <f>#REF!</f>
        <v>#REF!</v>
      </c>
      <c r="AC535" s="89" t="e">
        <f>#REF!</f>
        <v>#REF!</v>
      </c>
      <c r="AD535" s="89" t="e">
        <f>#REF!</f>
        <v>#REF!</v>
      </c>
      <c r="AE535" s="89" t="e">
        <f>#REF!</f>
        <v>#REF!</v>
      </c>
      <c r="AF535" s="89" t="e">
        <f>#REF!</f>
        <v>#REF!</v>
      </c>
      <c r="AG535" s="89" t="e">
        <f>#REF!</f>
        <v>#REF!</v>
      </c>
      <c r="AH535" s="89" t="e">
        <f>#REF!</f>
        <v>#REF!</v>
      </c>
      <c r="AI535" s="89" t="e">
        <f>#REF!</f>
        <v>#REF!</v>
      </c>
      <c r="AJ535" s="89" t="e">
        <f>#REF!</f>
        <v>#REF!</v>
      </c>
      <c r="AK535" s="89" t="e">
        <f>#REF!</f>
        <v>#REF!</v>
      </c>
      <c r="AL535" s="89" t="e">
        <f>#REF!</f>
        <v>#REF!</v>
      </c>
      <c r="AM535" s="89" t="e">
        <f>#REF!</f>
        <v>#REF!</v>
      </c>
      <c r="AN535" s="89" t="e">
        <f>#REF!</f>
        <v>#REF!</v>
      </c>
      <c r="AO535" s="89" t="e">
        <f>#REF!</f>
        <v>#REF!</v>
      </c>
      <c r="AP535" s="89" t="e">
        <f>#REF!</f>
        <v>#REF!</v>
      </c>
      <c r="AQ535" s="89" t="e">
        <f>#REF!</f>
        <v>#REF!</v>
      </c>
      <c r="AR535" s="89" t="e">
        <f>#REF!</f>
        <v>#REF!</v>
      </c>
      <c r="AS535" s="89" t="e">
        <f>#REF!</f>
        <v>#REF!</v>
      </c>
      <c r="AT535" s="89" t="e">
        <f>#REF!</f>
        <v>#REF!</v>
      </c>
      <c r="AU535" s="89" t="e">
        <f>#REF!</f>
        <v>#REF!</v>
      </c>
      <c r="AV535" s="89" t="e">
        <f>#REF!</f>
        <v>#REF!</v>
      </c>
      <c r="AW535" s="89" t="e">
        <f>#REF!</f>
        <v>#REF!</v>
      </c>
      <c r="AX535" s="89" t="e">
        <f>#REF!</f>
        <v>#REF!</v>
      </c>
      <c r="AY535" s="89" t="e">
        <f>#REF!</f>
        <v>#REF!</v>
      </c>
      <c r="AZ535" s="89" t="e">
        <f>#REF!</f>
        <v>#REF!</v>
      </c>
      <c r="BA535" s="89" t="e">
        <f>#REF!</f>
        <v>#REF!</v>
      </c>
      <c r="BB535" s="89" t="e">
        <f>#REF!</f>
        <v>#REF!</v>
      </c>
      <c r="BC535" s="89" t="e">
        <f>#REF!</f>
        <v>#REF!</v>
      </c>
      <c r="BD535" s="89" t="e">
        <f>#REF!</f>
        <v>#REF!</v>
      </c>
      <c r="BE535" s="89" t="e">
        <f>#REF!</f>
        <v>#REF!</v>
      </c>
      <c r="BF535" s="89" t="e">
        <f>#REF!</f>
        <v>#REF!</v>
      </c>
    </row>
    <row r="536" spans="9:58" x14ac:dyDescent="0.25">
      <c r="I536" s="89">
        <f>ABCD!J585</f>
        <v>133</v>
      </c>
      <c r="J536" s="89">
        <f>ABCD!K585</f>
        <v>436.23999999999995</v>
      </c>
      <c r="K536" s="89">
        <f>ABCD!L585</f>
        <v>5.5366948752885641</v>
      </c>
      <c r="L536" s="89">
        <f>ABCD!M585</f>
        <v>1.0072221910085228</v>
      </c>
      <c r="M536" s="89">
        <f>ABCD!N585</f>
        <v>5.6275648982580968</v>
      </c>
      <c r="N536" s="89" t="e">
        <v>#REF!</v>
      </c>
      <c r="O536" s="89" t="e">
        <v>#REF!</v>
      </c>
      <c r="P536" s="89" t="e">
        <v>#REF!</v>
      </c>
      <c r="Q536" s="89" t="e">
        <v>#REF!</v>
      </c>
      <c r="R536" s="89" t="e">
        <v>#REF!</v>
      </c>
      <c r="S536" s="89" t="e">
        <f>#REF!</f>
        <v>#REF!</v>
      </c>
      <c r="T536" s="89" t="e">
        <f>#REF!</f>
        <v>#REF!</v>
      </c>
      <c r="U536" s="89" t="e">
        <f>#REF!</f>
        <v>#REF!</v>
      </c>
      <c r="V536" s="89" t="e">
        <f>#REF!</f>
        <v>#REF!</v>
      </c>
      <c r="W536" s="89" t="e">
        <f>#REF!</f>
        <v>#REF!</v>
      </c>
      <c r="X536" s="89" t="e">
        <f>#REF!</f>
        <v>#REF!</v>
      </c>
      <c r="Y536" s="89" t="e">
        <f>#REF!</f>
        <v>#REF!</v>
      </c>
      <c r="Z536" s="89" t="e">
        <f>#REF!</f>
        <v>#REF!</v>
      </c>
      <c r="AA536" s="89" t="e">
        <f>#REF!</f>
        <v>#REF!</v>
      </c>
      <c r="AB536" s="89" t="e">
        <f>#REF!</f>
        <v>#REF!</v>
      </c>
      <c r="AC536" s="89" t="e">
        <f>#REF!</f>
        <v>#REF!</v>
      </c>
      <c r="AD536" s="89" t="e">
        <f>#REF!</f>
        <v>#REF!</v>
      </c>
      <c r="AE536" s="89" t="e">
        <f>#REF!</f>
        <v>#REF!</v>
      </c>
      <c r="AF536" s="89" t="e">
        <f>#REF!</f>
        <v>#REF!</v>
      </c>
      <c r="AG536" s="89" t="e">
        <f>#REF!</f>
        <v>#REF!</v>
      </c>
      <c r="AH536" s="89" t="e">
        <f>#REF!</f>
        <v>#REF!</v>
      </c>
      <c r="AI536" s="89" t="e">
        <f>#REF!</f>
        <v>#REF!</v>
      </c>
      <c r="AJ536" s="89" t="e">
        <f>#REF!</f>
        <v>#REF!</v>
      </c>
      <c r="AK536" s="89" t="e">
        <f>#REF!</f>
        <v>#REF!</v>
      </c>
      <c r="AL536" s="89" t="e">
        <f>#REF!</f>
        <v>#REF!</v>
      </c>
      <c r="AM536" s="89" t="e">
        <f>#REF!</f>
        <v>#REF!</v>
      </c>
      <c r="AN536" s="89" t="e">
        <f>#REF!</f>
        <v>#REF!</v>
      </c>
      <c r="AO536" s="89" t="e">
        <f>#REF!</f>
        <v>#REF!</v>
      </c>
      <c r="AP536" s="89" t="e">
        <f>#REF!</f>
        <v>#REF!</v>
      </c>
      <c r="AQ536" s="89" t="e">
        <f>#REF!</f>
        <v>#REF!</v>
      </c>
      <c r="AR536" s="89" t="e">
        <f>#REF!</f>
        <v>#REF!</v>
      </c>
      <c r="AS536" s="89" t="e">
        <f>#REF!</f>
        <v>#REF!</v>
      </c>
      <c r="AT536" s="89" t="e">
        <f>#REF!</f>
        <v>#REF!</v>
      </c>
      <c r="AU536" s="89" t="e">
        <f>#REF!</f>
        <v>#REF!</v>
      </c>
      <c r="AV536" s="89" t="e">
        <f>#REF!</f>
        <v>#REF!</v>
      </c>
      <c r="AW536" s="89" t="e">
        <f>#REF!</f>
        <v>#REF!</v>
      </c>
      <c r="AX536" s="89" t="e">
        <f>#REF!</f>
        <v>#REF!</v>
      </c>
      <c r="AY536" s="89" t="e">
        <f>#REF!</f>
        <v>#REF!</v>
      </c>
      <c r="AZ536" s="89" t="e">
        <f>#REF!</f>
        <v>#REF!</v>
      </c>
      <c r="BA536" s="89" t="e">
        <f>#REF!</f>
        <v>#REF!</v>
      </c>
      <c r="BB536" s="89" t="e">
        <f>#REF!</f>
        <v>#REF!</v>
      </c>
      <c r="BC536" s="89" t="e">
        <f>#REF!</f>
        <v>#REF!</v>
      </c>
      <c r="BD536" s="89" t="e">
        <f>#REF!</f>
        <v>#REF!</v>
      </c>
      <c r="BE536" s="89" t="e">
        <f>#REF!</f>
        <v>#REF!</v>
      </c>
      <c r="BF536" s="89" t="e">
        <f>#REF!</f>
        <v>#REF!</v>
      </c>
    </row>
    <row r="537" spans="9:58" x14ac:dyDescent="0.25">
      <c r="I537" s="89">
        <f>ABCD!J586</f>
        <v>133.25</v>
      </c>
      <c r="J537" s="89">
        <f>ABCD!K586</f>
        <v>437.06</v>
      </c>
      <c r="K537" s="89">
        <f>ABCD!L586</f>
        <v>5.5343440977685923</v>
      </c>
      <c r="L537" s="89">
        <f>ABCD!M586</f>
        <v>1.0075676048092339</v>
      </c>
      <c r="M537" s="89">
        <f>ABCD!N586</f>
        <v>5.6253139530844916</v>
      </c>
      <c r="N537" s="89" t="e">
        <v>#REF!</v>
      </c>
      <c r="O537" s="89" t="e">
        <v>#REF!</v>
      </c>
      <c r="P537" s="89" t="e">
        <v>#REF!</v>
      </c>
      <c r="Q537" s="89" t="e">
        <v>#REF!</v>
      </c>
      <c r="R537" s="89" t="e">
        <v>#REF!</v>
      </c>
      <c r="S537" s="89" t="e">
        <f>#REF!</f>
        <v>#REF!</v>
      </c>
      <c r="T537" s="89" t="e">
        <f>#REF!</f>
        <v>#REF!</v>
      </c>
      <c r="U537" s="89" t="e">
        <f>#REF!</f>
        <v>#REF!</v>
      </c>
      <c r="V537" s="89" t="e">
        <f>#REF!</f>
        <v>#REF!</v>
      </c>
      <c r="W537" s="89" t="e">
        <f>#REF!</f>
        <v>#REF!</v>
      </c>
      <c r="X537" s="89" t="e">
        <f>#REF!</f>
        <v>#REF!</v>
      </c>
      <c r="Y537" s="89" t="e">
        <f>#REF!</f>
        <v>#REF!</v>
      </c>
      <c r="Z537" s="89" t="e">
        <f>#REF!</f>
        <v>#REF!</v>
      </c>
      <c r="AA537" s="89" t="e">
        <f>#REF!</f>
        <v>#REF!</v>
      </c>
      <c r="AB537" s="89" t="e">
        <f>#REF!</f>
        <v>#REF!</v>
      </c>
      <c r="AC537" s="89" t="e">
        <f>#REF!</f>
        <v>#REF!</v>
      </c>
      <c r="AD537" s="89" t="e">
        <f>#REF!</f>
        <v>#REF!</v>
      </c>
      <c r="AE537" s="89" t="e">
        <f>#REF!</f>
        <v>#REF!</v>
      </c>
      <c r="AF537" s="89" t="e">
        <f>#REF!</f>
        <v>#REF!</v>
      </c>
      <c r="AG537" s="89" t="e">
        <f>#REF!</f>
        <v>#REF!</v>
      </c>
      <c r="AH537" s="89" t="e">
        <f>#REF!</f>
        <v>#REF!</v>
      </c>
      <c r="AI537" s="89" t="e">
        <f>#REF!</f>
        <v>#REF!</v>
      </c>
      <c r="AJ537" s="89" t="e">
        <f>#REF!</f>
        <v>#REF!</v>
      </c>
      <c r="AK537" s="89" t="e">
        <f>#REF!</f>
        <v>#REF!</v>
      </c>
      <c r="AL537" s="89" t="e">
        <f>#REF!</f>
        <v>#REF!</v>
      </c>
      <c r="AM537" s="89" t="e">
        <f>#REF!</f>
        <v>#REF!</v>
      </c>
      <c r="AN537" s="89" t="e">
        <f>#REF!</f>
        <v>#REF!</v>
      </c>
      <c r="AO537" s="89" t="e">
        <f>#REF!</f>
        <v>#REF!</v>
      </c>
      <c r="AP537" s="89" t="e">
        <f>#REF!</f>
        <v>#REF!</v>
      </c>
      <c r="AQ537" s="89" t="e">
        <f>#REF!</f>
        <v>#REF!</v>
      </c>
      <c r="AR537" s="89" t="e">
        <f>#REF!</f>
        <v>#REF!</v>
      </c>
      <c r="AS537" s="89" t="e">
        <f>#REF!</f>
        <v>#REF!</v>
      </c>
      <c r="AT537" s="89" t="e">
        <f>#REF!</f>
        <v>#REF!</v>
      </c>
      <c r="AU537" s="89" t="e">
        <f>#REF!</f>
        <v>#REF!</v>
      </c>
      <c r="AV537" s="89" t="e">
        <f>#REF!</f>
        <v>#REF!</v>
      </c>
      <c r="AW537" s="89" t="e">
        <f>#REF!</f>
        <v>#REF!</v>
      </c>
      <c r="AX537" s="89" t="e">
        <f>#REF!</f>
        <v>#REF!</v>
      </c>
      <c r="AY537" s="89" t="e">
        <f>#REF!</f>
        <v>#REF!</v>
      </c>
      <c r="AZ537" s="89" t="e">
        <f>#REF!</f>
        <v>#REF!</v>
      </c>
      <c r="BA537" s="89" t="e">
        <f>#REF!</f>
        <v>#REF!</v>
      </c>
      <c r="BB537" s="89" t="e">
        <f>#REF!</f>
        <v>#REF!</v>
      </c>
      <c r="BC537" s="89" t="e">
        <f>#REF!</f>
        <v>#REF!</v>
      </c>
      <c r="BD537" s="89" t="e">
        <f>#REF!</f>
        <v>#REF!</v>
      </c>
      <c r="BE537" s="89" t="e">
        <f>#REF!</f>
        <v>#REF!</v>
      </c>
      <c r="BF537" s="89" t="e">
        <f>#REF!</f>
        <v>#REF!</v>
      </c>
    </row>
    <row r="538" spans="9:58" x14ac:dyDescent="0.25">
      <c r="I538" s="89">
        <f>ABCD!J587</f>
        <v>133.5</v>
      </c>
      <c r="J538" s="89">
        <f>ABCD!K587</f>
        <v>437.88</v>
      </c>
      <c r="K538" s="89">
        <f>ABCD!L587</f>
        <v>5.5307178810522251</v>
      </c>
      <c r="L538" s="89">
        <f>ABCD!M587</f>
        <v>1.0076801198877234</v>
      </c>
      <c r="M538" s="89">
        <f>ABCD!N587</f>
        <v>5.6217665821170266</v>
      </c>
      <c r="N538" s="89" t="e">
        <v>#REF!</v>
      </c>
      <c r="O538" s="89" t="e">
        <v>#REF!</v>
      </c>
      <c r="P538" s="89" t="e">
        <v>#REF!</v>
      </c>
      <c r="Q538" s="89" t="e">
        <v>#REF!</v>
      </c>
      <c r="R538" s="89" t="e">
        <v>#REF!</v>
      </c>
      <c r="S538" s="89" t="e">
        <f>#REF!</f>
        <v>#REF!</v>
      </c>
      <c r="T538" s="89" t="e">
        <f>#REF!</f>
        <v>#REF!</v>
      </c>
      <c r="U538" s="89" t="e">
        <f>#REF!</f>
        <v>#REF!</v>
      </c>
      <c r="V538" s="89" t="e">
        <f>#REF!</f>
        <v>#REF!</v>
      </c>
      <c r="W538" s="89" t="e">
        <f>#REF!</f>
        <v>#REF!</v>
      </c>
      <c r="X538" s="89" t="e">
        <f>#REF!</f>
        <v>#REF!</v>
      </c>
      <c r="Y538" s="89" t="e">
        <f>#REF!</f>
        <v>#REF!</v>
      </c>
      <c r="Z538" s="89" t="e">
        <f>#REF!</f>
        <v>#REF!</v>
      </c>
      <c r="AA538" s="89" t="e">
        <f>#REF!</f>
        <v>#REF!</v>
      </c>
      <c r="AB538" s="89" t="e">
        <f>#REF!</f>
        <v>#REF!</v>
      </c>
      <c r="AC538" s="89" t="e">
        <f>#REF!</f>
        <v>#REF!</v>
      </c>
      <c r="AD538" s="89" t="e">
        <f>#REF!</f>
        <v>#REF!</v>
      </c>
      <c r="AE538" s="89" t="e">
        <f>#REF!</f>
        <v>#REF!</v>
      </c>
      <c r="AF538" s="89" t="e">
        <f>#REF!</f>
        <v>#REF!</v>
      </c>
      <c r="AG538" s="89" t="e">
        <f>#REF!</f>
        <v>#REF!</v>
      </c>
      <c r="AH538" s="89" t="e">
        <f>#REF!</f>
        <v>#REF!</v>
      </c>
      <c r="AI538" s="89" t="e">
        <f>#REF!</f>
        <v>#REF!</v>
      </c>
      <c r="AJ538" s="89" t="e">
        <f>#REF!</f>
        <v>#REF!</v>
      </c>
      <c r="AK538" s="89" t="e">
        <f>#REF!</f>
        <v>#REF!</v>
      </c>
      <c r="AL538" s="89" t="e">
        <f>#REF!</f>
        <v>#REF!</v>
      </c>
      <c r="AM538" s="89" t="e">
        <f>#REF!</f>
        <v>#REF!</v>
      </c>
      <c r="AN538" s="89" t="e">
        <f>#REF!</f>
        <v>#REF!</v>
      </c>
      <c r="AO538" s="89" t="e">
        <f>#REF!</f>
        <v>#REF!</v>
      </c>
      <c r="AP538" s="89" t="e">
        <f>#REF!</f>
        <v>#REF!</v>
      </c>
      <c r="AQ538" s="89" t="e">
        <f>#REF!</f>
        <v>#REF!</v>
      </c>
      <c r="AR538" s="89" t="e">
        <f>#REF!</f>
        <v>#REF!</v>
      </c>
      <c r="AS538" s="89" t="e">
        <f>#REF!</f>
        <v>#REF!</v>
      </c>
      <c r="AT538" s="89" t="e">
        <f>#REF!</f>
        <v>#REF!</v>
      </c>
      <c r="AU538" s="89" t="e">
        <f>#REF!</f>
        <v>#REF!</v>
      </c>
      <c r="AV538" s="89" t="e">
        <f>#REF!</f>
        <v>#REF!</v>
      </c>
      <c r="AW538" s="89" t="e">
        <f>#REF!</f>
        <v>#REF!</v>
      </c>
      <c r="AX538" s="89" t="e">
        <f>#REF!</f>
        <v>#REF!</v>
      </c>
      <c r="AY538" s="89" t="e">
        <f>#REF!</f>
        <v>#REF!</v>
      </c>
      <c r="AZ538" s="89" t="e">
        <f>#REF!</f>
        <v>#REF!</v>
      </c>
      <c r="BA538" s="89" t="e">
        <f>#REF!</f>
        <v>#REF!</v>
      </c>
      <c r="BB538" s="89" t="e">
        <f>#REF!</f>
        <v>#REF!</v>
      </c>
      <c r="BC538" s="89" t="e">
        <f>#REF!</f>
        <v>#REF!</v>
      </c>
      <c r="BD538" s="89" t="e">
        <f>#REF!</f>
        <v>#REF!</v>
      </c>
      <c r="BE538" s="89" t="e">
        <f>#REF!</f>
        <v>#REF!</v>
      </c>
      <c r="BF538" s="89" t="e">
        <f>#REF!</f>
        <v>#REF!</v>
      </c>
    </row>
    <row r="539" spans="9:58" x14ac:dyDescent="0.25">
      <c r="I539" s="89">
        <f>ABCD!J588</f>
        <v>133.75</v>
      </c>
      <c r="J539" s="89">
        <f>ABCD!K588</f>
        <v>438.7</v>
      </c>
      <c r="K539" s="89">
        <f>ABCD!L588</f>
        <v>5.5258182095981105</v>
      </c>
      <c r="L539" s="89">
        <f>ABCD!M588</f>
        <v>1.0075599197854384</v>
      </c>
      <c r="M539" s="89">
        <f>ABCD!N588</f>
        <v>5.6169247705024592</v>
      </c>
      <c r="N539" s="89" t="e">
        <v>#REF!</v>
      </c>
      <c r="O539" s="89" t="e">
        <v>#REF!</v>
      </c>
      <c r="P539" s="89" t="e">
        <v>#REF!</v>
      </c>
      <c r="Q539" s="89" t="e">
        <v>#REF!</v>
      </c>
      <c r="R539" s="89" t="e">
        <v>#REF!</v>
      </c>
      <c r="S539" s="89" t="e">
        <f>#REF!</f>
        <v>#REF!</v>
      </c>
      <c r="T539" s="89" t="e">
        <f>#REF!</f>
        <v>#REF!</v>
      </c>
      <c r="U539" s="89" t="e">
        <f>#REF!</f>
        <v>#REF!</v>
      </c>
      <c r="V539" s="89" t="e">
        <f>#REF!</f>
        <v>#REF!</v>
      </c>
      <c r="W539" s="89" t="e">
        <f>#REF!</f>
        <v>#REF!</v>
      </c>
      <c r="X539" s="89" t="e">
        <f>#REF!</f>
        <v>#REF!</v>
      </c>
      <c r="Y539" s="89" t="e">
        <f>#REF!</f>
        <v>#REF!</v>
      </c>
      <c r="Z539" s="89" t="e">
        <f>#REF!</f>
        <v>#REF!</v>
      </c>
      <c r="AA539" s="89" t="e">
        <f>#REF!</f>
        <v>#REF!</v>
      </c>
      <c r="AB539" s="89" t="e">
        <f>#REF!</f>
        <v>#REF!</v>
      </c>
      <c r="AC539" s="89" t="e">
        <f>#REF!</f>
        <v>#REF!</v>
      </c>
      <c r="AD539" s="89" t="e">
        <f>#REF!</f>
        <v>#REF!</v>
      </c>
      <c r="AE539" s="89" t="e">
        <f>#REF!</f>
        <v>#REF!</v>
      </c>
      <c r="AF539" s="89" t="e">
        <f>#REF!</f>
        <v>#REF!</v>
      </c>
      <c r="AG539" s="89" t="e">
        <f>#REF!</f>
        <v>#REF!</v>
      </c>
      <c r="AH539" s="89" t="e">
        <f>#REF!</f>
        <v>#REF!</v>
      </c>
      <c r="AI539" s="89" t="e">
        <f>#REF!</f>
        <v>#REF!</v>
      </c>
      <c r="AJ539" s="89" t="e">
        <f>#REF!</f>
        <v>#REF!</v>
      </c>
      <c r="AK539" s="89" t="e">
        <f>#REF!</f>
        <v>#REF!</v>
      </c>
      <c r="AL539" s="89" t="e">
        <f>#REF!</f>
        <v>#REF!</v>
      </c>
      <c r="AM539" s="89" t="e">
        <f>#REF!</f>
        <v>#REF!</v>
      </c>
      <c r="AN539" s="89" t="e">
        <f>#REF!</f>
        <v>#REF!</v>
      </c>
      <c r="AO539" s="89" t="e">
        <f>#REF!</f>
        <v>#REF!</v>
      </c>
      <c r="AP539" s="89" t="e">
        <f>#REF!</f>
        <v>#REF!</v>
      </c>
      <c r="AQ539" s="89" t="e">
        <f>#REF!</f>
        <v>#REF!</v>
      </c>
      <c r="AR539" s="89" t="e">
        <f>#REF!</f>
        <v>#REF!</v>
      </c>
      <c r="AS539" s="89" t="e">
        <f>#REF!</f>
        <v>#REF!</v>
      </c>
      <c r="AT539" s="89" t="e">
        <f>#REF!</f>
        <v>#REF!</v>
      </c>
      <c r="AU539" s="89" t="e">
        <f>#REF!</f>
        <v>#REF!</v>
      </c>
      <c r="AV539" s="89" t="e">
        <f>#REF!</f>
        <v>#REF!</v>
      </c>
      <c r="AW539" s="89" t="e">
        <f>#REF!</f>
        <v>#REF!</v>
      </c>
      <c r="AX539" s="89" t="e">
        <f>#REF!</f>
        <v>#REF!</v>
      </c>
      <c r="AY539" s="89" t="e">
        <f>#REF!</f>
        <v>#REF!</v>
      </c>
      <c r="AZ539" s="89" t="e">
        <f>#REF!</f>
        <v>#REF!</v>
      </c>
      <c r="BA539" s="89" t="e">
        <f>#REF!</f>
        <v>#REF!</v>
      </c>
      <c r="BB539" s="89" t="e">
        <f>#REF!</f>
        <v>#REF!</v>
      </c>
      <c r="BC539" s="89" t="e">
        <f>#REF!</f>
        <v>#REF!</v>
      </c>
      <c r="BD539" s="89" t="e">
        <f>#REF!</f>
        <v>#REF!</v>
      </c>
      <c r="BE539" s="89" t="e">
        <f>#REF!</f>
        <v>#REF!</v>
      </c>
      <c r="BF539" s="89" t="e">
        <f>#REF!</f>
        <v>#REF!</v>
      </c>
    </row>
    <row r="540" spans="9:58" x14ac:dyDescent="0.25">
      <c r="I540" s="89">
        <f>ABCD!J589</f>
        <v>134</v>
      </c>
      <c r="J540" s="89">
        <f>ABCD!K589</f>
        <v>439.52</v>
      </c>
      <c r="K540" s="89">
        <f>ABCD!L589</f>
        <v>5.5196473600453455</v>
      </c>
      <c r="L540" s="89">
        <f>ABCD!M589</f>
        <v>1.0072072415989459</v>
      </c>
      <c r="M540" s="89">
        <f>ABCD!N589</f>
        <v>5.6107908004830218</v>
      </c>
      <c r="N540" s="89" t="e">
        <v>#REF!</v>
      </c>
      <c r="O540" s="89" t="e">
        <v>#REF!</v>
      </c>
      <c r="P540" s="89" t="e">
        <v>#REF!</v>
      </c>
      <c r="Q540" s="89" t="e">
        <v>#REF!</v>
      </c>
      <c r="R540" s="89" t="e">
        <v>#REF!</v>
      </c>
      <c r="S540" s="89" t="e">
        <f>#REF!</f>
        <v>#REF!</v>
      </c>
      <c r="T540" s="89" t="e">
        <f>#REF!</f>
        <v>#REF!</v>
      </c>
      <c r="U540" s="89" t="e">
        <f>#REF!</f>
        <v>#REF!</v>
      </c>
      <c r="V540" s="89" t="e">
        <f>#REF!</f>
        <v>#REF!</v>
      </c>
      <c r="W540" s="89" t="e">
        <f>#REF!</f>
        <v>#REF!</v>
      </c>
      <c r="X540" s="89" t="e">
        <f>#REF!</f>
        <v>#REF!</v>
      </c>
      <c r="Y540" s="89" t="e">
        <f>#REF!</f>
        <v>#REF!</v>
      </c>
      <c r="Z540" s="89" t="e">
        <f>#REF!</f>
        <v>#REF!</v>
      </c>
      <c r="AA540" s="89" t="e">
        <f>#REF!</f>
        <v>#REF!</v>
      </c>
      <c r="AB540" s="89" t="e">
        <f>#REF!</f>
        <v>#REF!</v>
      </c>
      <c r="AC540" s="89" t="e">
        <f>#REF!</f>
        <v>#REF!</v>
      </c>
      <c r="AD540" s="89" t="e">
        <f>#REF!</f>
        <v>#REF!</v>
      </c>
      <c r="AE540" s="89" t="e">
        <f>#REF!</f>
        <v>#REF!</v>
      </c>
      <c r="AF540" s="89" t="e">
        <f>#REF!</f>
        <v>#REF!</v>
      </c>
      <c r="AG540" s="89" t="e">
        <f>#REF!</f>
        <v>#REF!</v>
      </c>
      <c r="AH540" s="89" t="e">
        <f>#REF!</f>
        <v>#REF!</v>
      </c>
      <c r="AI540" s="89" t="e">
        <f>#REF!</f>
        <v>#REF!</v>
      </c>
      <c r="AJ540" s="89" t="e">
        <f>#REF!</f>
        <v>#REF!</v>
      </c>
      <c r="AK540" s="89" t="e">
        <f>#REF!</f>
        <v>#REF!</v>
      </c>
      <c r="AL540" s="89" t="e">
        <f>#REF!</f>
        <v>#REF!</v>
      </c>
      <c r="AM540" s="89" t="e">
        <f>#REF!</f>
        <v>#REF!</v>
      </c>
      <c r="AN540" s="89" t="e">
        <f>#REF!</f>
        <v>#REF!</v>
      </c>
      <c r="AO540" s="89" t="e">
        <f>#REF!</f>
        <v>#REF!</v>
      </c>
      <c r="AP540" s="89" t="e">
        <f>#REF!</f>
        <v>#REF!</v>
      </c>
      <c r="AQ540" s="89" t="e">
        <f>#REF!</f>
        <v>#REF!</v>
      </c>
      <c r="AR540" s="89" t="e">
        <f>#REF!</f>
        <v>#REF!</v>
      </c>
      <c r="AS540" s="89" t="e">
        <f>#REF!</f>
        <v>#REF!</v>
      </c>
      <c r="AT540" s="89" t="e">
        <f>#REF!</f>
        <v>#REF!</v>
      </c>
      <c r="AU540" s="89" t="e">
        <f>#REF!</f>
        <v>#REF!</v>
      </c>
      <c r="AV540" s="89" t="e">
        <f>#REF!</f>
        <v>#REF!</v>
      </c>
      <c r="AW540" s="89" t="e">
        <f>#REF!</f>
        <v>#REF!</v>
      </c>
      <c r="AX540" s="89" t="e">
        <f>#REF!</f>
        <v>#REF!</v>
      </c>
      <c r="AY540" s="89" t="e">
        <f>#REF!</f>
        <v>#REF!</v>
      </c>
      <c r="AZ540" s="89" t="e">
        <f>#REF!</f>
        <v>#REF!</v>
      </c>
      <c r="BA540" s="89" t="e">
        <f>#REF!</f>
        <v>#REF!</v>
      </c>
      <c r="BB540" s="89" t="e">
        <f>#REF!</f>
        <v>#REF!</v>
      </c>
      <c r="BC540" s="89" t="e">
        <f>#REF!</f>
        <v>#REF!</v>
      </c>
      <c r="BD540" s="89" t="e">
        <f>#REF!</f>
        <v>#REF!</v>
      </c>
      <c r="BE540" s="89" t="e">
        <f>#REF!</f>
        <v>#REF!</v>
      </c>
      <c r="BF540" s="89" t="e">
        <f>#REF!</f>
        <v>#REF!</v>
      </c>
    </row>
    <row r="541" spans="9:58" x14ac:dyDescent="0.25">
      <c r="I541" s="89">
        <f>ABCD!J590</f>
        <v>134.25</v>
      </c>
      <c r="J541" s="89">
        <f>ABCD!K590</f>
        <v>440.34</v>
      </c>
      <c r="K541" s="89">
        <f>ABCD!L590</f>
        <v>5.5122079004250963</v>
      </c>
      <c r="L541" s="89">
        <f>ABCD!M590</f>
        <v>1.0066223758770039</v>
      </c>
      <c r="M541" s="89">
        <f>ABCD!N590</f>
        <v>5.6033672506025436</v>
      </c>
      <c r="N541" s="89" t="e">
        <v>#REF!</v>
      </c>
      <c r="O541" s="89" t="e">
        <v>#REF!</v>
      </c>
      <c r="P541" s="89" t="e">
        <v>#REF!</v>
      </c>
      <c r="Q541" s="89" t="e">
        <v>#REF!</v>
      </c>
      <c r="R541" s="89" t="e">
        <v>#REF!</v>
      </c>
      <c r="S541" s="89" t="e">
        <f>#REF!</f>
        <v>#REF!</v>
      </c>
      <c r="T541" s="89" t="e">
        <f>#REF!</f>
        <v>#REF!</v>
      </c>
      <c r="U541" s="89" t="e">
        <f>#REF!</f>
        <v>#REF!</v>
      </c>
      <c r="V541" s="89" t="e">
        <f>#REF!</f>
        <v>#REF!</v>
      </c>
      <c r="W541" s="89" t="e">
        <f>#REF!</f>
        <v>#REF!</v>
      </c>
      <c r="X541" s="89" t="e">
        <f>#REF!</f>
        <v>#REF!</v>
      </c>
      <c r="Y541" s="89" t="e">
        <f>#REF!</f>
        <v>#REF!</v>
      </c>
      <c r="Z541" s="89" t="e">
        <f>#REF!</f>
        <v>#REF!</v>
      </c>
      <c r="AA541" s="89" t="e">
        <f>#REF!</f>
        <v>#REF!</v>
      </c>
      <c r="AB541" s="89" t="e">
        <f>#REF!</f>
        <v>#REF!</v>
      </c>
      <c r="AC541" s="89" t="e">
        <f>#REF!</f>
        <v>#REF!</v>
      </c>
      <c r="AD541" s="89" t="e">
        <f>#REF!</f>
        <v>#REF!</v>
      </c>
      <c r="AE541" s="89" t="e">
        <f>#REF!</f>
        <v>#REF!</v>
      </c>
      <c r="AF541" s="89" t="e">
        <f>#REF!</f>
        <v>#REF!</v>
      </c>
      <c r="AG541" s="89" t="e">
        <f>#REF!</f>
        <v>#REF!</v>
      </c>
      <c r="AH541" s="89" t="e">
        <f>#REF!</f>
        <v>#REF!</v>
      </c>
      <c r="AI541" s="89" t="e">
        <f>#REF!</f>
        <v>#REF!</v>
      </c>
      <c r="AJ541" s="89" t="e">
        <f>#REF!</f>
        <v>#REF!</v>
      </c>
      <c r="AK541" s="89" t="e">
        <f>#REF!</f>
        <v>#REF!</v>
      </c>
      <c r="AL541" s="89" t="e">
        <f>#REF!</f>
        <v>#REF!</v>
      </c>
      <c r="AM541" s="89" t="e">
        <f>#REF!</f>
        <v>#REF!</v>
      </c>
      <c r="AN541" s="89" t="e">
        <f>#REF!</f>
        <v>#REF!</v>
      </c>
      <c r="AO541" s="89" t="e">
        <f>#REF!</f>
        <v>#REF!</v>
      </c>
      <c r="AP541" s="89" t="e">
        <f>#REF!</f>
        <v>#REF!</v>
      </c>
      <c r="AQ541" s="89" t="e">
        <f>#REF!</f>
        <v>#REF!</v>
      </c>
      <c r="AR541" s="89" t="e">
        <f>#REF!</f>
        <v>#REF!</v>
      </c>
      <c r="AS541" s="89" t="e">
        <f>#REF!</f>
        <v>#REF!</v>
      </c>
      <c r="AT541" s="89" t="e">
        <f>#REF!</f>
        <v>#REF!</v>
      </c>
      <c r="AU541" s="89" t="e">
        <f>#REF!</f>
        <v>#REF!</v>
      </c>
      <c r="AV541" s="89" t="e">
        <f>#REF!</f>
        <v>#REF!</v>
      </c>
      <c r="AW541" s="89" t="e">
        <f>#REF!</f>
        <v>#REF!</v>
      </c>
      <c r="AX541" s="89" t="e">
        <f>#REF!</f>
        <v>#REF!</v>
      </c>
      <c r="AY541" s="89" t="e">
        <f>#REF!</f>
        <v>#REF!</v>
      </c>
      <c r="AZ541" s="89" t="e">
        <f>#REF!</f>
        <v>#REF!</v>
      </c>
      <c r="BA541" s="89" t="e">
        <f>#REF!</f>
        <v>#REF!</v>
      </c>
      <c r="BB541" s="89" t="e">
        <f>#REF!</f>
        <v>#REF!</v>
      </c>
      <c r="BC541" s="89" t="e">
        <f>#REF!</f>
        <v>#REF!</v>
      </c>
      <c r="BD541" s="89" t="e">
        <f>#REF!</f>
        <v>#REF!</v>
      </c>
      <c r="BE541" s="89" t="e">
        <f>#REF!</f>
        <v>#REF!</v>
      </c>
      <c r="BF541" s="89" t="e">
        <f>#REF!</f>
        <v>#REF!</v>
      </c>
    </row>
    <row r="542" spans="9:58" x14ac:dyDescent="0.25">
      <c r="I542" s="89">
        <f>ABCD!J591</f>
        <v>134.5</v>
      </c>
      <c r="J542" s="89">
        <f>ABCD!K591</f>
        <v>441.15999999999997</v>
      </c>
      <c r="K542" s="89">
        <f>ABCD!L591</f>
        <v>5.5035026893056509</v>
      </c>
      <c r="L542" s="89">
        <f>ABCD!M591</f>
        <v>1.0058056665054211</v>
      </c>
      <c r="M542" s="89">
        <f>ABCD!N591</f>
        <v>5.5946569948450771</v>
      </c>
      <c r="N542" s="89" t="e">
        <v>#REF!</v>
      </c>
      <c r="O542" s="89" t="e">
        <v>#REF!</v>
      </c>
      <c r="P542" s="89" t="e">
        <v>#REF!</v>
      </c>
      <c r="Q542" s="89" t="e">
        <v>#REF!</v>
      </c>
      <c r="R542" s="89" t="e">
        <v>#REF!</v>
      </c>
      <c r="S542" s="89" t="e">
        <f>#REF!</f>
        <v>#REF!</v>
      </c>
      <c r="T542" s="89" t="e">
        <f>#REF!</f>
        <v>#REF!</v>
      </c>
      <c r="U542" s="89" t="e">
        <f>#REF!</f>
        <v>#REF!</v>
      </c>
      <c r="V542" s="89" t="e">
        <f>#REF!</f>
        <v>#REF!</v>
      </c>
      <c r="W542" s="89" t="e">
        <f>#REF!</f>
        <v>#REF!</v>
      </c>
      <c r="X542" s="89" t="e">
        <f>#REF!</f>
        <v>#REF!</v>
      </c>
      <c r="Y542" s="89" t="e">
        <f>#REF!</f>
        <v>#REF!</v>
      </c>
      <c r="Z542" s="89" t="e">
        <f>#REF!</f>
        <v>#REF!</v>
      </c>
      <c r="AA542" s="89" t="e">
        <f>#REF!</f>
        <v>#REF!</v>
      </c>
      <c r="AB542" s="89" t="e">
        <f>#REF!</f>
        <v>#REF!</v>
      </c>
      <c r="AC542" s="89" t="e">
        <f>#REF!</f>
        <v>#REF!</v>
      </c>
      <c r="AD542" s="89" t="e">
        <f>#REF!</f>
        <v>#REF!</v>
      </c>
      <c r="AE542" s="89" t="e">
        <f>#REF!</f>
        <v>#REF!</v>
      </c>
      <c r="AF542" s="89" t="e">
        <f>#REF!</f>
        <v>#REF!</v>
      </c>
      <c r="AG542" s="89" t="e">
        <f>#REF!</f>
        <v>#REF!</v>
      </c>
      <c r="AH542" s="89" t="e">
        <f>#REF!</f>
        <v>#REF!</v>
      </c>
      <c r="AI542" s="89" t="e">
        <f>#REF!</f>
        <v>#REF!</v>
      </c>
      <c r="AJ542" s="89" t="e">
        <f>#REF!</f>
        <v>#REF!</v>
      </c>
      <c r="AK542" s="89" t="e">
        <f>#REF!</f>
        <v>#REF!</v>
      </c>
      <c r="AL542" s="89" t="e">
        <f>#REF!</f>
        <v>#REF!</v>
      </c>
      <c r="AM542" s="89" t="e">
        <f>#REF!</f>
        <v>#REF!</v>
      </c>
      <c r="AN542" s="89" t="e">
        <f>#REF!</f>
        <v>#REF!</v>
      </c>
      <c r="AO542" s="89" t="e">
        <f>#REF!</f>
        <v>#REF!</v>
      </c>
      <c r="AP542" s="89" t="e">
        <f>#REF!</f>
        <v>#REF!</v>
      </c>
      <c r="AQ542" s="89" t="e">
        <f>#REF!</f>
        <v>#REF!</v>
      </c>
      <c r="AR542" s="89" t="e">
        <f>#REF!</f>
        <v>#REF!</v>
      </c>
      <c r="AS542" s="89" t="e">
        <f>#REF!</f>
        <v>#REF!</v>
      </c>
      <c r="AT542" s="89" t="e">
        <f>#REF!</f>
        <v>#REF!</v>
      </c>
      <c r="AU542" s="89" t="e">
        <f>#REF!</f>
        <v>#REF!</v>
      </c>
      <c r="AV542" s="89" t="e">
        <f>#REF!</f>
        <v>#REF!</v>
      </c>
      <c r="AW542" s="89" t="e">
        <f>#REF!</f>
        <v>#REF!</v>
      </c>
      <c r="AX542" s="89" t="e">
        <f>#REF!</f>
        <v>#REF!</v>
      </c>
      <c r="AY542" s="89" t="e">
        <f>#REF!</f>
        <v>#REF!</v>
      </c>
      <c r="AZ542" s="89" t="e">
        <f>#REF!</f>
        <v>#REF!</v>
      </c>
      <c r="BA542" s="89" t="e">
        <f>#REF!</f>
        <v>#REF!</v>
      </c>
      <c r="BB542" s="89" t="e">
        <f>#REF!</f>
        <v>#REF!</v>
      </c>
      <c r="BC542" s="89" t="e">
        <f>#REF!</f>
        <v>#REF!</v>
      </c>
      <c r="BD542" s="89" t="e">
        <f>#REF!</f>
        <v>#REF!</v>
      </c>
      <c r="BE542" s="89" t="e">
        <f>#REF!</f>
        <v>#REF!</v>
      </c>
      <c r="BF542" s="89" t="e">
        <f>#REF!</f>
        <v>#REF!</v>
      </c>
    </row>
    <row r="543" spans="9:58" x14ac:dyDescent="0.25">
      <c r="I543" s="89">
        <f>ABCD!J592</f>
        <v>134.75</v>
      </c>
      <c r="J543" s="89">
        <f>ABCD!K592</f>
        <v>441.97999999999996</v>
      </c>
      <c r="K543" s="89">
        <f>ABCD!L592</f>
        <v>5.4935348748711794</v>
      </c>
      <c r="L543" s="89">
        <f>ABCD!M592</f>
        <v>1.0047575105796853</v>
      </c>
      <c r="M543" s="89">
        <f>ABCD!N592</f>
        <v>5.5846632017062756</v>
      </c>
      <c r="N543" s="89" t="e">
        <v>#REF!</v>
      </c>
      <c r="O543" s="89" t="e">
        <v>#REF!</v>
      </c>
      <c r="P543" s="89" t="e">
        <v>#REF!</v>
      </c>
      <c r="Q543" s="89" t="e">
        <v>#REF!</v>
      </c>
      <c r="R543" s="89" t="e">
        <v>#REF!</v>
      </c>
      <c r="S543" s="89" t="e">
        <f>#REF!</f>
        <v>#REF!</v>
      </c>
      <c r="T543" s="89" t="e">
        <f>#REF!</f>
        <v>#REF!</v>
      </c>
      <c r="U543" s="89" t="e">
        <f>#REF!</f>
        <v>#REF!</v>
      </c>
      <c r="V543" s="89" t="e">
        <f>#REF!</f>
        <v>#REF!</v>
      </c>
      <c r="W543" s="89" t="e">
        <f>#REF!</f>
        <v>#REF!</v>
      </c>
      <c r="X543" s="89" t="e">
        <f>#REF!</f>
        <v>#REF!</v>
      </c>
      <c r="Y543" s="89" t="e">
        <f>#REF!</f>
        <v>#REF!</v>
      </c>
      <c r="Z543" s="89" t="e">
        <f>#REF!</f>
        <v>#REF!</v>
      </c>
      <c r="AA543" s="89" t="e">
        <f>#REF!</f>
        <v>#REF!</v>
      </c>
      <c r="AB543" s="89" t="e">
        <f>#REF!</f>
        <v>#REF!</v>
      </c>
      <c r="AC543" s="89" t="e">
        <f>#REF!</f>
        <v>#REF!</v>
      </c>
      <c r="AD543" s="89" t="e">
        <f>#REF!</f>
        <v>#REF!</v>
      </c>
      <c r="AE543" s="89" t="e">
        <f>#REF!</f>
        <v>#REF!</v>
      </c>
      <c r="AF543" s="89" t="e">
        <f>#REF!</f>
        <v>#REF!</v>
      </c>
      <c r="AG543" s="89" t="e">
        <f>#REF!</f>
        <v>#REF!</v>
      </c>
      <c r="AH543" s="89" t="e">
        <f>#REF!</f>
        <v>#REF!</v>
      </c>
      <c r="AI543" s="89" t="e">
        <f>#REF!</f>
        <v>#REF!</v>
      </c>
      <c r="AJ543" s="89" t="e">
        <f>#REF!</f>
        <v>#REF!</v>
      </c>
      <c r="AK543" s="89" t="e">
        <f>#REF!</f>
        <v>#REF!</v>
      </c>
      <c r="AL543" s="89" t="e">
        <f>#REF!</f>
        <v>#REF!</v>
      </c>
      <c r="AM543" s="89" t="e">
        <f>#REF!</f>
        <v>#REF!</v>
      </c>
      <c r="AN543" s="89" t="e">
        <f>#REF!</f>
        <v>#REF!</v>
      </c>
      <c r="AO543" s="89" t="e">
        <f>#REF!</f>
        <v>#REF!</v>
      </c>
      <c r="AP543" s="89" t="e">
        <f>#REF!</f>
        <v>#REF!</v>
      </c>
      <c r="AQ543" s="89" t="e">
        <f>#REF!</f>
        <v>#REF!</v>
      </c>
      <c r="AR543" s="89" t="e">
        <f>#REF!</f>
        <v>#REF!</v>
      </c>
      <c r="AS543" s="89" t="e">
        <f>#REF!</f>
        <v>#REF!</v>
      </c>
      <c r="AT543" s="89" t="e">
        <f>#REF!</f>
        <v>#REF!</v>
      </c>
      <c r="AU543" s="89" t="e">
        <f>#REF!</f>
        <v>#REF!</v>
      </c>
      <c r="AV543" s="89" t="e">
        <f>#REF!</f>
        <v>#REF!</v>
      </c>
      <c r="AW543" s="89" t="e">
        <f>#REF!</f>
        <v>#REF!</v>
      </c>
      <c r="AX543" s="89" t="e">
        <f>#REF!</f>
        <v>#REF!</v>
      </c>
      <c r="AY543" s="89" t="e">
        <f>#REF!</f>
        <v>#REF!</v>
      </c>
      <c r="AZ543" s="89" t="e">
        <f>#REF!</f>
        <v>#REF!</v>
      </c>
      <c r="BA543" s="89" t="e">
        <f>#REF!</f>
        <v>#REF!</v>
      </c>
      <c r="BB543" s="89" t="e">
        <f>#REF!</f>
        <v>#REF!</v>
      </c>
      <c r="BC543" s="89" t="e">
        <f>#REF!</f>
        <v>#REF!</v>
      </c>
      <c r="BD543" s="89" t="e">
        <f>#REF!</f>
        <v>#REF!</v>
      </c>
      <c r="BE543" s="89" t="e">
        <f>#REF!</f>
        <v>#REF!</v>
      </c>
      <c r="BF543" s="89" t="e">
        <f>#REF!</f>
        <v>#REF!</v>
      </c>
    </row>
    <row r="544" spans="9:58" x14ac:dyDescent="0.25">
      <c r="I544" s="89">
        <f>ABCD!J593</f>
        <v>135</v>
      </c>
      <c r="J544" s="89">
        <f>ABCD!K593</f>
        <v>442.79999999999995</v>
      </c>
      <c r="K544" s="89">
        <f>ABCD!L593</f>
        <v>5.4823078939344727</v>
      </c>
      <c r="L544" s="89">
        <f>ABCD!M593</f>
        <v>1.003478358265425</v>
      </c>
      <c r="M544" s="89">
        <f>ABCD!N593</f>
        <v>5.5733893331978264</v>
      </c>
      <c r="N544" s="89" t="e">
        <v>#REF!</v>
      </c>
      <c r="O544" s="89" t="e">
        <v>#REF!</v>
      </c>
      <c r="P544" s="89" t="e">
        <v>#REF!</v>
      </c>
      <c r="Q544" s="89" t="e">
        <v>#REF!</v>
      </c>
      <c r="R544" s="89" t="e">
        <v>#REF!</v>
      </c>
      <c r="S544" s="89" t="e">
        <f>#REF!</f>
        <v>#REF!</v>
      </c>
      <c r="T544" s="89" t="e">
        <f>#REF!</f>
        <v>#REF!</v>
      </c>
      <c r="U544" s="89" t="e">
        <f>#REF!</f>
        <v>#REF!</v>
      </c>
      <c r="V544" s="89" t="e">
        <f>#REF!</f>
        <v>#REF!</v>
      </c>
      <c r="W544" s="89" t="e">
        <f>#REF!</f>
        <v>#REF!</v>
      </c>
      <c r="X544" s="89" t="e">
        <f>#REF!</f>
        <v>#REF!</v>
      </c>
      <c r="Y544" s="89" t="e">
        <f>#REF!</f>
        <v>#REF!</v>
      </c>
      <c r="Z544" s="89" t="e">
        <f>#REF!</f>
        <v>#REF!</v>
      </c>
      <c r="AA544" s="89" t="e">
        <f>#REF!</f>
        <v>#REF!</v>
      </c>
      <c r="AB544" s="89" t="e">
        <f>#REF!</f>
        <v>#REF!</v>
      </c>
      <c r="AC544" s="89" t="e">
        <f>#REF!</f>
        <v>#REF!</v>
      </c>
      <c r="AD544" s="89" t="e">
        <f>#REF!</f>
        <v>#REF!</v>
      </c>
      <c r="AE544" s="89" t="e">
        <f>#REF!</f>
        <v>#REF!</v>
      </c>
      <c r="AF544" s="89" t="e">
        <f>#REF!</f>
        <v>#REF!</v>
      </c>
      <c r="AG544" s="89" t="e">
        <f>#REF!</f>
        <v>#REF!</v>
      </c>
      <c r="AH544" s="89" t="e">
        <f>#REF!</f>
        <v>#REF!</v>
      </c>
      <c r="AI544" s="89" t="e">
        <f>#REF!</f>
        <v>#REF!</v>
      </c>
      <c r="AJ544" s="89" t="e">
        <f>#REF!</f>
        <v>#REF!</v>
      </c>
      <c r="AK544" s="89" t="e">
        <f>#REF!</f>
        <v>#REF!</v>
      </c>
      <c r="AL544" s="89" t="e">
        <f>#REF!</f>
        <v>#REF!</v>
      </c>
      <c r="AM544" s="89" t="e">
        <f>#REF!</f>
        <v>#REF!</v>
      </c>
      <c r="AN544" s="89" t="e">
        <f>#REF!</f>
        <v>#REF!</v>
      </c>
      <c r="AO544" s="89" t="e">
        <f>#REF!</f>
        <v>#REF!</v>
      </c>
      <c r="AP544" s="89" t="e">
        <f>#REF!</f>
        <v>#REF!</v>
      </c>
      <c r="AQ544" s="89" t="e">
        <f>#REF!</f>
        <v>#REF!</v>
      </c>
      <c r="AR544" s="89" t="e">
        <f>#REF!</f>
        <v>#REF!</v>
      </c>
      <c r="AS544" s="89" t="e">
        <f>#REF!</f>
        <v>#REF!</v>
      </c>
      <c r="AT544" s="89" t="e">
        <f>#REF!</f>
        <v>#REF!</v>
      </c>
      <c r="AU544" s="89" t="e">
        <f>#REF!</f>
        <v>#REF!</v>
      </c>
      <c r="AV544" s="89" t="e">
        <f>#REF!</f>
        <v>#REF!</v>
      </c>
      <c r="AW544" s="89" t="e">
        <f>#REF!</f>
        <v>#REF!</v>
      </c>
      <c r="AX544" s="89" t="e">
        <f>#REF!</f>
        <v>#REF!</v>
      </c>
      <c r="AY544" s="89" t="e">
        <f>#REF!</f>
        <v>#REF!</v>
      </c>
      <c r="AZ544" s="89" t="e">
        <f>#REF!</f>
        <v>#REF!</v>
      </c>
      <c r="BA544" s="89" t="e">
        <f>#REF!</f>
        <v>#REF!</v>
      </c>
      <c r="BB544" s="89" t="e">
        <f>#REF!</f>
        <v>#REF!</v>
      </c>
      <c r="BC544" s="89" t="e">
        <f>#REF!</f>
        <v>#REF!</v>
      </c>
      <c r="BD544" s="89" t="e">
        <f>#REF!</f>
        <v>#REF!</v>
      </c>
      <c r="BE544" s="89" t="e">
        <f>#REF!</f>
        <v>#REF!</v>
      </c>
      <c r="BF544" s="89" t="e">
        <f>#REF!</f>
        <v>#REF!</v>
      </c>
    </row>
    <row r="545" spans="9:58" x14ac:dyDescent="0.25">
      <c r="I545" s="89">
        <f>ABCD!J594</f>
        <v>135.25</v>
      </c>
      <c r="J545" s="89">
        <f>ABCD!K594</f>
        <v>443.61999999999995</v>
      </c>
      <c r="K545" s="89">
        <f>ABCD!L594</f>
        <v>5.4698254708839276</v>
      </c>
      <c r="L545" s="89">
        <f>ABCD!M594</f>
        <v>1.0019687126467649</v>
      </c>
      <c r="M545" s="89">
        <f>ABCD!N594</f>
        <v>5.5608391437851887</v>
      </c>
      <c r="N545" s="89" t="e">
        <v>#REF!</v>
      </c>
      <c r="O545" s="89" t="e">
        <v>#REF!</v>
      </c>
      <c r="P545" s="89" t="e">
        <v>#REF!</v>
      </c>
      <c r="Q545" s="89" t="e">
        <v>#REF!</v>
      </c>
      <c r="R545" s="89" t="e">
        <v>#REF!</v>
      </c>
      <c r="S545" s="89" t="e">
        <f>#REF!</f>
        <v>#REF!</v>
      </c>
      <c r="T545" s="89" t="e">
        <f>#REF!</f>
        <v>#REF!</v>
      </c>
      <c r="U545" s="89" t="e">
        <f>#REF!</f>
        <v>#REF!</v>
      </c>
      <c r="V545" s="89" t="e">
        <f>#REF!</f>
        <v>#REF!</v>
      </c>
      <c r="W545" s="89" t="e">
        <f>#REF!</f>
        <v>#REF!</v>
      </c>
      <c r="X545" s="89" t="e">
        <f>#REF!</f>
        <v>#REF!</v>
      </c>
      <c r="Y545" s="89" t="e">
        <f>#REF!</f>
        <v>#REF!</v>
      </c>
      <c r="Z545" s="89" t="e">
        <f>#REF!</f>
        <v>#REF!</v>
      </c>
      <c r="AA545" s="89" t="e">
        <f>#REF!</f>
        <v>#REF!</v>
      </c>
      <c r="AB545" s="89" t="e">
        <f>#REF!</f>
        <v>#REF!</v>
      </c>
      <c r="AC545" s="89" t="e">
        <f>#REF!</f>
        <v>#REF!</v>
      </c>
      <c r="AD545" s="89" t="e">
        <f>#REF!</f>
        <v>#REF!</v>
      </c>
      <c r="AE545" s="89" t="e">
        <f>#REF!</f>
        <v>#REF!</v>
      </c>
      <c r="AF545" s="89" t="e">
        <f>#REF!</f>
        <v>#REF!</v>
      </c>
      <c r="AG545" s="89" t="e">
        <f>#REF!</f>
        <v>#REF!</v>
      </c>
      <c r="AH545" s="89" t="e">
        <f>#REF!</f>
        <v>#REF!</v>
      </c>
      <c r="AI545" s="89" t="e">
        <f>#REF!</f>
        <v>#REF!</v>
      </c>
      <c r="AJ545" s="89" t="e">
        <f>#REF!</f>
        <v>#REF!</v>
      </c>
      <c r="AK545" s="89" t="e">
        <f>#REF!</f>
        <v>#REF!</v>
      </c>
      <c r="AL545" s="89" t="e">
        <f>#REF!</f>
        <v>#REF!</v>
      </c>
      <c r="AM545" s="89" t="e">
        <f>#REF!</f>
        <v>#REF!</v>
      </c>
      <c r="AN545" s="89" t="e">
        <f>#REF!</f>
        <v>#REF!</v>
      </c>
      <c r="AO545" s="89" t="e">
        <f>#REF!</f>
        <v>#REF!</v>
      </c>
      <c r="AP545" s="89" t="e">
        <f>#REF!</f>
        <v>#REF!</v>
      </c>
      <c r="AQ545" s="89" t="e">
        <f>#REF!</f>
        <v>#REF!</v>
      </c>
      <c r="AR545" s="89" t="e">
        <f>#REF!</f>
        <v>#REF!</v>
      </c>
      <c r="AS545" s="89" t="e">
        <f>#REF!</f>
        <v>#REF!</v>
      </c>
      <c r="AT545" s="89" t="e">
        <f>#REF!</f>
        <v>#REF!</v>
      </c>
      <c r="AU545" s="89" t="e">
        <f>#REF!</f>
        <v>#REF!</v>
      </c>
      <c r="AV545" s="89" t="e">
        <f>#REF!</f>
        <v>#REF!</v>
      </c>
      <c r="AW545" s="89" t="e">
        <f>#REF!</f>
        <v>#REF!</v>
      </c>
      <c r="AX545" s="89" t="e">
        <f>#REF!</f>
        <v>#REF!</v>
      </c>
      <c r="AY545" s="89" t="e">
        <f>#REF!</f>
        <v>#REF!</v>
      </c>
      <c r="AZ545" s="89" t="e">
        <f>#REF!</f>
        <v>#REF!</v>
      </c>
      <c r="BA545" s="89" t="e">
        <f>#REF!</f>
        <v>#REF!</v>
      </c>
      <c r="BB545" s="89" t="e">
        <f>#REF!</f>
        <v>#REF!</v>
      </c>
      <c r="BC545" s="89" t="e">
        <f>#REF!</f>
        <v>#REF!</v>
      </c>
      <c r="BD545" s="89" t="e">
        <f>#REF!</f>
        <v>#REF!</v>
      </c>
      <c r="BE545" s="89" t="e">
        <f>#REF!</f>
        <v>#REF!</v>
      </c>
      <c r="BF545" s="89" t="e">
        <f>#REF!</f>
        <v>#REF!</v>
      </c>
    </row>
    <row r="546" spans="9:58" x14ac:dyDescent="0.25">
      <c r="I546" s="89">
        <f>ABCD!J595</f>
        <v>135.5</v>
      </c>
      <c r="J546" s="89">
        <f>ABCD!K595</f>
        <v>444.44</v>
      </c>
      <c r="K546" s="89">
        <f>ABCD!L595</f>
        <v>5.4560916165651072</v>
      </c>
      <c r="L546" s="89">
        <f>ABCD!M595</f>
        <v>1.0002291295625705</v>
      </c>
      <c r="M546" s="89">
        <f>ABCD!N595</f>
        <v>5.5470166792589994</v>
      </c>
      <c r="N546" s="89" t="e">
        <v>#REF!</v>
      </c>
      <c r="O546" s="89" t="e">
        <v>#REF!</v>
      </c>
      <c r="P546" s="89" t="e">
        <v>#REF!</v>
      </c>
      <c r="Q546" s="89" t="e">
        <v>#REF!</v>
      </c>
      <c r="R546" s="89" t="e">
        <v>#REF!</v>
      </c>
      <c r="S546" s="89" t="e">
        <f>#REF!</f>
        <v>#REF!</v>
      </c>
      <c r="T546" s="89" t="e">
        <f>#REF!</f>
        <v>#REF!</v>
      </c>
      <c r="U546" s="89" t="e">
        <f>#REF!</f>
        <v>#REF!</v>
      </c>
      <c r="V546" s="89" t="e">
        <f>#REF!</f>
        <v>#REF!</v>
      </c>
      <c r="W546" s="89" t="e">
        <f>#REF!</f>
        <v>#REF!</v>
      </c>
      <c r="X546" s="89" t="e">
        <f>#REF!</f>
        <v>#REF!</v>
      </c>
      <c r="Y546" s="89" t="e">
        <f>#REF!</f>
        <v>#REF!</v>
      </c>
      <c r="Z546" s="89" t="e">
        <f>#REF!</f>
        <v>#REF!</v>
      </c>
      <c r="AA546" s="89" t="e">
        <f>#REF!</f>
        <v>#REF!</v>
      </c>
      <c r="AB546" s="89" t="e">
        <f>#REF!</f>
        <v>#REF!</v>
      </c>
      <c r="AC546" s="89" t="e">
        <f>#REF!</f>
        <v>#REF!</v>
      </c>
      <c r="AD546" s="89" t="e">
        <f>#REF!</f>
        <v>#REF!</v>
      </c>
      <c r="AE546" s="89" t="e">
        <f>#REF!</f>
        <v>#REF!</v>
      </c>
      <c r="AF546" s="89" t="e">
        <f>#REF!</f>
        <v>#REF!</v>
      </c>
      <c r="AG546" s="89" t="e">
        <f>#REF!</f>
        <v>#REF!</v>
      </c>
      <c r="AH546" s="89" t="e">
        <f>#REF!</f>
        <v>#REF!</v>
      </c>
      <c r="AI546" s="89" t="e">
        <f>#REF!</f>
        <v>#REF!</v>
      </c>
      <c r="AJ546" s="89" t="e">
        <f>#REF!</f>
        <v>#REF!</v>
      </c>
      <c r="AK546" s="89" t="e">
        <f>#REF!</f>
        <v>#REF!</v>
      </c>
      <c r="AL546" s="89" t="e">
        <f>#REF!</f>
        <v>#REF!</v>
      </c>
      <c r="AM546" s="89" t="e">
        <f>#REF!</f>
        <v>#REF!</v>
      </c>
      <c r="AN546" s="89" t="e">
        <f>#REF!</f>
        <v>#REF!</v>
      </c>
      <c r="AO546" s="89" t="e">
        <f>#REF!</f>
        <v>#REF!</v>
      </c>
      <c r="AP546" s="89" t="e">
        <f>#REF!</f>
        <v>#REF!</v>
      </c>
      <c r="AQ546" s="89" t="e">
        <f>#REF!</f>
        <v>#REF!</v>
      </c>
      <c r="AR546" s="89" t="e">
        <f>#REF!</f>
        <v>#REF!</v>
      </c>
      <c r="AS546" s="89" t="e">
        <f>#REF!</f>
        <v>#REF!</v>
      </c>
      <c r="AT546" s="89" t="e">
        <f>#REF!</f>
        <v>#REF!</v>
      </c>
      <c r="AU546" s="89" t="e">
        <f>#REF!</f>
        <v>#REF!</v>
      </c>
      <c r="AV546" s="89" t="e">
        <f>#REF!</f>
        <v>#REF!</v>
      </c>
      <c r="AW546" s="89" t="e">
        <f>#REF!</f>
        <v>#REF!</v>
      </c>
      <c r="AX546" s="89" t="e">
        <f>#REF!</f>
        <v>#REF!</v>
      </c>
      <c r="AY546" s="89" t="e">
        <f>#REF!</f>
        <v>#REF!</v>
      </c>
      <c r="AZ546" s="89" t="e">
        <f>#REF!</f>
        <v>#REF!</v>
      </c>
      <c r="BA546" s="89" t="e">
        <f>#REF!</f>
        <v>#REF!</v>
      </c>
      <c r="BB546" s="89" t="e">
        <f>#REF!</f>
        <v>#REF!</v>
      </c>
      <c r="BC546" s="89" t="e">
        <f>#REF!</f>
        <v>#REF!</v>
      </c>
      <c r="BD546" s="89" t="e">
        <f>#REF!</f>
        <v>#REF!</v>
      </c>
      <c r="BE546" s="89" t="e">
        <f>#REF!</f>
        <v>#REF!</v>
      </c>
      <c r="BF546" s="89" t="e">
        <f>#REF!</f>
        <v>#REF!</v>
      </c>
    </row>
    <row r="547" spans="9:58" x14ac:dyDescent="0.25">
      <c r="I547" s="89">
        <f>ABCD!J596</f>
        <v>135.75</v>
      </c>
      <c r="J547" s="89">
        <f>ABCD!K596</f>
        <v>445.26</v>
      </c>
      <c r="K547" s="89">
        <f>ABCD!L596</f>
        <v>5.4411106270971805</v>
      </c>
      <c r="L547" s="89">
        <f>ABCD!M596</f>
        <v>0.99826021743069726</v>
      </c>
      <c r="M547" s="89">
        <f>ABCD!N596</f>
        <v>5.5319262755404344</v>
      </c>
      <c r="N547" s="89" t="e">
        <v>#REF!</v>
      </c>
      <c r="O547" s="89" t="e">
        <v>#REF!</v>
      </c>
      <c r="P547" s="89" t="e">
        <v>#REF!</v>
      </c>
      <c r="Q547" s="89" t="e">
        <v>#REF!</v>
      </c>
      <c r="R547" s="89" t="e">
        <v>#REF!</v>
      </c>
      <c r="S547" s="89" t="e">
        <f>#REF!</f>
        <v>#REF!</v>
      </c>
      <c r="T547" s="89" t="e">
        <f>#REF!</f>
        <v>#REF!</v>
      </c>
      <c r="U547" s="89" t="e">
        <f>#REF!</f>
        <v>#REF!</v>
      </c>
      <c r="V547" s="89" t="e">
        <f>#REF!</f>
        <v>#REF!</v>
      </c>
      <c r="W547" s="89" t="e">
        <f>#REF!</f>
        <v>#REF!</v>
      </c>
      <c r="X547" s="89" t="e">
        <f>#REF!</f>
        <v>#REF!</v>
      </c>
      <c r="Y547" s="89" t="e">
        <f>#REF!</f>
        <v>#REF!</v>
      </c>
      <c r="Z547" s="89" t="e">
        <f>#REF!</f>
        <v>#REF!</v>
      </c>
      <c r="AA547" s="89" t="e">
        <f>#REF!</f>
        <v>#REF!</v>
      </c>
      <c r="AB547" s="89" t="e">
        <f>#REF!</f>
        <v>#REF!</v>
      </c>
      <c r="AC547" s="89" t="e">
        <f>#REF!</f>
        <v>#REF!</v>
      </c>
      <c r="AD547" s="89" t="e">
        <f>#REF!</f>
        <v>#REF!</v>
      </c>
      <c r="AE547" s="89" t="e">
        <f>#REF!</f>
        <v>#REF!</v>
      </c>
      <c r="AF547" s="89" t="e">
        <f>#REF!</f>
        <v>#REF!</v>
      </c>
      <c r="AG547" s="89" t="e">
        <f>#REF!</f>
        <v>#REF!</v>
      </c>
      <c r="AH547" s="89" t="e">
        <f>#REF!</f>
        <v>#REF!</v>
      </c>
      <c r="AI547" s="89" t="e">
        <f>#REF!</f>
        <v>#REF!</v>
      </c>
      <c r="AJ547" s="89" t="e">
        <f>#REF!</f>
        <v>#REF!</v>
      </c>
      <c r="AK547" s="89" t="e">
        <f>#REF!</f>
        <v>#REF!</v>
      </c>
      <c r="AL547" s="89" t="e">
        <f>#REF!</f>
        <v>#REF!</v>
      </c>
      <c r="AM547" s="89" t="e">
        <f>#REF!</f>
        <v>#REF!</v>
      </c>
      <c r="AN547" s="89" t="e">
        <f>#REF!</f>
        <v>#REF!</v>
      </c>
      <c r="AO547" s="89" t="e">
        <f>#REF!</f>
        <v>#REF!</v>
      </c>
      <c r="AP547" s="89" t="e">
        <f>#REF!</f>
        <v>#REF!</v>
      </c>
      <c r="AQ547" s="89" t="e">
        <f>#REF!</f>
        <v>#REF!</v>
      </c>
      <c r="AR547" s="89" t="e">
        <f>#REF!</f>
        <v>#REF!</v>
      </c>
      <c r="AS547" s="89" t="e">
        <f>#REF!</f>
        <v>#REF!</v>
      </c>
      <c r="AT547" s="89" t="e">
        <f>#REF!</f>
        <v>#REF!</v>
      </c>
      <c r="AU547" s="89" t="e">
        <f>#REF!</f>
        <v>#REF!</v>
      </c>
      <c r="AV547" s="89" t="e">
        <f>#REF!</f>
        <v>#REF!</v>
      </c>
      <c r="AW547" s="89" t="e">
        <f>#REF!</f>
        <v>#REF!</v>
      </c>
      <c r="AX547" s="89" t="e">
        <f>#REF!</f>
        <v>#REF!</v>
      </c>
      <c r="AY547" s="89" t="e">
        <f>#REF!</f>
        <v>#REF!</v>
      </c>
      <c r="AZ547" s="89" t="e">
        <f>#REF!</f>
        <v>#REF!</v>
      </c>
      <c r="BA547" s="89" t="e">
        <f>#REF!</f>
        <v>#REF!</v>
      </c>
      <c r="BB547" s="89" t="e">
        <f>#REF!</f>
        <v>#REF!</v>
      </c>
      <c r="BC547" s="89" t="e">
        <f>#REF!</f>
        <v>#REF!</v>
      </c>
      <c r="BD547" s="89" t="e">
        <f>#REF!</f>
        <v>#REF!</v>
      </c>
      <c r="BE547" s="89" t="e">
        <f>#REF!</f>
        <v>#REF!</v>
      </c>
      <c r="BF547" s="89" t="e">
        <f>#REF!</f>
        <v>#REF!</v>
      </c>
    </row>
    <row r="548" spans="9:58" x14ac:dyDescent="0.25">
      <c r="I548" s="89">
        <f>ABCD!J597</f>
        <v>136</v>
      </c>
      <c r="J548" s="89">
        <f>ABCD!K597</f>
        <v>446.08</v>
      </c>
      <c r="K548" s="89">
        <f>ABCD!L597</f>
        <v>5.424887082624565</v>
      </c>
      <c r="L548" s="89">
        <f>ABCD!M597</f>
        <v>0.99606263706023401</v>
      </c>
      <c r="M548" s="89">
        <f>ABCD!N597</f>
        <v>5.5155725574208745</v>
      </c>
      <c r="N548" s="89" t="e">
        <v>#REF!</v>
      </c>
      <c r="O548" s="89" t="e">
        <v>#REF!</v>
      </c>
      <c r="P548" s="89" t="e">
        <v>#REF!</v>
      </c>
      <c r="Q548" s="89" t="e">
        <v>#REF!</v>
      </c>
      <c r="R548" s="89" t="e">
        <v>#REF!</v>
      </c>
      <c r="S548" s="89" t="e">
        <f>#REF!</f>
        <v>#REF!</v>
      </c>
      <c r="T548" s="89" t="e">
        <f>#REF!</f>
        <v>#REF!</v>
      </c>
      <c r="U548" s="89" t="e">
        <f>#REF!</f>
        <v>#REF!</v>
      </c>
      <c r="V548" s="89" t="e">
        <f>#REF!</f>
        <v>#REF!</v>
      </c>
      <c r="W548" s="89" t="e">
        <f>#REF!</f>
        <v>#REF!</v>
      </c>
      <c r="X548" s="89" t="e">
        <f>#REF!</f>
        <v>#REF!</v>
      </c>
      <c r="Y548" s="89" t="e">
        <f>#REF!</f>
        <v>#REF!</v>
      </c>
      <c r="Z548" s="89" t="e">
        <f>#REF!</f>
        <v>#REF!</v>
      </c>
      <c r="AA548" s="89" t="e">
        <f>#REF!</f>
        <v>#REF!</v>
      </c>
      <c r="AB548" s="89" t="e">
        <f>#REF!</f>
        <v>#REF!</v>
      </c>
      <c r="AC548" s="89" t="e">
        <f>#REF!</f>
        <v>#REF!</v>
      </c>
      <c r="AD548" s="89" t="e">
        <f>#REF!</f>
        <v>#REF!</v>
      </c>
      <c r="AE548" s="89" t="e">
        <f>#REF!</f>
        <v>#REF!</v>
      </c>
      <c r="AF548" s="89" t="e">
        <f>#REF!</f>
        <v>#REF!</v>
      </c>
      <c r="AG548" s="89" t="e">
        <f>#REF!</f>
        <v>#REF!</v>
      </c>
      <c r="AH548" s="89" t="e">
        <f>#REF!</f>
        <v>#REF!</v>
      </c>
      <c r="AI548" s="89" t="e">
        <f>#REF!</f>
        <v>#REF!</v>
      </c>
      <c r="AJ548" s="89" t="e">
        <f>#REF!</f>
        <v>#REF!</v>
      </c>
      <c r="AK548" s="89" t="e">
        <f>#REF!</f>
        <v>#REF!</v>
      </c>
      <c r="AL548" s="89" t="e">
        <f>#REF!</f>
        <v>#REF!</v>
      </c>
      <c r="AM548" s="89" t="e">
        <f>#REF!</f>
        <v>#REF!</v>
      </c>
      <c r="AN548" s="89" t="e">
        <f>#REF!</f>
        <v>#REF!</v>
      </c>
      <c r="AO548" s="89" t="e">
        <f>#REF!</f>
        <v>#REF!</v>
      </c>
      <c r="AP548" s="89" t="e">
        <f>#REF!</f>
        <v>#REF!</v>
      </c>
      <c r="AQ548" s="89" t="e">
        <f>#REF!</f>
        <v>#REF!</v>
      </c>
      <c r="AR548" s="89" t="e">
        <f>#REF!</f>
        <v>#REF!</v>
      </c>
      <c r="AS548" s="89" t="e">
        <f>#REF!</f>
        <v>#REF!</v>
      </c>
      <c r="AT548" s="89" t="e">
        <f>#REF!</f>
        <v>#REF!</v>
      </c>
      <c r="AU548" s="89" t="e">
        <f>#REF!</f>
        <v>#REF!</v>
      </c>
      <c r="AV548" s="89" t="e">
        <f>#REF!</f>
        <v>#REF!</v>
      </c>
      <c r="AW548" s="89" t="e">
        <f>#REF!</f>
        <v>#REF!</v>
      </c>
      <c r="AX548" s="89" t="e">
        <f>#REF!</f>
        <v>#REF!</v>
      </c>
      <c r="AY548" s="89" t="e">
        <f>#REF!</f>
        <v>#REF!</v>
      </c>
      <c r="AZ548" s="89" t="e">
        <f>#REF!</f>
        <v>#REF!</v>
      </c>
      <c r="BA548" s="89" t="e">
        <f>#REF!</f>
        <v>#REF!</v>
      </c>
      <c r="BB548" s="89" t="e">
        <f>#REF!</f>
        <v>#REF!</v>
      </c>
      <c r="BC548" s="89" t="e">
        <f>#REF!</f>
        <v>#REF!</v>
      </c>
      <c r="BD548" s="89" t="e">
        <f>#REF!</f>
        <v>#REF!</v>
      </c>
      <c r="BE548" s="89" t="e">
        <f>#REF!</f>
        <v>#REF!</v>
      </c>
      <c r="BF548" s="89" t="e">
        <f>#REF!</f>
        <v>#REF!</v>
      </c>
    </row>
    <row r="549" spans="9:58" x14ac:dyDescent="0.25">
      <c r="I549" s="89">
        <f>ABCD!J598</f>
        <v>136.25</v>
      </c>
      <c r="J549" s="89">
        <f>ABCD!K598</f>
        <v>446.9</v>
      </c>
      <c r="K549" s="89">
        <f>ABCD!L598</f>
        <v>5.4074258460041378</v>
      </c>
      <c r="L549" s="89">
        <f>ABCD!M598</f>
        <v>0.99363710145182438</v>
      </c>
      <c r="M549" s="89">
        <f>ABCD!N598</f>
        <v>5.4979604372362623</v>
      </c>
      <c r="N549" s="89" t="e">
        <v>#REF!</v>
      </c>
      <c r="O549" s="89" t="e">
        <v>#REF!</v>
      </c>
      <c r="P549" s="89" t="e">
        <v>#REF!</v>
      </c>
      <c r="Q549" s="89" t="e">
        <v>#REF!</v>
      </c>
      <c r="R549" s="89" t="e">
        <v>#REF!</v>
      </c>
      <c r="S549" s="89" t="e">
        <f>#REF!</f>
        <v>#REF!</v>
      </c>
      <c r="T549" s="89" t="e">
        <f>#REF!</f>
        <v>#REF!</v>
      </c>
      <c r="U549" s="89" t="e">
        <f>#REF!</f>
        <v>#REF!</v>
      </c>
      <c r="V549" s="89" t="e">
        <f>#REF!</f>
        <v>#REF!</v>
      </c>
      <c r="W549" s="89" t="e">
        <f>#REF!</f>
        <v>#REF!</v>
      </c>
      <c r="X549" s="89" t="e">
        <f>#REF!</f>
        <v>#REF!</v>
      </c>
      <c r="Y549" s="89" t="e">
        <f>#REF!</f>
        <v>#REF!</v>
      </c>
      <c r="Z549" s="89" t="e">
        <f>#REF!</f>
        <v>#REF!</v>
      </c>
      <c r="AA549" s="89" t="e">
        <f>#REF!</f>
        <v>#REF!</v>
      </c>
      <c r="AB549" s="89" t="e">
        <f>#REF!</f>
        <v>#REF!</v>
      </c>
      <c r="AC549" s="89" t="e">
        <f>#REF!</f>
        <v>#REF!</v>
      </c>
      <c r="AD549" s="89" t="e">
        <f>#REF!</f>
        <v>#REF!</v>
      </c>
      <c r="AE549" s="89" t="e">
        <f>#REF!</f>
        <v>#REF!</v>
      </c>
      <c r="AF549" s="89" t="e">
        <f>#REF!</f>
        <v>#REF!</v>
      </c>
      <c r="AG549" s="89" t="e">
        <f>#REF!</f>
        <v>#REF!</v>
      </c>
      <c r="AH549" s="89" t="e">
        <f>#REF!</f>
        <v>#REF!</v>
      </c>
      <c r="AI549" s="89" t="e">
        <f>#REF!</f>
        <v>#REF!</v>
      </c>
      <c r="AJ549" s="89" t="e">
        <f>#REF!</f>
        <v>#REF!</v>
      </c>
      <c r="AK549" s="89" t="e">
        <f>#REF!</f>
        <v>#REF!</v>
      </c>
      <c r="AL549" s="89" t="e">
        <f>#REF!</f>
        <v>#REF!</v>
      </c>
      <c r="AM549" s="89" t="e">
        <f>#REF!</f>
        <v>#REF!</v>
      </c>
      <c r="AN549" s="89" t="e">
        <f>#REF!</f>
        <v>#REF!</v>
      </c>
      <c r="AO549" s="89" t="e">
        <f>#REF!</f>
        <v>#REF!</v>
      </c>
      <c r="AP549" s="89" t="e">
        <f>#REF!</f>
        <v>#REF!</v>
      </c>
      <c r="AQ549" s="89" t="e">
        <f>#REF!</f>
        <v>#REF!</v>
      </c>
      <c r="AR549" s="89" t="e">
        <f>#REF!</f>
        <v>#REF!</v>
      </c>
      <c r="AS549" s="89" t="e">
        <f>#REF!</f>
        <v>#REF!</v>
      </c>
      <c r="AT549" s="89" t="e">
        <f>#REF!</f>
        <v>#REF!</v>
      </c>
      <c r="AU549" s="89" t="e">
        <f>#REF!</f>
        <v>#REF!</v>
      </c>
      <c r="AV549" s="89" t="e">
        <f>#REF!</f>
        <v>#REF!</v>
      </c>
      <c r="AW549" s="89" t="e">
        <f>#REF!</f>
        <v>#REF!</v>
      </c>
      <c r="AX549" s="89" t="e">
        <f>#REF!</f>
        <v>#REF!</v>
      </c>
      <c r="AY549" s="89" t="e">
        <f>#REF!</f>
        <v>#REF!</v>
      </c>
      <c r="AZ549" s="89" t="e">
        <f>#REF!</f>
        <v>#REF!</v>
      </c>
      <c r="BA549" s="89" t="e">
        <f>#REF!</f>
        <v>#REF!</v>
      </c>
      <c r="BB549" s="89" t="e">
        <f>#REF!</f>
        <v>#REF!</v>
      </c>
      <c r="BC549" s="89" t="e">
        <f>#REF!</f>
        <v>#REF!</v>
      </c>
      <c r="BD549" s="89" t="e">
        <f>#REF!</f>
        <v>#REF!</v>
      </c>
      <c r="BE549" s="89" t="e">
        <f>#REF!</f>
        <v>#REF!</v>
      </c>
      <c r="BF549" s="89" t="e">
        <f>#REF!</f>
        <v>#REF!</v>
      </c>
    </row>
    <row r="550" spans="9:58" x14ac:dyDescent="0.25">
      <c r="I550" s="89">
        <f>ABCD!J599</f>
        <v>136.5</v>
      </c>
      <c r="J550" s="89">
        <f>ABCD!K599</f>
        <v>447.71999999999997</v>
      </c>
      <c r="K550" s="89">
        <f>ABCD!L599</f>
        <v>5.3887320614283594</v>
      </c>
      <c r="L550" s="89">
        <f>ABCD!M599</f>
        <v>0.99098437558614161</v>
      </c>
      <c r="M550" s="89">
        <f>ABCD!N599</f>
        <v>5.4790951134764754</v>
      </c>
      <c r="N550" s="89" t="e">
        <v>#REF!</v>
      </c>
      <c r="O550" s="89" t="e">
        <v>#REF!</v>
      </c>
      <c r="P550" s="89" t="e">
        <v>#REF!</v>
      </c>
      <c r="Q550" s="89" t="e">
        <v>#REF!</v>
      </c>
      <c r="R550" s="89" t="e">
        <v>#REF!</v>
      </c>
      <c r="S550" s="89" t="e">
        <f>#REF!</f>
        <v>#REF!</v>
      </c>
      <c r="T550" s="89" t="e">
        <f>#REF!</f>
        <v>#REF!</v>
      </c>
      <c r="U550" s="89" t="e">
        <f>#REF!</f>
        <v>#REF!</v>
      </c>
      <c r="V550" s="89" t="e">
        <f>#REF!</f>
        <v>#REF!</v>
      </c>
      <c r="W550" s="89" t="e">
        <f>#REF!</f>
        <v>#REF!</v>
      </c>
      <c r="X550" s="89" t="e">
        <f>#REF!</f>
        <v>#REF!</v>
      </c>
      <c r="Y550" s="89" t="e">
        <f>#REF!</f>
        <v>#REF!</v>
      </c>
      <c r="Z550" s="89" t="e">
        <f>#REF!</f>
        <v>#REF!</v>
      </c>
      <c r="AA550" s="89" t="e">
        <f>#REF!</f>
        <v>#REF!</v>
      </c>
      <c r="AB550" s="89" t="e">
        <f>#REF!</f>
        <v>#REF!</v>
      </c>
      <c r="AC550" s="89" t="e">
        <f>#REF!</f>
        <v>#REF!</v>
      </c>
      <c r="AD550" s="89" t="e">
        <f>#REF!</f>
        <v>#REF!</v>
      </c>
      <c r="AE550" s="89" t="e">
        <f>#REF!</f>
        <v>#REF!</v>
      </c>
      <c r="AF550" s="89" t="e">
        <f>#REF!</f>
        <v>#REF!</v>
      </c>
      <c r="AG550" s="89" t="e">
        <f>#REF!</f>
        <v>#REF!</v>
      </c>
      <c r="AH550" s="89" t="e">
        <f>#REF!</f>
        <v>#REF!</v>
      </c>
      <c r="AI550" s="89" t="e">
        <f>#REF!</f>
        <v>#REF!</v>
      </c>
      <c r="AJ550" s="89" t="e">
        <f>#REF!</f>
        <v>#REF!</v>
      </c>
      <c r="AK550" s="89" t="e">
        <f>#REF!</f>
        <v>#REF!</v>
      </c>
      <c r="AL550" s="89" t="e">
        <f>#REF!</f>
        <v>#REF!</v>
      </c>
      <c r="AM550" s="89" t="e">
        <f>#REF!</f>
        <v>#REF!</v>
      </c>
      <c r="AN550" s="89" t="e">
        <f>#REF!</f>
        <v>#REF!</v>
      </c>
      <c r="AO550" s="89" t="e">
        <f>#REF!</f>
        <v>#REF!</v>
      </c>
      <c r="AP550" s="89" t="e">
        <f>#REF!</f>
        <v>#REF!</v>
      </c>
      <c r="AQ550" s="89" t="e">
        <f>#REF!</f>
        <v>#REF!</v>
      </c>
      <c r="AR550" s="89" t="e">
        <f>#REF!</f>
        <v>#REF!</v>
      </c>
      <c r="AS550" s="89" t="e">
        <f>#REF!</f>
        <v>#REF!</v>
      </c>
      <c r="AT550" s="89" t="e">
        <f>#REF!</f>
        <v>#REF!</v>
      </c>
      <c r="AU550" s="89" t="e">
        <f>#REF!</f>
        <v>#REF!</v>
      </c>
      <c r="AV550" s="89" t="e">
        <f>#REF!</f>
        <v>#REF!</v>
      </c>
      <c r="AW550" s="89" t="e">
        <f>#REF!</f>
        <v>#REF!</v>
      </c>
      <c r="AX550" s="89" t="e">
        <f>#REF!</f>
        <v>#REF!</v>
      </c>
      <c r="AY550" s="89" t="e">
        <f>#REF!</f>
        <v>#REF!</v>
      </c>
      <c r="AZ550" s="89" t="e">
        <f>#REF!</f>
        <v>#REF!</v>
      </c>
      <c r="BA550" s="89" t="e">
        <f>#REF!</f>
        <v>#REF!</v>
      </c>
      <c r="BB550" s="89" t="e">
        <f>#REF!</f>
        <v>#REF!</v>
      </c>
      <c r="BC550" s="89" t="e">
        <f>#REF!</f>
        <v>#REF!</v>
      </c>
      <c r="BD550" s="89" t="e">
        <f>#REF!</f>
        <v>#REF!</v>
      </c>
      <c r="BE550" s="89" t="e">
        <f>#REF!</f>
        <v>#REF!</v>
      </c>
      <c r="BF550" s="89" t="e">
        <f>#REF!</f>
        <v>#REF!</v>
      </c>
    </row>
    <row r="551" spans="9:58" x14ac:dyDescent="0.25">
      <c r="I551" s="89">
        <f>ABCD!J600</f>
        <v>136.75</v>
      </c>
      <c r="J551" s="89">
        <f>ABCD!K600</f>
        <v>448.53999999999996</v>
      </c>
      <c r="K551" s="89">
        <f>ABCD!L600</f>
        <v>5.3688111529846987</v>
      </c>
      <c r="L551" s="89">
        <f>ABCD!M600</f>
        <v>0.98810527620052124</v>
      </c>
      <c r="M551" s="89">
        <f>ABCD!N600</f>
        <v>5.4589820693301601</v>
      </c>
      <c r="N551" s="89" t="e">
        <v>#REF!</v>
      </c>
      <c r="O551" s="89" t="e">
        <v>#REF!</v>
      </c>
      <c r="P551" s="89" t="e">
        <v>#REF!</v>
      </c>
      <c r="Q551" s="89" t="e">
        <v>#REF!</v>
      </c>
      <c r="R551" s="89" t="e">
        <v>#REF!</v>
      </c>
      <c r="S551" s="89" t="e">
        <f>#REF!</f>
        <v>#REF!</v>
      </c>
      <c r="T551" s="89" t="e">
        <f>#REF!</f>
        <v>#REF!</v>
      </c>
      <c r="U551" s="89" t="e">
        <f>#REF!</f>
        <v>#REF!</v>
      </c>
      <c r="V551" s="89" t="e">
        <f>#REF!</f>
        <v>#REF!</v>
      </c>
      <c r="W551" s="89" t="e">
        <f>#REF!</f>
        <v>#REF!</v>
      </c>
      <c r="X551" s="89" t="e">
        <f>#REF!</f>
        <v>#REF!</v>
      </c>
      <c r="Y551" s="89" t="e">
        <f>#REF!</f>
        <v>#REF!</v>
      </c>
      <c r="Z551" s="89" t="e">
        <f>#REF!</f>
        <v>#REF!</v>
      </c>
      <c r="AA551" s="89" t="e">
        <f>#REF!</f>
        <v>#REF!</v>
      </c>
      <c r="AB551" s="89" t="e">
        <f>#REF!</f>
        <v>#REF!</v>
      </c>
      <c r="AC551" s="89" t="e">
        <f>#REF!</f>
        <v>#REF!</v>
      </c>
      <c r="AD551" s="89" t="e">
        <f>#REF!</f>
        <v>#REF!</v>
      </c>
      <c r="AE551" s="89" t="e">
        <f>#REF!</f>
        <v>#REF!</v>
      </c>
      <c r="AF551" s="89" t="e">
        <f>#REF!</f>
        <v>#REF!</v>
      </c>
      <c r="AG551" s="89" t="e">
        <f>#REF!</f>
        <v>#REF!</v>
      </c>
      <c r="AH551" s="89" t="e">
        <f>#REF!</f>
        <v>#REF!</v>
      </c>
      <c r="AI551" s="89" t="e">
        <f>#REF!</f>
        <v>#REF!</v>
      </c>
      <c r="AJ551" s="89" t="e">
        <f>#REF!</f>
        <v>#REF!</v>
      </c>
      <c r="AK551" s="89" t="e">
        <f>#REF!</f>
        <v>#REF!</v>
      </c>
      <c r="AL551" s="89" t="e">
        <f>#REF!</f>
        <v>#REF!</v>
      </c>
      <c r="AM551" s="89" t="e">
        <f>#REF!</f>
        <v>#REF!</v>
      </c>
      <c r="AN551" s="89" t="e">
        <f>#REF!</f>
        <v>#REF!</v>
      </c>
      <c r="AO551" s="89" t="e">
        <f>#REF!</f>
        <v>#REF!</v>
      </c>
      <c r="AP551" s="89" t="e">
        <f>#REF!</f>
        <v>#REF!</v>
      </c>
      <c r="AQ551" s="89" t="e">
        <f>#REF!</f>
        <v>#REF!</v>
      </c>
      <c r="AR551" s="89" t="e">
        <f>#REF!</f>
        <v>#REF!</v>
      </c>
      <c r="AS551" s="89" t="e">
        <f>#REF!</f>
        <v>#REF!</v>
      </c>
      <c r="AT551" s="89" t="e">
        <f>#REF!</f>
        <v>#REF!</v>
      </c>
      <c r="AU551" s="89" t="e">
        <f>#REF!</f>
        <v>#REF!</v>
      </c>
      <c r="AV551" s="89" t="e">
        <f>#REF!</f>
        <v>#REF!</v>
      </c>
      <c r="AW551" s="89" t="e">
        <f>#REF!</f>
        <v>#REF!</v>
      </c>
      <c r="AX551" s="89" t="e">
        <f>#REF!</f>
        <v>#REF!</v>
      </c>
      <c r="AY551" s="89" t="e">
        <f>#REF!</f>
        <v>#REF!</v>
      </c>
      <c r="AZ551" s="89" t="e">
        <f>#REF!</f>
        <v>#REF!</v>
      </c>
      <c r="BA551" s="89" t="e">
        <f>#REF!</f>
        <v>#REF!</v>
      </c>
      <c r="BB551" s="89" t="e">
        <f>#REF!</f>
        <v>#REF!</v>
      </c>
      <c r="BC551" s="89" t="e">
        <f>#REF!</f>
        <v>#REF!</v>
      </c>
      <c r="BD551" s="89" t="e">
        <f>#REF!</f>
        <v>#REF!</v>
      </c>
      <c r="BE551" s="89" t="e">
        <f>#REF!</f>
        <v>#REF!</v>
      </c>
      <c r="BF551" s="89" t="e">
        <f>#REF!</f>
        <v>#REF!</v>
      </c>
    </row>
    <row r="552" spans="9:58" x14ac:dyDescent="0.25">
      <c r="I552" s="89">
        <f>ABCD!J601</f>
        <v>137</v>
      </c>
      <c r="J552" s="89">
        <f>ABCD!K601</f>
        <v>449.35999999999996</v>
      </c>
      <c r="K552" s="89">
        <f>ABCD!L601</f>
        <v>5.3476688231517304</v>
      </c>
      <c r="L552" s="89">
        <f>ABCD!M601</f>
        <v>0.98500067155387749</v>
      </c>
      <c r="M552" s="89">
        <f>ABCD!N601</f>
        <v>5.4376270711653811</v>
      </c>
      <c r="N552" s="89" t="e">
        <v>#REF!</v>
      </c>
      <c r="O552" s="89" t="e">
        <v>#REF!</v>
      </c>
      <c r="P552" s="89" t="e">
        <v>#REF!</v>
      </c>
      <c r="Q552" s="89" t="e">
        <v>#REF!</v>
      </c>
      <c r="R552" s="89" t="e">
        <v>#REF!</v>
      </c>
      <c r="S552" s="89" t="e">
        <f>#REF!</f>
        <v>#REF!</v>
      </c>
      <c r="T552" s="89" t="e">
        <f>#REF!</f>
        <v>#REF!</v>
      </c>
      <c r="U552" s="89" t="e">
        <f>#REF!</f>
        <v>#REF!</v>
      </c>
      <c r="V552" s="89" t="e">
        <f>#REF!</f>
        <v>#REF!</v>
      </c>
      <c r="W552" s="89" t="e">
        <f>#REF!</f>
        <v>#REF!</v>
      </c>
      <c r="X552" s="89" t="e">
        <f>#REF!</f>
        <v>#REF!</v>
      </c>
      <c r="Y552" s="89" t="e">
        <f>#REF!</f>
        <v>#REF!</v>
      </c>
      <c r="Z552" s="89" t="e">
        <f>#REF!</f>
        <v>#REF!</v>
      </c>
      <c r="AA552" s="89" t="e">
        <f>#REF!</f>
        <v>#REF!</v>
      </c>
      <c r="AB552" s="89" t="e">
        <f>#REF!</f>
        <v>#REF!</v>
      </c>
      <c r="AC552" s="89" t="e">
        <f>#REF!</f>
        <v>#REF!</v>
      </c>
      <c r="AD552" s="89" t="e">
        <f>#REF!</f>
        <v>#REF!</v>
      </c>
      <c r="AE552" s="89" t="e">
        <f>#REF!</f>
        <v>#REF!</v>
      </c>
      <c r="AF552" s="89" t="e">
        <f>#REF!</f>
        <v>#REF!</v>
      </c>
      <c r="AG552" s="89" t="e">
        <f>#REF!</f>
        <v>#REF!</v>
      </c>
      <c r="AH552" s="89" t="e">
        <f>#REF!</f>
        <v>#REF!</v>
      </c>
      <c r="AI552" s="89" t="e">
        <f>#REF!</f>
        <v>#REF!</v>
      </c>
      <c r="AJ552" s="89" t="e">
        <f>#REF!</f>
        <v>#REF!</v>
      </c>
      <c r="AK552" s="89" t="e">
        <f>#REF!</f>
        <v>#REF!</v>
      </c>
      <c r="AL552" s="89" t="e">
        <f>#REF!</f>
        <v>#REF!</v>
      </c>
      <c r="AM552" s="89" t="e">
        <f>#REF!</f>
        <v>#REF!</v>
      </c>
      <c r="AN552" s="89" t="e">
        <f>#REF!</f>
        <v>#REF!</v>
      </c>
      <c r="AO552" s="89" t="e">
        <f>#REF!</f>
        <v>#REF!</v>
      </c>
      <c r="AP552" s="89" t="e">
        <f>#REF!</f>
        <v>#REF!</v>
      </c>
      <c r="AQ552" s="89" t="e">
        <f>#REF!</f>
        <v>#REF!</v>
      </c>
      <c r="AR552" s="89" t="e">
        <f>#REF!</f>
        <v>#REF!</v>
      </c>
      <c r="AS552" s="89" t="e">
        <f>#REF!</f>
        <v>#REF!</v>
      </c>
      <c r="AT552" s="89" t="e">
        <f>#REF!</f>
        <v>#REF!</v>
      </c>
      <c r="AU552" s="89" t="e">
        <f>#REF!</f>
        <v>#REF!</v>
      </c>
      <c r="AV552" s="89" t="e">
        <f>#REF!</f>
        <v>#REF!</v>
      </c>
      <c r="AW552" s="89" t="e">
        <f>#REF!</f>
        <v>#REF!</v>
      </c>
      <c r="AX552" s="89" t="e">
        <f>#REF!</f>
        <v>#REF!</v>
      </c>
      <c r="AY552" s="89" t="e">
        <f>#REF!</f>
        <v>#REF!</v>
      </c>
      <c r="AZ552" s="89" t="e">
        <f>#REF!</f>
        <v>#REF!</v>
      </c>
      <c r="BA552" s="89" t="e">
        <f>#REF!</f>
        <v>#REF!</v>
      </c>
      <c r="BB552" s="89" t="e">
        <f>#REF!</f>
        <v>#REF!</v>
      </c>
      <c r="BC552" s="89" t="e">
        <f>#REF!</f>
        <v>#REF!</v>
      </c>
      <c r="BD552" s="89" t="e">
        <f>#REF!</f>
        <v>#REF!</v>
      </c>
      <c r="BE552" s="89" t="e">
        <f>#REF!</f>
        <v>#REF!</v>
      </c>
      <c r="BF552" s="89" t="e">
        <f>#REF!</f>
        <v>#REF!</v>
      </c>
    </row>
    <row r="553" spans="9:58" x14ac:dyDescent="0.25">
      <c r="I553" s="89">
        <f>ABCD!J602</f>
        <v>137.25</v>
      </c>
      <c r="J553" s="89">
        <f>ABCD!K602</f>
        <v>450.17999999999995</v>
      </c>
      <c r="K553" s="89">
        <f>ABCD!L602</f>
        <v>5.3253110512323367</v>
      </c>
      <c r="L553" s="89">
        <f>ABCD!M602</f>
        <v>0.98167148117992187</v>
      </c>
      <c r="M553" s="89">
        <f>ABCD!N602</f>
        <v>5.415036166946555</v>
      </c>
      <c r="N553" s="89" t="e">
        <v>#REF!</v>
      </c>
      <c r="O553" s="89" t="e">
        <v>#REF!</v>
      </c>
      <c r="P553" s="89" t="e">
        <v>#REF!</v>
      </c>
      <c r="Q553" s="89" t="e">
        <v>#REF!</v>
      </c>
      <c r="R553" s="89" t="e">
        <v>#REF!</v>
      </c>
      <c r="S553" s="89" t="e">
        <f>#REF!</f>
        <v>#REF!</v>
      </c>
      <c r="T553" s="89" t="e">
        <f>#REF!</f>
        <v>#REF!</v>
      </c>
      <c r="U553" s="89" t="e">
        <f>#REF!</f>
        <v>#REF!</v>
      </c>
      <c r="V553" s="89" t="e">
        <f>#REF!</f>
        <v>#REF!</v>
      </c>
      <c r="W553" s="89" t="e">
        <f>#REF!</f>
        <v>#REF!</v>
      </c>
      <c r="X553" s="89" t="e">
        <f>#REF!</f>
        <v>#REF!</v>
      </c>
      <c r="Y553" s="89" t="e">
        <f>#REF!</f>
        <v>#REF!</v>
      </c>
      <c r="Z553" s="89" t="e">
        <f>#REF!</f>
        <v>#REF!</v>
      </c>
      <c r="AA553" s="89" t="e">
        <f>#REF!</f>
        <v>#REF!</v>
      </c>
      <c r="AB553" s="89" t="e">
        <f>#REF!</f>
        <v>#REF!</v>
      </c>
      <c r="AC553" s="89" t="e">
        <f>#REF!</f>
        <v>#REF!</v>
      </c>
      <c r="AD553" s="89" t="e">
        <f>#REF!</f>
        <v>#REF!</v>
      </c>
      <c r="AE553" s="89" t="e">
        <f>#REF!</f>
        <v>#REF!</v>
      </c>
      <c r="AF553" s="89" t="e">
        <f>#REF!</f>
        <v>#REF!</v>
      </c>
      <c r="AG553" s="89" t="e">
        <f>#REF!</f>
        <v>#REF!</v>
      </c>
      <c r="AH553" s="89" t="e">
        <f>#REF!</f>
        <v>#REF!</v>
      </c>
      <c r="AI553" s="89" t="e">
        <f>#REF!</f>
        <v>#REF!</v>
      </c>
      <c r="AJ553" s="89" t="e">
        <f>#REF!</f>
        <v>#REF!</v>
      </c>
      <c r="AK553" s="89" t="e">
        <f>#REF!</f>
        <v>#REF!</v>
      </c>
      <c r="AL553" s="89" t="e">
        <f>#REF!</f>
        <v>#REF!</v>
      </c>
      <c r="AM553" s="89" t="e">
        <f>#REF!</f>
        <v>#REF!</v>
      </c>
      <c r="AN553" s="89" t="e">
        <f>#REF!</f>
        <v>#REF!</v>
      </c>
      <c r="AO553" s="89" t="e">
        <f>#REF!</f>
        <v>#REF!</v>
      </c>
      <c r="AP553" s="89" t="e">
        <f>#REF!</f>
        <v>#REF!</v>
      </c>
      <c r="AQ553" s="89" t="e">
        <f>#REF!</f>
        <v>#REF!</v>
      </c>
      <c r="AR553" s="89" t="e">
        <f>#REF!</f>
        <v>#REF!</v>
      </c>
      <c r="AS553" s="89" t="e">
        <f>#REF!</f>
        <v>#REF!</v>
      </c>
      <c r="AT553" s="89" t="e">
        <f>#REF!</f>
        <v>#REF!</v>
      </c>
      <c r="AU553" s="89" t="e">
        <f>#REF!</f>
        <v>#REF!</v>
      </c>
      <c r="AV553" s="89" t="e">
        <f>#REF!</f>
        <v>#REF!</v>
      </c>
      <c r="AW553" s="89" t="e">
        <f>#REF!</f>
        <v>#REF!</v>
      </c>
      <c r="AX553" s="89" t="e">
        <f>#REF!</f>
        <v>#REF!</v>
      </c>
      <c r="AY553" s="89" t="e">
        <f>#REF!</f>
        <v>#REF!</v>
      </c>
      <c r="AZ553" s="89" t="e">
        <f>#REF!</f>
        <v>#REF!</v>
      </c>
      <c r="BA553" s="89" t="e">
        <f>#REF!</f>
        <v>#REF!</v>
      </c>
      <c r="BB553" s="89" t="e">
        <f>#REF!</f>
        <v>#REF!</v>
      </c>
      <c r="BC553" s="89" t="e">
        <f>#REF!</f>
        <v>#REF!</v>
      </c>
      <c r="BD553" s="89" t="e">
        <f>#REF!</f>
        <v>#REF!</v>
      </c>
      <c r="BE553" s="89" t="e">
        <f>#REF!</f>
        <v>#REF!</v>
      </c>
      <c r="BF553" s="89" t="e">
        <f>#REF!</f>
        <v>#REF!</v>
      </c>
    </row>
    <row r="554" spans="9:58" x14ac:dyDescent="0.25">
      <c r="I554" s="89">
        <f>ABCD!J603</f>
        <v>137.5</v>
      </c>
      <c r="J554" s="89">
        <f>ABCD!K603</f>
        <v>451</v>
      </c>
      <c r="K554" s="89">
        <f>ABCD!L603</f>
        <v>5.3017440917244114</v>
      </c>
      <c r="L554" s="89">
        <f>ABCD!M603</f>
        <v>0.97811867562876165</v>
      </c>
      <c r="M554" s="89">
        <f>ABCD!N603</f>
        <v>5.391215684588075</v>
      </c>
      <c r="N554" s="89" t="e">
        <v>#REF!</v>
      </c>
      <c r="O554" s="89" t="e">
        <v>#REF!</v>
      </c>
      <c r="P554" s="89" t="e">
        <v>#REF!</v>
      </c>
      <c r="Q554" s="89" t="e">
        <v>#REF!</v>
      </c>
      <c r="R554" s="89" t="e">
        <v>#REF!</v>
      </c>
      <c r="S554" s="89" t="e">
        <f>#REF!</f>
        <v>#REF!</v>
      </c>
      <c r="T554" s="89" t="e">
        <f>#REF!</f>
        <v>#REF!</v>
      </c>
      <c r="U554" s="89" t="e">
        <f>#REF!</f>
        <v>#REF!</v>
      </c>
      <c r="V554" s="89" t="e">
        <f>#REF!</f>
        <v>#REF!</v>
      </c>
      <c r="W554" s="89" t="e">
        <f>#REF!</f>
        <v>#REF!</v>
      </c>
      <c r="X554" s="89" t="e">
        <f>#REF!</f>
        <v>#REF!</v>
      </c>
      <c r="Y554" s="89" t="e">
        <f>#REF!</f>
        <v>#REF!</v>
      </c>
      <c r="Z554" s="89" t="e">
        <f>#REF!</f>
        <v>#REF!</v>
      </c>
      <c r="AA554" s="89" t="e">
        <f>#REF!</f>
        <v>#REF!</v>
      </c>
      <c r="AB554" s="89" t="e">
        <f>#REF!</f>
        <v>#REF!</v>
      </c>
      <c r="AC554" s="89" t="e">
        <f>#REF!</f>
        <v>#REF!</v>
      </c>
      <c r="AD554" s="89" t="e">
        <f>#REF!</f>
        <v>#REF!</v>
      </c>
      <c r="AE554" s="89" t="e">
        <f>#REF!</f>
        <v>#REF!</v>
      </c>
      <c r="AF554" s="89" t="e">
        <f>#REF!</f>
        <v>#REF!</v>
      </c>
      <c r="AG554" s="89" t="e">
        <f>#REF!</f>
        <v>#REF!</v>
      </c>
      <c r="AH554" s="89" t="e">
        <f>#REF!</f>
        <v>#REF!</v>
      </c>
      <c r="AI554" s="89" t="e">
        <f>#REF!</f>
        <v>#REF!</v>
      </c>
      <c r="AJ554" s="89" t="e">
        <f>#REF!</f>
        <v>#REF!</v>
      </c>
      <c r="AK554" s="89" t="e">
        <f>#REF!</f>
        <v>#REF!</v>
      </c>
      <c r="AL554" s="89" t="e">
        <f>#REF!</f>
        <v>#REF!</v>
      </c>
      <c r="AM554" s="89" t="e">
        <f>#REF!</f>
        <v>#REF!</v>
      </c>
      <c r="AN554" s="89" t="e">
        <f>#REF!</f>
        <v>#REF!</v>
      </c>
      <c r="AO554" s="89" t="e">
        <f>#REF!</f>
        <v>#REF!</v>
      </c>
      <c r="AP554" s="89" t="e">
        <f>#REF!</f>
        <v>#REF!</v>
      </c>
      <c r="AQ554" s="89" t="e">
        <f>#REF!</f>
        <v>#REF!</v>
      </c>
      <c r="AR554" s="89" t="e">
        <f>#REF!</f>
        <v>#REF!</v>
      </c>
      <c r="AS554" s="89" t="e">
        <f>#REF!</f>
        <v>#REF!</v>
      </c>
      <c r="AT554" s="89" t="e">
        <f>#REF!</f>
        <v>#REF!</v>
      </c>
      <c r="AU554" s="89" t="e">
        <f>#REF!</f>
        <v>#REF!</v>
      </c>
      <c r="AV554" s="89" t="e">
        <f>#REF!</f>
        <v>#REF!</v>
      </c>
      <c r="AW554" s="89" t="e">
        <f>#REF!</f>
        <v>#REF!</v>
      </c>
      <c r="AX554" s="89" t="e">
        <f>#REF!</f>
        <v>#REF!</v>
      </c>
      <c r="AY554" s="89" t="e">
        <f>#REF!</f>
        <v>#REF!</v>
      </c>
      <c r="AZ554" s="89" t="e">
        <f>#REF!</f>
        <v>#REF!</v>
      </c>
      <c r="BA554" s="89" t="e">
        <f>#REF!</f>
        <v>#REF!</v>
      </c>
      <c r="BB554" s="89" t="e">
        <f>#REF!</f>
        <v>#REF!</v>
      </c>
      <c r="BC554" s="89" t="e">
        <f>#REF!</f>
        <v>#REF!</v>
      </c>
      <c r="BD554" s="89" t="e">
        <f>#REF!</f>
        <v>#REF!</v>
      </c>
      <c r="BE554" s="89" t="e">
        <f>#REF!</f>
        <v>#REF!</v>
      </c>
      <c r="BF554" s="89" t="e">
        <f>#REF!</f>
        <v>#REF!</v>
      </c>
    </row>
    <row r="555" spans="9:58" x14ac:dyDescent="0.25">
      <c r="I555" s="89">
        <f>ABCD!J604</f>
        <v>137.75</v>
      </c>
      <c r="J555" s="89">
        <f>ABCD!K604</f>
        <v>451.82</v>
      </c>
      <c r="K555" s="89">
        <f>ABCD!L604</f>
        <v>5.2769744726294903</v>
      </c>
      <c r="L555" s="89">
        <f>ABCD!M604</f>
        <v>0.97434327619697914</v>
      </c>
      <c r="M555" s="89">
        <f>ABCD!N604</f>
        <v>5.3661722302450885</v>
      </c>
      <c r="N555" s="89" t="e">
        <v>#REF!</v>
      </c>
      <c r="O555" s="89" t="e">
        <v>#REF!</v>
      </c>
      <c r="P555" s="89" t="e">
        <v>#REF!</v>
      </c>
      <c r="Q555" s="89" t="e">
        <v>#REF!</v>
      </c>
      <c r="R555" s="89" t="e">
        <v>#REF!</v>
      </c>
      <c r="S555" s="89" t="e">
        <f>#REF!</f>
        <v>#REF!</v>
      </c>
      <c r="T555" s="89" t="e">
        <f>#REF!</f>
        <v>#REF!</v>
      </c>
      <c r="U555" s="89" t="e">
        <f>#REF!</f>
        <v>#REF!</v>
      </c>
      <c r="V555" s="89" t="e">
        <f>#REF!</f>
        <v>#REF!</v>
      </c>
      <c r="W555" s="89" t="e">
        <f>#REF!</f>
        <v>#REF!</v>
      </c>
      <c r="X555" s="89" t="e">
        <f>#REF!</f>
        <v>#REF!</v>
      </c>
      <c r="Y555" s="89" t="e">
        <f>#REF!</f>
        <v>#REF!</v>
      </c>
      <c r="Z555" s="89" t="e">
        <f>#REF!</f>
        <v>#REF!</v>
      </c>
      <c r="AA555" s="89" t="e">
        <f>#REF!</f>
        <v>#REF!</v>
      </c>
      <c r="AB555" s="89" t="e">
        <f>#REF!</f>
        <v>#REF!</v>
      </c>
      <c r="AC555" s="89" t="e">
        <f>#REF!</f>
        <v>#REF!</v>
      </c>
      <c r="AD555" s="89" t="e">
        <f>#REF!</f>
        <v>#REF!</v>
      </c>
      <c r="AE555" s="89" t="e">
        <f>#REF!</f>
        <v>#REF!</v>
      </c>
      <c r="AF555" s="89" t="e">
        <f>#REF!</f>
        <v>#REF!</v>
      </c>
      <c r="AG555" s="89" t="e">
        <f>#REF!</f>
        <v>#REF!</v>
      </c>
      <c r="AH555" s="89" t="e">
        <f>#REF!</f>
        <v>#REF!</v>
      </c>
      <c r="AI555" s="89" t="e">
        <f>#REF!</f>
        <v>#REF!</v>
      </c>
      <c r="AJ555" s="89" t="e">
        <f>#REF!</f>
        <v>#REF!</v>
      </c>
      <c r="AK555" s="89" t="e">
        <f>#REF!</f>
        <v>#REF!</v>
      </c>
      <c r="AL555" s="89" t="e">
        <f>#REF!</f>
        <v>#REF!</v>
      </c>
      <c r="AM555" s="89" t="e">
        <f>#REF!</f>
        <v>#REF!</v>
      </c>
      <c r="AN555" s="89" t="e">
        <f>#REF!</f>
        <v>#REF!</v>
      </c>
      <c r="AO555" s="89" t="e">
        <f>#REF!</f>
        <v>#REF!</v>
      </c>
      <c r="AP555" s="89" t="e">
        <f>#REF!</f>
        <v>#REF!</v>
      </c>
      <c r="AQ555" s="89" t="e">
        <f>#REF!</f>
        <v>#REF!</v>
      </c>
      <c r="AR555" s="89" t="e">
        <f>#REF!</f>
        <v>#REF!</v>
      </c>
      <c r="AS555" s="89" t="e">
        <f>#REF!</f>
        <v>#REF!</v>
      </c>
      <c r="AT555" s="89" t="e">
        <f>#REF!</f>
        <v>#REF!</v>
      </c>
      <c r="AU555" s="89" t="e">
        <f>#REF!</f>
        <v>#REF!</v>
      </c>
      <c r="AV555" s="89" t="e">
        <f>#REF!</f>
        <v>#REF!</v>
      </c>
      <c r="AW555" s="89" t="e">
        <f>#REF!</f>
        <v>#REF!</v>
      </c>
      <c r="AX555" s="89" t="e">
        <f>#REF!</f>
        <v>#REF!</v>
      </c>
      <c r="AY555" s="89" t="e">
        <f>#REF!</f>
        <v>#REF!</v>
      </c>
      <c r="AZ555" s="89" t="e">
        <f>#REF!</f>
        <v>#REF!</v>
      </c>
      <c r="BA555" s="89" t="e">
        <f>#REF!</f>
        <v>#REF!</v>
      </c>
      <c r="BB555" s="89" t="e">
        <f>#REF!</f>
        <v>#REF!</v>
      </c>
      <c r="BC555" s="89" t="e">
        <f>#REF!</f>
        <v>#REF!</v>
      </c>
      <c r="BD555" s="89" t="e">
        <f>#REF!</f>
        <v>#REF!</v>
      </c>
      <c r="BE555" s="89" t="e">
        <f>#REF!</f>
        <v>#REF!</v>
      </c>
      <c r="BF555" s="89" t="e">
        <f>#REF!</f>
        <v>#REF!</v>
      </c>
    </row>
    <row r="556" spans="9:58" x14ac:dyDescent="0.25">
      <c r="I556" s="89">
        <f>ABCD!J605</f>
        <v>138</v>
      </c>
      <c r="J556" s="89">
        <f>ABCD!K605</f>
        <v>452.64</v>
      </c>
      <c r="K556" s="89">
        <f>ABCD!L605</f>
        <v>5.2510089936997826</v>
      </c>
      <c r="L556" s="89">
        <f>ABCD!M605</f>
        <v>0.97034635464620322</v>
      </c>
      <c r="M556" s="89">
        <f>ABCD!N605</f>
        <v>5.3399126865419042</v>
      </c>
      <c r="N556" s="89" t="e">
        <v>#REF!</v>
      </c>
      <c r="O556" s="89" t="e">
        <v>#REF!</v>
      </c>
      <c r="P556" s="89" t="e">
        <v>#REF!</v>
      </c>
      <c r="Q556" s="89" t="e">
        <v>#REF!</v>
      </c>
      <c r="R556" s="89" t="e">
        <v>#REF!</v>
      </c>
      <c r="S556" s="89" t="e">
        <f>#REF!</f>
        <v>#REF!</v>
      </c>
      <c r="T556" s="89" t="e">
        <f>#REF!</f>
        <v>#REF!</v>
      </c>
      <c r="U556" s="89" t="e">
        <f>#REF!</f>
        <v>#REF!</v>
      </c>
      <c r="V556" s="89" t="e">
        <f>#REF!</f>
        <v>#REF!</v>
      </c>
      <c r="W556" s="89" t="e">
        <f>#REF!</f>
        <v>#REF!</v>
      </c>
      <c r="X556" s="89" t="e">
        <f>#REF!</f>
        <v>#REF!</v>
      </c>
      <c r="Y556" s="89" t="e">
        <f>#REF!</f>
        <v>#REF!</v>
      </c>
      <c r="Z556" s="89" t="e">
        <f>#REF!</f>
        <v>#REF!</v>
      </c>
      <c r="AA556" s="89" t="e">
        <f>#REF!</f>
        <v>#REF!</v>
      </c>
      <c r="AB556" s="89" t="e">
        <f>#REF!</f>
        <v>#REF!</v>
      </c>
      <c r="AC556" s="89" t="e">
        <f>#REF!</f>
        <v>#REF!</v>
      </c>
      <c r="AD556" s="89" t="e">
        <f>#REF!</f>
        <v>#REF!</v>
      </c>
      <c r="AE556" s="89" t="e">
        <f>#REF!</f>
        <v>#REF!</v>
      </c>
      <c r="AF556" s="89" t="e">
        <f>#REF!</f>
        <v>#REF!</v>
      </c>
      <c r="AG556" s="89" t="e">
        <f>#REF!</f>
        <v>#REF!</v>
      </c>
      <c r="AH556" s="89" t="e">
        <f>#REF!</f>
        <v>#REF!</v>
      </c>
      <c r="AI556" s="89" t="e">
        <f>#REF!</f>
        <v>#REF!</v>
      </c>
      <c r="AJ556" s="89" t="e">
        <f>#REF!</f>
        <v>#REF!</v>
      </c>
      <c r="AK556" s="89" t="e">
        <f>#REF!</f>
        <v>#REF!</v>
      </c>
      <c r="AL556" s="89" t="e">
        <f>#REF!</f>
        <v>#REF!</v>
      </c>
      <c r="AM556" s="89" t="e">
        <f>#REF!</f>
        <v>#REF!</v>
      </c>
      <c r="AN556" s="89" t="e">
        <f>#REF!</f>
        <v>#REF!</v>
      </c>
      <c r="AO556" s="89" t="e">
        <f>#REF!</f>
        <v>#REF!</v>
      </c>
      <c r="AP556" s="89" t="e">
        <f>#REF!</f>
        <v>#REF!</v>
      </c>
      <c r="AQ556" s="89" t="e">
        <f>#REF!</f>
        <v>#REF!</v>
      </c>
      <c r="AR556" s="89" t="e">
        <f>#REF!</f>
        <v>#REF!</v>
      </c>
      <c r="AS556" s="89" t="e">
        <f>#REF!</f>
        <v>#REF!</v>
      </c>
      <c r="AT556" s="89" t="e">
        <f>#REF!</f>
        <v>#REF!</v>
      </c>
      <c r="AU556" s="89" t="e">
        <f>#REF!</f>
        <v>#REF!</v>
      </c>
      <c r="AV556" s="89" t="e">
        <f>#REF!</f>
        <v>#REF!</v>
      </c>
      <c r="AW556" s="89" t="e">
        <f>#REF!</f>
        <v>#REF!</v>
      </c>
      <c r="AX556" s="89" t="e">
        <f>#REF!</f>
        <v>#REF!</v>
      </c>
      <c r="AY556" s="89" t="e">
        <f>#REF!</f>
        <v>#REF!</v>
      </c>
      <c r="AZ556" s="89" t="e">
        <f>#REF!</f>
        <v>#REF!</v>
      </c>
      <c r="BA556" s="89" t="e">
        <f>#REF!</f>
        <v>#REF!</v>
      </c>
      <c r="BB556" s="89" t="e">
        <f>#REF!</f>
        <v>#REF!</v>
      </c>
      <c r="BC556" s="89" t="e">
        <f>#REF!</f>
        <v>#REF!</v>
      </c>
      <c r="BD556" s="89" t="e">
        <f>#REF!</f>
        <v>#REF!</v>
      </c>
      <c r="BE556" s="89" t="e">
        <f>#REF!</f>
        <v>#REF!</v>
      </c>
      <c r="BF556" s="89" t="e">
        <f>#REF!</f>
        <v>#REF!</v>
      </c>
    </row>
    <row r="557" spans="9:58" x14ac:dyDescent="0.25">
      <c r="I557" s="89">
        <f>ABCD!J606</f>
        <v>138.25</v>
      </c>
      <c r="J557" s="89">
        <f>ABCD!K606</f>
        <v>453.46</v>
      </c>
      <c r="K557" s="89">
        <f>ABCD!L606</f>
        <v>5.2238547246240499</v>
      </c>
      <c r="L557" s="89">
        <f>ABCD!M606</f>
        <v>0.96612903291032426</v>
      </c>
      <c r="M557" s="89">
        <f>ABCD!N606</f>
        <v>5.3124442107385228</v>
      </c>
      <c r="N557" s="89" t="e">
        <v>#REF!</v>
      </c>
      <c r="O557" s="89" t="e">
        <v>#REF!</v>
      </c>
      <c r="P557" s="89" t="e">
        <v>#REF!</v>
      </c>
      <c r="Q557" s="89" t="e">
        <v>#REF!</v>
      </c>
      <c r="R557" s="89" t="e">
        <v>#REF!</v>
      </c>
      <c r="S557" s="89" t="e">
        <f>#REF!</f>
        <v>#REF!</v>
      </c>
      <c r="T557" s="89" t="e">
        <f>#REF!</f>
        <v>#REF!</v>
      </c>
      <c r="U557" s="89" t="e">
        <f>#REF!</f>
        <v>#REF!</v>
      </c>
      <c r="V557" s="89" t="e">
        <f>#REF!</f>
        <v>#REF!</v>
      </c>
      <c r="W557" s="89" t="e">
        <f>#REF!</f>
        <v>#REF!</v>
      </c>
      <c r="X557" s="89" t="e">
        <f>#REF!</f>
        <v>#REF!</v>
      </c>
      <c r="Y557" s="89" t="e">
        <f>#REF!</f>
        <v>#REF!</v>
      </c>
      <c r="Z557" s="89" t="e">
        <f>#REF!</f>
        <v>#REF!</v>
      </c>
      <c r="AA557" s="89" t="e">
        <f>#REF!</f>
        <v>#REF!</v>
      </c>
      <c r="AB557" s="89" t="e">
        <f>#REF!</f>
        <v>#REF!</v>
      </c>
      <c r="AC557" s="89" t="e">
        <f>#REF!</f>
        <v>#REF!</v>
      </c>
      <c r="AD557" s="89" t="e">
        <f>#REF!</f>
        <v>#REF!</v>
      </c>
      <c r="AE557" s="89" t="e">
        <f>#REF!</f>
        <v>#REF!</v>
      </c>
      <c r="AF557" s="89" t="e">
        <f>#REF!</f>
        <v>#REF!</v>
      </c>
      <c r="AG557" s="89" t="e">
        <f>#REF!</f>
        <v>#REF!</v>
      </c>
      <c r="AH557" s="89" t="e">
        <f>#REF!</f>
        <v>#REF!</v>
      </c>
      <c r="AI557" s="89" t="e">
        <f>#REF!</f>
        <v>#REF!</v>
      </c>
      <c r="AJ557" s="89" t="e">
        <f>#REF!</f>
        <v>#REF!</v>
      </c>
      <c r="AK557" s="89" t="e">
        <f>#REF!</f>
        <v>#REF!</v>
      </c>
      <c r="AL557" s="89" t="e">
        <f>#REF!</f>
        <v>#REF!</v>
      </c>
      <c r="AM557" s="89" t="e">
        <f>#REF!</f>
        <v>#REF!</v>
      </c>
      <c r="AN557" s="89" t="e">
        <f>#REF!</f>
        <v>#REF!</v>
      </c>
      <c r="AO557" s="89" t="e">
        <f>#REF!</f>
        <v>#REF!</v>
      </c>
      <c r="AP557" s="89" t="e">
        <f>#REF!</f>
        <v>#REF!</v>
      </c>
      <c r="AQ557" s="89" t="e">
        <f>#REF!</f>
        <v>#REF!</v>
      </c>
      <c r="AR557" s="89" t="e">
        <f>#REF!</f>
        <v>#REF!</v>
      </c>
      <c r="AS557" s="89" t="e">
        <f>#REF!</f>
        <v>#REF!</v>
      </c>
      <c r="AT557" s="89" t="e">
        <f>#REF!</f>
        <v>#REF!</v>
      </c>
      <c r="AU557" s="89" t="e">
        <f>#REF!</f>
        <v>#REF!</v>
      </c>
      <c r="AV557" s="89" t="e">
        <f>#REF!</f>
        <v>#REF!</v>
      </c>
      <c r="AW557" s="89" t="e">
        <f>#REF!</f>
        <v>#REF!</v>
      </c>
      <c r="AX557" s="89" t="e">
        <f>#REF!</f>
        <v>#REF!</v>
      </c>
      <c r="AY557" s="89" t="e">
        <f>#REF!</f>
        <v>#REF!</v>
      </c>
      <c r="AZ557" s="89" t="e">
        <f>#REF!</f>
        <v>#REF!</v>
      </c>
      <c r="BA557" s="89" t="e">
        <f>#REF!</f>
        <v>#REF!</v>
      </c>
      <c r="BB557" s="89" t="e">
        <f>#REF!</f>
        <v>#REF!</v>
      </c>
      <c r="BC557" s="89" t="e">
        <f>#REF!</f>
        <v>#REF!</v>
      </c>
      <c r="BD557" s="89" t="e">
        <f>#REF!</f>
        <v>#REF!</v>
      </c>
      <c r="BE557" s="89" t="e">
        <f>#REF!</f>
        <v>#REF!</v>
      </c>
      <c r="BF557" s="89" t="e">
        <f>#REF!</f>
        <v>#REF!</v>
      </c>
    </row>
    <row r="558" spans="9:58" x14ac:dyDescent="0.25">
      <c r="I558" s="89">
        <f>ABCD!J607</f>
        <v>138.5</v>
      </c>
      <c r="J558" s="89">
        <f>ABCD!K607</f>
        <v>454.28</v>
      </c>
      <c r="K558" s="89">
        <f>ABCD!L607</f>
        <v>5.1955190031527865</v>
      </c>
      <c r="L558" s="89">
        <f>ABCD!M607</f>
        <v>0.96169248279136244</v>
      </c>
      <c r="M558" s="89">
        <f>ABCD!N607</f>
        <v>5.2837742328357615</v>
      </c>
      <c r="N558" s="89" t="e">
        <v>#REF!</v>
      </c>
      <c r="O558" s="89" t="e">
        <v>#REF!</v>
      </c>
      <c r="P558" s="89" t="e">
        <v>#REF!</v>
      </c>
      <c r="Q558" s="89" t="e">
        <v>#REF!</v>
      </c>
      <c r="R558" s="89" t="e">
        <v>#REF!</v>
      </c>
      <c r="S558" s="89" t="e">
        <f>#REF!</f>
        <v>#REF!</v>
      </c>
      <c r="T558" s="89" t="e">
        <f>#REF!</f>
        <v>#REF!</v>
      </c>
      <c r="U558" s="89" t="e">
        <f>#REF!</f>
        <v>#REF!</v>
      </c>
      <c r="V558" s="89" t="e">
        <f>#REF!</f>
        <v>#REF!</v>
      </c>
      <c r="W558" s="89" t="e">
        <f>#REF!</f>
        <v>#REF!</v>
      </c>
      <c r="X558" s="89" t="e">
        <f>#REF!</f>
        <v>#REF!</v>
      </c>
      <c r="Y558" s="89" t="e">
        <f>#REF!</f>
        <v>#REF!</v>
      </c>
      <c r="Z558" s="89" t="e">
        <f>#REF!</f>
        <v>#REF!</v>
      </c>
      <c r="AA558" s="89" t="e">
        <f>#REF!</f>
        <v>#REF!</v>
      </c>
      <c r="AB558" s="89" t="e">
        <f>#REF!</f>
        <v>#REF!</v>
      </c>
      <c r="AC558" s="89" t="e">
        <f>#REF!</f>
        <v>#REF!</v>
      </c>
      <c r="AD558" s="89" t="e">
        <f>#REF!</f>
        <v>#REF!</v>
      </c>
      <c r="AE558" s="89" t="e">
        <f>#REF!</f>
        <v>#REF!</v>
      </c>
      <c r="AF558" s="89" t="e">
        <f>#REF!</f>
        <v>#REF!</v>
      </c>
      <c r="AG558" s="89" t="e">
        <f>#REF!</f>
        <v>#REF!</v>
      </c>
      <c r="AH558" s="89" t="e">
        <f>#REF!</f>
        <v>#REF!</v>
      </c>
      <c r="AI558" s="89" t="e">
        <f>#REF!</f>
        <v>#REF!</v>
      </c>
      <c r="AJ558" s="89" t="e">
        <f>#REF!</f>
        <v>#REF!</v>
      </c>
      <c r="AK558" s="89" t="e">
        <f>#REF!</f>
        <v>#REF!</v>
      </c>
      <c r="AL558" s="89" t="e">
        <f>#REF!</f>
        <v>#REF!</v>
      </c>
      <c r="AM558" s="89" t="e">
        <f>#REF!</f>
        <v>#REF!</v>
      </c>
      <c r="AN558" s="89" t="e">
        <f>#REF!</f>
        <v>#REF!</v>
      </c>
      <c r="AO558" s="89" t="e">
        <f>#REF!</f>
        <v>#REF!</v>
      </c>
      <c r="AP558" s="89" t="e">
        <f>#REF!</f>
        <v>#REF!</v>
      </c>
      <c r="AQ558" s="89" t="e">
        <f>#REF!</f>
        <v>#REF!</v>
      </c>
      <c r="AR558" s="89" t="e">
        <f>#REF!</f>
        <v>#REF!</v>
      </c>
      <c r="AS558" s="89" t="e">
        <f>#REF!</f>
        <v>#REF!</v>
      </c>
      <c r="AT558" s="89" t="e">
        <f>#REF!</f>
        <v>#REF!</v>
      </c>
      <c r="AU558" s="89" t="e">
        <f>#REF!</f>
        <v>#REF!</v>
      </c>
      <c r="AV558" s="89" t="e">
        <f>#REF!</f>
        <v>#REF!</v>
      </c>
      <c r="AW558" s="89" t="e">
        <f>#REF!</f>
        <v>#REF!</v>
      </c>
      <c r="AX558" s="89" t="e">
        <f>#REF!</f>
        <v>#REF!</v>
      </c>
      <c r="AY558" s="89" t="e">
        <f>#REF!</f>
        <v>#REF!</v>
      </c>
      <c r="AZ558" s="89" t="e">
        <f>#REF!</f>
        <v>#REF!</v>
      </c>
      <c r="BA558" s="89" t="e">
        <f>#REF!</f>
        <v>#REF!</v>
      </c>
      <c r="BB558" s="89" t="e">
        <f>#REF!</f>
        <v>#REF!</v>
      </c>
      <c r="BC558" s="89" t="e">
        <f>#REF!</f>
        <v>#REF!</v>
      </c>
      <c r="BD558" s="89" t="e">
        <f>#REF!</f>
        <v>#REF!</v>
      </c>
      <c r="BE558" s="89" t="e">
        <f>#REF!</f>
        <v>#REF!</v>
      </c>
      <c r="BF558" s="89" t="e">
        <f>#REF!</f>
        <v>#REF!</v>
      </c>
    </row>
    <row r="559" spans="9:58" x14ac:dyDescent="0.25">
      <c r="I559" s="89">
        <f>ABCD!J608</f>
        <v>138.75</v>
      </c>
      <c r="J559" s="89">
        <f>ABCD!K608</f>
        <v>455.09999999999997</v>
      </c>
      <c r="K559" s="89">
        <f>ABCD!L608</f>
        <v>5.1660094331632296</v>
      </c>
      <c r="L559" s="89">
        <f>ABCD!M608</f>
        <v>0.95703792564409729</v>
      </c>
      <c r="M559" s="89">
        <f>ABCD!N608</f>
        <v>5.2539104536195351</v>
      </c>
      <c r="N559" s="89" t="e">
        <v>#REF!</v>
      </c>
      <c r="O559" s="89" t="e">
        <v>#REF!</v>
      </c>
      <c r="P559" s="89" t="e">
        <v>#REF!</v>
      </c>
      <c r="Q559" s="89" t="e">
        <v>#REF!</v>
      </c>
      <c r="R559" s="89" t="e">
        <v>#REF!</v>
      </c>
      <c r="S559" s="89" t="e">
        <f>#REF!</f>
        <v>#REF!</v>
      </c>
      <c r="T559" s="89" t="e">
        <f>#REF!</f>
        <v>#REF!</v>
      </c>
      <c r="U559" s="89" t="e">
        <f>#REF!</f>
        <v>#REF!</v>
      </c>
      <c r="V559" s="89" t="e">
        <f>#REF!</f>
        <v>#REF!</v>
      </c>
      <c r="W559" s="89" t="e">
        <f>#REF!</f>
        <v>#REF!</v>
      </c>
      <c r="X559" s="89" t="e">
        <f>#REF!</f>
        <v>#REF!</v>
      </c>
      <c r="Y559" s="89" t="e">
        <f>#REF!</f>
        <v>#REF!</v>
      </c>
      <c r="Z559" s="89" t="e">
        <f>#REF!</f>
        <v>#REF!</v>
      </c>
      <c r="AA559" s="89" t="e">
        <f>#REF!</f>
        <v>#REF!</v>
      </c>
      <c r="AB559" s="89" t="e">
        <f>#REF!</f>
        <v>#REF!</v>
      </c>
      <c r="AC559" s="89" t="e">
        <f>#REF!</f>
        <v>#REF!</v>
      </c>
      <c r="AD559" s="89" t="e">
        <f>#REF!</f>
        <v>#REF!</v>
      </c>
      <c r="AE559" s="89" t="e">
        <f>#REF!</f>
        <v>#REF!</v>
      </c>
      <c r="AF559" s="89" t="e">
        <f>#REF!</f>
        <v>#REF!</v>
      </c>
      <c r="AG559" s="89" t="e">
        <f>#REF!</f>
        <v>#REF!</v>
      </c>
      <c r="AH559" s="89" t="e">
        <f>#REF!</f>
        <v>#REF!</v>
      </c>
      <c r="AI559" s="89" t="e">
        <f>#REF!</f>
        <v>#REF!</v>
      </c>
      <c r="AJ559" s="89" t="e">
        <f>#REF!</f>
        <v>#REF!</v>
      </c>
      <c r="AK559" s="89" t="e">
        <f>#REF!</f>
        <v>#REF!</v>
      </c>
      <c r="AL559" s="89" t="e">
        <f>#REF!</f>
        <v>#REF!</v>
      </c>
      <c r="AM559" s="89" t="e">
        <f>#REF!</f>
        <v>#REF!</v>
      </c>
      <c r="AN559" s="89" t="e">
        <f>#REF!</f>
        <v>#REF!</v>
      </c>
      <c r="AO559" s="89" t="e">
        <f>#REF!</f>
        <v>#REF!</v>
      </c>
      <c r="AP559" s="89" t="e">
        <f>#REF!</f>
        <v>#REF!</v>
      </c>
      <c r="AQ559" s="89" t="e">
        <f>#REF!</f>
        <v>#REF!</v>
      </c>
      <c r="AR559" s="89" t="e">
        <f>#REF!</f>
        <v>#REF!</v>
      </c>
      <c r="AS559" s="89" t="e">
        <f>#REF!</f>
        <v>#REF!</v>
      </c>
      <c r="AT559" s="89" t="e">
        <f>#REF!</f>
        <v>#REF!</v>
      </c>
      <c r="AU559" s="89" t="e">
        <f>#REF!</f>
        <v>#REF!</v>
      </c>
      <c r="AV559" s="89" t="e">
        <f>#REF!</f>
        <v>#REF!</v>
      </c>
      <c r="AW559" s="89" t="e">
        <f>#REF!</f>
        <v>#REF!</v>
      </c>
      <c r="AX559" s="89" t="e">
        <f>#REF!</f>
        <v>#REF!</v>
      </c>
      <c r="AY559" s="89" t="e">
        <f>#REF!</f>
        <v>#REF!</v>
      </c>
      <c r="AZ559" s="89" t="e">
        <f>#REF!</f>
        <v>#REF!</v>
      </c>
      <c r="BA559" s="89" t="e">
        <f>#REF!</f>
        <v>#REF!</v>
      </c>
      <c r="BB559" s="89" t="e">
        <f>#REF!</f>
        <v>#REF!</v>
      </c>
      <c r="BC559" s="89" t="e">
        <f>#REF!</f>
        <v>#REF!</v>
      </c>
      <c r="BD559" s="89" t="e">
        <f>#REF!</f>
        <v>#REF!</v>
      </c>
      <c r="BE559" s="89" t="e">
        <f>#REF!</f>
        <v>#REF!</v>
      </c>
      <c r="BF559" s="89" t="e">
        <f>#REF!</f>
        <v>#REF!</v>
      </c>
    </row>
    <row r="560" spans="9:58" x14ac:dyDescent="0.25">
      <c r="I560" s="89">
        <f>ABCD!J609</f>
        <v>139</v>
      </c>
      <c r="J560" s="89">
        <f>ABCD!K609</f>
        <v>455.91999999999996</v>
      </c>
      <c r="K560" s="89">
        <f>ABCD!L609</f>
        <v>5.1353338826646535</v>
      </c>
      <c r="L560" s="89">
        <f>ABCD!M609</f>
        <v>0.95216663204957186</v>
      </c>
      <c r="M560" s="89">
        <f>ABCD!N609</f>
        <v>5.2228608426447902</v>
      </c>
      <c r="N560" s="89" t="e">
        <v>#REF!</v>
      </c>
      <c r="O560" s="89" t="e">
        <v>#REF!</v>
      </c>
      <c r="P560" s="89" t="e">
        <v>#REF!</v>
      </c>
      <c r="Q560" s="89" t="e">
        <v>#REF!</v>
      </c>
      <c r="R560" s="89" t="e">
        <v>#REF!</v>
      </c>
      <c r="S560" s="89" t="e">
        <f>#REF!</f>
        <v>#REF!</v>
      </c>
      <c r="T560" s="89" t="e">
        <f>#REF!</f>
        <v>#REF!</v>
      </c>
      <c r="U560" s="89" t="e">
        <f>#REF!</f>
        <v>#REF!</v>
      </c>
      <c r="V560" s="89" t="e">
        <f>#REF!</f>
        <v>#REF!</v>
      </c>
      <c r="W560" s="89" t="e">
        <f>#REF!</f>
        <v>#REF!</v>
      </c>
      <c r="X560" s="89" t="e">
        <f>#REF!</f>
        <v>#REF!</v>
      </c>
      <c r="Y560" s="89" t="e">
        <f>#REF!</f>
        <v>#REF!</v>
      </c>
      <c r="Z560" s="89" t="e">
        <f>#REF!</f>
        <v>#REF!</v>
      </c>
      <c r="AA560" s="89" t="e">
        <f>#REF!</f>
        <v>#REF!</v>
      </c>
      <c r="AB560" s="89" t="e">
        <f>#REF!</f>
        <v>#REF!</v>
      </c>
      <c r="AC560" s="89" t="e">
        <f>#REF!</f>
        <v>#REF!</v>
      </c>
      <c r="AD560" s="89" t="e">
        <f>#REF!</f>
        <v>#REF!</v>
      </c>
      <c r="AE560" s="89" t="e">
        <f>#REF!</f>
        <v>#REF!</v>
      </c>
      <c r="AF560" s="89" t="e">
        <f>#REF!</f>
        <v>#REF!</v>
      </c>
      <c r="AG560" s="89" t="e">
        <f>#REF!</f>
        <v>#REF!</v>
      </c>
      <c r="AH560" s="89" t="e">
        <f>#REF!</f>
        <v>#REF!</v>
      </c>
      <c r="AI560" s="89" t="e">
        <f>#REF!</f>
        <v>#REF!</v>
      </c>
      <c r="AJ560" s="89" t="e">
        <f>#REF!</f>
        <v>#REF!</v>
      </c>
      <c r="AK560" s="89" t="e">
        <f>#REF!</f>
        <v>#REF!</v>
      </c>
      <c r="AL560" s="89" t="e">
        <f>#REF!</f>
        <v>#REF!</v>
      </c>
      <c r="AM560" s="89" t="e">
        <f>#REF!</f>
        <v>#REF!</v>
      </c>
      <c r="AN560" s="89" t="e">
        <f>#REF!</f>
        <v>#REF!</v>
      </c>
      <c r="AO560" s="89" t="e">
        <f>#REF!</f>
        <v>#REF!</v>
      </c>
      <c r="AP560" s="89" t="e">
        <f>#REF!</f>
        <v>#REF!</v>
      </c>
      <c r="AQ560" s="89" t="e">
        <f>#REF!</f>
        <v>#REF!</v>
      </c>
      <c r="AR560" s="89" t="e">
        <f>#REF!</f>
        <v>#REF!</v>
      </c>
      <c r="AS560" s="89" t="e">
        <f>#REF!</f>
        <v>#REF!</v>
      </c>
      <c r="AT560" s="89" t="e">
        <f>#REF!</f>
        <v>#REF!</v>
      </c>
      <c r="AU560" s="89" t="e">
        <f>#REF!</f>
        <v>#REF!</v>
      </c>
      <c r="AV560" s="89" t="e">
        <f>#REF!</f>
        <v>#REF!</v>
      </c>
      <c r="AW560" s="89" t="e">
        <f>#REF!</f>
        <v>#REF!</v>
      </c>
      <c r="AX560" s="89" t="e">
        <f>#REF!</f>
        <v>#REF!</v>
      </c>
      <c r="AY560" s="89" t="e">
        <f>#REF!</f>
        <v>#REF!</v>
      </c>
      <c r="AZ560" s="89" t="e">
        <f>#REF!</f>
        <v>#REF!</v>
      </c>
      <c r="BA560" s="89" t="e">
        <f>#REF!</f>
        <v>#REF!</v>
      </c>
      <c r="BB560" s="89" t="e">
        <f>#REF!</f>
        <v>#REF!</v>
      </c>
      <c r="BC560" s="89" t="e">
        <f>#REF!</f>
        <v>#REF!</v>
      </c>
      <c r="BD560" s="89" t="e">
        <f>#REF!</f>
        <v>#REF!</v>
      </c>
      <c r="BE560" s="89" t="e">
        <f>#REF!</f>
        <v>#REF!</v>
      </c>
      <c r="BF560" s="89" t="e">
        <f>#REF!</f>
        <v>#REF!</v>
      </c>
    </row>
    <row r="561" spans="9:58" x14ac:dyDescent="0.25">
      <c r="I561" s="89">
        <f>ABCD!J610</f>
        <v>139.25</v>
      </c>
      <c r="J561" s="89">
        <f>ABCD!K610</f>
        <v>456.73999999999995</v>
      </c>
      <c r="K561" s="89">
        <f>ABCD!L610</f>
        <v>5.1035004817445131</v>
      </c>
      <c r="L561" s="89">
        <f>ABCD!M610</f>
        <v>0.94707992147748521</v>
      </c>
      <c r="M561" s="89">
        <f>ABCD!N610</f>
        <v>5.1906336361596814</v>
      </c>
      <c r="N561" s="89" t="e">
        <v>#REF!</v>
      </c>
      <c r="O561" s="89" t="e">
        <v>#REF!</v>
      </c>
      <c r="P561" s="89" t="e">
        <v>#REF!</v>
      </c>
      <c r="Q561" s="89" t="e">
        <v>#REF!</v>
      </c>
      <c r="R561" s="89" t="e">
        <v>#REF!</v>
      </c>
      <c r="S561" s="89" t="e">
        <f>#REF!</f>
        <v>#REF!</v>
      </c>
      <c r="T561" s="89" t="e">
        <f>#REF!</f>
        <v>#REF!</v>
      </c>
      <c r="U561" s="89" t="e">
        <f>#REF!</f>
        <v>#REF!</v>
      </c>
      <c r="V561" s="89" t="e">
        <f>#REF!</f>
        <v>#REF!</v>
      </c>
      <c r="W561" s="89" t="e">
        <f>#REF!</f>
        <v>#REF!</v>
      </c>
      <c r="X561" s="89" t="e">
        <f>#REF!</f>
        <v>#REF!</v>
      </c>
      <c r="Y561" s="89" t="e">
        <f>#REF!</f>
        <v>#REF!</v>
      </c>
      <c r="Z561" s="89" t="e">
        <f>#REF!</f>
        <v>#REF!</v>
      </c>
      <c r="AA561" s="89" t="e">
        <f>#REF!</f>
        <v>#REF!</v>
      </c>
      <c r="AB561" s="89" t="e">
        <f>#REF!</f>
        <v>#REF!</v>
      </c>
      <c r="AC561" s="89" t="e">
        <f>#REF!</f>
        <v>#REF!</v>
      </c>
      <c r="AD561" s="89" t="e">
        <f>#REF!</f>
        <v>#REF!</v>
      </c>
      <c r="AE561" s="89" t="e">
        <f>#REF!</f>
        <v>#REF!</v>
      </c>
      <c r="AF561" s="89" t="e">
        <f>#REF!</f>
        <v>#REF!</v>
      </c>
      <c r="AG561" s="89" t="e">
        <f>#REF!</f>
        <v>#REF!</v>
      </c>
      <c r="AH561" s="89" t="e">
        <f>#REF!</f>
        <v>#REF!</v>
      </c>
      <c r="AI561" s="89" t="e">
        <f>#REF!</f>
        <v>#REF!</v>
      </c>
      <c r="AJ561" s="89" t="e">
        <f>#REF!</f>
        <v>#REF!</v>
      </c>
      <c r="AK561" s="89" t="e">
        <f>#REF!</f>
        <v>#REF!</v>
      </c>
      <c r="AL561" s="89" t="e">
        <f>#REF!</f>
        <v>#REF!</v>
      </c>
      <c r="AM561" s="89" t="e">
        <f>#REF!</f>
        <v>#REF!</v>
      </c>
      <c r="AN561" s="89" t="e">
        <f>#REF!</f>
        <v>#REF!</v>
      </c>
      <c r="AO561" s="89" t="e">
        <f>#REF!</f>
        <v>#REF!</v>
      </c>
      <c r="AP561" s="89" t="e">
        <f>#REF!</f>
        <v>#REF!</v>
      </c>
      <c r="AQ561" s="89" t="e">
        <f>#REF!</f>
        <v>#REF!</v>
      </c>
      <c r="AR561" s="89" t="e">
        <f>#REF!</f>
        <v>#REF!</v>
      </c>
      <c r="AS561" s="89" t="e">
        <f>#REF!</f>
        <v>#REF!</v>
      </c>
      <c r="AT561" s="89" t="e">
        <f>#REF!</f>
        <v>#REF!</v>
      </c>
      <c r="AU561" s="89" t="e">
        <f>#REF!</f>
        <v>#REF!</v>
      </c>
      <c r="AV561" s="89" t="e">
        <f>#REF!</f>
        <v>#REF!</v>
      </c>
      <c r="AW561" s="89" t="e">
        <f>#REF!</f>
        <v>#REF!</v>
      </c>
      <c r="AX561" s="89" t="e">
        <f>#REF!</f>
        <v>#REF!</v>
      </c>
      <c r="AY561" s="89" t="e">
        <f>#REF!</f>
        <v>#REF!</v>
      </c>
      <c r="AZ561" s="89" t="e">
        <f>#REF!</f>
        <v>#REF!</v>
      </c>
      <c r="BA561" s="89" t="e">
        <f>#REF!</f>
        <v>#REF!</v>
      </c>
      <c r="BB561" s="89" t="e">
        <f>#REF!</f>
        <v>#REF!</v>
      </c>
      <c r="BC561" s="89" t="e">
        <f>#REF!</f>
        <v>#REF!</v>
      </c>
      <c r="BD561" s="89" t="e">
        <f>#REF!</f>
        <v>#REF!</v>
      </c>
      <c r="BE561" s="89" t="e">
        <f>#REF!</f>
        <v>#REF!</v>
      </c>
      <c r="BF561" s="89" t="e">
        <f>#REF!</f>
        <v>#REF!</v>
      </c>
    </row>
    <row r="562" spans="9:58" x14ac:dyDescent="0.25">
      <c r="I562" s="89">
        <f>ABCD!J611</f>
        <v>139.5</v>
      </c>
      <c r="J562" s="89">
        <f>ABCD!K611</f>
        <v>457.55999999999995</v>
      </c>
      <c r="K562" s="89">
        <f>ABCD!L611</f>
        <v>5.0705176204559042</v>
      </c>
      <c r="L562" s="89">
        <f>ABCD!M611</f>
        <v>0.94177916193764055</v>
      </c>
      <c r="M562" s="89">
        <f>ABCD!N611</f>
        <v>5.1572373349705138</v>
      </c>
      <c r="N562" s="89" t="e">
        <v>#REF!</v>
      </c>
      <c r="O562" s="89" t="e">
        <v>#REF!</v>
      </c>
      <c r="P562" s="89" t="e">
        <v>#REF!</v>
      </c>
      <c r="Q562" s="89" t="e">
        <v>#REF!</v>
      </c>
      <c r="R562" s="89" t="e">
        <v>#REF!</v>
      </c>
      <c r="S562" s="89" t="e">
        <f>#REF!</f>
        <v>#REF!</v>
      </c>
      <c r="T562" s="89" t="e">
        <f>#REF!</f>
        <v>#REF!</v>
      </c>
      <c r="U562" s="89" t="e">
        <f>#REF!</f>
        <v>#REF!</v>
      </c>
      <c r="V562" s="89" t="e">
        <f>#REF!</f>
        <v>#REF!</v>
      </c>
      <c r="W562" s="89" t="e">
        <f>#REF!</f>
        <v>#REF!</v>
      </c>
      <c r="X562" s="89" t="e">
        <f>#REF!</f>
        <v>#REF!</v>
      </c>
      <c r="Y562" s="89" t="e">
        <f>#REF!</f>
        <v>#REF!</v>
      </c>
      <c r="Z562" s="89" t="e">
        <f>#REF!</f>
        <v>#REF!</v>
      </c>
      <c r="AA562" s="89" t="e">
        <f>#REF!</f>
        <v>#REF!</v>
      </c>
      <c r="AB562" s="89" t="e">
        <f>#REF!</f>
        <v>#REF!</v>
      </c>
      <c r="AC562" s="89" t="e">
        <f>#REF!</f>
        <v>#REF!</v>
      </c>
      <c r="AD562" s="89" t="e">
        <f>#REF!</f>
        <v>#REF!</v>
      </c>
      <c r="AE562" s="89" t="e">
        <f>#REF!</f>
        <v>#REF!</v>
      </c>
      <c r="AF562" s="89" t="e">
        <f>#REF!</f>
        <v>#REF!</v>
      </c>
      <c r="AG562" s="89" t="e">
        <f>#REF!</f>
        <v>#REF!</v>
      </c>
      <c r="AH562" s="89" t="e">
        <f>#REF!</f>
        <v>#REF!</v>
      </c>
      <c r="AI562" s="89" t="e">
        <f>#REF!</f>
        <v>#REF!</v>
      </c>
      <c r="AJ562" s="89" t="e">
        <f>#REF!</f>
        <v>#REF!</v>
      </c>
      <c r="AK562" s="89" t="e">
        <f>#REF!</f>
        <v>#REF!</v>
      </c>
      <c r="AL562" s="89" t="e">
        <f>#REF!</f>
        <v>#REF!</v>
      </c>
      <c r="AM562" s="89" t="e">
        <f>#REF!</f>
        <v>#REF!</v>
      </c>
      <c r="AN562" s="89" t="e">
        <f>#REF!</f>
        <v>#REF!</v>
      </c>
      <c r="AO562" s="89" t="e">
        <f>#REF!</f>
        <v>#REF!</v>
      </c>
      <c r="AP562" s="89" t="e">
        <f>#REF!</f>
        <v>#REF!</v>
      </c>
      <c r="AQ562" s="89" t="e">
        <f>#REF!</f>
        <v>#REF!</v>
      </c>
      <c r="AR562" s="89" t="e">
        <f>#REF!</f>
        <v>#REF!</v>
      </c>
      <c r="AS562" s="89" t="e">
        <f>#REF!</f>
        <v>#REF!</v>
      </c>
      <c r="AT562" s="89" t="e">
        <f>#REF!</f>
        <v>#REF!</v>
      </c>
      <c r="AU562" s="89" t="e">
        <f>#REF!</f>
        <v>#REF!</v>
      </c>
      <c r="AV562" s="89" t="e">
        <f>#REF!</f>
        <v>#REF!</v>
      </c>
      <c r="AW562" s="89" t="e">
        <f>#REF!</f>
        <v>#REF!</v>
      </c>
      <c r="AX562" s="89" t="e">
        <f>#REF!</f>
        <v>#REF!</v>
      </c>
      <c r="AY562" s="89" t="e">
        <f>#REF!</f>
        <v>#REF!</v>
      </c>
      <c r="AZ562" s="89" t="e">
        <f>#REF!</f>
        <v>#REF!</v>
      </c>
      <c r="BA562" s="89" t="e">
        <f>#REF!</f>
        <v>#REF!</v>
      </c>
      <c r="BB562" s="89" t="e">
        <f>#REF!</f>
        <v>#REF!</v>
      </c>
      <c r="BC562" s="89" t="e">
        <f>#REF!</f>
        <v>#REF!</v>
      </c>
      <c r="BD562" s="89" t="e">
        <f>#REF!</f>
        <v>#REF!</v>
      </c>
      <c r="BE562" s="89" t="e">
        <f>#REF!</f>
        <v>#REF!</v>
      </c>
      <c r="BF562" s="89" t="e">
        <f>#REF!</f>
        <v>#REF!</v>
      </c>
    </row>
    <row r="563" spans="9:58" x14ac:dyDescent="0.25">
      <c r="I563" s="89">
        <f>ABCD!J612</f>
        <v>139.75</v>
      </c>
      <c r="J563" s="89">
        <f>ABCD!K612</f>
        <v>458.38</v>
      </c>
      <c r="K563" s="89">
        <f>ABCD!L612</f>
        <v>5.0363939466469425</v>
      </c>
      <c r="L563" s="89">
        <f>ABCD!M612</f>
        <v>0.9362657696204818</v>
      </c>
      <c r="M563" s="89">
        <f>ABCD!N612</f>
        <v>5.1226807022480916</v>
      </c>
      <c r="N563" s="89" t="e">
        <v>#REF!</v>
      </c>
      <c r="O563" s="89" t="e">
        <v>#REF!</v>
      </c>
      <c r="P563" s="89" t="e">
        <v>#REF!</v>
      </c>
      <c r="Q563" s="89" t="e">
        <v>#REF!</v>
      </c>
      <c r="R563" s="89" t="e">
        <v>#REF!</v>
      </c>
      <c r="S563" s="89" t="e">
        <f>#REF!</f>
        <v>#REF!</v>
      </c>
      <c r="T563" s="89" t="e">
        <f>#REF!</f>
        <v>#REF!</v>
      </c>
      <c r="U563" s="89" t="e">
        <f>#REF!</f>
        <v>#REF!</v>
      </c>
      <c r="V563" s="89" t="e">
        <f>#REF!</f>
        <v>#REF!</v>
      </c>
      <c r="W563" s="89" t="e">
        <f>#REF!</f>
        <v>#REF!</v>
      </c>
      <c r="X563" s="89" t="e">
        <f>#REF!</f>
        <v>#REF!</v>
      </c>
      <c r="Y563" s="89" t="e">
        <f>#REF!</f>
        <v>#REF!</v>
      </c>
      <c r="Z563" s="89" t="e">
        <f>#REF!</f>
        <v>#REF!</v>
      </c>
      <c r="AA563" s="89" t="e">
        <f>#REF!</f>
        <v>#REF!</v>
      </c>
      <c r="AB563" s="89" t="e">
        <f>#REF!</f>
        <v>#REF!</v>
      </c>
      <c r="AC563" s="89" t="e">
        <f>#REF!</f>
        <v>#REF!</v>
      </c>
      <c r="AD563" s="89" t="e">
        <f>#REF!</f>
        <v>#REF!</v>
      </c>
      <c r="AE563" s="89" t="e">
        <f>#REF!</f>
        <v>#REF!</v>
      </c>
      <c r="AF563" s="89" t="e">
        <f>#REF!</f>
        <v>#REF!</v>
      </c>
      <c r="AG563" s="89" t="e">
        <f>#REF!</f>
        <v>#REF!</v>
      </c>
      <c r="AH563" s="89" t="e">
        <f>#REF!</f>
        <v>#REF!</v>
      </c>
      <c r="AI563" s="89" t="e">
        <f>#REF!</f>
        <v>#REF!</v>
      </c>
      <c r="AJ563" s="89" t="e">
        <f>#REF!</f>
        <v>#REF!</v>
      </c>
      <c r="AK563" s="89" t="e">
        <f>#REF!</f>
        <v>#REF!</v>
      </c>
      <c r="AL563" s="89" t="e">
        <f>#REF!</f>
        <v>#REF!</v>
      </c>
      <c r="AM563" s="89" t="e">
        <f>#REF!</f>
        <v>#REF!</v>
      </c>
      <c r="AN563" s="89" t="e">
        <f>#REF!</f>
        <v>#REF!</v>
      </c>
      <c r="AO563" s="89" t="e">
        <f>#REF!</f>
        <v>#REF!</v>
      </c>
      <c r="AP563" s="89" t="e">
        <f>#REF!</f>
        <v>#REF!</v>
      </c>
      <c r="AQ563" s="89" t="e">
        <f>#REF!</f>
        <v>#REF!</v>
      </c>
      <c r="AR563" s="89" t="e">
        <f>#REF!</f>
        <v>#REF!</v>
      </c>
      <c r="AS563" s="89" t="e">
        <f>#REF!</f>
        <v>#REF!</v>
      </c>
      <c r="AT563" s="89" t="e">
        <f>#REF!</f>
        <v>#REF!</v>
      </c>
      <c r="AU563" s="89" t="e">
        <f>#REF!</f>
        <v>#REF!</v>
      </c>
      <c r="AV563" s="89" t="e">
        <f>#REF!</f>
        <v>#REF!</v>
      </c>
      <c r="AW563" s="89" t="e">
        <f>#REF!</f>
        <v>#REF!</v>
      </c>
      <c r="AX563" s="89" t="e">
        <f>#REF!</f>
        <v>#REF!</v>
      </c>
      <c r="AY563" s="89" t="e">
        <f>#REF!</f>
        <v>#REF!</v>
      </c>
      <c r="AZ563" s="89" t="e">
        <f>#REF!</f>
        <v>#REF!</v>
      </c>
      <c r="BA563" s="89" t="e">
        <f>#REF!</f>
        <v>#REF!</v>
      </c>
      <c r="BB563" s="89" t="e">
        <f>#REF!</f>
        <v>#REF!</v>
      </c>
      <c r="BC563" s="89" t="e">
        <f>#REF!</f>
        <v>#REF!</v>
      </c>
      <c r="BD563" s="89" t="e">
        <f>#REF!</f>
        <v>#REF!</v>
      </c>
      <c r="BE563" s="89" t="e">
        <f>#REF!</f>
        <v>#REF!</v>
      </c>
      <c r="BF563" s="89" t="e">
        <f>#REF!</f>
        <v>#REF!</v>
      </c>
    </row>
    <row r="564" spans="9:58" x14ac:dyDescent="0.25">
      <c r="I564" s="89">
        <f>ABCD!J613</f>
        <v>140</v>
      </c>
      <c r="J564" s="89">
        <f>ABCD!K613</f>
        <v>459.2</v>
      </c>
      <c r="K564" s="89">
        <f>ABCD!L613</f>
        <v>5.0011383637325757</v>
      </c>
      <c r="L564" s="89">
        <f>ABCD!M613</f>
        <v>0.93054120852682654</v>
      </c>
      <c r="M564" s="89">
        <f>ABCD!N613</f>
        <v>5.0869727612760336</v>
      </c>
      <c r="N564" s="89" t="e">
        <v>#REF!</v>
      </c>
      <c r="O564" s="89" t="e">
        <v>#REF!</v>
      </c>
      <c r="P564" s="89" t="e">
        <v>#REF!</v>
      </c>
      <c r="Q564" s="89" t="e">
        <v>#REF!</v>
      </c>
      <c r="R564" s="89" t="e">
        <v>#REF!</v>
      </c>
      <c r="S564" s="89" t="e">
        <f>#REF!</f>
        <v>#REF!</v>
      </c>
      <c r="T564" s="89" t="e">
        <f>#REF!</f>
        <v>#REF!</v>
      </c>
      <c r="U564" s="89" t="e">
        <f>#REF!</f>
        <v>#REF!</v>
      </c>
      <c r="V564" s="89" t="e">
        <f>#REF!</f>
        <v>#REF!</v>
      </c>
      <c r="W564" s="89" t="e">
        <f>#REF!</f>
        <v>#REF!</v>
      </c>
      <c r="X564" s="89" t="e">
        <f>#REF!</f>
        <v>#REF!</v>
      </c>
      <c r="Y564" s="89" t="e">
        <f>#REF!</f>
        <v>#REF!</v>
      </c>
      <c r="Z564" s="89" t="e">
        <f>#REF!</f>
        <v>#REF!</v>
      </c>
      <c r="AA564" s="89" t="e">
        <f>#REF!</f>
        <v>#REF!</v>
      </c>
      <c r="AB564" s="89" t="e">
        <f>#REF!</f>
        <v>#REF!</v>
      </c>
      <c r="AC564" s="89" t="e">
        <f>#REF!</f>
        <v>#REF!</v>
      </c>
      <c r="AD564" s="89" t="e">
        <f>#REF!</f>
        <v>#REF!</v>
      </c>
      <c r="AE564" s="89" t="e">
        <f>#REF!</f>
        <v>#REF!</v>
      </c>
      <c r="AF564" s="89" t="e">
        <f>#REF!</f>
        <v>#REF!</v>
      </c>
      <c r="AG564" s="89" t="e">
        <f>#REF!</f>
        <v>#REF!</v>
      </c>
      <c r="AH564" s="89" t="e">
        <f>#REF!</f>
        <v>#REF!</v>
      </c>
      <c r="AI564" s="89" t="e">
        <f>#REF!</f>
        <v>#REF!</v>
      </c>
      <c r="AJ564" s="89" t="e">
        <f>#REF!</f>
        <v>#REF!</v>
      </c>
      <c r="AK564" s="89" t="e">
        <f>#REF!</f>
        <v>#REF!</v>
      </c>
      <c r="AL564" s="89" t="e">
        <f>#REF!</f>
        <v>#REF!</v>
      </c>
      <c r="AM564" s="89" t="e">
        <f>#REF!</f>
        <v>#REF!</v>
      </c>
      <c r="AN564" s="89" t="e">
        <f>#REF!</f>
        <v>#REF!</v>
      </c>
      <c r="AO564" s="89" t="e">
        <f>#REF!</f>
        <v>#REF!</v>
      </c>
      <c r="AP564" s="89" t="e">
        <f>#REF!</f>
        <v>#REF!</v>
      </c>
      <c r="AQ564" s="89" t="e">
        <f>#REF!</f>
        <v>#REF!</v>
      </c>
      <c r="AR564" s="89" t="e">
        <f>#REF!</f>
        <v>#REF!</v>
      </c>
      <c r="AS564" s="89" t="e">
        <f>#REF!</f>
        <v>#REF!</v>
      </c>
      <c r="AT564" s="89" t="e">
        <f>#REF!</f>
        <v>#REF!</v>
      </c>
      <c r="AU564" s="89" t="e">
        <f>#REF!</f>
        <v>#REF!</v>
      </c>
      <c r="AV564" s="89" t="e">
        <f>#REF!</f>
        <v>#REF!</v>
      </c>
      <c r="AW564" s="89" t="e">
        <f>#REF!</f>
        <v>#REF!</v>
      </c>
      <c r="AX564" s="89" t="e">
        <f>#REF!</f>
        <v>#REF!</v>
      </c>
      <c r="AY564" s="89" t="e">
        <f>#REF!</f>
        <v>#REF!</v>
      </c>
      <c r="AZ564" s="89" t="e">
        <f>#REF!</f>
        <v>#REF!</v>
      </c>
      <c r="BA564" s="89" t="e">
        <f>#REF!</f>
        <v>#REF!</v>
      </c>
      <c r="BB564" s="89" t="e">
        <f>#REF!</f>
        <v>#REF!</v>
      </c>
      <c r="BC564" s="89" t="e">
        <f>#REF!</f>
        <v>#REF!</v>
      </c>
      <c r="BD564" s="89" t="e">
        <f>#REF!</f>
        <v>#REF!</v>
      </c>
      <c r="BE564" s="89" t="e">
        <f>#REF!</f>
        <v>#REF!</v>
      </c>
      <c r="BF564" s="89" t="e">
        <f>#REF!</f>
        <v>#REF!</v>
      </c>
    </row>
    <row r="565" spans="9:58" x14ac:dyDescent="0.25">
      <c r="I565" s="89">
        <f>ABCD!J614</f>
        <v>140.25</v>
      </c>
      <c r="J565" s="89">
        <f>ABCD!K614</f>
        <v>460.02</v>
      </c>
      <c r="K565" s="89">
        <f>ABCD!L614</f>
        <v>4.964760028409394</v>
      </c>
      <c r="L565" s="89">
        <f>ABCD!M614</f>
        <v>0.9246069900869206</v>
      </c>
      <c r="M565" s="89">
        <f>ABCD!N614</f>
        <v>5.050122793141691</v>
      </c>
      <c r="N565" s="89" t="e">
        <v>#REF!</v>
      </c>
      <c r="O565" s="89" t="e">
        <v>#REF!</v>
      </c>
      <c r="P565" s="89" t="e">
        <v>#REF!</v>
      </c>
      <c r="Q565" s="89" t="e">
        <v>#REF!</v>
      </c>
      <c r="R565" s="89" t="e">
        <v>#REF!</v>
      </c>
      <c r="S565" s="89" t="e">
        <f>#REF!</f>
        <v>#REF!</v>
      </c>
      <c r="T565" s="89" t="e">
        <f>#REF!</f>
        <v>#REF!</v>
      </c>
      <c r="U565" s="89" t="e">
        <f>#REF!</f>
        <v>#REF!</v>
      </c>
      <c r="V565" s="89" t="e">
        <f>#REF!</f>
        <v>#REF!</v>
      </c>
      <c r="W565" s="89" t="e">
        <f>#REF!</f>
        <v>#REF!</v>
      </c>
      <c r="X565" s="89" t="e">
        <f>#REF!</f>
        <v>#REF!</v>
      </c>
      <c r="Y565" s="89" t="e">
        <f>#REF!</f>
        <v>#REF!</v>
      </c>
      <c r="Z565" s="89" t="e">
        <f>#REF!</f>
        <v>#REF!</v>
      </c>
      <c r="AA565" s="89" t="e">
        <f>#REF!</f>
        <v>#REF!</v>
      </c>
      <c r="AB565" s="89" t="e">
        <f>#REF!</f>
        <v>#REF!</v>
      </c>
      <c r="AC565" s="89" t="e">
        <f>#REF!</f>
        <v>#REF!</v>
      </c>
      <c r="AD565" s="89" t="e">
        <f>#REF!</f>
        <v>#REF!</v>
      </c>
      <c r="AE565" s="89" t="e">
        <f>#REF!</f>
        <v>#REF!</v>
      </c>
      <c r="AF565" s="89" t="e">
        <f>#REF!</f>
        <v>#REF!</v>
      </c>
      <c r="AG565" s="89" t="e">
        <f>#REF!</f>
        <v>#REF!</v>
      </c>
      <c r="AH565" s="89" t="e">
        <f>#REF!</f>
        <v>#REF!</v>
      </c>
      <c r="AI565" s="89" t="e">
        <f>#REF!</f>
        <v>#REF!</v>
      </c>
      <c r="AJ565" s="89" t="e">
        <f>#REF!</f>
        <v>#REF!</v>
      </c>
      <c r="AK565" s="89" t="e">
        <f>#REF!</f>
        <v>#REF!</v>
      </c>
      <c r="AL565" s="89" t="e">
        <f>#REF!</f>
        <v>#REF!</v>
      </c>
      <c r="AM565" s="89" t="e">
        <f>#REF!</f>
        <v>#REF!</v>
      </c>
      <c r="AN565" s="89" t="e">
        <f>#REF!</f>
        <v>#REF!</v>
      </c>
      <c r="AO565" s="89" t="e">
        <f>#REF!</f>
        <v>#REF!</v>
      </c>
      <c r="AP565" s="89" t="e">
        <f>#REF!</f>
        <v>#REF!</v>
      </c>
      <c r="AQ565" s="89" t="e">
        <f>#REF!</f>
        <v>#REF!</v>
      </c>
      <c r="AR565" s="89" t="e">
        <f>#REF!</f>
        <v>#REF!</v>
      </c>
      <c r="AS565" s="89" t="e">
        <f>#REF!</f>
        <v>#REF!</v>
      </c>
      <c r="AT565" s="89" t="e">
        <f>#REF!</f>
        <v>#REF!</v>
      </c>
      <c r="AU565" s="89" t="e">
        <f>#REF!</f>
        <v>#REF!</v>
      </c>
      <c r="AV565" s="89" t="e">
        <f>#REF!</f>
        <v>#REF!</v>
      </c>
      <c r="AW565" s="89" t="e">
        <f>#REF!</f>
        <v>#REF!</v>
      </c>
      <c r="AX565" s="89" t="e">
        <f>#REF!</f>
        <v>#REF!</v>
      </c>
      <c r="AY565" s="89" t="e">
        <f>#REF!</f>
        <v>#REF!</v>
      </c>
      <c r="AZ565" s="89" t="e">
        <f>#REF!</f>
        <v>#REF!</v>
      </c>
      <c r="BA565" s="89" t="e">
        <f>#REF!</f>
        <v>#REF!</v>
      </c>
      <c r="BB565" s="89" t="e">
        <f>#REF!</f>
        <v>#REF!</v>
      </c>
      <c r="BC565" s="89" t="e">
        <f>#REF!</f>
        <v>#REF!</v>
      </c>
      <c r="BD565" s="89" t="e">
        <f>#REF!</f>
        <v>#REF!</v>
      </c>
      <c r="BE565" s="89" t="e">
        <f>#REF!</f>
        <v>#REF!</v>
      </c>
      <c r="BF565" s="89" t="e">
        <f>#REF!</f>
        <v>#REF!</v>
      </c>
    </row>
    <row r="566" spans="9:58" x14ac:dyDescent="0.25">
      <c r="I566" s="89">
        <f>ABCD!J615</f>
        <v>140.5</v>
      </c>
      <c r="J566" s="89">
        <f>ABCD!K615</f>
        <v>460.84</v>
      </c>
      <c r="K566" s="89">
        <f>ABCD!L615</f>
        <v>4.9272683483140405</v>
      </c>
      <c r="L566" s="89">
        <f>ABCD!M615</f>
        <v>0.91846467276885269</v>
      </c>
      <c r="M566" s="89">
        <f>ABCD!N615</f>
        <v>5.0121403343703141</v>
      </c>
      <c r="N566" s="89" t="e">
        <v>#REF!</v>
      </c>
      <c r="O566" s="89" t="e">
        <v>#REF!</v>
      </c>
      <c r="P566" s="89" t="e">
        <v>#REF!</v>
      </c>
      <c r="Q566" s="89" t="e">
        <v>#REF!</v>
      </c>
      <c r="R566" s="89" t="e">
        <v>#REF!</v>
      </c>
      <c r="S566" s="89" t="e">
        <f>#REF!</f>
        <v>#REF!</v>
      </c>
      <c r="T566" s="89" t="e">
        <f>#REF!</f>
        <v>#REF!</v>
      </c>
      <c r="U566" s="89" t="e">
        <f>#REF!</f>
        <v>#REF!</v>
      </c>
      <c r="V566" s="89" t="e">
        <f>#REF!</f>
        <v>#REF!</v>
      </c>
      <c r="W566" s="89" t="e">
        <f>#REF!</f>
        <v>#REF!</v>
      </c>
      <c r="X566" s="89" t="e">
        <f>#REF!</f>
        <v>#REF!</v>
      </c>
      <c r="Y566" s="89" t="e">
        <f>#REF!</f>
        <v>#REF!</v>
      </c>
      <c r="Z566" s="89" t="e">
        <f>#REF!</f>
        <v>#REF!</v>
      </c>
      <c r="AA566" s="89" t="e">
        <f>#REF!</f>
        <v>#REF!</v>
      </c>
      <c r="AB566" s="89" t="e">
        <f>#REF!</f>
        <v>#REF!</v>
      </c>
      <c r="AC566" s="89" t="e">
        <f>#REF!</f>
        <v>#REF!</v>
      </c>
      <c r="AD566" s="89" t="e">
        <f>#REF!</f>
        <v>#REF!</v>
      </c>
      <c r="AE566" s="89" t="e">
        <f>#REF!</f>
        <v>#REF!</v>
      </c>
      <c r="AF566" s="89" t="e">
        <f>#REF!</f>
        <v>#REF!</v>
      </c>
      <c r="AG566" s="89" t="e">
        <f>#REF!</f>
        <v>#REF!</v>
      </c>
      <c r="AH566" s="89" t="e">
        <f>#REF!</f>
        <v>#REF!</v>
      </c>
      <c r="AI566" s="89" t="e">
        <f>#REF!</f>
        <v>#REF!</v>
      </c>
      <c r="AJ566" s="89" t="e">
        <f>#REF!</f>
        <v>#REF!</v>
      </c>
      <c r="AK566" s="89" t="e">
        <f>#REF!</f>
        <v>#REF!</v>
      </c>
      <c r="AL566" s="89" t="e">
        <f>#REF!</f>
        <v>#REF!</v>
      </c>
      <c r="AM566" s="89" t="e">
        <f>#REF!</f>
        <v>#REF!</v>
      </c>
      <c r="AN566" s="89" t="e">
        <f>#REF!</f>
        <v>#REF!</v>
      </c>
      <c r="AO566" s="89" t="e">
        <f>#REF!</f>
        <v>#REF!</v>
      </c>
      <c r="AP566" s="89" t="e">
        <f>#REF!</f>
        <v>#REF!</v>
      </c>
      <c r="AQ566" s="89" t="e">
        <f>#REF!</f>
        <v>#REF!</v>
      </c>
      <c r="AR566" s="89" t="e">
        <f>#REF!</f>
        <v>#REF!</v>
      </c>
      <c r="AS566" s="89" t="e">
        <f>#REF!</f>
        <v>#REF!</v>
      </c>
      <c r="AT566" s="89" t="e">
        <f>#REF!</f>
        <v>#REF!</v>
      </c>
      <c r="AU566" s="89" t="e">
        <f>#REF!</f>
        <v>#REF!</v>
      </c>
      <c r="AV566" s="89" t="e">
        <f>#REF!</f>
        <v>#REF!</v>
      </c>
      <c r="AW566" s="89" t="e">
        <f>#REF!</f>
        <v>#REF!</v>
      </c>
      <c r="AX566" s="89" t="e">
        <f>#REF!</f>
        <v>#REF!</v>
      </c>
      <c r="AY566" s="89" t="e">
        <f>#REF!</f>
        <v>#REF!</v>
      </c>
      <c r="AZ566" s="89" t="e">
        <f>#REF!</f>
        <v>#REF!</v>
      </c>
      <c r="BA566" s="89" t="e">
        <f>#REF!</f>
        <v>#REF!</v>
      </c>
      <c r="BB566" s="89" t="e">
        <f>#REF!</f>
        <v>#REF!</v>
      </c>
      <c r="BC566" s="89" t="e">
        <f>#REF!</f>
        <v>#REF!</v>
      </c>
      <c r="BD566" s="89" t="e">
        <f>#REF!</f>
        <v>#REF!</v>
      </c>
      <c r="BE566" s="89" t="e">
        <f>#REF!</f>
        <v>#REF!</v>
      </c>
      <c r="BF566" s="89" t="e">
        <f>#REF!</f>
        <v>#REF!</v>
      </c>
    </row>
    <row r="567" spans="9:58" x14ac:dyDescent="0.25">
      <c r="I567" s="89">
        <f>ABCD!J616</f>
        <v>140.75</v>
      </c>
      <c r="J567" s="89">
        <f>ABCD!K616</f>
        <v>461.65999999999997</v>
      </c>
      <c r="K567" s="89">
        <f>ABCD!L616</f>
        <v>4.8886729796258006</v>
      </c>
      <c r="L567" s="89">
        <f>ABCD!M616</f>
        <v>0.9121158616764975</v>
      </c>
      <c r="M567" s="89">
        <f>ABCD!N616</f>
        <v>4.973035174503118</v>
      </c>
      <c r="N567" s="89" t="e">
        <v>#REF!</v>
      </c>
      <c r="O567" s="89" t="e">
        <v>#REF!</v>
      </c>
      <c r="P567" s="89" t="e">
        <v>#REF!</v>
      </c>
      <c r="Q567" s="89" t="e">
        <v>#REF!</v>
      </c>
      <c r="R567" s="89" t="e">
        <v>#REF!</v>
      </c>
      <c r="S567" s="89" t="e">
        <f>#REF!</f>
        <v>#REF!</v>
      </c>
      <c r="T567" s="89" t="e">
        <f>#REF!</f>
        <v>#REF!</v>
      </c>
      <c r="U567" s="89" t="e">
        <f>#REF!</f>
        <v>#REF!</v>
      </c>
      <c r="V567" s="89" t="e">
        <f>#REF!</f>
        <v>#REF!</v>
      </c>
      <c r="W567" s="89" t="e">
        <f>#REF!</f>
        <v>#REF!</v>
      </c>
      <c r="X567" s="89" t="e">
        <f>#REF!</f>
        <v>#REF!</v>
      </c>
      <c r="Y567" s="89" t="e">
        <f>#REF!</f>
        <v>#REF!</v>
      </c>
      <c r="Z567" s="89" t="e">
        <f>#REF!</f>
        <v>#REF!</v>
      </c>
      <c r="AA567" s="89" t="e">
        <f>#REF!</f>
        <v>#REF!</v>
      </c>
      <c r="AB567" s="89" t="e">
        <f>#REF!</f>
        <v>#REF!</v>
      </c>
      <c r="AC567" s="89" t="e">
        <f>#REF!</f>
        <v>#REF!</v>
      </c>
      <c r="AD567" s="89" t="e">
        <f>#REF!</f>
        <v>#REF!</v>
      </c>
      <c r="AE567" s="89" t="e">
        <f>#REF!</f>
        <v>#REF!</v>
      </c>
      <c r="AF567" s="89" t="e">
        <f>#REF!</f>
        <v>#REF!</v>
      </c>
      <c r="AG567" s="89" t="e">
        <f>#REF!</f>
        <v>#REF!</v>
      </c>
      <c r="AH567" s="89" t="e">
        <f>#REF!</f>
        <v>#REF!</v>
      </c>
      <c r="AI567" s="89" t="e">
        <f>#REF!</f>
        <v>#REF!</v>
      </c>
      <c r="AJ567" s="89" t="e">
        <f>#REF!</f>
        <v>#REF!</v>
      </c>
      <c r="AK567" s="89" t="e">
        <f>#REF!</f>
        <v>#REF!</v>
      </c>
      <c r="AL567" s="89" t="e">
        <f>#REF!</f>
        <v>#REF!</v>
      </c>
      <c r="AM567" s="89" t="e">
        <f>#REF!</f>
        <v>#REF!</v>
      </c>
      <c r="AN567" s="89" t="e">
        <f>#REF!</f>
        <v>#REF!</v>
      </c>
      <c r="AO567" s="89" t="e">
        <f>#REF!</f>
        <v>#REF!</v>
      </c>
      <c r="AP567" s="89" t="e">
        <f>#REF!</f>
        <v>#REF!</v>
      </c>
      <c r="AQ567" s="89" t="e">
        <f>#REF!</f>
        <v>#REF!</v>
      </c>
      <c r="AR567" s="89" t="e">
        <f>#REF!</f>
        <v>#REF!</v>
      </c>
      <c r="AS567" s="89" t="e">
        <f>#REF!</f>
        <v>#REF!</v>
      </c>
      <c r="AT567" s="89" t="e">
        <f>#REF!</f>
        <v>#REF!</v>
      </c>
      <c r="AU567" s="89" t="e">
        <f>#REF!</f>
        <v>#REF!</v>
      </c>
      <c r="AV567" s="89" t="e">
        <f>#REF!</f>
        <v>#REF!</v>
      </c>
      <c r="AW567" s="89" t="e">
        <f>#REF!</f>
        <v>#REF!</v>
      </c>
      <c r="AX567" s="89" t="e">
        <f>#REF!</f>
        <v>#REF!</v>
      </c>
      <c r="AY567" s="89" t="e">
        <f>#REF!</f>
        <v>#REF!</v>
      </c>
      <c r="AZ567" s="89" t="e">
        <f>#REF!</f>
        <v>#REF!</v>
      </c>
      <c r="BA567" s="89" t="e">
        <f>#REF!</f>
        <v>#REF!</v>
      </c>
      <c r="BB567" s="89" t="e">
        <f>#REF!</f>
        <v>#REF!</v>
      </c>
      <c r="BC567" s="89" t="e">
        <f>#REF!</f>
        <v>#REF!</v>
      </c>
      <c r="BD567" s="89" t="e">
        <f>#REF!</f>
        <v>#REF!</v>
      </c>
      <c r="BE567" s="89" t="e">
        <f>#REF!</f>
        <v>#REF!</v>
      </c>
      <c r="BF567" s="89" t="e">
        <f>#REF!</f>
        <v>#REF!</v>
      </c>
    </row>
    <row r="568" spans="9:58" x14ac:dyDescent="0.25">
      <c r="I568" s="89">
        <f>ABCD!J617</f>
        <v>141</v>
      </c>
      <c r="J568" s="89">
        <f>ABCD!K617</f>
        <v>462.47999999999996</v>
      </c>
      <c r="K568" s="89">
        <f>ABCD!L617</f>
        <v>4.8489838246139723</v>
      </c>
      <c r="L568" s="89">
        <f>ABCD!M617</f>
        <v>0.9055622081370307</v>
      </c>
      <c r="M568" s="89">
        <f>ABCD!N617</f>
        <v>4.9328173536199333</v>
      </c>
      <c r="N568" s="89" t="e">
        <v>#REF!</v>
      </c>
      <c r="O568" s="89" t="e">
        <v>#REF!</v>
      </c>
      <c r="P568" s="89" t="e">
        <v>#REF!</v>
      </c>
      <c r="Q568" s="89" t="e">
        <v>#REF!</v>
      </c>
      <c r="R568" s="89" t="e">
        <v>#REF!</v>
      </c>
      <c r="S568" s="89" t="e">
        <f>#REF!</f>
        <v>#REF!</v>
      </c>
      <c r="T568" s="89" t="e">
        <f>#REF!</f>
        <v>#REF!</v>
      </c>
      <c r="U568" s="89" t="e">
        <f>#REF!</f>
        <v>#REF!</v>
      </c>
      <c r="V568" s="89" t="e">
        <f>#REF!</f>
        <v>#REF!</v>
      </c>
      <c r="W568" s="89" t="e">
        <f>#REF!</f>
        <v>#REF!</v>
      </c>
      <c r="X568" s="89" t="e">
        <f>#REF!</f>
        <v>#REF!</v>
      </c>
      <c r="Y568" s="89" t="e">
        <f>#REF!</f>
        <v>#REF!</v>
      </c>
      <c r="Z568" s="89" t="e">
        <f>#REF!</f>
        <v>#REF!</v>
      </c>
      <c r="AA568" s="89" t="e">
        <f>#REF!</f>
        <v>#REF!</v>
      </c>
      <c r="AB568" s="89" t="e">
        <f>#REF!</f>
        <v>#REF!</v>
      </c>
      <c r="AC568" s="89" t="e">
        <f>#REF!</f>
        <v>#REF!</v>
      </c>
      <c r="AD568" s="89" t="e">
        <f>#REF!</f>
        <v>#REF!</v>
      </c>
      <c r="AE568" s="89" t="e">
        <f>#REF!</f>
        <v>#REF!</v>
      </c>
      <c r="AF568" s="89" t="e">
        <f>#REF!</f>
        <v>#REF!</v>
      </c>
      <c r="AG568" s="89" t="e">
        <f>#REF!</f>
        <v>#REF!</v>
      </c>
      <c r="AH568" s="89" t="e">
        <f>#REF!</f>
        <v>#REF!</v>
      </c>
      <c r="AI568" s="89" t="e">
        <f>#REF!</f>
        <v>#REF!</v>
      </c>
      <c r="AJ568" s="89" t="e">
        <f>#REF!</f>
        <v>#REF!</v>
      </c>
      <c r="AK568" s="89" t="e">
        <f>#REF!</f>
        <v>#REF!</v>
      </c>
      <c r="AL568" s="89" t="e">
        <f>#REF!</f>
        <v>#REF!</v>
      </c>
      <c r="AM568" s="89" t="e">
        <f>#REF!</f>
        <v>#REF!</v>
      </c>
      <c r="AN568" s="89" t="e">
        <f>#REF!</f>
        <v>#REF!</v>
      </c>
      <c r="AO568" s="89" t="e">
        <f>#REF!</f>
        <v>#REF!</v>
      </c>
      <c r="AP568" s="89" t="e">
        <f>#REF!</f>
        <v>#REF!</v>
      </c>
      <c r="AQ568" s="89" t="e">
        <f>#REF!</f>
        <v>#REF!</v>
      </c>
      <c r="AR568" s="89" t="e">
        <f>#REF!</f>
        <v>#REF!</v>
      </c>
      <c r="AS568" s="89" t="e">
        <f>#REF!</f>
        <v>#REF!</v>
      </c>
      <c r="AT568" s="89" t="e">
        <f>#REF!</f>
        <v>#REF!</v>
      </c>
      <c r="AU568" s="89" t="e">
        <f>#REF!</f>
        <v>#REF!</v>
      </c>
      <c r="AV568" s="89" t="e">
        <f>#REF!</f>
        <v>#REF!</v>
      </c>
      <c r="AW568" s="89" t="e">
        <f>#REF!</f>
        <v>#REF!</v>
      </c>
      <c r="AX568" s="89" t="e">
        <f>#REF!</f>
        <v>#REF!</v>
      </c>
      <c r="AY568" s="89" t="e">
        <f>#REF!</f>
        <v>#REF!</v>
      </c>
      <c r="AZ568" s="89" t="e">
        <f>#REF!</f>
        <v>#REF!</v>
      </c>
      <c r="BA568" s="89" t="e">
        <f>#REF!</f>
        <v>#REF!</v>
      </c>
      <c r="BB568" s="89" t="e">
        <f>#REF!</f>
        <v>#REF!</v>
      </c>
      <c r="BC568" s="89" t="e">
        <f>#REF!</f>
        <v>#REF!</v>
      </c>
      <c r="BD568" s="89" t="e">
        <f>#REF!</f>
        <v>#REF!</v>
      </c>
      <c r="BE568" s="89" t="e">
        <f>#REF!</f>
        <v>#REF!</v>
      </c>
      <c r="BF568" s="89" t="e">
        <f>#REF!</f>
        <v>#REF!</v>
      </c>
    </row>
    <row r="569" spans="9:58" x14ac:dyDescent="0.25">
      <c r="I569" s="89">
        <f>ABCD!J618</f>
        <v>141.25</v>
      </c>
      <c r="J569" s="89">
        <f>ABCD!K618</f>
        <v>463.29999999999995</v>
      </c>
      <c r="K569" s="89">
        <f>ABCD!L618</f>
        <v>4.8082110291306259</v>
      </c>
      <c r="L569" s="89">
        <f>ABCD!M618</f>
        <v>0.89880540927814578</v>
      </c>
      <c r="M569" s="89">
        <f>ABCD!N618</f>
        <v>4.8914971598071126</v>
      </c>
      <c r="N569" s="89" t="e">
        <v>#REF!</v>
      </c>
      <c r="O569" s="89" t="e">
        <v>#REF!</v>
      </c>
      <c r="P569" s="89" t="e">
        <v>#REF!</v>
      </c>
      <c r="Q569" s="89" t="e">
        <v>#REF!</v>
      </c>
      <c r="R569" s="89" t="e">
        <v>#REF!</v>
      </c>
      <c r="S569" s="89" t="e">
        <f>#REF!</f>
        <v>#REF!</v>
      </c>
      <c r="T569" s="89" t="e">
        <f>#REF!</f>
        <v>#REF!</v>
      </c>
      <c r="U569" s="89" t="e">
        <f>#REF!</f>
        <v>#REF!</v>
      </c>
      <c r="V569" s="89" t="e">
        <f>#REF!</f>
        <v>#REF!</v>
      </c>
      <c r="W569" s="89" t="e">
        <f>#REF!</f>
        <v>#REF!</v>
      </c>
      <c r="X569" s="89" t="e">
        <f>#REF!</f>
        <v>#REF!</v>
      </c>
      <c r="Y569" s="89" t="e">
        <f>#REF!</f>
        <v>#REF!</v>
      </c>
      <c r="Z569" s="89" t="e">
        <f>#REF!</f>
        <v>#REF!</v>
      </c>
      <c r="AA569" s="89" t="e">
        <f>#REF!</f>
        <v>#REF!</v>
      </c>
      <c r="AB569" s="89" t="e">
        <f>#REF!</f>
        <v>#REF!</v>
      </c>
      <c r="AC569" s="89" t="e">
        <f>#REF!</f>
        <v>#REF!</v>
      </c>
      <c r="AD569" s="89" t="e">
        <f>#REF!</f>
        <v>#REF!</v>
      </c>
      <c r="AE569" s="89" t="e">
        <f>#REF!</f>
        <v>#REF!</v>
      </c>
      <c r="AF569" s="89" t="e">
        <f>#REF!</f>
        <v>#REF!</v>
      </c>
      <c r="AG569" s="89" t="e">
        <f>#REF!</f>
        <v>#REF!</v>
      </c>
      <c r="AH569" s="89" t="e">
        <f>#REF!</f>
        <v>#REF!</v>
      </c>
      <c r="AI569" s="89" t="e">
        <f>#REF!</f>
        <v>#REF!</v>
      </c>
      <c r="AJ569" s="89" t="e">
        <f>#REF!</f>
        <v>#REF!</v>
      </c>
      <c r="AK569" s="89" t="e">
        <f>#REF!</f>
        <v>#REF!</v>
      </c>
      <c r="AL569" s="89" t="e">
        <f>#REF!</f>
        <v>#REF!</v>
      </c>
      <c r="AM569" s="89" t="e">
        <f>#REF!</f>
        <v>#REF!</v>
      </c>
      <c r="AN569" s="89" t="e">
        <f>#REF!</f>
        <v>#REF!</v>
      </c>
      <c r="AO569" s="89" t="e">
        <f>#REF!</f>
        <v>#REF!</v>
      </c>
      <c r="AP569" s="89" t="e">
        <f>#REF!</f>
        <v>#REF!</v>
      </c>
      <c r="AQ569" s="89" t="e">
        <f>#REF!</f>
        <v>#REF!</v>
      </c>
      <c r="AR569" s="89" t="e">
        <f>#REF!</f>
        <v>#REF!</v>
      </c>
      <c r="AS569" s="89" t="e">
        <f>#REF!</f>
        <v>#REF!</v>
      </c>
      <c r="AT569" s="89" t="e">
        <f>#REF!</f>
        <v>#REF!</v>
      </c>
      <c r="AU569" s="89" t="e">
        <f>#REF!</f>
        <v>#REF!</v>
      </c>
      <c r="AV569" s="89" t="e">
        <f>#REF!</f>
        <v>#REF!</v>
      </c>
      <c r="AW569" s="89" t="e">
        <f>#REF!</f>
        <v>#REF!</v>
      </c>
      <c r="AX569" s="89" t="e">
        <f>#REF!</f>
        <v>#REF!</v>
      </c>
      <c r="AY569" s="89" t="e">
        <f>#REF!</f>
        <v>#REF!</v>
      </c>
      <c r="AZ569" s="89" t="e">
        <f>#REF!</f>
        <v>#REF!</v>
      </c>
      <c r="BA569" s="89" t="e">
        <f>#REF!</f>
        <v>#REF!</v>
      </c>
      <c r="BB569" s="89" t="e">
        <f>#REF!</f>
        <v>#REF!</v>
      </c>
      <c r="BC569" s="89" t="e">
        <f>#REF!</f>
        <v>#REF!</v>
      </c>
      <c r="BD569" s="89" t="e">
        <f>#REF!</f>
        <v>#REF!</v>
      </c>
      <c r="BE569" s="89" t="e">
        <f>#REF!</f>
        <v>#REF!</v>
      </c>
      <c r="BF569" s="89" t="e">
        <f>#REF!</f>
        <v>#REF!</v>
      </c>
    </row>
    <row r="570" spans="9:58" x14ac:dyDescent="0.25">
      <c r="I570" s="89">
        <f>ABCD!J619</f>
        <v>141.5</v>
      </c>
      <c r="J570" s="89">
        <f>ABCD!K619</f>
        <v>464.11999999999995</v>
      </c>
      <c r="K570" s="89">
        <f>ABCD!L619</f>
        <v>4.7663649800494099</v>
      </c>
      <c r="L570" s="89">
        <f>ABCD!M619</f>
        <v>0.89184720759510194</v>
      </c>
      <c r="M570" s="89">
        <f>ABCD!N619</f>
        <v>4.8490851265714641</v>
      </c>
      <c r="N570" s="89" t="e">
        <v>#REF!</v>
      </c>
      <c r="O570" s="89" t="e">
        <v>#REF!</v>
      </c>
      <c r="P570" s="89" t="e">
        <v>#REF!</v>
      </c>
      <c r="Q570" s="89" t="e">
        <v>#REF!</v>
      </c>
      <c r="R570" s="89" t="e">
        <v>#REF!</v>
      </c>
      <c r="S570" s="89" t="e">
        <f>#REF!</f>
        <v>#REF!</v>
      </c>
      <c r="T570" s="89" t="e">
        <f>#REF!</f>
        <v>#REF!</v>
      </c>
      <c r="U570" s="89" t="e">
        <f>#REF!</f>
        <v>#REF!</v>
      </c>
      <c r="V570" s="89" t="e">
        <f>#REF!</f>
        <v>#REF!</v>
      </c>
      <c r="W570" s="89" t="e">
        <f>#REF!</f>
        <v>#REF!</v>
      </c>
      <c r="X570" s="89" t="e">
        <f>#REF!</f>
        <v>#REF!</v>
      </c>
      <c r="Y570" s="89" t="e">
        <f>#REF!</f>
        <v>#REF!</v>
      </c>
      <c r="Z570" s="89" t="e">
        <f>#REF!</f>
        <v>#REF!</v>
      </c>
      <c r="AA570" s="89" t="e">
        <f>#REF!</f>
        <v>#REF!</v>
      </c>
      <c r="AB570" s="89" t="e">
        <f>#REF!</f>
        <v>#REF!</v>
      </c>
      <c r="AC570" s="89" t="e">
        <f>#REF!</f>
        <v>#REF!</v>
      </c>
      <c r="AD570" s="89" t="e">
        <f>#REF!</f>
        <v>#REF!</v>
      </c>
      <c r="AE570" s="89" t="e">
        <f>#REF!</f>
        <v>#REF!</v>
      </c>
      <c r="AF570" s="89" t="e">
        <f>#REF!</f>
        <v>#REF!</v>
      </c>
      <c r="AG570" s="89" t="e">
        <f>#REF!</f>
        <v>#REF!</v>
      </c>
      <c r="AH570" s="89" t="e">
        <f>#REF!</f>
        <v>#REF!</v>
      </c>
      <c r="AI570" s="89" t="e">
        <f>#REF!</f>
        <v>#REF!</v>
      </c>
      <c r="AJ570" s="89" t="e">
        <f>#REF!</f>
        <v>#REF!</v>
      </c>
      <c r="AK570" s="89" t="e">
        <f>#REF!</f>
        <v>#REF!</v>
      </c>
      <c r="AL570" s="89" t="e">
        <f>#REF!</f>
        <v>#REF!</v>
      </c>
      <c r="AM570" s="89" t="e">
        <f>#REF!</f>
        <v>#REF!</v>
      </c>
      <c r="AN570" s="89" t="e">
        <f>#REF!</f>
        <v>#REF!</v>
      </c>
      <c r="AO570" s="89" t="e">
        <f>#REF!</f>
        <v>#REF!</v>
      </c>
      <c r="AP570" s="89" t="e">
        <f>#REF!</f>
        <v>#REF!</v>
      </c>
      <c r="AQ570" s="89" t="e">
        <f>#REF!</f>
        <v>#REF!</v>
      </c>
      <c r="AR570" s="89" t="e">
        <f>#REF!</f>
        <v>#REF!</v>
      </c>
      <c r="AS570" s="89" t="e">
        <f>#REF!</f>
        <v>#REF!</v>
      </c>
      <c r="AT570" s="89" t="e">
        <f>#REF!</f>
        <v>#REF!</v>
      </c>
      <c r="AU570" s="89" t="e">
        <f>#REF!</f>
        <v>#REF!</v>
      </c>
      <c r="AV570" s="89" t="e">
        <f>#REF!</f>
        <v>#REF!</v>
      </c>
      <c r="AW570" s="89" t="e">
        <f>#REF!</f>
        <v>#REF!</v>
      </c>
      <c r="AX570" s="89" t="e">
        <f>#REF!</f>
        <v>#REF!</v>
      </c>
      <c r="AY570" s="89" t="e">
        <f>#REF!</f>
        <v>#REF!</v>
      </c>
      <c r="AZ570" s="89" t="e">
        <f>#REF!</f>
        <v>#REF!</v>
      </c>
      <c r="BA570" s="89" t="e">
        <f>#REF!</f>
        <v>#REF!</v>
      </c>
      <c r="BB570" s="89" t="e">
        <f>#REF!</f>
        <v>#REF!</v>
      </c>
      <c r="BC570" s="89" t="e">
        <f>#REF!</f>
        <v>#REF!</v>
      </c>
      <c r="BD570" s="89" t="e">
        <f>#REF!</f>
        <v>#REF!</v>
      </c>
      <c r="BE570" s="89" t="e">
        <f>#REF!</f>
        <v>#REF!</v>
      </c>
      <c r="BF570" s="89" t="e">
        <f>#REF!</f>
        <v>#REF!</v>
      </c>
    </row>
    <row r="571" spans="9:58" x14ac:dyDescent="0.25">
      <c r="I571" s="89">
        <f>ABCD!J620</f>
        <v>141.75</v>
      </c>
      <c r="J571" s="89">
        <f>ABCD!K620</f>
        <v>464.94</v>
      </c>
      <c r="K571" s="89">
        <f>ABCD!L620</f>
        <v>4.7234563026510124</v>
      </c>
      <c r="L571" s="89">
        <f>ABCD!M620</f>
        <v>0.88468939050765483</v>
      </c>
      <c r="M571" s="89">
        <f>ABCD!N620</f>
        <v>4.8055920302008968</v>
      </c>
      <c r="N571" s="89" t="e">
        <v>#REF!</v>
      </c>
      <c r="O571" s="89" t="e">
        <v>#REF!</v>
      </c>
      <c r="P571" s="89" t="e">
        <v>#REF!</v>
      </c>
      <c r="Q571" s="89" t="e">
        <v>#REF!</v>
      </c>
      <c r="R571" s="89" t="e">
        <v>#REF!</v>
      </c>
      <c r="S571" s="89" t="e">
        <f>#REF!</f>
        <v>#REF!</v>
      </c>
      <c r="T571" s="89" t="e">
        <f>#REF!</f>
        <v>#REF!</v>
      </c>
      <c r="U571" s="89" t="e">
        <f>#REF!</f>
        <v>#REF!</v>
      </c>
      <c r="V571" s="89" t="e">
        <f>#REF!</f>
        <v>#REF!</v>
      </c>
      <c r="W571" s="89" t="e">
        <f>#REF!</f>
        <v>#REF!</v>
      </c>
      <c r="X571" s="89" t="e">
        <f>#REF!</f>
        <v>#REF!</v>
      </c>
      <c r="Y571" s="89" t="e">
        <f>#REF!</f>
        <v>#REF!</v>
      </c>
      <c r="Z571" s="89" t="e">
        <f>#REF!</f>
        <v>#REF!</v>
      </c>
      <c r="AA571" s="89" t="e">
        <f>#REF!</f>
        <v>#REF!</v>
      </c>
      <c r="AB571" s="89" t="e">
        <f>#REF!</f>
        <v>#REF!</v>
      </c>
      <c r="AC571" s="89" t="e">
        <f>#REF!</f>
        <v>#REF!</v>
      </c>
      <c r="AD571" s="89" t="e">
        <f>#REF!</f>
        <v>#REF!</v>
      </c>
      <c r="AE571" s="89" t="e">
        <f>#REF!</f>
        <v>#REF!</v>
      </c>
      <c r="AF571" s="89" t="e">
        <f>#REF!</f>
        <v>#REF!</v>
      </c>
      <c r="AG571" s="89" t="e">
        <f>#REF!</f>
        <v>#REF!</v>
      </c>
      <c r="AH571" s="89" t="e">
        <f>#REF!</f>
        <v>#REF!</v>
      </c>
      <c r="AI571" s="89" t="e">
        <f>#REF!</f>
        <v>#REF!</v>
      </c>
      <c r="AJ571" s="89" t="e">
        <f>#REF!</f>
        <v>#REF!</v>
      </c>
      <c r="AK571" s="89" t="e">
        <f>#REF!</f>
        <v>#REF!</v>
      </c>
      <c r="AL571" s="89" t="e">
        <f>#REF!</f>
        <v>#REF!</v>
      </c>
      <c r="AM571" s="89" t="e">
        <f>#REF!</f>
        <v>#REF!</v>
      </c>
      <c r="AN571" s="89" t="e">
        <f>#REF!</f>
        <v>#REF!</v>
      </c>
      <c r="AO571" s="89" t="e">
        <f>#REF!</f>
        <v>#REF!</v>
      </c>
      <c r="AP571" s="89" t="e">
        <f>#REF!</f>
        <v>#REF!</v>
      </c>
      <c r="AQ571" s="89" t="e">
        <f>#REF!</f>
        <v>#REF!</v>
      </c>
      <c r="AR571" s="89" t="e">
        <f>#REF!</f>
        <v>#REF!</v>
      </c>
      <c r="AS571" s="89" t="e">
        <f>#REF!</f>
        <v>#REF!</v>
      </c>
      <c r="AT571" s="89" t="e">
        <f>#REF!</f>
        <v>#REF!</v>
      </c>
      <c r="AU571" s="89" t="e">
        <f>#REF!</f>
        <v>#REF!</v>
      </c>
      <c r="AV571" s="89" t="e">
        <f>#REF!</f>
        <v>#REF!</v>
      </c>
      <c r="AW571" s="89" t="e">
        <f>#REF!</f>
        <v>#REF!</v>
      </c>
      <c r="AX571" s="89" t="e">
        <f>#REF!</f>
        <v>#REF!</v>
      </c>
      <c r="AY571" s="89" t="e">
        <f>#REF!</f>
        <v>#REF!</v>
      </c>
      <c r="AZ571" s="89" t="e">
        <f>#REF!</f>
        <v>#REF!</v>
      </c>
      <c r="BA571" s="89" t="e">
        <f>#REF!</f>
        <v>#REF!</v>
      </c>
      <c r="BB571" s="89" t="e">
        <f>#REF!</f>
        <v>#REF!</v>
      </c>
      <c r="BC571" s="89" t="e">
        <f>#REF!</f>
        <v>#REF!</v>
      </c>
      <c r="BD571" s="89" t="e">
        <f>#REF!</f>
        <v>#REF!</v>
      </c>
      <c r="BE571" s="89" t="e">
        <f>#REF!</f>
        <v>#REF!</v>
      </c>
      <c r="BF571" s="89" t="e">
        <f>#REF!</f>
        <v>#REF!</v>
      </c>
    </row>
    <row r="572" spans="9:58" x14ac:dyDescent="0.25">
      <c r="I572" s="89">
        <f>ABCD!J621</f>
        <v>142</v>
      </c>
      <c r="J572" s="89">
        <f>ABCD!K621</f>
        <v>465.76</v>
      </c>
      <c r="K572" s="89">
        <f>ABCD!L621</f>
        <v>4.6794958579559163</v>
      </c>
      <c r="L572" s="89">
        <f>ABCD!M621</f>
        <v>0.87733378990704425</v>
      </c>
      <c r="M572" s="89">
        <f>ABCD!N621</f>
        <v>4.7610288870725448</v>
      </c>
      <c r="N572" s="89" t="e">
        <v>#REF!</v>
      </c>
      <c r="O572" s="89" t="e">
        <v>#REF!</v>
      </c>
      <c r="P572" s="89" t="e">
        <v>#REF!</v>
      </c>
      <c r="Q572" s="89" t="e">
        <v>#REF!</v>
      </c>
      <c r="R572" s="89" t="e">
        <v>#REF!</v>
      </c>
      <c r="S572" s="89" t="e">
        <f>#REF!</f>
        <v>#REF!</v>
      </c>
      <c r="T572" s="89" t="e">
        <f>#REF!</f>
        <v>#REF!</v>
      </c>
      <c r="U572" s="89" t="e">
        <f>#REF!</f>
        <v>#REF!</v>
      </c>
      <c r="V572" s="89" t="e">
        <f>#REF!</f>
        <v>#REF!</v>
      </c>
      <c r="W572" s="89" t="e">
        <f>#REF!</f>
        <v>#REF!</v>
      </c>
      <c r="X572" s="89" t="e">
        <f>#REF!</f>
        <v>#REF!</v>
      </c>
      <c r="Y572" s="89" t="e">
        <f>#REF!</f>
        <v>#REF!</v>
      </c>
      <c r="Z572" s="89" t="e">
        <f>#REF!</f>
        <v>#REF!</v>
      </c>
      <c r="AA572" s="89" t="e">
        <f>#REF!</f>
        <v>#REF!</v>
      </c>
      <c r="AB572" s="89" t="e">
        <f>#REF!</f>
        <v>#REF!</v>
      </c>
      <c r="AC572" s="89" t="e">
        <f>#REF!</f>
        <v>#REF!</v>
      </c>
      <c r="AD572" s="89" t="e">
        <f>#REF!</f>
        <v>#REF!</v>
      </c>
      <c r="AE572" s="89" t="e">
        <f>#REF!</f>
        <v>#REF!</v>
      </c>
      <c r="AF572" s="89" t="e">
        <f>#REF!</f>
        <v>#REF!</v>
      </c>
      <c r="AG572" s="89" t="e">
        <f>#REF!</f>
        <v>#REF!</v>
      </c>
      <c r="AH572" s="89" t="e">
        <f>#REF!</f>
        <v>#REF!</v>
      </c>
      <c r="AI572" s="89" t="e">
        <f>#REF!</f>
        <v>#REF!</v>
      </c>
      <c r="AJ572" s="89" t="e">
        <f>#REF!</f>
        <v>#REF!</v>
      </c>
      <c r="AK572" s="89" t="e">
        <f>#REF!</f>
        <v>#REF!</v>
      </c>
      <c r="AL572" s="89" t="e">
        <f>#REF!</f>
        <v>#REF!</v>
      </c>
      <c r="AM572" s="89" t="e">
        <f>#REF!</f>
        <v>#REF!</v>
      </c>
      <c r="AN572" s="89" t="e">
        <f>#REF!</f>
        <v>#REF!</v>
      </c>
      <c r="AO572" s="89" t="e">
        <f>#REF!</f>
        <v>#REF!</v>
      </c>
      <c r="AP572" s="89" t="e">
        <f>#REF!</f>
        <v>#REF!</v>
      </c>
      <c r="AQ572" s="89" t="e">
        <f>#REF!</f>
        <v>#REF!</v>
      </c>
      <c r="AR572" s="89" t="e">
        <f>#REF!</f>
        <v>#REF!</v>
      </c>
      <c r="AS572" s="89" t="e">
        <f>#REF!</f>
        <v>#REF!</v>
      </c>
      <c r="AT572" s="89" t="e">
        <f>#REF!</f>
        <v>#REF!</v>
      </c>
      <c r="AU572" s="89" t="e">
        <f>#REF!</f>
        <v>#REF!</v>
      </c>
      <c r="AV572" s="89" t="e">
        <f>#REF!</f>
        <v>#REF!</v>
      </c>
      <c r="AW572" s="89" t="e">
        <f>#REF!</f>
        <v>#REF!</v>
      </c>
      <c r="AX572" s="89" t="e">
        <f>#REF!</f>
        <v>#REF!</v>
      </c>
      <c r="AY572" s="89" t="e">
        <f>#REF!</f>
        <v>#REF!</v>
      </c>
      <c r="AZ572" s="89" t="e">
        <f>#REF!</f>
        <v>#REF!</v>
      </c>
      <c r="BA572" s="89" t="e">
        <f>#REF!</f>
        <v>#REF!</v>
      </c>
      <c r="BB572" s="89" t="e">
        <f>#REF!</f>
        <v>#REF!</v>
      </c>
      <c r="BC572" s="89" t="e">
        <f>#REF!</f>
        <v>#REF!</v>
      </c>
      <c r="BD572" s="89" t="e">
        <f>#REF!</f>
        <v>#REF!</v>
      </c>
      <c r="BE572" s="89" t="e">
        <f>#REF!</f>
        <v>#REF!</v>
      </c>
      <c r="BF572" s="89" t="e">
        <f>#REF!</f>
        <v>#REF!</v>
      </c>
    </row>
    <row r="573" spans="9:58" x14ac:dyDescent="0.25">
      <c r="I573" s="89">
        <f>ABCD!J622</f>
        <v>142.25</v>
      </c>
      <c r="J573" s="89">
        <f>ABCD!K622</f>
        <v>466.58</v>
      </c>
      <c r="K573" s="89">
        <f>ABCD!L622</f>
        <v>4.6344947400051932</v>
      </c>
      <c r="L573" s="89">
        <f>ABCD!M622</f>
        <v>0.86978228169311145</v>
      </c>
      <c r="M573" s="89">
        <f>ABCD!N622</f>
        <v>4.7154069509092293</v>
      </c>
      <c r="N573" s="89" t="e">
        <v>#REF!</v>
      </c>
      <c r="O573" s="89" t="e">
        <v>#REF!</v>
      </c>
      <c r="P573" s="89" t="e">
        <v>#REF!</v>
      </c>
      <c r="Q573" s="89" t="e">
        <v>#REF!</v>
      </c>
      <c r="R573" s="89" t="e">
        <v>#REF!</v>
      </c>
      <c r="S573" s="89" t="e">
        <f>#REF!</f>
        <v>#REF!</v>
      </c>
      <c r="T573" s="89" t="e">
        <f>#REF!</f>
        <v>#REF!</v>
      </c>
      <c r="U573" s="89" t="e">
        <f>#REF!</f>
        <v>#REF!</v>
      </c>
      <c r="V573" s="89" t="e">
        <f>#REF!</f>
        <v>#REF!</v>
      </c>
      <c r="W573" s="89" t="e">
        <f>#REF!</f>
        <v>#REF!</v>
      </c>
      <c r="X573" s="89" t="e">
        <f>#REF!</f>
        <v>#REF!</v>
      </c>
      <c r="Y573" s="89" t="e">
        <f>#REF!</f>
        <v>#REF!</v>
      </c>
      <c r="Z573" s="89" t="e">
        <f>#REF!</f>
        <v>#REF!</v>
      </c>
      <c r="AA573" s="89" t="e">
        <f>#REF!</f>
        <v>#REF!</v>
      </c>
      <c r="AB573" s="89" t="e">
        <f>#REF!</f>
        <v>#REF!</v>
      </c>
      <c r="AC573" s="89" t="e">
        <f>#REF!</f>
        <v>#REF!</v>
      </c>
      <c r="AD573" s="89" t="e">
        <f>#REF!</f>
        <v>#REF!</v>
      </c>
      <c r="AE573" s="89" t="e">
        <f>#REF!</f>
        <v>#REF!</v>
      </c>
      <c r="AF573" s="89" t="e">
        <f>#REF!</f>
        <v>#REF!</v>
      </c>
      <c r="AG573" s="89" t="e">
        <f>#REF!</f>
        <v>#REF!</v>
      </c>
      <c r="AH573" s="89" t="e">
        <f>#REF!</f>
        <v>#REF!</v>
      </c>
      <c r="AI573" s="89" t="e">
        <f>#REF!</f>
        <v>#REF!</v>
      </c>
      <c r="AJ573" s="89" t="e">
        <f>#REF!</f>
        <v>#REF!</v>
      </c>
      <c r="AK573" s="89" t="e">
        <f>#REF!</f>
        <v>#REF!</v>
      </c>
      <c r="AL573" s="89" t="e">
        <f>#REF!</f>
        <v>#REF!</v>
      </c>
      <c r="AM573" s="89" t="e">
        <f>#REF!</f>
        <v>#REF!</v>
      </c>
      <c r="AN573" s="89" t="e">
        <f>#REF!</f>
        <v>#REF!</v>
      </c>
      <c r="AO573" s="89" t="e">
        <f>#REF!</f>
        <v>#REF!</v>
      </c>
      <c r="AP573" s="89" t="e">
        <f>#REF!</f>
        <v>#REF!</v>
      </c>
      <c r="AQ573" s="89" t="e">
        <f>#REF!</f>
        <v>#REF!</v>
      </c>
      <c r="AR573" s="89" t="e">
        <f>#REF!</f>
        <v>#REF!</v>
      </c>
      <c r="AS573" s="89" t="e">
        <f>#REF!</f>
        <v>#REF!</v>
      </c>
      <c r="AT573" s="89" t="e">
        <f>#REF!</f>
        <v>#REF!</v>
      </c>
      <c r="AU573" s="89" t="e">
        <f>#REF!</f>
        <v>#REF!</v>
      </c>
      <c r="AV573" s="89" t="e">
        <f>#REF!</f>
        <v>#REF!</v>
      </c>
      <c r="AW573" s="89" t="e">
        <f>#REF!</f>
        <v>#REF!</v>
      </c>
      <c r="AX573" s="89" t="e">
        <f>#REF!</f>
        <v>#REF!</v>
      </c>
      <c r="AY573" s="89" t="e">
        <f>#REF!</f>
        <v>#REF!</v>
      </c>
      <c r="AZ573" s="89" t="e">
        <f>#REF!</f>
        <v>#REF!</v>
      </c>
      <c r="BA573" s="89" t="e">
        <f>#REF!</f>
        <v>#REF!</v>
      </c>
      <c r="BB573" s="89" t="e">
        <f>#REF!</f>
        <v>#REF!</v>
      </c>
      <c r="BC573" s="89" t="e">
        <f>#REF!</f>
        <v>#REF!</v>
      </c>
      <c r="BD573" s="89" t="e">
        <f>#REF!</f>
        <v>#REF!</v>
      </c>
      <c r="BE573" s="89" t="e">
        <f>#REF!</f>
        <v>#REF!</v>
      </c>
      <c r="BF573" s="89" t="e">
        <f>#REF!</f>
        <v>#REF!</v>
      </c>
    </row>
    <row r="574" spans="9:58" x14ac:dyDescent="0.25">
      <c r="I574" s="89">
        <f>ABCD!J623</f>
        <v>142.5</v>
      </c>
      <c r="J574" s="89">
        <f>ABCD!K623</f>
        <v>467.4</v>
      </c>
      <c r="K574" s="89">
        <f>ABCD!L623</f>
        <v>4.588464273089901</v>
      </c>
      <c r="L574" s="89">
        <f>ABCD!M623</f>
        <v>0.86203678530166394</v>
      </c>
      <c r="M574" s="89">
        <f>ABCD!N623</f>
        <v>4.6687377099849661</v>
      </c>
      <c r="N574" s="89" t="e">
        <v>#REF!</v>
      </c>
      <c r="O574" s="89" t="e">
        <v>#REF!</v>
      </c>
      <c r="P574" s="89" t="e">
        <v>#REF!</v>
      </c>
      <c r="Q574" s="89" t="e">
        <v>#REF!</v>
      </c>
      <c r="R574" s="89" t="e">
        <v>#REF!</v>
      </c>
      <c r="S574" s="89" t="e">
        <f>#REF!</f>
        <v>#REF!</v>
      </c>
      <c r="T574" s="89" t="e">
        <f>#REF!</f>
        <v>#REF!</v>
      </c>
      <c r="U574" s="89" t="e">
        <f>#REF!</f>
        <v>#REF!</v>
      </c>
      <c r="V574" s="89" t="e">
        <f>#REF!</f>
        <v>#REF!</v>
      </c>
      <c r="W574" s="89" t="e">
        <f>#REF!</f>
        <v>#REF!</v>
      </c>
      <c r="X574" s="89" t="e">
        <f>#REF!</f>
        <v>#REF!</v>
      </c>
      <c r="Y574" s="89" t="e">
        <f>#REF!</f>
        <v>#REF!</v>
      </c>
      <c r="Z574" s="89" t="e">
        <f>#REF!</f>
        <v>#REF!</v>
      </c>
      <c r="AA574" s="89" t="e">
        <f>#REF!</f>
        <v>#REF!</v>
      </c>
      <c r="AB574" s="89" t="e">
        <f>#REF!</f>
        <v>#REF!</v>
      </c>
      <c r="AC574" s="89" t="e">
        <f>#REF!</f>
        <v>#REF!</v>
      </c>
      <c r="AD574" s="89" t="e">
        <f>#REF!</f>
        <v>#REF!</v>
      </c>
      <c r="AE574" s="89" t="e">
        <f>#REF!</f>
        <v>#REF!</v>
      </c>
      <c r="AF574" s="89" t="e">
        <f>#REF!</f>
        <v>#REF!</v>
      </c>
      <c r="AG574" s="89" t="e">
        <f>#REF!</f>
        <v>#REF!</v>
      </c>
      <c r="AH574" s="89" t="e">
        <f>#REF!</f>
        <v>#REF!</v>
      </c>
      <c r="AI574" s="89" t="e">
        <f>#REF!</f>
        <v>#REF!</v>
      </c>
      <c r="AJ574" s="89" t="e">
        <f>#REF!</f>
        <v>#REF!</v>
      </c>
      <c r="AK574" s="89" t="e">
        <f>#REF!</f>
        <v>#REF!</v>
      </c>
      <c r="AL574" s="89" t="e">
        <f>#REF!</f>
        <v>#REF!</v>
      </c>
      <c r="AM574" s="89" t="e">
        <f>#REF!</f>
        <v>#REF!</v>
      </c>
      <c r="AN574" s="89" t="e">
        <f>#REF!</f>
        <v>#REF!</v>
      </c>
      <c r="AO574" s="89" t="e">
        <f>#REF!</f>
        <v>#REF!</v>
      </c>
      <c r="AP574" s="89" t="e">
        <f>#REF!</f>
        <v>#REF!</v>
      </c>
      <c r="AQ574" s="89" t="e">
        <f>#REF!</f>
        <v>#REF!</v>
      </c>
      <c r="AR574" s="89" t="e">
        <f>#REF!</f>
        <v>#REF!</v>
      </c>
      <c r="AS574" s="89" t="e">
        <f>#REF!</f>
        <v>#REF!</v>
      </c>
      <c r="AT574" s="89" t="e">
        <f>#REF!</f>
        <v>#REF!</v>
      </c>
      <c r="AU574" s="89" t="e">
        <f>#REF!</f>
        <v>#REF!</v>
      </c>
      <c r="AV574" s="89" t="e">
        <f>#REF!</f>
        <v>#REF!</v>
      </c>
      <c r="AW574" s="89" t="e">
        <f>#REF!</f>
        <v>#REF!</v>
      </c>
      <c r="AX574" s="89" t="e">
        <f>#REF!</f>
        <v>#REF!</v>
      </c>
      <c r="AY574" s="89" t="e">
        <f>#REF!</f>
        <v>#REF!</v>
      </c>
      <c r="AZ574" s="89" t="e">
        <f>#REF!</f>
        <v>#REF!</v>
      </c>
      <c r="BA574" s="89" t="e">
        <f>#REF!</f>
        <v>#REF!</v>
      </c>
      <c r="BB574" s="89" t="e">
        <f>#REF!</f>
        <v>#REF!</v>
      </c>
      <c r="BC574" s="89" t="e">
        <f>#REF!</f>
        <v>#REF!</v>
      </c>
      <c r="BD574" s="89" t="e">
        <f>#REF!</f>
        <v>#REF!</v>
      </c>
      <c r="BE574" s="89" t="e">
        <f>#REF!</f>
        <v>#REF!</v>
      </c>
      <c r="BF574" s="89" t="e">
        <f>#REF!</f>
        <v>#REF!</v>
      </c>
    </row>
    <row r="575" spans="9:58" x14ac:dyDescent="0.25">
      <c r="I575" s="89">
        <f>ABCD!J624</f>
        <v>142.75</v>
      </c>
      <c r="J575" s="89">
        <f>ABCD!K624</f>
        <v>468.21999999999997</v>
      </c>
      <c r="K575" s="89">
        <f>ABCD!L624</f>
        <v>4.5414160089298408</v>
      </c>
      <c r="L575" s="89">
        <f>ABCD!M624</f>
        <v>0.85409926322224305</v>
      </c>
      <c r="M575" s="89">
        <f>ABCD!N624</f>
        <v>4.62103288428042</v>
      </c>
      <c r="N575" s="89" t="e">
        <v>#REF!</v>
      </c>
      <c r="O575" s="89" t="e">
        <v>#REF!</v>
      </c>
      <c r="P575" s="89" t="e">
        <v>#REF!</v>
      </c>
      <c r="Q575" s="89" t="e">
        <v>#REF!</v>
      </c>
      <c r="R575" s="89" t="e">
        <v>#REF!</v>
      </c>
      <c r="S575" s="89" t="e">
        <f>#REF!</f>
        <v>#REF!</v>
      </c>
      <c r="T575" s="89" t="e">
        <f>#REF!</f>
        <v>#REF!</v>
      </c>
      <c r="U575" s="89" t="e">
        <f>#REF!</f>
        <v>#REF!</v>
      </c>
      <c r="V575" s="89" t="e">
        <f>#REF!</f>
        <v>#REF!</v>
      </c>
      <c r="W575" s="89" t="e">
        <f>#REF!</f>
        <v>#REF!</v>
      </c>
      <c r="X575" s="89" t="e">
        <f>#REF!</f>
        <v>#REF!</v>
      </c>
      <c r="Y575" s="89" t="e">
        <f>#REF!</f>
        <v>#REF!</v>
      </c>
      <c r="Z575" s="89" t="e">
        <f>#REF!</f>
        <v>#REF!</v>
      </c>
      <c r="AA575" s="89" t="e">
        <f>#REF!</f>
        <v>#REF!</v>
      </c>
      <c r="AB575" s="89" t="e">
        <f>#REF!</f>
        <v>#REF!</v>
      </c>
      <c r="AC575" s="89" t="e">
        <f>#REF!</f>
        <v>#REF!</v>
      </c>
      <c r="AD575" s="89" t="e">
        <f>#REF!</f>
        <v>#REF!</v>
      </c>
      <c r="AE575" s="89" t="e">
        <f>#REF!</f>
        <v>#REF!</v>
      </c>
      <c r="AF575" s="89" t="e">
        <f>#REF!</f>
        <v>#REF!</v>
      </c>
      <c r="AG575" s="89" t="e">
        <f>#REF!</f>
        <v>#REF!</v>
      </c>
      <c r="AH575" s="89" t="e">
        <f>#REF!</f>
        <v>#REF!</v>
      </c>
      <c r="AI575" s="89" t="e">
        <f>#REF!</f>
        <v>#REF!</v>
      </c>
      <c r="AJ575" s="89" t="e">
        <f>#REF!</f>
        <v>#REF!</v>
      </c>
      <c r="AK575" s="89" t="e">
        <f>#REF!</f>
        <v>#REF!</v>
      </c>
      <c r="AL575" s="89" t="e">
        <f>#REF!</f>
        <v>#REF!</v>
      </c>
      <c r="AM575" s="89" t="e">
        <f>#REF!</f>
        <v>#REF!</v>
      </c>
      <c r="AN575" s="89" t="e">
        <f>#REF!</f>
        <v>#REF!</v>
      </c>
      <c r="AO575" s="89" t="e">
        <f>#REF!</f>
        <v>#REF!</v>
      </c>
      <c r="AP575" s="89" t="e">
        <f>#REF!</f>
        <v>#REF!</v>
      </c>
      <c r="AQ575" s="89" t="e">
        <f>#REF!</f>
        <v>#REF!</v>
      </c>
      <c r="AR575" s="89" t="e">
        <f>#REF!</f>
        <v>#REF!</v>
      </c>
      <c r="AS575" s="89" t="e">
        <f>#REF!</f>
        <v>#REF!</v>
      </c>
      <c r="AT575" s="89" t="e">
        <f>#REF!</f>
        <v>#REF!</v>
      </c>
      <c r="AU575" s="89" t="e">
        <f>#REF!</f>
        <v>#REF!</v>
      </c>
      <c r="AV575" s="89" t="e">
        <f>#REF!</f>
        <v>#REF!</v>
      </c>
      <c r="AW575" s="89" t="e">
        <f>#REF!</f>
        <v>#REF!</v>
      </c>
      <c r="AX575" s="89" t="e">
        <f>#REF!</f>
        <v>#REF!</v>
      </c>
      <c r="AY575" s="89" t="e">
        <f>#REF!</f>
        <v>#REF!</v>
      </c>
      <c r="AZ575" s="89" t="e">
        <f>#REF!</f>
        <v>#REF!</v>
      </c>
      <c r="BA575" s="89" t="e">
        <f>#REF!</f>
        <v>#REF!</v>
      </c>
      <c r="BB575" s="89" t="e">
        <f>#REF!</f>
        <v>#REF!</v>
      </c>
      <c r="BC575" s="89" t="e">
        <f>#REF!</f>
        <v>#REF!</v>
      </c>
      <c r="BD575" s="89" t="e">
        <f>#REF!</f>
        <v>#REF!</v>
      </c>
      <c r="BE575" s="89" t="e">
        <f>#REF!</f>
        <v>#REF!</v>
      </c>
      <c r="BF575" s="89" t="e">
        <f>#REF!</f>
        <v>#REF!</v>
      </c>
    </row>
    <row r="576" spans="9:58" x14ac:dyDescent="0.25">
      <c r="I576" s="89">
        <f>ABCD!J625</f>
        <v>143</v>
      </c>
      <c r="J576" s="89">
        <f>ABCD!K625</f>
        <v>469.03999999999996</v>
      </c>
      <c r="K576" s="89">
        <f>ABCD!L625</f>
        <v>4.4933617238023498</v>
      </c>
      <c r="L576" s="89">
        <f>ABCD!M625</f>
        <v>0.8459717205063495</v>
      </c>
      <c r="M576" s="89">
        <f>ABCD!N625</f>
        <v>4.5723044225891716</v>
      </c>
      <c r="N576" s="89" t="e">
        <v>#REF!</v>
      </c>
      <c r="O576" s="89" t="e">
        <v>#REF!</v>
      </c>
      <c r="P576" s="89" t="e">
        <v>#REF!</v>
      </c>
      <c r="Q576" s="89" t="e">
        <v>#REF!</v>
      </c>
      <c r="R576" s="89" t="e">
        <v>#REF!</v>
      </c>
      <c r="S576" s="89" t="e">
        <f>#REF!</f>
        <v>#REF!</v>
      </c>
      <c r="T576" s="89" t="e">
        <f>#REF!</f>
        <v>#REF!</v>
      </c>
      <c r="U576" s="89" t="e">
        <f>#REF!</f>
        <v>#REF!</v>
      </c>
      <c r="V576" s="89" t="e">
        <f>#REF!</f>
        <v>#REF!</v>
      </c>
      <c r="W576" s="89" t="e">
        <f>#REF!</f>
        <v>#REF!</v>
      </c>
      <c r="X576" s="89" t="e">
        <f>#REF!</f>
        <v>#REF!</v>
      </c>
      <c r="Y576" s="89" t="e">
        <f>#REF!</f>
        <v>#REF!</v>
      </c>
      <c r="Z576" s="89" t="e">
        <f>#REF!</f>
        <v>#REF!</v>
      </c>
      <c r="AA576" s="89" t="e">
        <f>#REF!</f>
        <v>#REF!</v>
      </c>
      <c r="AB576" s="89" t="e">
        <f>#REF!</f>
        <v>#REF!</v>
      </c>
      <c r="AC576" s="89" t="e">
        <f>#REF!</f>
        <v>#REF!</v>
      </c>
      <c r="AD576" s="89" t="e">
        <f>#REF!</f>
        <v>#REF!</v>
      </c>
      <c r="AE576" s="89" t="e">
        <f>#REF!</f>
        <v>#REF!</v>
      </c>
      <c r="AF576" s="89" t="e">
        <f>#REF!</f>
        <v>#REF!</v>
      </c>
      <c r="AG576" s="89" t="e">
        <f>#REF!</f>
        <v>#REF!</v>
      </c>
      <c r="AH576" s="89" t="e">
        <f>#REF!</f>
        <v>#REF!</v>
      </c>
      <c r="AI576" s="89" t="e">
        <f>#REF!</f>
        <v>#REF!</v>
      </c>
      <c r="AJ576" s="89" t="e">
        <f>#REF!</f>
        <v>#REF!</v>
      </c>
      <c r="AK576" s="89" t="e">
        <f>#REF!</f>
        <v>#REF!</v>
      </c>
      <c r="AL576" s="89" t="e">
        <f>#REF!</f>
        <v>#REF!</v>
      </c>
      <c r="AM576" s="89" t="e">
        <f>#REF!</f>
        <v>#REF!</v>
      </c>
      <c r="AN576" s="89" t="e">
        <f>#REF!</f>
        <v>#REF!</v>
      </c>
      <c r="AO576" s="89" t="e">
        <f>#REF!</f>
        <v>#REF!</v>
      </c>
      <c r="AP576" s="89" t="e">
        <f>#REF!</f>
        <v>#REF!</v>
      </c>
      <c r="AQ576" s="89" t="e">
        <f>#REF!</f>
        <v>#REF!</v>
      </c>
      <c r="AR576" s="89" t="e">
        <f>#REF!</f>
        <v>#REF!</v>
      </c>
      <c r="AS576" s="89" t="e">
        <f>#REF!</f>
        <v>#REF!</v>
      </c>
      <c r="AT576" s="89" t="e">
        <f>#REF!</f>
        <v>#REF!</v>
      </c>
      <c r="AU576" s="89" t="e">
        <f>#REF!</f>
        <v>#REF!</v>
      </c>
      <c r="AV576" s="89" t="e">
        <f>#REF!</f>
        <v>#REF!</v>
      </c>
      <c r="AW576" s="89" t="e">
        <f>#REF!</f>
        <v>#REF!</v>
      </c>
      <c r="AX576" s="89" t="e">
        <f>#REF!</f>
        <v>#REF!</v>
      </c>
      <c r="AY576" s="89" t="e">
        <f>#REF!</f>
        <v>#REF!</v>
      </c>
      <c r="AZ576" s="89" t="e">
        <f>#REF!</f>
        <v>#REF!</v>
      </c>
      <c r="BA576" s="89" t="e">
        <f>#REF!</f>
        <v>#REF!</v>
      </c>
      <c r="BB576" s="89" t="e">
        <f>#REF!</f>
        <v>#REF!</v>
      </c>
      <c r="BC576" s="89" t="e">
        <f>#REF!</f>
        <v>#REF!</v>
      </c>
      <c r="BD576" s="89" t="e">
        <f>#REF!</f>
        <v>#REF!</v>
      </c>
      <c r="BE576" s="89" t="e">
        <f>#REF!</f>
        <v>#REF!</v>
      </c>
      <c r="BF576" s="89" t="e">
        <f>#REF!</f>
        <v>#REF!</v>
      </c>
    </row>
    <row r="577" spans="9:58" x14ac:dyDescent="0.25">
      <c r="I577" s="89">
        <f>ABCD!J626</f>
        <v>143.25</v>
      </c>
      <c r="J577" s="89">
        <f>ABCD!K626</f>
        <v>469.85999999999996</v>
      </c>
      <c r="K577" s="89">
        <f>ABCD!L626</f>
        <v>4.4443134156218518</v>
      </c>
      <c r="L577" s="89">
        <f>ABCD!M626</f>
        <v>0.83765620426632692</v>
      </c>
      <c r="M577" s="89">
        <f>ABCD!N626</f>
        <v>4.5225644995756822</v>
      </c>
      <c r="N577" s="89" t="e">
        <v>#REF!</v>
      </c>
      <c r="O577" s="89" t="e">
        <v>#REF!</v>
      </c>
      <c r="P577" s="89" t="e">
        <v>#REF!</v>
      </c>
      <c r="Q577" s="89" t="e">
        <v>#REF!</v>
      </c>
      <c r="R577" s="89" t="e">
        <v>#REF!</v>
      </c>
      <c r="S577" s="89" t="e">
        <f>#REF!</f>
        <v>#REF!</v>
      </c>
      <c r="T577" s="89" t="e">
        <f>#REF!</f>
        <v>#REF!</v>
      </c>
      <c r="U577" s="89" t="e">
        <f>#REF!</f>
        <v>#REF!</v>
      </c>
      <c r="V577" s="89" t="e">
        <f>#REF!</f>
        <v>#REF!</v>
      </c>
      <c r="W577" s="89" t="e">
        <f>#REF!</f>
        <v>#REF!</v>
      </c>
      <c r="X577" s="89" t="e">
        <f>#REF!</f>
        <v>#REF!</v>
      </c>
      <c r="Y577" s="89" t="e">
        <f>#REF!</f>
        <v>#REF!</v>
      </c>
      <c r="Z577" s="89" t="e">
        <f>#REF!</f>
        <v>#REF!</v>
      </c>
      <c r="AA577" s="89" t="e">
        <f>#REF!</f>
        <v>#REF!</v>
      </c>
      <c r="AB577" s="89" t="e">
        <f>#REF!</f>
        <v>#REF!</v>
      </c>
      <c r="AC577" s="89" t="e">
        <f>#REF!</f>
        <v>#REF!</v>
      </c>
      <c r="AD577" s="89" t="e">
        <f>#REF!</f>
        <v>#REF!</v>
      </c>
      <c r="AE577" s="89" t="e">
        <f>#REF!</f>
        <v>#REF!</v>
      </c>
      <c r="AF577" s="89" t="e">
        <f>#REF!</f>
        <v>#REF!</v>
      </c>
      <c r="AG577" s="89" t="e">
        <f>#REF!</f>
        <v>#REF!</v>
      </c>
      <c r="AH577" s="89" t="e">
        <f>#REF!</f>
        <v>#REF!</v>
      </c>
      <c r="AI577" s="89" t="e">
        <f>#REF!</f>
        <v>#REF!</v>
      </c>
      <c r="AJ577" s="89" t="e">
        <f>#REF!</f>
        <v>#REF!</v>
      </c>
      <c r="AK577" s="89" t="e">
        <f>#REF!</f>
        <v>#REF!</v>
      </c>
      <c r="AL577" s="89" t="e">
        <f>#REF!</f>
        <v>#REF!</v>
      </c>
      <c r="AM577" s="89" t="e">
        <f>#REF!</f>
        <v>#REF!</v>
      </c>
      <c r="AN577" s="89" t="e">
        <f>#REF!</f>
        <v>#REF!</v>
      </c>
      <c r="AO577" s="89" t="e">
        <f>#REF!</f>
        <v>#REF!</v>
      </c>
      <c r="AP577" s="89" t="e">
        <f>#REF!</f>
        <v>#REF!</v>
      </c>
      <c r="AQ577" s="89" t="e">
        <f>#REF!</f>
        <v>#REF!</v>
      </c>
      <c r="AR577" s="89" t="e">
        <f>#REF!</f>
        <v>#REF!</v>
      </c>
      <c r="AS577" s="89" t="e">
        <f>#REF!</f>
        <v>#REF!</v>
      </c>
      <c r="AT577" s="89" t="e">
        <f>#REF!</f>
        <v>#REF!</v>
      </c>
      <c r="AU577" s="89" t="e">
        <f>#REF!</f>
        <v>#REF!</v>
      </c>
      <c r="AV577" s="89" t="e">
        <f>#REF!</f>
        <v>#REF!</v>
      </c>
      <c r="AW577" s="89" t="e">
        <f>#REF!</f>
        <v>#REF!</v>
      </c>
      <c r="AX577" s="89" t="e">
        <f>#REF!</f>
        <v>#REF!</v>
      </c>
      <c r="AY577" s="89" t="e">
        <f>#REF!</f>
        <v>#REF!</v>
      </c>
      <c r="AZ577" s="89" t="e">
        <f>#REF!</f>
        <v>#REF!</v>
      </c>
      <c r="BA577" s="89" t="e">
        <f>#REF!</f>
        <v>#REF!</v>
      </c>
      <c r="BB577" s="89" t="e">
        <f>#REF!</f>
        <v>#REF!</v>
      </c>
      <c r="BC577" s="89" t="e">
        <f>#REF!</f>
        <v>#REF!</v>
      </c>
      <c r="BD577" s="89" t="e">
        <f>#REF!</f>
        <v>#REF!</v>
      </c>
      <c r="BE577" s="89" t="e">
        <f>#REF!</f>
        <v>#REF!</v>
      </c>
      <c r="BF577" s="89" t="e">
        <f>#REF!</f>
        <v>#REF!</v>
      </c>
    </row>
    <row r="578" spans="9:58" x14ac:dyDescent="0.25">
      <c r="I578" s="89">
        <f>ABCD!J627</f>
        <v>143.5</v>
      </c>
      <c r="J578" s="89">
        <f>ABCD!K627</f>
        <v>470.67999999999995</v>
      </c>
      <c r="K578" s="89">
        <f>ABCD!L627</f>
        <v>4.3942833009708542</v>
      </c>
      <c r="L578" s="89">
        <f>ABCD!M627</f>
        <v>0.82915480316495582</v>
      </c>
      <c r="M578" s="89">
        <f>ABCD!N627</f>
        <v>4.4718255127858946</v>
      </c>
      <c r="N578" s="89" t="e">
        <v>#REF!</v>
      </c>
      <c r="O578" s="89" t="e">
        <v>#REF!</v>
      </c>
      <c r="P578" s="89" t="e">
        <v>#REF!</v>
      </c>
      <c r="Q578" s="89" t="e">
        <v>#REF!</v>
      </c>
      <c r="R578" s="89" t="e">
        <v>#REF!</v>
      </c>
      <c r="S578" s="89" t="e">
        <f>#REF!</f>
        <v>#REF!</v>
      </c>
      <c r="T578" s="89" t="e">
        <f>#REF!</f>
        <v>#REF!</v>
      </c>
      <c r="U578" s="89" t="e">
        <f>#REF!</f>
        <v>#REF!</v>
      </c>
      <c r="V578" s="89" t="e">
        <f>#REF!</f>
        <v>#REF!</v>
      </c>
      <c r="W578" s="89" t="e">
        <f>#REF!</f>
        <v>#REF!</v>
      </c>
      <c r="X578" s="89" t="e">
        <f>#REF!</f>
        <v>#REF!</v>
      </c>
      <c r="Y578" s="89" t="e">
        <f>#REF!</f>
        <v>#REF!</v>
      </c>
      <c r="Z578" s="89" t="e">
        <f>#REF!</f>
        <v>#REF!</v>
      </c>
      <c r="AA578" s="89" t="e">
        <f>#REF!</f>
        <v>#REF!</v>
      </c>
      <c r="AB578" s="89" t="e">
        <f>#REF!</f>
        <v>#REF!</v>
      </c>
      <c r="AC578" s="89" t="e">
        <f>#REF!</f>
        <v>#REF!</v>
      </c>
      <c r="AD578" s="89" t="e">
        <f>#REF!</f>
        <v>#REF!</v>
      </c>
      <c r="AE578" s="89" t="e">
        <f>#REF!</f>
        <v>#REF!</v>
      </c>
      <c r="AF578" s="89" t="e">
        <f>#REF!</f>
        <v>#REF!</v>
      </c>
      <c r="AG578" s="89" t="e">
        <f>#REF!</f>
        <v>#REF!</v>
      </c>
      <c r="AH578" s="89" t="e">
        <f>#REF!</f>
        <v>#REF!</v>
      </c>
      <c r="AI578" s="89" t="e">
        <f>#REF!</f>
        <v>#REF!</v>
      </c>
      <c r="AJ578" s="89" t="e">
        <f>#REF!</f>
        <v>#REF!</v>
      </c>
      <c r="AK578" s="89" t="e">
        <f>#REF!</f>
        <v>#REF!</v>
      </c>
      <c r="AL578" s="89" t="e">
        <f>#REF!</f>
        <v>#REF!</v>
      </c>
      <c r="AM578" s="89" t="e">
        <f>#REF!</f>
        <v>#REF!</v>
      </c>
      <c r="AN578" s="89" t="e">
        <f>#REF!</f>
        <v>#REF!</v>
      </c>
      <c r="AO578" s="89" t="e">
        <f>#REF!</f>
        <v>#REF!</v>
      </c>
      <c r="AP578" s="89" t="e">
        <f>#REF!</f>
        <v>#REF!</v>
      </c>
      <c r="AQ578" s="89" t="e">
        <f>#REF!</f>
        <v>#REF!</v>
      </c>
      <c r="AR578" s="89" t="e">
        <f>#REF!</f>
        <v>#REF!</v>
      </c>
      <c r="AS578" s="89" t="e">
        <f>#REF!</f>
        <v>#REF!</v>
      </c>
      <c r="AT578" s="89" t="e">
        <f>#REF!</f>
        <v>#REF!</v>
      </c>
      <c r="AU578" s="89" t="e">
        <f>#REF!</f>
        <v>#REF!</v>
      </c>
      <c r="AV578" s="89" t="e">
        <f>#REF!</f>
        <v>#REF!</v>
      </c>
      <c r="AW578" s="89" t="e">
        <f>#REF!</f>
        <v>#REF!</v>
      </c>
      <c r="AX578" s="89" t="e">
        <f>#REF!</f>
        <v>#REF!</v>
      </c>
      <c r="AY578" s="89" t="e">
        <f>#REF!</f>
        <v>#REF!</v>
      </c>
      <c r="AZ578" s="89" t="e">
        <f>#REF!</f>
        <v>#REF!</v>
      </c>
      <c r="BA578" s="89" t="e">
        <f>#REF!</f>
        <v>#REF!</v>
      </c>
      <c r="BB578" s="89" t="e">
        <f>#REF!</f>
        <v>#REF!</v>
      </c>
      <c r="BC578" s="89" t="e">
        <f>#REF!</f>
        <v>#REF!</v>
      </c>
      <c r="BD578" s="89" t="e">
        <f>#REF!</f>
        <v>#REF!</v>
      </c>
      <c r="BE578" s="89" t="e">
        <f>#REF!</f>
        <v>#REF!</v>
      </c>
      <c r="BF578" s="89" t="e">
        <f>#REF!</f>
        <v>#REF!</v>
      </c>
    </row>
    <row r="579" spans="9:58" x14ac:dyDescent="0.25">
      <c r="I579" s="89">
        <f>ABCD!J628</f>
        <v>143.75</v>
      </c>
      <c r="J579" s="89">
        <f>ABCD!K628</f>
        <v>471.5</v>
      </c>
      <c r="K579" s="89">
        <f>ABCD!L628</f>
        <v>4.3432838120831452</v>
      </c>
      <c r="L579" s="89">
        <f>ABCD!M628</f>
        <v>0.82046964689592095</v>
      </c>
      <c r="M579" s="89">
        <f>ABCD!N628</f>
        <v>4.4201000796114345</v>
      </c>
      <c r="N579" s="89" t="e">
        <v>#REF!</v>
      </c>
      <c r="O579" s="89" t="e">
        <v>#REF!</v>
      </c>
      <c r="P579" s="89" t="e">
        <v>#REF!</v>
      </c>
      <c r="Q579" s="89" t="e">
        <v>#REF!</v>
      </c>
      <c r="R579" s="89" t="e">
        <v>#REF!</v>
      </c>
      <c r="S579" s="89" t="e">
        <f>#REF!</f>
        <v>#REF!</v>
      </c>
      <c r="T579" s="89" t="e">
        <f>#REF!</f>
        <v>#REF!</v>
      </c>
      <c r="U579" s="89" t="e">
        <f>#REF!</f>
        <v>#REF!</v>
      </c>
      <c r="V579" s="89" t="e">
        <f>#REF!</f>
        <v>#REF!</v>
      </c>
      <c r="W579" s="89" t="e">
        <f>#REF!</f>
        <v>#REF!</v>
      </c>
      <c r="X579" s="89" t="e">
        <f>#REF!</f>
        <v>#REF!</v>
      </c>
      <c r="Y579" s="89" t="e">
        <f>#REF!</f>
        <v>#REF!</v>
      </c>
      <c r="Z579" s="89" t="e">
        <f>#REF!</f>
        <v>#REF!</v>
      </c>
      <c r="AA579" s="89" t="e">
        <f>#REF!</f>
        <v>#REF!</v>
      </c>
      <c r="AB579" s="89" t="e">
        <f>#REF!</f>
        <v>#REF!</v>
      </c>
      <c r="AC579" s="89" t="e">
        <f>#REF!</f>
        <v>#REF!</v>
      </c>
      <c r="AD579" s="89" t="e">
        <f>#REF!</f>
        <v>#REF!</v>
      </c>
      <c r="AE579" s="89" t="e">
        <f>#REF!</f>
        <v>#REF!</v>
      </c>
      <c r="AF579" s="89" t="e">
        <f>#REF!</f>
        <v>#REF!</v>
      </c>
      <c r="AG579" s="89" t="e">
        <f>#REF!</f>
        <v>#REF!</v>
      </c>
      <c r="AH579" s="89" t="e">
        <f>#REF!</f>
        <v>#REF!</v>
      </c>
      <c r="AI579" s="89" t="e">
        <f>#REF!</f>
        <v>#REF!</v>
      </c>
      <c r="AJ579" s="89" t="e">
        <f>#REF!</f>
        <v>#REF!</v>
      </c>
      <c r="AK579" s="89" t="e">
        <f>#REF!</f>
        <v>#REF!</v>
      </c>
      <c r="AL579" s="89" t="e">
        <f>#REF!</f>
        <v>#REF!</v>
      </c>
      <c r="AM579" s="89" t="e">
        <f>#REF!</f>
        <v>#REF!</v>
      </c>
      <c r="AN579" s="89" t="e">
        <f>#REF!</f>
        <v>#REF!</v>
      </c>
      <c r="AO579" s="89" t="e">
        <f>#REF!</f>
        <v>#REF!</v>
      </c>
      <c r="AP579" s="89" t="e">
        <f>#REF!</f>
        <v>#REF!</v>
      </c>
      <c r="AQ579" s="89" t="e">
        <f>#REF!</f>
        <v>#REF!</v>
      </c>
      <c r="AR579" s="89" t="e">
        <f>#REF!</f>
        <v>#REF!</v>
      </c>
      <c r="AS579" s="89" t="e">
        <f>#REF!</f>
        <v>#REF!</v>
      </c>
      <c r="AT579" s="89" t="e">
        <f>#REF!</f>
        <v>#REF!</v>
      </c>
      <c r="AU579" s="89" t="e">
        <f>#REF!</f>
        <v>#REF!</v>
      </c>
      <c r="AV579" s="89" t="e">
        <f>#REF!</f>
        <v>#REF!</v>
      </c>
      <c r="AW579" s="89" t="e">
        <f>#REF!</f>
        <v>#REF!</v>
      </c>
      <c r="AX579" s="89" t="e">
        <f>#REF!</f>
        <v>#REF!</v>
      </c>
      <c r="AY579" s="89" t="e">
        <f>#REF!</f>
        <v>#REF!</v>
      </c>
      <c r="AZ579" s="89" t="e">
        <f>#REF!</f>
        <v>#REF!</v>
      </c>
      <c r="BA579" s="89" t="e">
        <f>#REF!</f>
        <v>#REF!</v>
      </c>
      <c r="BB579" s="89" t="e">
        <f>#REF!</f>
        <v>#REF!</v>
      </c>
      <c r="BC579" s="89" t="e">
        <f>#REF!</f>
        <v>#REF!</v>
      </c>
      <c r="BD579" s="89" t="e">
        <f>#REF!</f>
        <v>#REF!</v>
      </c>
      <c r="BE579" s="89" t="e">
        <f>#REF!</f>
        <v>#REF!</v>
      </c>
      <c r="BF579" s="89" t="e">
        <f>#REF!</f>
        <v>#REF!</v>
      </c>
    </row>
    <row r="580" spans="9:58" x14ac:dyDescent="0.25">
      <c r="I580" s="89">
        <f>ABCD!J629</f>
        <v>144</v>
      </c>
      <c r="J580" s="89">
        <f>ABCD!K629</f>
        <v>472.32</v>
      </c>
      <c r="K580" s="89">
        <f>ABCD!L629</f>
        <v>4.29132759377993</v>
      </c>
      <c r="L580" s="89">
        <f>ABCD!M629</f>
        <v>0.81160290565529269</v>
      </c>
      <c r="M580" s="89">
        <f>ABCD!N629</f>
        <v>4.3674010342084637</v>
      </c>
      <c r="N580" s="89" t="e">
        <v>#REF!</v>
      </c>
      <c r="O580" s="89" t="e">
        <v>#REF!</v>
      </c>
      <c r="P580" s="89" t="e">
        <v>#REF!</v>
      </c>
      <c r="Q580" s="89" t="e">
        <v>#REF!</v>
      </c>
      <c r="R580" s="89" t="e">
        <v>#REF!</v>
      </c>
      <c r="S580" s="89" t="e">
        <f>#REF!</f>
        <v>#REF!</v>
      </c>
      <c r="T580" s="89" t="e">
        <f>#REF!</f>
        <v>#REF!</v>
      </c>
      <c r="U580" s="89" t="e">
        <f>#REF!</f>
        <v>#REF!</v>
      </c>
      <c r="V580" s="89" t="e">
        <f>#REF!</f>
        <v>#REF!</v>
      </c>
      <c r="W580" s="89" t="e">
        <f>#REF!</f>
        <v>#REF!</v>
      </c>
      <c r="X580" s="89" t="e">
        <f>#REF!</f>
        <v>#REF!</v>
      </c>
      <c r="Y580" s="89" t="e">
        <f>#REF!</f>
        <v>#REF!</v>
      </c>
      <c r="Z580" s="89" t="e">
        <f>#REF!</f>
        <v>#REF!</v>
      </c>
      <c r="AA580" s="89" t="e">
        <f>#REF!</f>
        <v>#REF!</v>
      </c>
      <c r="AB580" s="89" t="e">
        <f>#REF!</f>
        <v>#REF!</v>
      </c>
      <c r="AC580" s="89" t="e">
        <f>#REF!</f>
        <v>#REF!</v>
      </c>
      <c r="AD580" s="89" t="e">
        <f>#REF!</f>
        <v>#REF!</v>
      </c>
      <c r="AE580" s="89" t="e">
        <f>#REF!</f>
        <v>#REF!</v>
      </c>
      <c r="AF580" s="89" t="e">
        <f>#REF!</f>
        <v>#REF!</v>
      </c>
      <c r="AG580" s="89" t="e">
        <f>#REF!</f>
        <v>#REF!</v>
      </c>
      <c r="AH580" s="89" t="e">
        <f>#REF!</f>
        <v>#REF!</v>
      </c>
      <c r="AI580" s="89" t="e">
        <f>#REF!</f>
        <v>#REF!</v>
      </c>
      <c r="AJ580" s="89" t="e">
        <f>#REF!</f>
        <v>#REF!</v>
      </c>
      <c r="AK580" s="89" t="e">
        <f>#REF!</f>
        <v>#REF!</v>
      </c>
      <c r="AL580" s="89" t="e">
        <f>#REF!</f>
        <v>#REF!</v>
      </c>
      <c r="AM580" s="89" t="e">
        <f>#REF!</f>
        <v>#REF!</v>
      </c>
      <c r="AN580" s="89" t="e">
        <f>#REF!</f>
        <v>#REF!</v>
      </c>
      <c r="AO580" s="89" t="e">
        <f>#REF!</f>
        <v>#REF!</v>
      </c>
      <c r="AP580" s="89" t="e">
        <f>#REF!</f>
        <v>#REF!</v>
      </c>
      <c r="AQ580" s="89" t="e">
        <f>#REF!</f>
        <v>#REF!</v>
      </c>
      <c r="AR580" s="89" t="e">
        <f>#REF!</f>
        <v>#REF!</v>
      </c>
      <c r="AS580" s="89" t="e">
        <f>#REF!</f>
        <v>#REF!</v>
      </c>
      <c r="AT580" s="89" t="e">
        <f>#REF!</f>
        <v>#REF!</v>
      </c>
      <c r="AU580" s="89" t="e">
        <f>#REF!</f>
        <v>#REF!</v>
      </c>
      <c r="AV580" s="89" t="e">
        <f>#REF!</f>
        <v>#REF!</v>
      </c>
      <c r="AW580" s="89" t="e">
        <f>#REF!</f>
        <v>#REF!</v>
      </c>
      <c r="AX580" s="89" t="e">
        <f>#REF!</f>
        <v>#REF!</v>
      </c>
      <c r="AY580" s="89" t="e">
        <f>#REF!</f>
        <v>#REF!</v>
      </c>
      <c r="AZ580" s="89" t="e">
        <f>#REF!</f>
        <v>#REF!</v>
      </c>
      <c r="BA580" s="89" t="e">
        <f>#REF!</f>
        <v>#REF!</v>
      </c>
      <c r="BB580" s="89" t="e">
        <f>#REF!</f>
        <v>#REF!</v>
      </c>
      <c r="BC580" s="89" t="e">
        <f>#REF!</f>
        <v>#REF!</v>
      </c>
      <c r="BD580" s="89" t="e">
        <f>#REF!</f>
        <v>#REF!</v>
      </c>
      <c r="BE580" s="89" t="e">
        <f>#REF!</f>
        <v>#REF!</v>
      </c>
      <c r="BF580" s="89" t="e">
        <f>#REF!</f>
        <v>#REF!</v>
      </c>
    </row>
    <row r="581" spans="9:58" x14ac:dyDescent="0.25">
      <c r="I581" s="89">
        <f>ABCD!J630</f>
        <v>144.25</v>
      </c>
      <c r="J581" s="89">
        <f>ABCD!K630</f>
        <v>473.14</v>
      </c>
      <c r="K581" s="89">
        <f>ABCD!L630</f>
        <v>4.2384275003596468</v>
      </c>
      <c r="L581" s="89">
        <f>ABCD!M630</f>
        <v>0.80255678960410926</v>
      </c>
      <c r="M581" s="89">
        <f>ABCD!N630</f>
        <v>4.3137414243721857</v>
      </c>
      <c r="N581" s="89" t="e">
        <v>#REF!</v>
      </c>
      <c r="O581" s="89" t="e">
        <v>#REF!</v>
      </c>
      <c r="P581" s="89" t="e">
        <v>#REF!</v>
      </c>
      <c r="Q581" s="89" t="e">
        <v>#REF!</v>
      </c>
      <c r="R581" s="89" t="e">
        <v>#REF!</v>
      </c>
      <c r="S581" s="89" t="e">
        <f>#REF!</f>
        <v>#REF!</v>
      </c>
      <c r="T581" s="89" t="e">
        <f>#REF!</f>
        <v>#REF!</v>
      </c>
      <c r="U581" s="89" t="e">
        <f>#REF!</f>
        <v>#REF!</v>
      </c>
      <c r="V581" s="89" t="e">
        <f>#REF!</f>
        <v>#REF!</v>
      </c>
      <c r="W581" s="89" t="e">
        <f>#REF!</f>
        <v>#REF!</v>
      </c>
      <c r="X581" s="89" t="e">
        <f>#REF!</f>
        <v>#REF!</v>
      </c>
      <c r="Y581" s="89" t="e">
        <f>#REF!</f>
        <v>#REF!</v>
      </c>
      <c r="Z581" s="89" t="e">
        <f>#REF!</f>
        <v>#REF!</v>
      </c>
      <c r="AA581" s="89" t="e">
        <f>#REF!</f>
        <v>#REF!</v>
      </c>
      <c r="AB581" s="89" t="e">
        <f>#REF!</f>
        <v>#REF!</v>
      </c>
      <c r="AC581" s="89" t="e">
        <f>#REF!</f>
        <v>#REF!</v>
      </c>
      <c r="AD581" s="89" t="e">
        <f>#REF!</f>
        <v>#REF!</v>
      </c>
      <c r="AE581" s="89" t="e">
        <f>#REF!</f>
        <v>#REF!</v>
      </c>
      <c r="AF581" s="89" t="e">
        <f>#REF!</f>
        <v>#REF!</v>
      </c>
      <c r="AG581" s="89" t="e">
        <f>#REF!</f>
        <v>#REF!</v>
      </c>
      <c r="AH581" s="89" t="e">
        <f>#REF!</f>
        <v>#REF!</v>
      </c>
      <c r="AI581" s="89" t="e">
        <f>#REF!</f>
        <v>#REF!</v>
      </c>
      <c r="AJ581" s="89" t="e">
        <f>#REF!</f>
        <v>#REF!</v>
      </c>
      <c r="AK581" s="89" t="e">
        <f>#REF!</f>
        <v>#REF!</v>
      </c>
      <c r="AL581" s="89" t="e">
        <f>#REF!</f>
        <v>#REF!</v>
      </c>
      <c r="AM581" s="89" t="e">
        <f>#REF!</f>
        <v>#REF!</v>
      </c>
      <c r="AN581" s="89" t="e">
        <f>#REF!</f>
        <v>#REF!</v>
      </c>
      <c r="AO581" s="89" t="e">
        <f>#REF!</f>
        <v>#REF!</v>
      </c>
      <c r="AP581" s="89" t="e">
        <f>#REF!</f>
        <v>#REF!</v>
      </c>
      <c r="AQ581" s="89" t="e">
        <f>#REF!</f>
        <v>#REF!</v>
      </c>
      <c r="AR581" s="89" t="e">
        <f>#REF!</f>
        <v>#REF!</v>
      </c>
      <c r="AS581" s="89" t="e">
        <f>#REF!</f>
        <v>#REF!</v>
      </c>
      <c r="AT581" s="89" t="e">
        <f>#REF!</f>
        <v>#REF!</v>
      </c>
      <c r="AU581" s="89" t="e">
        <f>#REF!</f>
        <v>#REF!</v>
      </c>
      <c r="AV581" s="89" t="e">
        <f>#REF!</f>
        <v>#REF!</v>
      </c>
      <c r="AW581" s="89" t="e">
        <f>#REF!</f>
        <v>#REF!</v>
      </c>
      <c r="AX581" s="89" t="e">
        <f>#REF!</f>
        <v>#REF!</v>
      </c>
      <c r="AY581" s="89" t="e">
        <f>#REF!</f>
        <v>#REF!</v>
      </c>
      <c r="AZ581" s="89" t="e">
        <f>#REF!</f>
        <v>#REF!</v>
      </c>
      <c r="BA581" s="89" t="e">
        <f>#REF!</f>
        <v>#REF!</v>
      </c>
      <c r="BB581" s="89" t="e">
        <f>#REF!</f>
        <v>#REF!</v>
      </c>
      <c r="BC581" s="89" t="e">
        <f>#REF!</f>
        <v>#REF!</v>
      </c>
      <c r="BD581" s="89" t="e">
        <f>#REF!</f>
        <v>#REF!</v>
      </c>
      <c r="BE581" s="89" t="e">
        <f>#REF!</f>
        <v>#REF!</v>
      </c>
      <c r="BF581" s="89" t="e">
        <f>#REF!</f>
        <v>#REF!</v>
      </c>
    </row>
    <row r="582" spans="9:58" x14ac:dyDescent="0.25">
      <c r="I582" s="89">
        <f>ABCD!J631</f>
        <v>144.5</v>
      </c>
      <c r="J582" s="89">
        <f>ABCD!K631</f>
        <v>473.96</v>
      </c>
      <c r="K582" s="89">
        <f>ABCD!L631</f>
        <v>4.1845965924422046</v>
      </c>
      <c r="L582" s="89">
        <f>ABCD!M631</f>
        <v>0.79333354832223346</v>
      </c>
      <c r="M582" s="89">
        <f>ABCD!N631</f>
        <v>4.259134508368156</v>
      </c>
      <c r="N582" s="89" t="e">
        <v>#REF!</v>
      </c>
      <c r="O582" s="89" t="e">
        <v>#REF!</v>
      </c>
      <c r="P582" s="89" t="e">
        <v>#REF!</v>
      </c>
      <c r="Q582" s="89" t="e">
        <v>#REF!</v>
      </c>
      <c r="R582" s="89" t="e">
        <v>#REF!</v>
      </c>
      <c r="S582" s="89" t="e">
        <f>#REF!</f>
        <v>#REF!</v>
      </c>
      <c r="T582" s="89" t="e">
        <f>#REF!</f>
        <v>#REF!</v>
      </c>
      <c r="U582" s="89" t="e">
        <f>#REF!</f>
        <v>#REF!</v>
      </c>
      <c r="V582" s="89" t="e">
        <f>#REF!</f>
        <v>#REF!</v>
      </c>
      <c r="W582" s="89" t="e">
        <f>#REF!</f>
        <v>#REF!</v>
      </c>
      <c r="X582" s="89" t="e">
        <f>#REF!</f>
        <v>#REF!</v>
      </c>
      <c r="Y582" s="89" t="e">
        <f>#REF!</f>
        <v>#REF!</v>
      </c>
      <c r="Z582" s="89" t="e">
        <f>#REF!</f>
        <v>#REF!</v>
      </c>
      <c r="AA582" s="89" t="e">
        <f>#REF!</f>
        <v>#REF!</v>
      </c>
      <c r="AB582" s="89" t="e">
        <f>#REF!</f>
        <v>#REF!</v>
      </c>
      <c r="AC582" s="89" t="e">
        <f>#REF!</f>
        <v>#REF!</v>
      </c>
      <c r="AD582" s="89" t="e">
        <f>#REF!</f>
        <v>#REF!</v>
      </c>
      <c r="AE582" s="89" t="e">
        <f>#REF!</f>
        <v>#REF!</v>
      </c>
      <c r="AF582" s="89" t="e">
        <f>#REF!</f>
        <v>#REF!</v>
      </c>
      <c r="AG582" s="89" t="e">
        <f>#REF!</f>
        <v>#REF!</v>
      </c>
      <c r="AH582" s="89" t="e">
        <f>#REF!</f>
        <v>#REF!</v>
      </c>
      <c r="AI582" s="89" t="e">
        <f>#REF!</f>
        <v>#REF!</v>
      </c>
      <c r="AJ582" s="89" t="e">
        <f>#REF!</f>
        <v>#REF!</v>
      </c>
      <c r="AK582" s="89" t="e">
        <f>#REF!</f>
        <v>#REF!</v>
      </c>
      <c r="AL582" s="89" t="e">
        <f>#REF!</f>
        <v>#REF!</v>
      </c>
      <c r="AM582" s="89" t="e">
        <f>#REF!</f>
        <v>#REF!</v>
      </c>
      <c r="AN582" s="89" t="e">
        <f>#REF!</f>
        <v>#REF!</v>
      </c>
      <c r="AO582" s="89" t="e">
        <f>#REF!</f>
        <v>#REF!</v>
      </c>
      <c r="AP582" s="89" t="e">
        <f>#REF!</f>
        <v>#REF!</v>
      </c>
      <c r="AQ582" s="89" t="e">
        <f>#REF!</f>
        <v>#REF!</v>
      </c>
      <c r="AR582" s="89" t="e">
        <f>#REF!</f>
        <v>#REF!</v>
      </c>
      <c r="AS582" s="89" t="e">
        <f>#REF!</f>
        <v>#REF!</v>
      </c>
      <c r="AT582" s="89" t="e">
        <f>#REF!</f>
        <v>#REF!</v>
      </c>
      <c r="AU582" s="89" t="e">
        <f>#REF!</f>
        <v>#REF!</v>
      </c>
      <c r="AV582" s="89" t="e">
        <f>#REF!</f>
        <v>#REF!</v>
      </c>
      <c r="AW582" s="89" t="e">
        <f>#REF!</f>
        <v>#REF!</v>
      </c>
      <c r="AX582" s="89" t="e">
        <f>#REF!</f>
        <v>#REF!</v>
      </c>
      <c r="AY582" s="89" t="e">
        <f>#REF!</f>
        <v>#REF!</v>
      </c>
      <c r="AZ582" s="89" t="e">
        <f>#REF!</f>
        <v>#REF!</v>
      </c>
      <c r="BA582" s="89" t="e">
        <f>#REF!</f>
        <v>#REF!</v>
      </c>
      <c r="BB582" s="89" t="e">
        <f>#REF!</f>
        <v>#REF!</v>
      </c>
      <c r="BC582" s="89" t="e">
        <f>#REF!</f>
        <v>#REF!</v>
      </c>
      <c r="BD582" s="89" t="e">
        <f>#REF!</f>
        <v>#REF!</v>
      </c>
      <c r="BE582" s="89" t="e">
        <f>#REF!</f>
        <v>#REF!</v>
      </c>
      <c r="BF582" s="89" t="e">
        <f>#REF!</f>
        <v>#REF!</v>
      </c>
    </row>
    <row r="583" spans="9:58" x14ac:dyDescent="0.25">
      <c r="I583" s="89">
        <f>ABCD!J632</f>
        <v>144.75</v>
      </c>
      <c r="J583" s="89">
        <f>ABCD!K632</f>
        <v>474.78</v>
      </c>
      <c r="K583" s="89">
        <f>ABCD!L632</f>
        <v>4.1298481337684709</v>
      </c>
      <c r="L583" s="89">
        <f>ABCD!M632</f>
        <v>0.78393547025360122</v>
      </c>
      <c r="M583" s="89">
        <f>ABCD!N632</f>
        <v>4.2035937517215736</v>
      </c>
      <c r="N583" s="89" t="e">
        <v>#REF!</v>
      </c>
      <c r="O583" s="89" t="e">
        <v>#REF!</v>
      </c>
      <c r="P583" s="89" t="e">
        <v>#REF!</v>
      </c>
      <c r="Q583" s="89" t="e">
        <v>#REF!</v>
      </c>
      <c r="R583" s="89" t="e">
        <v>#REF!</v>
      </c>
      <c r="S583" s="89" t="e">
        <f>#REF!</f>
        <v>#REF!</v>
      </c>
      <c r="T583" s="89" t="e">
        <f>#REF!</f>
        <v>#REF!</v>
      </c>
      <c r="U583" s="89" t="e">
        <f>#REF!</f>
        <v>#REF!</v>
      </c>
      <c r="V583" s="89" t="e">
        <f>#REF!</f>
        <v>#REF!</v>
      </c>
      <c r="W583" s="89" t="e">
        <f>#REF!</f>
        <v>#REF!</v>
      </c>
      <c r="X583" s="89" t="e">
        <f>#REF!</f>
        <v>#REF!</v>
      </c>
      <c r="Y583" s="89" t="e">
        <f>#REF!</f>
        <v>#REF!</v>
      </c>
      <c r="Z583" s="89" t="e">
        <f>#REF!</f>
        <v>#REF!</v>
      </c>
      <c r="AA583" s="89" t="e">
        <f>#REF!</f>
        <v>#REF!</v>
      </c>
      <c r="AB583" s="89" t="e">
        <f>#REF!</f>
        <v>#REF!</v>
      </c>
      <c r="AC583" s="89" t="e">
        <f>#REF!</f>
        <v>#REF!</v>
      </c>
      <c r="AD583" s="89" t="e">
        <f>#REF!</f>
        <v>#REF!</v>
      </c>
      <c r="AE583" s="89" t="e">
        <f>#REF!</f>
        <v>#REF!</v>
      </c>
      <c r="AF583" s="89" t="e">
        <f>#REF!</f>
        <v>#REF!</v>
      </c>
      <c r="AG583" s="89" t="e">
        <f>#REF!</f>
        <v>#REF!</v>
      </c>
      <c r="AH583" s="89" t="e">
        <f>#REF!</f>
        <v>#REF!</v>
      </c>
      <c r="AI583" s="89" t="e">
        <f>#REF!</f>
        <v>#REF!</v>
      </c>
      <c r="AJ583" s="89" t="e">
        <f>#REF!</f>
        <v>#REF!</v>
      </c>
      <c r="AK583" s="89" t="e">
        <f>#REF!</f>
        <v>#REF!</v>
      </c>
      <c r="AL583" s="89" t="e">
        <f>#REF!</f>
        <v>#REF!</v>
      </c>
      <c r="AM583" s="89" t="e">
        <f>#REF!</f>
        <v>#REF!</v>
      </c>
      <c r="AN583" s="89" t="e">
        <f>#REF!</f>
        <v>#REF!</v>
      </c>
      <c r="AO583" s="89" t="e">
        <f>#REF!</f>
        <v>#REF!</v>
      </c>
      <c r="AP583" s="89" t="e">
        <f>#REF!</f>
        <v>#REF!</v>
      </c>
      <c r="AQ583" s="89" t="e">
        <f>#REF!</f>
        <v>#REF!</v>
      </c>
      <c r="AR583" s="89" t="e">
        <f>#REF!</f>
        <v>#REF!</v>
      </c>
      <c r="AS583" s="89" t="e">
        <f>#REF!</f>
        <v>#REF!</v>
      </c>
      <c r="AT583" s="89" t="e">
        <f>#REF!</f>
        <v>#REF!</v>
      </c>
      <c r="AU583" s="89" t="e">
        <f>#REF!</f>
        <v>#REF!</v>
      </c>
      <c r="AV583" s="89" t="e">
        <f>#REF!</f>
        <v>#REF!</v>
      </c>
      <c r="AW583" s="89" t="e">
        <f>#REF!</f>
        <v>#REF!</v>
      </c>
      <c r="AX583" s="89" t="e">
        <f>#REF!</f>
        <v>#REF!</v>
      </c>
      <c r="AY583" s="89" t="e">
        <f>#REF!</f>
        <v>#REF!</v>
      </c>
      <c r="AZ583" s="89" t="e">
        <f>#REF!</f>
        <v>#REF!</v>
      </c>
      <c r="BA583" s="89" t="e">
        <f>#REF!</f>
        <v>#REF!</v>
      </c>
      <c r="BB583" s="89" t="e">
        <f>#REF!</f>
        <v>#REF!</v>
      </c>
      <c r="BC583" s="89" t="e">
        <f>#REF!</f>
        <v>#REF!</v>
      </c>
      <c r="BD583" s="89" t="e">
        <f>#REF!</f>
        <v>#REF!</v>
      </c>
      <c r="BE583" s="89" t="e">
        <f>#REF!</f>
        <v>#REF!</v>
      </c>
      <c r="BF583" s="89" t="e">
        <f>#REF!</f>
        <v>#REF!</v>
      </c>
    </row>
    <row r="584" spans="9:58" x14ac:dyDescent="0.25">
      <c r="I584" s="89">
        <f>ABCD!J633</f>
        <v>145</v>
      </c>
      <c r="J584" s="89">
        <f>ABCD!K633</f>
        <v>475.59999999999997</v>
      </c>
      <c r="K584" s="89">
        <f>ABCD!L633</f>
        <v>4.0741955879557246</v>
      </c>
      <c r="L584" s="89">
        <f>ABCD!M633</f>
        <v>0.77436488214297827</v>
      </c>
      <c r="M584" s="89">
        <f>ABCD!N633</f>
        <v>4.1471328239657579</v>
      </c>
      <c r="N584" s="89" t="e">
        <v>#REF!</v>
      </c>
      <c r="O584" s="89" t="e">
        <v>#REF!</v>
      </c>
      <c r="P584" s="89" t="e">
        <v>#REF!</v>
      </c>
      <c r="Q584" s="89" t="e">
        <v>#REF!</v>
      </c>
      <c r="R584" s="89" t="e">
        <v>#REF!</v>
      </c>
      <c r="S584" s="89" t="e">
        <f>#REF!</f>
        <v>#REF!</v>
      </c>
      <c r="T584" s="89" t="e">
        <f>#REF!</f>
        <v>#REF!</v>
      </c>
      <c r="U584" s="89" t="e">
        <f>#REF!</f>
        <v>#REF!</v>
      </c>
      <c r="V584" s="89" t="e">
        <f>#REF!</f>
        <v>#REF!</v>
      </c>
      <c r="W584" s="89" t="e">
        <f>#REF!</f>
        <v>#REF!</v>
      </c>
      <c r="X584" s="89" t="e">
        <f>#REF!</f>
        <v>#REF!</v>
      </c>
      <c r="Y584" s="89" t="e">
        <f>#REF!</f>
        <v>#REF!</v>
      </c>
      <c r="Z584" s="89" t="e">
        <f>#REF!</f>
        <v>#REF!</v>
      </c>
      <c r="AA584" s="89" t="e">
        <f>#REF!</f>
        <v>#REF!</v>
      </c>
      <c r="AB584" s="89" t="e">
        <f>#REF!</f>
        <v>#REF!</v>
      </c>
      <c r="AC584" s="89" t="e">
        <f>#REF!</f>
        <v>#REF!</v>
      </c>
      <c r="AD584" s="89" t="e">
        <f>#REF!</f>
        <v>#REF!</v>
      </c>
      <c r="AE584" s="89" t="e">
        <f>#REF!</f>
        <v>#REF!</v>
      </c>
      <c r="AF584" s="89" t="e">
        <f>#REF!</f>
        <v>#REF!</v>
      </c>
      <c r="AG584" s="89" t="e">
        <f>#REF!</f>
        <v>#REF!</v>
      </c>
      <c r="AH584" s="89" t="e">
        <f>#REF!</f>
        <v>#REF!</v>
      </c>
      <c r="AI584" s="89" t="e">
        <f>#REF!</f>
        <v>#REF!</v>
      </c>
      <c r="AJ584" s="89" t="e">
        <f>#REF!</f>
        <v>#REF!</v>
      </c>
      <c r="AK584" s="89" t="e">
        <f>#REF!</f>
        <v>#REF!</v>
      </c>
      <c r="AL584" s="89" t="e">
        <f>#REF!</f>
        <v>#REF!</v>
      </c>
      <c r="AM584" s="89" t="e">
        <f>#REF!</f>
        <v>#REF!</v>
      </c>
      <c r="AN584" s="89" t="e">
        <f>#REF!</f>
        <v>#REF!</v>
      </c>
      <c r="AO584" s="89" t="e">
        <f>#REF!</f>
        <v>#REF!</v>
      </c>
      <c r="AP584" s="89" t="e">
        <f>#REF!</f>
        <v>#REF!</v>
      </c>
      <c r="AQ584" s="89" t="e">
        <f>#REF!</f>
        <v>#REF!</v>
      </c>
      <c r="AR584" s="89" t="e">
        <f>#REF!</f>
        <v>#REF!</v>
      </c>
      <c r="AS584" s="89" t="e">
        <f>#REF!</f>
        <v>#REF!</v>
      </c>
      <c r="AT584" s="89" t="e">
        <f>#REF!</f>
        <v>#REF!</v>
      </c>
      <c r="AU584" s="89" t="e">
        <f>#REF!</f>
        <v>#REF!</v>
      </c>
      <c r="AV584" s="89" t="e">
        <f>#REF!</f>
        <v>#REF!</v>
      </c>
      <c r="AW584" s="89" t="e">
        <f>#REF!</f>
        <v>#REF!</v>
      </c>
      <c r="AX584" s="89" t="e">
        <f>#REF!</f>
        <v>#REF!</v>
      </c>
      <c r="AY584" s="89" t="e">
        <f>#REF!</f>
        <v>#REF!</v>
      </c>
      <c r="AZ584" s="89" t="e">
        <f>#REF!</f>
        <v>#REF!</v>
      </c>
      <c r="BA584" s="89" t="e">
        <f>#REF!</f>
        <v>#REF!</v>
      </c>
      <c r="BB584" s="89" t="e">
        <f>#REF!</f>
        <v>#REF!</v>
      </c>
      <c r="BC584" s="89" t="e">
        <f>#REF!</f>
        <v>#REF!</v>
      </c>
      <c r="BD584" s="89" t="e">
        <f>#REF!</f>
        <v>#REF!</v>
      </c>
      <c r="BE584" s="89" t="e">
        <f>#REF!</f>
        <v>#REF!</v>
      </c>
      <c r="BF584" s="89" t="e">
        <f>#REF!</f>
        <v>#REF!</v>
      </c>
    </row>
    <row r="585" spans="9:58" x14ac:dyDescent="0.25">
      <c r="I585" s="89">
        <f>ABCD!J634</f>
        <v>145.25</v>
      </c>
      <c r="J585" s="89">
        <f>ABCD!K634</f>
        <v>476.41999999999996</v>
      </c>
      <c r="K585" s="89">
        <f>ABCD!L634</f>
        <v>4.0176526152098759</v>
      </c>
      <c r="L585" s="89">
        <f>ABCD!M634</f>
        <v>0.76462414846441473</v>
      </c>
      <c r="M585" s="89">
        <f>ABCD!N634</f>
        <v>4.0897655953511185</v>
      </c>
      <c r="N585" s="89" t="e">
        <v>#REF!</v>
      </c>
      <c r="O585" s="89" t="e">
        <v>#REF!</v>
      </c>
      <c r="P585" s="89" t="e">
        <v>#REF!</v>
      </c>
      <c r="Q585" s="89" t="e">
        <v>#REF!</v>
      </c>
      <c r="R585" s="89" t="e">
        <v>#REF!</v>
      </c>
      <c r="S585" s="89" t="e">
        <f>#REF!</f>
        <v>#REF!</v>
      </c>
      <c r="T585" s="89" t="e">
        <f>#REF!</f>
        <v>#REF!</v>
      </c>
      <c r="U585" s="89" t="e">
        <f>#REF!</f>
        <v>#REF!</v>
      </c>
      <c r="V585" s="89" t="e">
        <f>#REF!</f>
        <v>#REF!</v>
      </c>
      <c r="W585" s="89" t="e">
        <f>#REF!</f>
        <v>#REF!</v>
      </c>
      <c r="X585" s="89" t="e">
        <f>#REF!</f>
        <v>#REF!</v>
      </c>
      <c r="Y585" s="89" t="e">
        <f>#REF!</f>
        <v>#REF!</v>
      </c>
      <c r="Z585" s="89" t="e">
        <f>#REF!</f>
        <v>#REF!</v>
      </c>
      <c r="AA585" s="89" t="e">
        <f>#REF!</f>
        <v>#REF!</v>
      </c>
      <c r="AB585" s="89" t="e">
        <f>#REF!</f>
        <v>#REF!</v>
      </c>
      <c r="AC585" s="89" t="e">
        <f>#REF!</f>
        <v>#REF!</v>
      </c>
      <c r="AD585" s="89" t="e">
        <f>#REF!</f>
        <v>#REF!</v>
      </c>
      <c r="AE585" s="89" t="e">
        <f>#REF!</f>
        <v>#REF!</v>
      </c>
      <c r="AF585" s="89" t="e">
        <f>#REF!</f>
        <v>#REF!</v>
      </c>
      <c r="AG585" s="89" t="e">
        <f>#REF!</f>
        <v>#REF!</v>
      </c>
      <c r="AH585" s="89" t="e">
        <f>#REF!</f>
        <v>#REF!</v>
      </c>
      <c r="AI585" s="89" t="e">
        <f>#REF!</f>
        <v>#REF!</v>
      </c>
      <c r="AJ585" s="89" t="e">
        <f>#REF!</f>
        <v>#REF!</v>
      </c>
      <c r="AK585" s="89" t="e">
        <f>#REF!</f>
        <v>#REF!</v>
      </c>
      <c r="AL585" s="89" t="e">
        <f>#REF!</f>
        <v>#REF!</v>
      </c>
      <c r="AM585" s="89" t="e">
        <f>#REF!</f>
        <v>#REF!</v>
      </c>
      <c r="AN585" s="89" t="e">
        <f>#REF!</f>
        <v>#REF!</v>
      </c>
      <c r="AO585" s="89" t="e">
        <f>#REF!</f>
        <v>#REF!</v>
      </c>
      <c r="AP585" s="89" t="e">
        <f>#REF!</f>
        <v>#REF!</v>
      </c>
      <c r="AQ585" s="89" t="e">
        <f>#REF!</f>
        <v>#REF!</v>
      </c>
      <c r="AR585" s="89" t="e">
        <f>#REF!</f>
        <v>#REF!</v>
      </c>
      <c r="AS585" s="89" t="e">
        <f>#REF!</f>
        <v>#REF!</v>
      </c>
      <c r="AT585" s="89" t="e">
        <f>#REF!</f>
        <v>#REF!</v>
      </c>
      <c r="AU585" s="89" t="e">
        <f>#REF!</f>
        <v>#REF!</v>
      </c>
      <c r="AV585" s="89" t="e">
        <f>#REF!</f>
        <v>#REF!</v>
      </c>
      <c r="AW585" s="89" t="e">
        <f>#REF!</f>
        <v>#REF!</v>
      </c>
      <c r="AX585" s="89" t="e">
        <f>#REF!</f>
        <v>#REF!</v>
      </c>
      <c r="AY585" s="89" t="e">
        <f>#REF!</f>
        <v>#REF!</v>
      </c>
      <c r="AZ585" s="89" t="e">
        <f>#REF!</f>
        <v>#REF!</v>
      </c>
      <c r="BA585" s="89" t="e">
        <f>#REF!</f>
        <v>#REF!</v>
      </c>
      <c r="BB585" s="89" t="e">
        <f>#REF!</f>
        <v>#REF!</v>
      </c>
      <c r="BC585" s="89" t="e">
        <f>#REF!</f>
        <v>#REF!</v>
      </c>
      <c r="BD585" s="89" t="e">
        <f>#REF!</f>
        <v>#REF!</v>
      </c>
      <c r="BE585" s="89" t="e">
        <f>#REF!</f>
        <v>#REF!</v>
      </c>
      <c r="BF585" s="89" t="e">
        <f>#REF!</f>
        <v>#REF!</v>
      </c>
    </row>
    <row r="586" spans="9:58" x14ac:dyDescent="0.25">
      <c r="I586" s="89">
        <f>ABCD!J635</f>
        <v>145.5</v>
      </c>
      <c r="J586" s="89">
        <f>ABCD!K635</f>
        <v>477.23999999999995</v>
      </c>
      <c r="K586" s="89">
        <f>ABCD!L635</f>
        <v>3.960233068995298</v>
      </c>
      <c r="L586" s="89">
        <f>ABCD!M635</f>
        <v>0.75471567084146929</v>
      </c>
      <c r="M586" s="89">
        <f>ABCD!N635</f>
        <v>4.0315061335160589</v>
      </c>
      <c r="N586" s="89" t="e">
        <v>#REF!</v>
      </c>
      <c r="O586" s="89" t="e">
        <v>#REF!</v>
      </c>
      <c r="P586" s="89" t="e">
        <v>#REF!</v>
      </c>
      <c r="Q586" s="89" t="e">
        <v>#REF!</v>
      </c>
      <c r="R586" s="89" t="e">
        <v>#REF!</v>
      </c>
      <c r="S586" s="89" t="e">
        <f>#REF!</f>
        <v>#REF!</v>
      </c>
      <c r="T586" s="89" t="e">
        <f>#REF!</f>
        <v>#REF!</v>
      </c>
      <c r="U586" s="89" t="e">
        <f>#REF!</f>
        <v>#REF!</v>
      </c>
      <c r="V586" s="89" t="e">
        <f>#REF!</f>
        <v>#REF!</v>
      </c>
      <c r="W586" s="89" t="e">
        <f>#REF!</f>
        <v>#REF!</v>
      </c>
      <c r="X586" s="89" t="e">
        <f>#REF!</f>
        <v>#REF!</v>
      </c>
      <c r="Y586" s="89" t="e">
        <f>#REF!</f>
        <v>#REF!</v>
      </c>
      <c r="Z586" s="89" t="e">
        <f>#REF!</f>
        <v>#REF!</v>
      </c>
      <c r="AA586" s="89" t="e">
        <f>#REF!</f>
        <v>#REF!</v>
      </c>
      <c r="AB586" s="89" t="e">
        <f>#REF!</f>
        <v>#REF!</v>
      </c>
      <c r="AC586" s="89" t="e">
        <f>#REF!</f>
        <v>#REF!</v>
      </c>
      <c r="AD586" s="89" t="e">
        <f>#REF!</f>
        <v>#REF!</v>
      </c>
      <c r="AE586" s="89" t="e">
        <f>#REF!</f>
        <v>#REF!</v>
      </c>
      <c r="AF586" s="89" t="e">
        <f>#REF!</f>
        <v>#REF!</v>
      </c>
      <c r="AG586" s="89" t="e">
        <f>#REF!</f>
        <v>#REF!</v>
      </c>
      <c r="AH586" s="89" t="e">
        <f>#REF!</f>
        <v>#REF!</v>
      </c>
      <c r="AI586" s="89" t="e">
        <f>#REF!</f>
        <v>#REF!</v>
      </c>
      <c r="AJ586" s="89" t="e">
        <f>#REF!</f>
        <v>#REF!</v>
      </c>
      <c r="AK586" s="89" t="e">
        <f>#REF!</f>
        <v>#REF!</v>
      </c>
      <c r="AL586" s="89" t="e">
        <f>#REF!</f>
        <v>#REF!</v>
      </c>
      <c r="AM586" s="89" t="e">
        <f>#REF!</f>
        <v>#REF!</v>
      </c>
      <c r="AN586" s="89" t="e">
        <f>#REF!</f>
        <v>#REF!</v>
      </c>
      <c r="AO586" s="89" t="e">
        <f>#REF!</f>
        <v>#REF!</v>
      </c>
      <c r="AP586" s="89" t="e">
        <f>#REF!</f>
        <v>#REF!</v>
      </c>
      <c r="AQ586" s="89" t="e">
        <f>#REF!</f>
        <v>#REF!</v>
      </c>
      <c r="AR586" s="89" t="e">
        <f>#REF!</f>
        <v>#REF!</v>
      </c>
      <c r="AS586" s="89" t="e">
        <f>#REF!</f>
        <v>#REF!</v>
      </c>
      <c r="AT586" s="89" t="e">
        <f>#REF!</f>
        <v>#REF!</v>
      </c>
      <c r="AU586" s="89" t="e">
        <f>#REF!</f>
        <v>#REF!</v>
      </c>
      <c r="AV586" s="89" t="e">
        <f>#REF!</f>
        <v>#REF!</v>
      </c>
      <c r="AW586" s="89" t="e">
        <f>#REF!</f>
        <v>#REF!</v>
      </c>
      <c r="AX586" s="89" t="e">
        <f>#REF!</f>
        <v>#REF!</v>
      </c>
      <c r="AY586" s="89" t="e">
        <f>#REF!</f>
        <v>#REF!</v>
      </c>
      <c r="AZ586" s="89" t="e">
        <f>#REF!</f>
        <v>#REF!</v>
      </c>
      <c r="BA586" s="89" t="e">
        <f>#REF!</f>
        <v>#REF!</v>
      </c>
      <c r="BB586" s="89" t="e">
        <f>#REF!</f>
        <v>#REF!</v>
      </c>
      <c r="BC586" s="89" t="e">
        <f>#REF!</f>
        <v>#REF!</v>
      </c>
      <c r="BD586" s="89" t="e">
        <f>#REF!</f>
        <v>#REF!</v>
      </c>
      <c r="BE586" s="89" t="e">
        <f>#REF!</f>
        <v>#REF!</v>
      </c>
      <c r="BF586" s="89" t="e">
        <f>#REF!</f>
        <v>#REF!</v>
      </c>
    </row>
    <row r="587" spans="9:58" x14ac:dyDescent="0.25">
      <c r="I587" s="89">
        <f>ABCD!J636</f>
        <v>145.75</v>
      </c>
      <c r="J587" s="89">
        <f>ABCD!K636</f>
        <v>478.05999999999995</v>
      </c>
      <c r="K587" s="89">
        <f>ABCD!L636</f>
        <v>3.9019509926630178</v>
      </c>
      <c r="L587" s="89">
        <f>ABCD!M636</f>
        <v>0.74464188745941029</v>
      </c>
      <c r="M587" s="89">
        <f>ABCD!N636</f>
        <v>3.9723687001212542</v>
      </c>
      <c r="N587" s="89" t="e">
        <v>#REF!</v>
      </c>
      <c r="O587" s="89" t="e">
        <v>#REF!</v>
      </c>
      <c r="P587" s="89" t="e">
        <v>#REF!</v>
      </c>
      <c r="Q587" s="89" t="e">
        <v>#REF!</v>
      </c>
      <c r="R587" s="89" t="e">
        <v>#REF!</v>
      </c>
      <c r="S587" s="89" t="e">
        <f>#REF!</f>
        <v>#REF!</v>
      </c>
      <c r="T587" s="89" t="e">
        <f>#REF!</f>
        <v>#REF!</v>
      </c>
      <c r="U587" s="89" t="e">
        <f>#REF!</f>
        <v>#REF!</v>
      </c>
      <c r="V587" s="89" t="e">
        <f>#REF!</f>
        <v>#REF!</v>
      </c>
      <c r="W587" s="89" t="e">
        <f>#REF!</f>
        <v>#REF!</v>
      </c>
      <c r="X587" s="89" t="e">
        <f>#REF!</f>
        <v>#REF!</v>
      </c>
      <c r="Y587" s="89" t="e">
        <f>#REF!</f>
        <v>#REF!</v>
      </c>
      <c r="Z587" s="89" t="e">
        <f>#REF!</f>
        <v>#REF!</v>
      </c>
      <c r="AA587" s="89" t="e">
        <f>#REF!</f>
        <v>#REF!</v>
      </c>
      <c r="AB587" s="89" t="e">
        <f>#REF!</f>
        <v>#REF!</v>
      </c>
      <c r="AC587" s="89" t="e">
        <f>#REF!</f>
        <v>#REF!</v>
      </c>
      <c r="AD587" s="89" t="e">
        <f>#REF!</f>
        <v>#REF!</v>
      </c>
      <c r="AE587" s="89" t="e">
        <f>#REF!</f>
        <v>#REF!</v>
      </c>
      <c r="AF587" s="89" t="e">
        <f>#REF!</f>
        <v>#REF!</v>
      </c>
      <c r="AG587" s="89" t="e">
        <f>#REF!</f>
        <v>#REF!</v>
      </c>
      <c r="AH587" s="89" t="e">
        <f>#REF!</f>
        <v>#REF!</v>
      </c>
      <c r="AI587" s="89" t="e">
        <f>#REF!</f>
        <v>#REF!</v>
      </c>
      <c r="AJ587" s="89" t="e">
        <f>#REF!</f>
        <v>#REF!</v>
      </c>
      <c r="AK587" s="89" t="e">
        <f>#REF!</f>
        <v>#REF!</v>
      </c>
      <c r="AL587" s="89" t="e">
        <f>#REF!</f>
        <v>#REF!</v>
      </c>
      <c r="AM587" s="89" t="e">
        <f>#REF!</f>
        <v>#REF!</v>
      </c>
      <c r="AN587" s="89" t="e">
        <f>#REF!</f>
        <v>#REF!</v>
      </c>
      <c r="AO587" s="89" t="e">
        <f>#REF!</f>
        <v>#REF!</v>
      </c>
      <c r="AP587" s="89" t="e">
        <f>#REF!</f>
        <v>#REF!</v>
      </c>
      <c r="AQ587" s="89" t="e">
        <f>#REF!</f>
        <v>#REF!</v>
      </c>
      <c r="AR587" s="89" t="e">
        <f>#REF!</f>
        <v>#REF!</v>
      </c>
      <c r="AS587" s="89" t="e">
        <f>#REF!</f>
        <v>#REF!</v>
      </c>
      <c r="AT587" s="89" t="e">
        <f>#REF!</f>
        <v>#REF!</v>
      </c>
      <c r="AU587" s="89" t="e">
        <f>#REF!</f>
        <v>#REF!</v>
      </c>
      <c r="AV587" s="89" t="e">
        <f>#REF!</f>
        <v>#REF!</v>
      </c>
      <c r="AW587" s="89" t="e">
        <f>#REF!</f>
        <v>#REF!</v>
      </c>
      <c r="AX587" s="89" t="e">
        <f>#REF!</f>
        <v>#REF!</v>
      </c>
      <c r="AY587" s="89" t="e">
        <f>#REF!</f>
        <v>#REF!</v>
      </c>
      <c r="AZ587" s="89" t="e">
        <f>#REF!</f>
        <v>#REF!</v>
      </c>
      <c r="BA587" s="89" t="e">
        <f>#REF!</f>
        <v>#REF!</v>
      </c>
      <c r="BB587" s="89" t="e">
        <f>#REF!</f>
        <v>#REF!</v>
      </c>
      <c r="BC587" s="89" t="e">
        <f>#REF!</f>
        <v>#REF!</v>
      </c>
      <c r="BD587" s="89" t="e">
        <f>#REF!</f>
        <v>#REF!</v>
      </c>
      <c r="BE587" s="89" t="e">
        <f>#REF!</f>
        <v>#REF!</v>
      </c>
      <c r="BF587" s="89" t="e">
        <f>#REF!</f>
        <v>#REF!</v>
      </c>
    </row>
    <row r="588" spans="9:58" x14ac:dyDescent="0.25">
      <c r="I588" s="89">
        <f>ABCD!J637</f>
        <v>146</v>
      </c>
      <c r="J588" s="89">
        <f>ABCD!K637</f>
        <v>478.88</v>
      </c>
      <c r="K588" s="89">
        <f>ABCD!L637</f>
        <v>3.8428206160381118</v>
      </c>
      <c r="L588" s="89">
        <f>ABCD!M637</f>
        <v>0.73440527246948517</v>
      </c>
      <c r="M588" s="89">
        <f>ABCD!N637</f>
        <v>3.9123677474489167</v>
      </c>
      <c r="N588" s="89" t="e">
        <v>#REF!</v>
      </c>
      <c r="O588" s="89" t="e">
        <v>#REF!</v>
      </c>
      <c r="P588" s="89" t="e">
        <v>#REF!</v>
      </c>
      <c r="Q588" s="89" t="e">
        <v>#REF!</v>
      </c>
      <c r="R588" s="89" t="e">
        <v>#REF!</v>
      </c>
      <c r="S588" s="89" t="e">
        <f>#REF!</f>
        <v>#REF!</v>
      </c>
      <c r="T588" s="89" t="e">
        <f>#REF!</f>
        <v>#REF!</v>
      </c>
      <c r="U588" s="89" t="e">
        <f>#REF!</f>
        <v>#REF!</v>
      </c>
      <c r="V588" s="89" t="e">
        <f>#REF!</f>
        <v>#REF!</v>
      </c>
      <c r="W588" s="89" t="e">
        <f>#REF!</f>
        <v>#REF!</v>
      </c>
      <c r="X588" s="89" t="e">
        <f>#REF!</f>
        <v>#REF!</v>
      </c>
      <c r="Y588" s="89" t="e">
        <f>#REF!</f>
        <v>#REF!</v>
      </c>
      <c r="Z588" s="89" t="e">
        <f>#REF!</f>
        <v>#REF!</v>
      </c>
      <c r="AA588" s="89" t="e">
        <f>#REF!</f>
        <v>#REF!</v>
      </c>
      <c r="AB588" s="89" t="e">
        <f>#REF!</f>
        <v>#REF!</v>
      </c>
      <c r="AC588" s="89" t="e">
        <f>#REF!</f>
        <v>#REF!</v>
      </c>
      <c r="AD588" s="89" t="e">
        <f>#REF!</f>
        <v>#REF!</v>
      </c>
      <c r="AE588" s="89" t="e">
        <f>#REF!</f>
        <v>#REF!</v>
      </c>
      <c r="AF588" s="89" t="e">
        <f>#REF!</f>
        <v>#REF!</v>
      </c>
      <c r="AG588" s="89" t="e">
        <f>#REF!</f>
        <v>#REF!</v>
      </c>
      <c r="AH588" s="89" t="e">
        <f>#REF!</f>
        <v>#REF!</v>
      </c>
      <c r="AI588" s="89" t="e">
        <f>#REF!</f>
        <v>#REF!</v>
      </c>
      <c r="AJ588" s="89" t="e">
        <f>#REF!</f>
        <v>#REF!</v>
      </c>
      <c r="AK588" s="89" t="e">
        <f>#REF!</f>
        <v>#REF!</v>
      </c>
      <c r="AL588" s="89" t="e">
        <f>#REF!</f>
        <v>#REF!</v>
      </c>
      <c r="AM588" s="89" t="e">
        <f>#REF!</f>
        <v>#REF!</v>
      </c>
      <c r="AN588" s="89" t="e">
        <f>#REF!</f>
        <v>#REF!</v>
      </c>
      <c r="AO588" s="89" t="e">
        <f>#REF!</f>
        <v>#REF!</v>
      </c>
      <c r="AP588" s="89" t="e">
        <f>#REF!</f>
        <v>#REF!</v>
      </c>
      <c r="AQ588" s="89" t="e">
        <f>#REF!</f>
        <v>#REF!</v>
      </c>
      <c r="AR588" s="89" t="e">
        <f>#REF!</f>
        <v>#REF!</v>
      </c>
      <c r="AS588" s="89" t="e">
        <f>#REF!</f>
        <v>#REF!</v>
      </c>
      <c r="AT588" s="89" t="e">
        <f>#REF!</f>
        <v>#REF!</v>
      </c>
      <c r="AU588" s="89" t="e">
        <f>#REF!</f>
        <v>#REF!</v>
      </c>
      <c r="AV588" s="89" t="e">
        <f>#REF!</f>
        <v>#REF!</v>
      </c>
      <c r="AW588" s="89" t="e">
        <f>#REF!</f>
        <v>#REF!</v>
      </c>
      <c r="AX588" s="89" t="e">
        <f>#REF!</f>
        <v>#REF!</v>
      </c>
      <c r="AY588" s="89" t="e">
        <f>#REF!</f>
        <v>#REF!</v>
      </c>
      <c r="AZ588" s="89" t="e">
        <f>#REF!</f>
        <v>#REF!</v>
      </c>
      <c r="BA588" s="89" t="e">
        <f>#REF!</f>
        <v>#REF!</v>
      </c>
      <c r="BB588" s="89" t="e">
        <f>#REF!</f>
        <v>#REF!</v>
      </c>
      <c r="BC588" s="89" t="e">
        <f>#REF!</f>
        <v>#REF!</v>
      </c>
      <c r="BD588" s="89" t="e">
        <f>#REF!</f>
        <v>#REF!</v>
      </c>
      <c r="BE588" s="89" t="e">
        <f>#REF!</f>
        <v>#REF!</v>
      </c>
      <c r="BF588" s="89" t="e">
        <f>#REF!</f>
        <v>#REF!</v>
      </c>
    </row>
    <row r="589" spans="9:58" x14ac:dyDescent="0.25">
      <c r="I589" s="89">
        <f>ABCD!J638</f>
        <v>146.25</v>
      </c>
      <c r="J589" s="89">
        <f>ABCD!K638</f>
        <v>479.7</v>
      </c>
      <c r="K589" s="89">
        <f>ABCD!L638</f>
        <v>3.7828563519671254</v>
      </c>
      <c r="L589" s="89">
        <f>ABCD!M638</f>
        <v>0.72400833538542519</v>
      </c>
      <c r="M589" s="89">
        <f>ABCD!N638</f>
        <v>3.8515179149687984</v>
      </c>
      <c r="N589" s="89" t="e">
        <v>#REF!</v>
      </c>
      <c r="O589" s="89" t="e">
        <v>#REF!</v>
      </c>
      <c r="P589" s="89" t="e">
        <v>#REF!</v>
      </c>
      <c r="Q589" s="89" t="e">
        <v>#REF!</v>
      </c>
      <c r="R589" s="89" t="e">
        <v>#REF!</v>
      </c>
      <c r="S589" s="89" t="e">
        <f>#REF!</f>
        <v>#REF!</v>
      </c>
      <c r="T589" s="89" t="e">
        <f>#REF!</f>
        <v>#REF!</v>
      </c>
      <c r="U589" s="89" t="e">
        <f>#REF!</f>
        <v>#REF!</v>
      </c>
      <c r="V589" s="89" t="e">
        <f>#REF!</f>
        <v>#REF!</v>
      </c>
      <c r="W589" s="89" t="e">
        <f>#REF!</f>
        <v>#REF!</v>
      </c>
      <c r="X589" s="89" t="e">
        <f>#REF!</f>
        <v>#REF!</v>
      </c>
      <c r="Y589" s="89" t="e">
        <f>#REF!</f>
        <v>#REF!</v>
      </c>
      <c r="Z589" s="89" t="e">
        <f>#REF!</f>
        <v>#REF!</v>
      </c>
      <c r="AA589" s="89" t="e">
        <f>#REF!</f>
        <v>#REF!</v>
      </c>
      <c r="AB589" s="89" t="e">
        <f>#REF!</f>
        <v>#REF!</v>
      </c>
      <c r="AC589" s="89" t="e">
        <f>#REF!</f>
        <v>#REF!</v>
      </c>
      <c r="AD589" s="89" t="e">
        <f>#REF!</f>
        <v>#REF!</v>
      </c>
      <c r="AE589" s="89" t="e">
        <f>#REF!</f>
        <v>#REF!</v>
      </c>
      <c r="AF589" s="89" t="e">
        <f>#REF!</f>
        <v>#REF!</v>
      </c>
      <c r="AG589" s="89" t="e">
        <f>#REF!</f>
        <v>#REF!</v>
      </c>
      <c r="AH589" s="89" t="e">
        <f>#REF!</f>
        <v>#REF!</v>
      </c>
      <c r="AI589" s="89" t="e">
        <f>#REF!</f>
        <v>#REF!</v>
      </c>
      <c r="AJ589" s="89" t="e">
        <f>#REF!</f>
        <v>#REF!</v>
      </c>
      <c r="AK589" s="89" t="e">
        <f>#REF!</f>
        <v>#REF!</v>
      </c>
      <c r="AL589" s="89" t="e">
        <f>#REF!</f>
        <v>#REF!</v>
      </c>
      <c r="AM589" s="89" t="e">
        <f>#REF!</f>
        <v>#REF!</v>
      </c>
      <c r="AN589" s="89" t="e">
        <f>#REF!</f>
        <v>#REF!</v>
      </c>
      <c r="AO589" s="89" t="e">
        <f>#REF!</f>
        <v>#REF!</v>
      </c>
      <c r="AP589" s="89" t="e">
        <f>#REF!</f>
        <v>#REF!</v>
      </c>
      <c r="AQ589" s="89" t="e">
        <f>#REF!</f>
        <v>#REF!</v>
      </c>
      <c r="AR589" s="89" t="e">
        <f>#REF!</f>
        <v>#REF!</v>
      </c>
      <c r="AS589" s="89" t="e">
        <f>#REF!</f>
        <v>#REF!</v>
      </c>
      <c r="AT589" s="89" t="e">
        <f>#REF!</f>
        <v>#REF!</v>
      </c>
      <c r="AU589" s="89" t="e">
        <f>#REF!</f>
        <v>#REF!</v>
      </c>
      <c r="AV589" s="89" t="e">
        <f>#REF!</f>
        <v>#REF!</v>
      </c>
      <c r="AW589" s="89" t="e">
        <f>#REF!</f>
        <v>#REF!</v>
      </c>
      <c r="AX589" s="89" t="e">
        <f>#REF!</f>
        <v>#REF!</v>
      </c>
      <c r="AY589" s="89" t="e">
        <f>#REF!</f>
        <v>#REF!</v>
      </c>
      <c r="AZ589" s="89" t="e">
        <f>#REF!</f>
        <v>#REF!</v>
      </c>
      <c r="BA589" s="89" t="e">
        <f>#REF!</f>
        <v>#REF!</v>
      </c>
      <c r="BB589" s="89" t="e">
        <f>#REF!</f>
        <v>#REF!</v>
      </c>
      <c r="BC589" s="89" t="e">
        <f>#REF!</f>
        <v>#REF!</v>
      </c>
      <c r="BD589" s="89" t="e">
        <f>#REF!</f>
        <v>#REF!</v>
      </c>
      <c r="BE589" s="89" t="e">
        <f>#REF!</f>
        <v>#REF!</v>
      </c>
      <c r="BF589" s="89" t="e">
        <f>#REF!</f>
        <v>#REF!</v>
      </c>
    </row>
    <row r="590" spans="9:58" x14ac:dyDescent="0.25">
      <c r="I590" s="89">
        <f>ABCD!J639</f>
        <v>146.5</v>
      </c>
      <c r="J590" s="89">
        <f>ABCD!K639</f>
        <v>480.52</v>
      </c>
      <c r="K590" s="89">
        <f>ABCD!L639</f>
        <v>3.7220727928263524</v>
      </c>
      <c r="L590" s="89">
        <f>ABCD!M639</f>
        <v>0.71345362047234717</v>
      </c>
      <c r="M590" s="89">
        <f>ABCD!N639</f>
        <v>3.7898340258728038</v>
      </c>
      <c r="N590" s="89" t="e">
        <v>#REF!</v>
      </c>
      <c r="O590" s="89" t="e">
        <v>#REF!</v>
      </c>
      <c r="P590" s="89" t="e">
        <v>#REF!</v>
      </c>
      <c r="Q590" s="89" t="e">
        <v>#REF!</v>
      </c>
      <c r="R590" s="89" t="e">
        <v>#REF!</v>
      </c>
      <c r="S590" s="89" t="e">
        <f>#REF!</f>
        <v>#REF!</v>
      </c>
      <c r="T590" s="89" t="e">
        <f>#REF!</f>
        <v>#REF!</v>
      </c>
      <c r="U590" s="89" t="e">
        <f>#REF!</f>
        <v>#REF!</v>
      </c>
      <c r="V590" s="89" t="e">
        <f>#REF!</f>
        <v>#REF!</v>
      </c>
      <c r="W590" s="89" t="e">
        <f>#REF!</f>
        <v>#REF!</v>
      </c>
      <c r="X590" s="89" t="e">
        <f>#REF!</f>
        <v>#REF!</v>
      </c>
      <c r="Y590" s="89" t="e">
        <f>#REF!</f>
        <v>#REF!</v>
      </c>
      <c r="Z590" s="89" t="e">
        <f>#REF!</f>
        <v>#REF!</v>
      </c>
      <c r="AA590" s="89" t="e">
        <f>#REF!</f>
        <v>#REF!</v>
      </c>
      <c r="AB590" s="89" t="e">
        <f>#REF!</f>
        <v>#REF!</v>
      </c>
      <c r="AC590" s="89" t="e">
        <f>#REF!</f>
        <v>#REF!</v>
      </c>
      <c r="AD590" s="89" t="e">
        <f>#REF!</f>
        <v>#REF!</v>
      </c>
      <c r="AE590" s="89" t="e">
        <f>#REF!</f>
        <v>#REF!</v>
      </c>
      <c r="AF590" s="89" t="e">
        <f>#REF!</f>
        <v>#REF!</v>
      </c>
      <c r="AG590" s="89" t="e">
        <f>#REF!</f>
        <v>#REF!</v>
      </c>
      <c r="AH590" s="89" t="e">
        <f>#REF!</f>
        <v>#REF!</v>
      </c>
      <c r="AI590" s="89" t="e">
        <f>#REF!</f>
        <v>#REF!</v>
      </c>
      <c r="AJ590" s="89" t="e">
        <f>#REF!</f>
        <v>#REF!</v>
      </c>
      <c r="AK590" s="89" t="e">
        <f>#REF!</f>
        <v>#REF!</v>
      </c>
      <c r="AL590" s="89" t="e">
        <f>#REF!</f>
        <v>#REF!</v>
      </c>
      <c r="AM590" s="89" t="e">
        <f>#REF!</f>
        <v>#REF!</v>
      </c>
      <c r="AN590" s="89" t="e">
        <f>#REF!</f>
        <v>#REF!</v>
      </c>
      <c r="AO590" s="89" t="e">
        <f>#REF!</f>
        <v>#REF!</v>
      </c>
      <c r="AP590" s="89" t="e">
        <f>#REF!</f>
        <v>#REF!</v>
      </c>
      <c r="AQ590" s="89" t="e">
        <f>#REF!</f>
        <v>#REF!</v>
      </c>
      <c r="AR590" s="89" t="e">
        <f>#REF!</f>
        <v>#REF!</v>
      </c>
      <c r="AS590" s="89" t="e">
        <f>#REF!</f>
        <v>#REF!</v>
      </c>
      <c r="AT590" s="89" t="e">
        <f>#REF!</f>
        <v>#REF!</v>
      </c>
      <c r="AU590" s="89" t="e">
        <f>#REF!</f>
        <v>#REF!</v>
      </c>
      <c r="AV590" s="89" t="e">
        <f>#REF!</f>
        <v>#REF!</v>
      </c>
      <c r="AW590" s="89" t="e">
        <f>#REF!</f>
        <v>#REF!</v>
      </c>
      <c r="AX590" s="89" t="e">
        <f>#REF!</f>
        <v>#REF!</v>
      </c>
      <c r="AY590" s="89" t="e">
        <f>#REF!</f>
        <v>#REF!</v>
      </c>
      <c r="AZ590" s="89" t="e">
        <f>#REF!</f>
        <v>#REF!</v>
      </c>
      <c r="BA590" s="89" t="e">
        <f>#REF!</f>
        <v>#REF!</v>
      </c>
      <c r="BB590" s="89" t="e">
        <f>#REF!</f>
        <v>#REF!</v>
      </c>
      <c r="BC590" s="89" t="e">
        <f>#REF!</f>
        <v>#REF!</v>
      </c>
      <c r="BD590" s="89" t="e">
        <f>#REF!</f>
        <v>#REF!</v>
      </c>
      <c r="BE590" s="89" t="e">
        <f>#REF!</f>
        <v>#REF!</v>
      </c>
      <c r="BF590" s="89" t="e">
        <f>#REF!</f>
        <v>#REF!</v>
      </c>
    </row>
    <row r="591" spans="9:58" x14ac:dyDescent="0.25">
      <c r="I591" s="89">
        <f>ABCD!J640</f>
        <v>146.75</v>
      </c>
      <c r="J591" s="89">
        <f>ABCD!K640</f>
        <v>481.34</v>
      </c>
      <c r="K591" s="89">
        <f>ABCD!L640</f>
        <v>3.66048470699182</v>
      </c>
      <c r="L591" s="89">
        <f>ABCD!M640</f>
        <v>0.7027437061281574</v>
      </c>
      <c r="M591" s="89">
        <f>ABCD!N640</f>
        <v>3.7273310835802778</v>
      </c>
      <c r="N591" s="89" t="e">
        <v>#REF!</v>
      </c>
      <c r="O591" s="89" t="e">
        <v>#REF!</v>
      </c>
      <c r="P591" s="89" t="e">
        <v>#REF!</v>
      </c>
      <c r="Q591" s="89" t="e">
        <v>#REF!</v>
      </c>
      <c r="R591" s="89" t="e">
        <v>#REF!</v>
      </c>
      <c r="S591" s="89" t="e">
        <f>#REF!</f>
        <v>#REF!</v>
      </c>
      <c r="T591" s="89" t="e">
        <f>#REF!</f>
        <v>#REF!</v>
      </c>
      <c r="U591" s="89" t="e">
        <f>#REF!</f>
        <v>#REF!</v>
      </c>
      <c r="V591" s="89" t="e">
        <f>#REF!</f>
        <v>#REF!</v>
      </c>
      <c r="W591" s="89" t="e">
        <f>#REF!</f>
        <v>#REF!</v>
      </c>
      <c r="X591" s="89" t="e">
        <f>#REF!</f>
        <v>#REF!</v>
      </c>
      <c r="Y591" s="89" t="e">
        <f>#REF!</f>
        <v>#REF!</v>
      </c>
      <c r="Z591" s="89" t="e">
        <f>#REF!</f>
        <v>#REF!</v>
      </c>
      <c r="AA591" s="89" t="e">
        <f>#REF!</f>
        <v>#REF!</v>
      </c>
      <c r="AB591" s="89" t="e">
        <f>#REF!</f>
        <v>#REF!</v>
      </c>
      <c r="AC591" s="89" t="e">
        <f>#REF!</f>
        <v>#REF!</v>
      </c>
      <c r="AD591" s="89" t="e">
        <f>#REF!</f>
        <v>#REF!</v>
      </c>
      <c r="AE591" s="89" t="e">
        <f>#REF!</f>
        <v>#REF!</v>
      </c>
      <c r="AF591" s="89" t="e">
        <f>#REF!</f>
        <v>#REF!</v>
      </c>
      <c r="AG591" s="89" t="e">
        <f>#REF!</f>
        <v>#REF!</v>
      </c>
      <c r="AH591" s="89" t="e">
        <f>#REF!</f>
        <v>#REF!</v>
      </c>
      <c r="AI591" s="89" t="e">
        <f>#REF!</f>
        <v>#REF!</v>
      </c>
      <c r="AJ591" s="89" t="e">
        <f>#REF!</f>
        <v>#REF!</v>
      </c>
      <c r="AK591" s="89" t="e">
        <f>#REF!</f>
        <v>#REF!</v>
      </c>
      <c r="AL591" s="89" t="e">
        <f>#REF!</f>
        <v>#REF!</v>
      </c>
      <c r="AM591" s="89" t="e">
        <f>#REF!</f>
        <v>#REF!</v>
      </c>
      <c r="AN591" s="89" t="e">
        <f>#REF!</f>
        <v>#REF!</v>
      </c>
      <c r="AO591" s="89" t="e">
        <f>#REF!</f>
        <v>#REF!</v>
      </c>
      <c r="AP591" s="89" t="e">
        <f>#REF!</f>
        <v>#REF!</v>
      </c>
      <c r="AQ591" s="89" t="e">
        <f>#REF!</f>
        <v>#REF!</v>
      </c>
      <c r="AR591" s="89" t="e">
        <f>#REF!</f>
        <v>#REF!</v>
      </c>
      <c r="AS591" s="89" t="e">
        <f>#REF!</f>
        <v>#REF!</v>
      </c>
      <c r="AT591" s="89" t="e">
        <f>#REF!</f>
        <v>#REF!</v>
      </c>
      <c r="AU591" s="89" t="e">
        <f>#REF!</f>
        <v>#REF!</v>
      </c>
      <c r="AV591" s="89" t="e">
        <f>#REF!</f>
        <v>#REF!</v>
      </c>
      <c r="AW591" s="89" t="e">
        <f>#REF!</f>
        <v>#REF!</v>
      </c>
      <c r="AX591" s="89" t="e">
        <f>#REF!</f>
        <v>#REF!</v>
      </c>
      <c r="AY591" s="89" t="e">
        <f>#REF!</f>
        <v>#REF!</v>
      </c>
      <c r="AZ591" s="89" t="e">
        <f>#REF!</f>
        <v>#REF!</v>
      </c>
      <c r="BA591" s="89" t="e">
        <f>#REF!</f>
        <v>#REF!</v>
      </c>
      <c r="BB591" s="89" t="e">
        <f>#REF!</f>
        <v>#REF!</v>
      </c>
      <c r="BC591" s="89" t="e">
        <f>#REF!</f>
        <v>#REF!</v>
      </c>
      <c r="BD591" s="89" t="e">
        <f>#REF!</f>
        <v>#REF!</v>
      </c>
      <c r="BE591" s="89" t="e">
        <f>#REF!</f>
        <v>#REF!</v>
      </c>
      <c r="BF591" s="89" t="e">
        <f>#REF!</f>
        <v>#REF!</v>
      </c>
    </row>
    <row r="592" spans="9:58" x14ac:dyDescent="0.25">
      <c r="I592" s="89">
        <f>ABCD!J641</f>
        <v>147</v>
      </c>
      <c r="J592" s="89">
        <f>ABCD!K641</f>
        <v>482.15999999999997</v>
      </c>
      <c r="K592" s="89">
        <f>ABCD!L641</f>
        <v>3.5981070352717874</v>
      </c>
      <c r="L592" s="89">
        <f>ABCD!M641</f>
        <v>0.6918812042576552</v>
      </c>
      <c r="M592" s="89">
        <f>ABCD!N641</f>
        <v>3.6640242682162127</v>
      </c>
      <c r="N592" s="89" t="e">
        <v>#REF!</v>
      </c>
      <c r="O592" s="89" t="e">
        <v>#REF!</v>
      </c>
      <c r="P592" s="89" t="e">
        <v>#REF!</v>
      </c>
      <c r="Q592" s="89" t="e">
        <v>#REF!</v>
      </c>
      <c r="R592" s="89" t="e">
        <v>#REF!</v>
      </c>
      <c r="S592" s="89" t="e">
        <f>#REF!</f>
        <v>#REF!</v>
      </c>
      <c r="T592" s="89" t="e">
        <f>#REF!</f>
        <v>#REF!</v>
      </c>
      <c r="U592" s="89" t="e">
        <f>#REF!</f>
        <v>#REF!</v>
      </c>
      <c r="V592" s="89" t="e">
        <f>#REF!</f>
        <v>#REF!</v>
      </c>
      <c r="W592" s="89" t="e">
        <f>#REF!</f>
        <v>#REF!</v>
      </c>
      <c r="X592" s="89" t="e">
        <f>#REF!</f>
        <v>#REF!</v>
      </c>
      <c r="Y592" s="89" t="e">
        <f>#REF!</f>
        <v>#REF!</v>
      </c>
      <c r="Z592" s="89" t="e">
        <f>#REF!</f>
        <v>#REF!</v>
      </c>
      <c r="AA592" s="89" t="e">
        <f>#REF!</f>
        <v>#REF!</v>
      </c>
      <c r="AB592" s="89" t="e">
        <f>#REF!</f>
        <v>#REF!</v>
      </c>
      <c r="AC592" s="89" t="e">
        <f>#REF!</f>
        <v>#REF!</v>
      </c>
      <c r="AD592" s="89" t="e">
        <f>#REF!</f>
        <v>#REF!</v>
      </c>
      <c r="AE592" s="89" t="e">
        <f>#REF!</f>
        <v>#REF!</v>
      </c>
      <c r="AF592" s="89" t="e">
        <f>#REF!</f>
        <v>#REF!</v>
      </c>
      <c r="AG592" s="89" t="e">
        <f>#REF!</f>
        <v>#REF!</v>
      </c>
      <c r="AH592" s="89" t="e">
        <f>#REF!</f>
        <v>#REF!</v>
      </c>
      <c r="AI592" s="89" t="e">
        <f>#REF!</f>
        <v>#REF!</v>
      </c>
      <c r="AJ592" s="89" t="e">
        <f>#REF!</f>
        <v>#REF!</v>
      </c>
      <c r="AK592" s="89" t="e">
        <f>#REF!</f>
        <v>#REF!</v>
      </c>
      <c r="AL592" s="89" t="e">
        <f>#REF!</f>
        <v>#REF!</v>
      </c>
      <c r="AM592" s="89" t="e">
        <f>#REF!</f>
        <v>#REF!</v>
      </c>
      <c r="AN592" s="89" t="e">
        <f>#REF!</f>
        <v>#REF!</v>
      </c>
      <c r="AO592" s="89" t="e">
        <f>#REF!</f>
        <v>#REF!</v>
      </c>
      <c r="AP592" s="89" t="e">
        <f>#REF!</f>
        <v>#REF!</v>
      </c>
      <c r="AQ592" s="89" t="e">
        <f>#REF!</f>
        <v>#REF!</v>
      </c>
      <c r="AR592" s="89" t="e">
        <f>#REF!</f>
        <v>#REF!</v>
      </c>
      <c r="AS592" s="89" t="e">
        <f>#REF!</f>
        <v>#REF!</v>
      </c>
      <c r="AT592" s="89" t="e">
        <f>#REF!</f>
        <v>#REF!</v>
      </c>
      <c r="AU592" s="89" t="e">
        <f>#REF!</f>
        <v>#REF!</v>
      </c>
      <c r="AV592" s="89" t="e">
        <f>#REF!</f>
        <v>#REF!</v>
      </c>
      <c r="AW592" s="89" t="e">
        <f>#REF!</f>
        <v>#REF!</v>
      </c>
      <c r="AX592" s="89" t="e">
        <f>#REF!</f>
        <v>#REF!</v>
      </c>
      <c r="AY592" s="89" t="e">
        <f>#REF!</f>
        <v>#REF!</v>
      </c>
      <c r="AZ592" s="89" t="e">
        <f>#REF!</f>
        <v>#REF!</v>
      </c>
      <c r="BA592" s="89" t="e">
        <f>#REF!</f>
        <v>#REF!</v>
      </c>
      <c r="BB592" s="89" t="e">
        <f>#REF!</f>
        <v>#REF!</v>
      </c>
      <c r="BC592" s="89" t="e">
        <f>#REF!</f>
        <v>#REF!</v>
      </c>
      <c r="BD592" s="89" t="e">
        <f>#REF!</f>
        <v>#REF!</v>
      </c>
      <c r="BE592" s="89" t="e">
        <f>#REF!</f>
        <v>#REF!</v>
      </c>
      <c r="BF592" s="89" t="e">
        <f>#REF!</f>
        <v>#REF!</v>
      </c>
    </row>
    <row r="593" spans="9:58" x14ac:dyDescent="0.25">
      <c r="I593" s="89">
        <f>ABCD!J642</f>
        <v>147.25</v>
      </c>
      <c r="J593" s="89">
        <f>ABCD!K642</f>
        <v>482.97999999999996</v>
      </c>
      <c r="K593" s="89">
        <f>ABCD!L642</f>
        <v>3.534954887302705</v>
      </c>
      <c r="L593" s="89">
        <f>ABCD!M642</f>
        <v>0.68086875963945159</v>
      </c>
      <c r="M593" s="89">
        <f>ABCD!N642</f>
        <v>3.5999289330649633</v>
      </c>
      <c r="N593" s="89" t="e">
        <v>#REF!</v>
      </c>
      <c r="O593" s="89" t="e">
        <v>#REF!</v>
      </c>
      <c r="P593" s="89" t="e">
        <v>#REF!</v>
      </c>
      <c r="Q593" s="89" t="e">
        <v>#REF!</v>
      </c>
      <c r="R593" s="89" t="e">
        <v>#REF!</v>
      </c>
      <c r="S593" s="89" t="e">
        <f>#REF!</f>
        <v>#REF!</v>
      </c>
      <c r="T593" s="89" t="e">
        <f>#REF!</f>
        <v>#REF!</v>
      </c>
      <c r="U593" s="89" t="e">
        <f>#REF!</f>
        <v>#REF!</v>
      </c>
      <c r="V593" s="89" t="e">
        <f>#REF!</f>
        <v>#REF!</v>
      </c>
      <c r="W593" s="89" t="e">
        <f>#REF!</f>
        <v>#REF!</v>
      </c>
      <c r="X593" s="89" t="e">
        <f>#REF!</f>
        <v>#REF!</v>
      </c>
      <c r="Y593" s="89" t="e">
        <f>#REF!</f>
        <v>#REF!</v>
      </c>
      <c r="Z593" s="89" t="e">
        <f>#REF!</f>
        <v>#REF!</v>
      </c>
      <c r="AA593" s="89" t="e">
        <f>#REF!</f>
        <v>#REF!</v>
      </c>
      <c r="AB593" s="89" t="e">
        <f>#REF!</f>
        <v>#REF!</v>
      </c>
      <c r="AC593" s="89" t="e">
        <f>#REF!</f>
        <v>#REF!</v>
      </c>
      <c r="AD593" s="89" t="e">
        <f>#REF!</f>
        <v>#REF!</v>
      </c>
      <c r="AE593" s="89" t="e">
        <f>#REF!</f>
        <v>#REF!</v>
      </c>
      <c r="AF593" s="89" t="e">
        <f>#REF!</f>
        <v>#REF!</v>
      </c>
      <c r="AG593" s="89" t="e">
        <f>#REF!</f>
        <v>#REF!</v>
      </c>
      <c r="AH593" s="89" t="e">
        <f>#REF!</f>
        <v>#REF!</v>
      </c>
      <c r="AI593" s="89" t="e">
        <f>#REF!</f>
        <v>#REF!</v>
      </c>
      <c r="AJ593" s="89" t="e">
        <f>#REF!</f>
        <v>#REF!</v>
      </c>
      <c r="AK593" s="89" t="e">
        <f>#REF!</f>
        <v>#REF!</v>
      </c>
      <c r="AL593" s="89" t="e">
        <f>#REF!</f>
        <v>#REF!</v>
      </c>
      <c r="AM593" s="89" t="e">
        <f>#REF!</f>
        <v>#REF!</v>
      </c>
      <c r="AN593" s="89" t="e">
        <f>#REF!</f>
        <v>#REF!</v>
      </c>
      <c r="AO593" s="89" t="e">
        <f>#REF!</f>
        <v>#REF!</v>
      </c>
      <c r="AP593" s="89" t="e">
        <f>#REF!</f>
        <v>#REF!</v>
      </c>
      <c r="AQ593" s="89" t="e">
        <f>#REF!</f>
        <v>#REF!</v>
      </c>
      <c r="AR593" s="89" t="e">
        <f>#REF!</f>
        <v>#REF!</v>
      </c>
      <c r="AS593" s="89" t="e">
        <f>#REF!</f>
        <v>#REF!</v>
      </c>
      <c r="AT593" s="89" t="e">
        <f>#REF!</f>
        <v>#REF!</v>
      </c>
      <c r="AU593" s="89" t="e">
        <f>#REF!</f>
        <v>#REF!</v>
      </c>
      <c r="AV593" s="89" t="e">
        <f>#REF!</f>
        <v>#REF!</v>
      </c>
      <c r="AW593" s="89" t="e">
        <f>#REF!</f>
        <v>#REF!</v>
      </c>
      <c r="AX593" s="89" t="e">
        <f>#REF!</f>
        <v>#REF!</v>
      </c>
      <c r="AY593" s="89" t="e">
        <f>#REF!</f>
        <v>#REF!</v>
      </c>
      <c r="AZ593" s="89" t="e">
        <f>#REF!</f>
        <v>#REF!</v>
      </c>
      <c r="BA593" s="89" t="e">
        <f>#REF!</f>
        <v>#REF!</v>
      </c>
      <c r="BB593" s="89" t="e">
        <f>#REF!</f>
        <v>#REF!</v>
      </c>
      <c r="BC593" s="89" t="e">
        <f>#REF!</f>
        <v>#REF!</v>
      </c>
      <c r="BD593" s="89" t="e">
        <f>#REF!</f>
        <v>#REF!</v>
      </c>
      <c r="BE593" s="89" t="e">
        <f>#REF!</f>
        <v>#REF!</v>
      </c>
      <c r="BF593" s="89" t="e">
        <f>#REF!</f>
        <v>#REF!</v>
      </c>
    </row>
    <row r="594" spans="9:58" x14ac:dyDescent="0.25">
      <c r="I594" s="89">
        <f>ABCD!J643</f>
        <v>147.5</v>
      </c>
      <c r="J594" s="89">
        <f>ABCD!K643</f>
        <v>483.79999999999995</v>
      </c>
      <c r="K594" s="89">
        <f>ABCD!L643</f>
        <v>3.4710435379093907</v>
      </c>
      <c r="L594" s="89">
        <f>ABCD!M643</f>
        <v>0.66970904928586905</v>
      </c>
      <c r="M594" s="89">
        <f>ABCD!N643</f>
        <v>3.5350606010021841</v>
      </c>
      <c r="N594" s="89" t="e">
        <v>#REF!</v>
      </c>
      <c r="O594" s="89" t="e">
        <v>#REF!</v>
      </c>
      <c r="P594" s="89" t="e">
        <v>#REF!</v>
      </c>
      <c r="Q594" s="89" t="e">
        <v>#REF!</v>
      </c>
      <c r="R594" s="89" t="e">
        <v>#REF!</v>
      </c>
      <c r="S594" s="89" t="e">
        <f>#REF!</f>
        <v>#REF!</v>
      </c>
      <c r="T594" s="89" t="e">
        <f>#REF!</f>
        <v>#REF!</v>
      </c>
      <c r="U594" s="89" t="e">
        <f>#REF!</f>
        <v>#REF!</v>
      </c>
      <c r="V594" s="89" t="e">
        <f>#REF!</f>
        <v>#REF!</v>
      </c>
      <c r="W594" s="89" t="e">
        <f>#REF!</f>
        <v>#REF!</v>
      </c>
      <c r="X594" s="89" t="e">
        <f>#REF!</f>
        <v>#REF!</v>
      </c>
      <c r="Y594" s="89" t="e">
        <f>#REF!</f>
        <v>#REF!</v>
      </c>
      <c r="Z594" s="89" t="e">
        <f>#REF!</f>
        <v>#REF!</v>
      </c>
      <c r="AA594" s="89" t="e">
        <f>#REF!</f>
        <v>#REF!</v>
      </c>
      <c r="AB594" s="89" t="e">
        <f>#REF!</f>
        <v>#REF!</v>
      </c>
      <c r="AC594" s="89" t="e">
        <f>#REF!</f>
        <v>#REF!</v>
      </c>
      <c r="AD594" s="89" t="e">
        <f>#REF!</f>
        <v>#REF!</v>
      </c>
      <c r="AE594" s="89" t="e">
        <f>#REF!</f>
        <v>#REF!</v>
      </c>
      <c r="AF594" s="89" t="e">
        <f>#REF!</f>
        <v>#REF!</v>
      </c>
      <c r="AG594" s="89" t="e">
        <f>#REF!</f>
        <v>#REF!</v>
      </c>
      <c r="AH594" s="89" t="e">
        <f>#REF!</f>
        <v>#REF!</v>
      </c>
      <c r="AI594" s="89" t="e">
        <f>#REF!</f>
        <v>#REF!</v>
      </c>
      <c r="AJ594" s="89" t="e">
        <f>#REF!</f>
        <v>#REF!</v>
      </c>
      <c r="AK594" s="89" t="e">
        <f>#REF!</f>
        <v>#REF!</v>
      </c>
      <c r="AL594" s="89" t="e">
        <f>#REF!</f>
        <v>#REF!</v>
      </c>
      <c r="AM594" s="89" t="e">
        <f>#REF!</f>
        <v>#REF!</v>
      </c>
      <c r="AN594" s="89" t="e">
        <f>#REF!</f>
        <v>#REF!</v>
      </c>
      <c r="AO594" s="89" t="e">
        <f>#REF!</f>
        <v>#REF!</v>
      </c>
      <c r="AP594" s="89" t="e">
        <f>#REF!</f>
        <v>#REF!</v>
      </c>
      <c r="AQ594" s="89" t="e">
        <f>#REF!</f>
        <v>#REF!</v>
      </c>
      <c r="AR594" s="89" t="e">
        <f>#REF!</f>
        <v>#REF!</v>
      </c>
      <c r="AS594" s="89" t="e">
        <f>#REF!</f>
        <v>#REF!</v>
      </c>
      <c r="AT594" s="89" t="e">
        <f>#REF!</f>
        <v>#REF!</v>
      </c>
      <c r="AU594" s="89" t="e">
        <f>#REF!</f>
        <v>#REF!</v>
      </c>
      <c r="AV594" s="89" t="e">
        <f>#REF!</f>
        <v>#REF!</v>
      </c>
      <c r="AW594" s="89" t="e">
        <f>#REF!</f>
        <v>#REF!</v>
      </c>
      <c r="AX594" s="89" t="e">
        <f>#REF!</f>
        <v>#REF!</v>
      </c>
      <c r="AY594" s="89" t="e">
        <f>#REF!</f>
        <v>#REF!</v>
      </c>
      <c r="AZ594" s="89" t="e">
        <f>#REF!</f>
        <v>#REF!</v>
      </c>
      <c r="BA594" s="89" t="e">
        <f>#REF!</f>
        <v>#REF!</v>
      </c>
      <c r="BB594" s="89" t="e">
        <f>#REF!</f>
        <v>#REF!</v>
      </c>
      <c r="BC594" s="89" t="e">
        <f>#REF!</f>
        <v>#REF!</v>
      </c>
      <c r="BD594" s="89" t="e">
        <f>#REF!</f>
        <v>#REF!</v>
      </c>
      <c r="BE594" s="89" t="e">
        <f>#REF!</f>
        <v>#REF!</v>
      </c>
      <c r="BF594" s="89" t="e">
        <f>#REF!</f>
        <v>#REF!</v>
      </c>
    </row>
    <row r="595" spans="9:58" x14ac:dyDescent="0.25">
      <c r="I595" s="89">
        <f>ABCD!J644</f>
        <v>147.75</v>
      </c>
      <c r="J595" s="89">
        <f>ABCD!K644</f>
        <v>484.61999999999995</v>
      </c>
      <c r="K595" s="89">
        <f>ABCD!L644</f>
        <v>3.4063884234303781</v>
      </c>
      <c r="L595" s="89">
        <f>ABCD!M644</f>
        <v>0.65840478179598794</v>
      </c>
      <c r="M595" s="89">
        <f>ABCD!N644</f>
        <v>3.469434960908234</v>
      </c>
      <c r="N595" s="89" t="e">
        <v>#REF!</v>
      </c>
      <c r="O595" s="89" t="e">
        <v>#REF!</v>
      </c>
      <c r="P595" s="89" t="e">
        <v>#REF!</v>
      </c>
      <c r="Q595" s="89" t="e">
        <v>#REF!</v>
      </c>
      <c r="R595" s="89" t="e">
        <v>#REF!</v>
      </c>
      <c r="S595" s="89" t="e">
        <f>#REF!</f>
        <v>#REF!</v>
      </c>
      <c r="T595" s="89" t="e">
        <f>#REF!</f>
        <v>#REF!</v>
      </c>
      <c r="U595" s="89" t="e">
        <f>#REF!</f>
        <v>#REF!</v>
      </c>
      <c r="V595" s="89" t="e">
        <f>#REF!</f>
        <v>#REF!</v>
      </c>
      <c r="W595" s="89" t="e">
        <f>#REF!</f>
        <v>#REF!</v>
      </c>
      <c r="X595" s="89" t="e">
        <f>#REF!</f>
        <v>#REF!</v>
      </c>
      <c r="Y595" s="89" t="e">
        <f>#REF!</f>
        <v>#REF!</v>
      </c>
      <c r="Z595" s="89" t="e">
        <f>#REF!</f>
        <v>#REF!</v>
      </c>
      <c r="AA595" s="89" t="e">
        <f>#REF!</f>
        <v>#REF!</v>
      </c>
      <c r="AB595" s="89" t="e">
        <f>#REF!</f>
        <v>#REF!</v>
      </c>
      <c r="AC595" s="89" t="e">
        <f>#REF!</f>
        <v>#REF!</v>
      </c>
      <c r="AD595" s="89" t="e">
        <f>#REF!</f>
        <v>#REF!</v>
      </c>
      <c r="AE595" s="89" t="e">
        <f>#REF!</f>
        <v>#REF!</v>
      </c>
      <c r="AF595" s="89" t="e">
        <f>#REF!</f>
        <v>#REF!</v>
      </c>
      <c r="AG595" s="89" t="e">
        <f>#REF!</f>
        <v>#REF!</v>
      </c>
      <c r="AH595" s="89" t="e">
        <f>#REF!</f>
        <v>#REF!</v>
      </c>
      <c r="AI595" s="89" t="e">
        <f>#REF!</f>
        <v>#REF!</v>
      </c>
      <c r="AJ595" s="89" t="e">
        <f>#REF!</f>
        <v>#REF!</v>
      </c>
      <c r="AK595" s="89" t="e">
        <f>#REF!</f>
        <v>#REF!</v>
      </c>
      <c r="AL595" s="89" t="e">
        <f>#REF!</f>
        <v>#REF!</v>
      </c>
      <c r="AM595" s="89" t="e">
        <f>#REF!</f>
        <v>#REF!</v>
      </c>
      <c r="AN595" s="89" t="e">
        <f>#REF!</f>
        <v>#REF!</v>
      </c>
      <c r="AO595" s="89" t="e">
        <f>#REF!</f>
        <v>#REF!</v>
      </c>
      <c r="AP595" s="89" t="e">
        <f>#REF!</f>
        <v>#REF!</v>
      </c>
      <c r="AQ595" s="89" t="e">
        <f>#REF!</f>
        <v>#REF!</v>
      </c>
      <c r="AR595" s="89" t="e">
        <f>#REF!</f>
        <v>#REF!</v>
      </c>
      <c r="AS595" s="89" t="e">
        <f>#REF!</f>
        <v>#REF!</v>
      </c>
      <c r="AT595" s="89" t="e">
        <f>#REF!</f>
        <v>#REF!</v>
      </c>
      <c r="AU595" s="89" t="e">
        <f>#REF!</f>
        <v>#REF!</v>
      </c>
      <c r="AV595" s="89" t="e">
        <f>#REF!</f>
        <v>#REF!</v>
      </c>
      <c r="AW595" s="89" t="e">
        <f>#REF!</f>
        <v>#REF!</v>
      </c>
      <c r="AX595" s="89" t="e">
        <f>#REF!</f>
        <v>#REF!</v>
      </c>
      <c r="AY595" s="89" t="e">
        <f>#REF!</f>
        <v>#REF!</v>
      </c>
      <c r="AZ595" s="89" t="e">
        <f>#REF!</f>
        <v>#REF!</v>
      </c>
      <c r="BA595" s="89" t="e">
        <f>#REF!</f>
        <v>#REF!</v>
      </c>
      <c r="BB595" s="89" t="e">
        <f>#REF!</f>
        <v>#REF!</v>
      </c>
      <c r="BC595" s="89" t="e">
        <f>#REF!</f>
        <v>#REF!</v>
      </c>
      <c r="BD595" s="89" t="e">
        <f>#REF!</f>
        <v>#REF!</v>
      </c>
      <c r="BE595" s="89" t="e">
        <f>#REF!</f>
        <v>#REF!</v>
      </c>
      <c r="BF595" s="89" t="e">
        <f>#REF!</f>
        <v>#REF!</v>
      </c>
    </row>
    <row r="596" spans="9:58" x14ac:dyDescent="0.25">
      <c r="I596" s="89">
        <f>ABCD!J645</f>
        <v>148</v>
      </c>
      <c r="J596" s="89">
        <f>ABCD!K645</f>
        <v>485.44</v>
      </c>
      <c r="K596" s="89">
        <f>ABCD!L645</f>
        <v>3.3410051380092867</v>
      </c>
      <c r="L596" s="89">
        <f>ABCD!M645</f>
        <v>0.64695869670196937</v>
      </c>
      <c r="M596" s="89">
        <f>ABCD!N645</f>
        <v>3.4030678640665926</v>
      </c>
      <c r="N596" s="89" t="e">
        <v>#REF!</v>
      </c>
      <c r="O596" s="89" t="e">
        <v>#REF!</v>
      </c>
      <c r="P596" s="89" t="e">
        <v>#REF!</v>
      </c>
      <c r="Q596" s="89" t="e">
        <v>#REF!</v>
      </c>
      <c r="R596" s="89" t="e">
        <v>#REF!</v>
      </c>
      <c r="S596" s="89" t="e">
        <f>#REF!</f>
        <v>#REF!</v>
      </c>
      <c r="T596" s="89" t="e">
        <f>#REF!</f>
        <v>#REF!</v>
      </c>
      <c r="U596" s="89" t="e">
        <f>#REF!</f>
        <v>#REF!</v>
      </c>
      <c r="V596" s="89" t="e">
        <f>#REF!</f>
        <v>#REF!</v>
      </c>
      <c r="W596" s="89" t="e">
        <f>#REF!</f>
        <v>#REF!</v>
      </c>
      <c r="X596" s="89" t="e">
        <f>#REF!</f>
        <v>#REF!</v>
      </c>
      <c r="Y596" s="89" t="e">
        <f>#REF!</f>
        <v>#REF!</v>
      </c>
      <c r="Z596" s="89" t="e">
        <f>#REF!</f>
        <v>#REF!</v>
      </c>
      <c r="AA596" s="89" t="e">
        <f>#REF!</f>
        <v>#REF!</v>
      </c>
      <c r="AB596" s="89" t="e">
        <f>#REF!</f>
        <v>#REF!</v>
      </c>
      <c r="AC596" s="89" t="e">
        <f>#REF!</f>
        <v>#REF!</v>
      </c>
      <c r="AD596" s="89" t="e">
        <f>#REF!</f>
        <v>#REF!</v>
      </c>
      <c r="AE596" s="89" t="e">
        <f>#REF!</f>
        <v>#REF!</v>
      </c>
      <c r="AF596" s="89" t="e">
        <f>#REF!</f>
        <v>#REF!</v>
      </c>
      <c r="AG596" s="89" t="e">
        <f>#REF!</f>
        <v>#REF!</v>
      </c>
      <c r="AH596" s="89" t="e">
        <f>#REF!</f>
        <v>#REF!</v>
      </c>
      <c r="AI596" s="89" t="e">
        <f>#REF!</f>
        <v>#REF!</v>
      </c>
      <c r="AJ596" s="89" t="e">
        <f>#REF!</f>
        <v>#REF!</v>
      </c>
      <c r="AK596" s="89" t="e">
        <f>#REF!</f>
        <v>#REF!</v>
      </c>
      <c r="AL596" s="89" t="e">
        <f>#REF!</f>
        <v>#REF!</v>
      </c>
      <c r="AM596" s="89" t="e">
        <f>#REF!</f>
        <v>#REF!</v>
      </c>
      <c r="AN596" s="89" t="e">
        <f>#REF!</f>
        <v>#REF!</v>
      </c>
      <c r="AO596" s="89" t="e">
        <f>#REF!</f>
        <v>#REF!</v>
      </c>
      <c r="AP596" s="89" t="e">
        <f>#REF!</f>
        <v>#REF!</v>
      </c>
      <c r="AQ596" s="89" t="e">
        <f>#REF!</f>
        <v>#REF!</v>
      </c>
      <c r="AR596" s="89" t="e">
        <f>#REF!</f>
        <v>#REF!</v>
      </c>
      <c r="AS596" s="89" t="e">
        <f>#REF!</f>
        <v>#REF!</v>
      </c>
      <c r="AT596" s="89" t="e">
        <f>#REF!</f>
        <v>#REF!</v>
      </c>
      <c r="AU596" s="89" t="e">
        <f>#REF!</f>
        <v>#REF!</v>
      </c>
      <c r="AV596" s="89" t="e">
        <f>#REF!</f>
        <v>#REF!</v>
      </c>
      <c r="AW596" s="89" t="e">
        <f>#REF!</f>
        <v>#REF!</v>
      </c>
      <c r="AX596" s="89" t="e">
        <f>#REF!</f>
        <v>#REF!</v>
      </c>
      <c r="AY596" s="89" t="e">
        <f>#REF!</f>
        <v>#REF!</v>
      </c>
      <c r="AZ596" s="89" t="e">
        <f>#REF!</f>
        <v>#REF!</v>
      </c>
      <c r="BA596" s="89" t="e">
        <f>#REF!</f>
        <v>#REF!</v>
      </c>
      <c r="BB596" s="89" t="e">
        <f>#REF!</f>
        <v>#REF!</v>
      </c>
      <c r="BC596" s="89" t="e">
        <f>#REF!</f>
        <v>#REF!</v>
      </c>
      <c r="BD596" s="89" t="e">
        <f>#REF!</f>
        <v>#REF!</v>
      </c>
      <c r="BE596" s="89" t="e">
        <f>#REF!</f>
        <v>#REF!</v>
      </c>
      <c r="BF596" s="89" t="e">
        <f>#REF!</f>
        <v>#REF!</v>
      </c>
    </row>
    <row r="597" spans="9:58" x14ac:dyDescent="0.25">
      <c r="I597" s="89">
        <f>ABCD!J646</f>
        <v>148.25</v>
      </c>
      <c r="J597" s="89">
        <f>ABCD!K646</f>
        <v>486.26</v>
      </c>
      <c r="K597" s="89">
        <f>ABCD!L646</f>
        <v>3.2749094298530714</v>
      </c>
      <c r="L597" s="89">
        <f>ABCD!M646</f>
        <v>0.63537356380883292</v>
      </c>
      <c r="M597" s="89">
        <f>ABCD!N646</f>
        <v>3.3359753205513538</v>
      </c>
      <c r="N597" s="89" t="e">
        <v>#REF!</v>
      </c>
      <c r="O597" s="89" t="e">
        <v>#REF!</v>
      </c>
      <c r="P597" s="89" t="e">
        <v>#REF!</v>
      </c>
      <c r="Q597" s="89" t="e">
        <v>#REF!</v>
      </c>
      <c r="R597" s="89" t="e">
        <v>#REF!</v>
      </c>
      <c r="S597" s="89" t="e">
        <f>#REF!</f>
        <v>#REF!</v>
      </c>
      <c r="T597" s="89" t="e">
        <f>#REF!</f>
        <v>#REF!</v>
      </c>
      <c r="U597" s="89" t="e">
        <f>#REF!</f>
        <v>#REF!</v>
      </c>
      <c r="V597" s="89" t="e">
        <f>#REF!</f>
        <v>#REF!</v>
      </c>
      <c r="W597" s="89" t="e">
        <f>#REF!</f>
        <v>#REF!</v>
      </c>
      <c r="X597" s="89" t="e">
        <f>#REF!</f>
        <v>#REF!</v>
      </c>
      <c r="Y597" s="89" t="e">
        <f>#REF!</f>
        <v>#REF!</v>
      </c>
      <c r="Z597" s="89" t="e">
        <f>#REF!</f>
        <v>#REF!</v>
      </c>
      <c r="AA597" s="89" t="e">
        <f>#REF!</f>
        <v>#REF!</v>
      </c>
      <c r="AB597" s="89" t="e">
        <f>#REF!</f>
        <v>#REF!</v>
      </c>
      <c r="AC597" s="89" t="e">
        <f>#REF!</f>
        <v>#REF!</v>
      </c>
      <c r="AD597" s="89" t="e">
        <f>#REF!</f>
        <v>#REF!</v>
      </c>
      <c r="AE597" s="89" t="e">
        <f>#REF!</f>
        <v>#REF!</v>
      </c>
      <c r="AF597" s="89" t="e">
        <f>#REF!</f>
        <v>#REF!</v>
      </c>
      <c r="AG597" s="89" t="e">
        <f>#REF!</f>
        <v>#REF!</v>
      </c>
      <c r="AH597" s="89" t="e">
        <f>#REF!</f>
        <v>#REF!</v>
      </c>
      <c r="AI597" s="89" t="e">
        <f>#REF!</f>
        <v>#REF!</v>
      </c>
      <c r="AJ597" s="89" t="e">
        <f>#REF!</f>
        <v>#REF!</v>
      </c>
      <c r="AK597" s="89" t="e">
        <f>#REF!</f>
        <v>#REF!</v>
      </c>
      <c r="AL597" s="89" t="e">
        <f>#REF!</f>
        <v>#REF!</v>
      </c>
      <c r="AM597" s="89" t="e">
        <f>#REF!</f>
        <v>#REF!</v>
      </c>
      <c r="AN597" s="89" t="e">
        <f>#REF!</f>
        <v>#REF!</v>
      </c>
      <c r="AO597" s="89" t="e">
        <f>#REF!</f>
        <v>#REF!</v>
      </c>
      <c r="AP597" s="89" t="e">
        <f>#REF!</f>
        <v>#REF!</v>
      </c>
      <c r="AQ597" s="89" t="e">
        <f>#REF!</f>
        <v>#REF!</v>
      </c>
      <c r="AR597" s="89" t="e">
        <f>#REF!</f>
        <v>#REF!</v>
      </c>
      <c r="AS597" s="89" t="e">
        <f>#REF!</f>
        <v>#REF!</v>
      </c>
      <c r="AT597" s="89" t="e">
        <f>#REF!</f>
        <v>#REF!</v>
      </c>
      <c r="AU597" s="89" t="e">
        <f>#REF!</f>
        <v>#REF!</v>
      </c>
      <c r="AV597" s="89" t="e">
        <f>#REF!</f>
        <v>#REF!</v>
      </c>
      <c r="AW597" s="89" t="e">
        <f>#REF!</f>
        <v>#REF!</v>
      </c>
      <c r="AX597" s="89" t="e">
        <f>#REF!</f>
        <v>#REF!</v>
      </c>
      <c r="AY597" s="89" t="e">
        <f>#REF!</f>
        <v>#REF!</v>
      </c>
      <c r="AZ597" s="89" t="e">
        <f>#REF!</f>
        <v>#REF!</v>
      </c>
      <c r="BA597" s="89" t="e">
        <f>#REF!</f>
        <v>#REF!</v>
      </c>
      <c r="BB597" s="89" t="e">
        <f>#REF!</f>
        <v>#REF!</v>
      </c>
      <c r="BC597" s="89" t="e">
        <f>#REF!</f>
        <v>#REF!</v>
      </c>
      <c r="BD597" s="89" t="e">
        <f>#REF!</f>
        <v>#REF!</v>
      </c>
      <c r="BE597" s="89" t="e">
        <f>#REF!</f>
        <v>#REF!</v>
      </c>
      <c r="BF597" s="89" t="e">
        <f>#REF!</f>
        <v>#REF!</v>
      </c>
    </row>
    <row r="598" spans="9:58" x14ac:dyDescent="0.25">
      <c r="I598" s="89">
        <f>ABCD!J647</f>
        <v>148.5</v>
      </c>
      <c r="J598" s="89">
        <f>ABCD!K647</f>
        <v>487.08</v>
      </c>
      <c r="K598" s="89">
        <f>ABCD!L647</f>
        <v>3.2081171974581197</v>
      </c>
      <c r="L598" s="89">
        <f>ABCD!M647</f>
        <v>0.62365218252783694</v>
      </c>
      <c r="M598" s="89">
        <f>ABCD!N647</f>
        <v>3.26817349560856</v>
      </c>
      <c r="N598" s="89" t="e">
        <v>#REF!</v>
      </c>
      <c r="O598" s="89" t="e">
        <v>#REF!</v>
      </c>
      <c r="P598" s="89" t="e">
        <v>#REF!</v>
      </c>
      <c r="Q598" s="89" t="e">
        <v>#REF!</v>
      </c>
      <c r="R598" s="89" t="e">
        <v>#REF!</v>
      </c>
      <c r="S598" s="89" t="e">
        <f>#REF!</f>
        <v>#REF!</v>
      </c>
      <c r="T598" s="89" t="e">
        <f>#REF!</f>
        <v>#REF!</v>
      </c>
      <c r="U598" s="89" t="e">
        <f>#REF!</f>
        <v>#REF!</v>
      </c>
      <c r="V598" s="89" t="e">
        <f>#REF!</f>
        <v>#REF!</v>
      </c>
      <c r="W598" s="89" t="e">
        <f>#REF!</f>
        <v>#REF!</v>
      </c>
      <c r="X598" s="89" t="e">
        <f>#REF!</f>
        <v>#REF!</v>
      </c>
      <c r="Y598" s="89" t="e">
        <f>#REF!</f>
        <v>#REF!</v>
      </c>
      <c r="Z598" s="89" t="e">
        <f>#REF!</f>
        <v>#REF!</v>
      </c>
      <c r="AA598" s="89" t="e">
        <f>#REF!</f>
        <v>#REF!</v>
      </c>
      <c r="AB598" s="89" t="e">
        <f>#REF!</f>
        <v>#REF!</v>
      </c>
      <c r="AC598" s="89" t="e">
        <f>#REF!</f>
        <v>#REF!</v>
      </c>
      <c r="AD598" s="89" t="e">
        <f>#REF!</f>
        <v>#REF!</v>
      </c>
      <c r="AE598" s="89" t="e">
        <f>#REF!</f>
        <v>#REF!</v>
      </c>
      <c r="AF598" s="89" t="e">
        <f>#REF!</f>
        <v>#REF!</v>
      </c>
      <c r="AG598" s="89" t="e">
        <f>#REF!</f>
        <v>#REF!</v>
      </c>
      <c r="AH598" s="89" t="e">
        <f>#REF!</f>
        <v>#REF!</v>
      </c>
      <c r="AI598" s="89" t="e">
        <f>#REF!</f>
        <v>#REF!</v>
      </c>
      <c r="AJ598" s="89" t="e">
        <f>#REF!</f>
        <v>#REF!</v>
      </c>
      <c r="AK598" s="89" t="e">
        <f>#REF!</f>
        <v>#REF!</v>
      </c>
      <c r="AL598" s="89" t="e">
        <f>#REF!</f>
        <v>#REF!</v>
      </c>
      <c r="AM598" s="89" t="e">
        <f>#REF!</f>
        <v>#REF!</v>
      </c>
      <c r="AN598" s="89" t="e">
        <f>#REF!</f>
        <v>#REF!</v>
      </c>
      <c r="AO598" s="89" t="e">
        <f>#REF!</f>
        <v>#REF!</v>
      </c>
      <c r="AP598" s="89" t="e">
        <f>#REF!</f>
        <v>#REF!</v>
      </c>
      <c r="AQ598" s="89" t="e">
        <f>#REF!</f>
        <v>#REF!</v>
      </c>
      <c r="AR598" s="89" t="e">
        <f>#REF!</f>
        <v>#REF!</v>
      </c>
      <c r="AS598" s="89" t="e">
        <f>#REF!</f>
        <v>#REF!</v>
      </c>
      <c r="AT598" s="89" t="e">
        <f>#REF!</f>
        <v>#REF!</v>
      </c>
      <c r="AU598" s="89" t="e">
        <f>#REF!</f>
        <v>#REF!</v>
      </c>
      <c r="AV598" s="89" t="e">
        <f>#REF!</f>
        <v>#REF!</v>
      </c>
      <c r="AW598" s="89" t="e">
        <f>#REF!</f>
        <v>#REF!</v>
      </c>
      <c r="AX598" s="89" t="e">
        <f>#REF!</f>
        <v>#REF!</v>
      </c>
      <c r="AY598" s="89" t="e">
        <f>#REF!</f>
        <v>#REF!</v>
      </c>
      <c r="AZ598" s="89" t="e">
        <f>#REF!</f>
        <v>#REF!</v>
      </c>
      <c r="BA598" s="89" t="e">
        <f>#REF!</f>
        <v>#REF!</v>
      </c>
      <c r="BB598" s="89" t="e">
        <f>#REF!</f>
        <v>#REF!</v>
      </c>
      <c r="BC598" s="89" t="e">
        <f>#REF!</f>
        <v>#REF!</v>
      </c>
      <c r="BD598" s="89" t="e">
        <f>#REF!</f>
        <v>#REF!</v>
      </c>
      <c r="BE598" s="89" t="e">
        <f>#REF!</f>
        <v>#REF!</v>
      </c>
      <c r="BF598" s="89" t="e">
        <f>#REF!</f>
        <v>#REF!</v>
      </c>
    </row>
    <row r="599" spans="9:58" x14ac:dyDescent="0.25">
      <c r="I599" s="89">
        <f>ABCD!J648</f>
        <v>148.75</v>
      </c>
      <c r="J599" s="89">
        <f>ABCD!K648</f>
        <v>487.9</v>
      </c>
      <c r="K599" s="89">
        <f>ABCD!L648</f>
        <v>3.1406444858050051</v>
      </c>
      <c r="L599" s="89">
        <f>ABCD!M648</f>
        <v>0.61179738120363103</v>
      </c>
      <c r="M599" s="89">
        <f>ABCD!N648</f>
        <v>3.1996787060367491</v>
      </c>
      <c r="N599" s="89" t="e">
        <v>#REF!</v>
      </c>
      <c r="O599" s="89" t="e">
        <v>#REF!</v>
      </c>
      <c r="P599" s="89" t="e">
        <v>#REF!</v>
      </c>
      <c r="Q599" s="89" t="e">
        <v>#REF!</v>
      </c>
      <c r="R599" s="89" t="e">
        <v>#REF!</v>
      </c>
      <c r="S599" s="89" t="e">
        <f>#REF!</f>
        <v>#REF!</v>
      </c>
      <c r="T599" s="89" t="e">
        <f>#REF!</f>
        <v>#REF!</v>
      </c>
      <c r="U599" s="89" t="e">
        <f>#REF!</f>
        <v>#REF!</v>
      </c>
      <c r="V599" s="89" t="e">
        <f>#REF!</f>
        <v>#REF!</v>
      </c>
      <c r="W599" s="89" t="e">
        <f>#REF!</f>
        <v>#REF!</v>
      </c>
      <c r="X599" s="89" t="e">
        <f>#REF!</f>
        <v>#REF!</v>
      </c>
      <c r="Y599" s="89" t="e">
        <f>#REF!</f>
        <v>#REF!</v>
      </c>
      <c r="Z599" s="89" t="e">
        <f>#REF!</f>
        <v>#REF!</v>
      </c>
      <c r="AA599" s="89" t="e">
        <f>#REF!</f>
        <v>#REF!</v>
      </c>
      <c r="AB599" s="89" t="e">
        <f>#REF!</f>
        <v>#REF!</v>
      </c>
      <c r="AC599" s="89" t="e">
        <f>#REF!</f>
        <v>#REF!</v>
      </c>
      <c r="AD599" s="89" t="e">
        <f>#REF!</f>
        <v>#REF!</v>
      </c>
      <c r="AE599" s="89" t="e">
        <f>#REF!</f>
        <v>#REF!</v>
      </c>
      <c r="AF599" s="89" t="e">
        <f>#REF!</f>
        <v>#REF!</v>
      </c>
      <c r="AG599" s="89" t="e">
        <f>#REF!</f>
        <v>#REF!</v>
      </c>
      <c r="AH599" s="89" t="e">
        <f>#REF!</f>
        <v>#REF!</v>
      </c>
      <c r="AI599" s="89" t="e">
        <f>#REF!</f>
        <v>#REF!</v>
      </c>
      <c r="AJ599" s="89" t="e">
        <f>#REF!</f>
        <v>#REF!</v>
      </c>
      <c r="AK599" s="89" t="e">
        <f>#REF!</f>
        <v>#REF!</v>
      </c>
      <c r="AL599" s="89" t="e">
        <f>#REF!</f>
        <v>#REF!</v>
      </c>
      <c r="AM599" s="89" t="e">
        <f>#REF!</f>
        <v>#REF!</v>
      </c>
      <c r="AN599" s="89" t="e">
        <f>#REF!</f>
        <v>#REF!</v>
      </c>
      <c r="AO599" s="89" t="e">
        <f>#REF!</f>
        <v>#REF!</v>
      </c>
      <c r="AP599" s="89" t="e">
        <f>#REF!</f>
        <v>#REF!</v>
      </c>
      <c r="AQ599" s="89" t="e">
        <f>#REF!</f>
        <v>#REF!</v>
      </c>
      <c r="AR599" s="89" t="e">
        <f>#REF!</f>
        <v>#REF!</v>
      </c>
      <c r="AS599" s="89" t="e">
        <f>#REF!</f>
        <v>#REF!</v>
      </c>
      <c r="AT599" s="89" t="e">
        <f>#REF!</f>
        <v>#REF!</v>
      </c>
      <c r="AU599" s="89" t="e">
        <f>#REF!</f>
        <v>#REF!</v>
      </c>
      <c r="AV599" s="89" t="e">
        <f>#REF!</f>
        <v>#REF!</v>
      </c>
      <c r="AW599" s="89" t="e">
        <f>#REF!</f>
        <v>#REF!</v>
      </c>
      <c r="AX599" s="89" t="e">
        <f>#REF!</f>
        <v>#REF!</v>
      </c>
      <c r="AY599" s="89" t="e">
        <f>#REF!</f>
        <v>#REF!</v>
      </c>
      <c r="AZ599" s="89" t="e">
        <f>#REF!</f>
        <v>#REF!</v>
      </c>
      <c r="BA599" s="89" t="e">
        <f>#REF!</f>
        <v>#REF!</v>
      </c>
      <c r="BB599" s="89" t="e">
        <f>#REF!</f>
        <v>#REF!</v>
      </c>
      <c r="BC599" s="89" t="e">
        <f>#REF!</f>
        <v>#REF!</v>
      </c>
      <c r="BD599" s="89" t="e">
        <f>#REF!</f>
        <v>#REF!</v>
      </c>
      <c r="BE599" s="89" t="e">
        <f>#REF!</f>
        <v>#REF!</v>
      </c>
      <c r="BF599" s="89" t="e">
        <f>#REF!</f>
        <v>#REF!</v>
      </c>
    </row>
    <row r="600" spans="9:58" x14ac:dyDescent="0.25">
      <c r="I600" s="89">
        <f>ABCD!J649</f>
        <v>149</v>
      </c>
      <c r="J600" s="89">
        <f>ABCD!K649</f>
        <v>488.71999999999997</v>
      </c>
      <c r="K600" s="89">
        <f>ABCD!L649</f>
        <v>3.0725074825228882</v>
      </c>
      <c r="L600" s="89">
        <f>ABCD!M649</f>
        <v>0.59981201643532689</v>
      </c>
      <c r="M600" s="89">
        <f>ABCD!N649</f>
        <v>3.1305074165731264</v>
      </c>
      <c r="N600" s="89" t="e">
        <v>#REF!</v>
      </c>
      <c r="O600" s="89" t="e">
        <v>#REF!</v>
      </c>
      <c r="P600" s="89" t="e">
        <v>#REF!</v>
      </c>
      <c r="Q600" s="89" t="e">
        <v>#REF!</v>
      </c>
      <c r="R600" s="89" t="e">
        <v>#REF!</v>
      </c>
      <c r="S600" s="89" t="e">
        <f>#REF!</f>
        <v>#REF!</v>
      </c>
      <c r="T600" s="89" t="e">
        <f>#REF!</f>
        <v>#REF!</v>
      </c>
      <c r="U600" s="89" t="e">
        <f>#REF!</f>
        <v>#REF!</v>
      </c>
      <c r="V600" s="89" t="e">
        <f>#REF!</f>
        <v>#REF!</v>
      </c>
      <c r="W600" s="89" t="e">
        <f>#REF!</f>
        <v>#REF!</v>
      </c>
      <c r="X600" s="89" t="e">
        <f>#REF!</f>
        <v>#REF!</v>
      </c>
      <c r="Y600" s="89" t="e">
        <f>#REF!</f>
        <v>#REF!</v>
      </c>
      <c r="Z600" s="89" t="e">
        <f>#REF!</f>
        <v>#REF!</v>
      </c>
      <c r="AA600" s="89" t="e">
        <f>#REF!</f>
        <v>#REF!</v>
      </c>
      <c r="AB600" s="89" t="e">
        <f>#REF!</f>
        <v>#REF!</v>
      </c>
      <c r="AC600" s="89" t="e">
        <f>#REF!</f>
        <v>#REF!</v>
      </c>
      <c r="AD600" s="89" t="e">
        <f>#REF!</f>
        <v>#REF!</v>
      </c>
      <c r="AE600" s="89" t="e">
        <f>#REF!</f>
        <v>#REF!</v>
      </c>
      <c r="AF600" s="89" t="e">
        <f>#REF!</f>
        <v>#REF!</v>
      </c>
      <c r="AG600" s="89" t="e">
        <f>#REF!</f>
        <v>#REF!</v>
      </c>
      <c r="AH600" s="89" t="e">
        <f>#REF!</f>
        <v>#REF!</v>
      </c>
      <c r="AI600" s="89" t="e">
        <f>#REF!</f>
        <v>#REF!</v>
      </c>
      <c r="AJ600" s="89" t="e">
        <f>#REF!</f>
        <v>#REF!</v>
      </c>
      <c r="AK600" s="89" t="e">
        <f>#REF!</f>
        <v>#REF!</v>
      </c>
      <c r="AL600" s="89" t="e">
        <f>#REF!</f>
        <v>#REF!</v>
      </c>
      <c r="AM600" s="89" t="e">
        <f>#REF!</f>
        <v>#REF!</v>
      </c>
      <c r="AN600" s="89" t="e">
        <f>#REF!</f>
        <v>#REF!</v>
      </c>
      <c r="AO600" s="89" t="e">
        <f>#REF!</f>
        <v>#REF!</v>
      </c>
      <c r="AP600" s="89" t="e">
        <f>#REF!</f>
        <v>#REF!</v>
      </c>
      <c r="AQ600" s="89" t="e">
        <f>#REF!</f>
        <v>#REF!</v>
      </c>
      <c r="AR600" s="89" t="e">
        <f>#REF!</f>
        <v>#REF!</v>
      </c>
      <c r="AS600" s="89" t="e">
        <f>#REF!</f>
        <v>#REF!</v>
      </c>
      <c r="AT600" s="89" t="e">
        <f>#REF!</f>
        <v>#REF!</v>
      </c>
      <c r="AU600" s="89" t="e">
        <f>#REF!</f>
        <v>#REF!</v>
      </c>
      <c r="AV600" s="89" t="e">
        <f>#REF!</f>
        <v>#REF!</v>
      </c>
      <c r="AW600" s="89" t="e">
        <f>#REF!</f>
        <v>#REF!</v>
      </c>
      <c r="AX600" s="89" t="e">
        <f>#REF!</f>
        <v>#REF!</v>
      </c>
      <c r="AY600" s="89" t="e">
        <f>#REF!</f>
        <v>#REF!</v>
      </c>
      <c r="AZ600" s="89" t="e">
        <f>#REF!</f>
        <v>#REF!</v>
      </c>
      <c r="BA600" s="89" t="e">
        <f>#REF!</f>
        <v>#REF!</v>
      </c>
      <c r="BB600" s="89" t="e">
        <f>#REF!</f>
        <v>#REF!</v>
      </c>
      <c r="BC600" s="89" t="e">
        <f>#REF!</f>
        <v>#REF!</v>
      </c>
      <c r="BD600" s="89" t="e">
        <f>#REF!</f>
        <v>#REF!</v>
      </c>
      <c r="BE600" s="89" t="e">
        <f>#REF!</f>
        <v>#REF!</v>
      </c>
      <c r="BF600" s="89" t="e">
        <f>#REF!</f>
        <v>#REF!</v>
      </c>
    </row>
    <row r="601" spans="9:58" x14ac:dyDescent="0.25">
      <c r="I601" s="89">
        <f>ABCD!J650</f>
        <v>149.25</v>
      </c>
      <c r="J601" s="89">
        <f>ABCD!K650</f>
        <v>489.53999999999996</v>
      </c>
      <c r="K601" s="89">
        <f>ABCD!L650</f>
        <v>3.0037225140243917</v>
      </c>
      <c r="L601" s="89">
        <f>ABCD!M650</f>
        <v>0.5876989723916497</v>
      </c>
      <c r="M601" s="89">
        <f>ABCD!N650</f>
        <v>3.06067623629276</v>
      </c>
      <c r="N601" s="89" t="e">
        <v>#REF!</v>
      </c>
      <c r="O601" s="89" t="e">
        <v>#REF!</v>
      </c>
      <c r="P601" s="89" t="e">
        <v>#REF!</v>
      </c>
      <c r="Q601" s="89" t="e">
        <v>#REF!</v>
      </c>
      <c r="R601" s="89" t="e">
        <v>#REF!</v>
      </c>
      <c r="S601" s="89" t="e">
        <f>#REF!</f>
        <v>#REF!</v>
      </c>
      <c r="T601" s="89" t="e">
        <f>#REF!</f>
        <v>#REF!</v>
      </c>
      <c r="U601" s="89" t="e">
        <f>#REF!</f>
        <v>#REF!</v>
      </c>
      <c r="V601" s="89" t="e">
        <f>#REF!</f>
        <v>#REF!</v>
      </c>
      <c r="W601" s="89" t="e">
        <f>#REF!</f>
        <v>#REF!</v>
      </c>
      <c r="X601" s="89" t="e">
        <f>#REF!</f>
        <v>#REF!</v>
      </c>
      <c r="Y601" s="89" t="e">
        <f>#REF!</f>
        <v>#REF!</v>
      </c>
      <c r="Z601" s="89" t="e">
        <f>#REF!</f>
        <v>#REF!</v>
      </c>
      <c r="AA601" s="89" t="e">
        <f>#REF!</f>
        <v>#REF!</v>
      </c>
      <c r="AB601" s="89" t="e">
        <f>#REF!</f>
        <v>#REF!</v>
      </c>
      <c r="AC601" s="89" t="e">
        <f>#REF!</f>
        <v>#REF!</v>
      </c>
      <c r="AD601" s="89" t="e">
        <f>#REF!</f>
        <v>#REF!</v>
      </c>
      <c r="AE601" s="89" t="e">
        <f>#REF!</f>
        <v>#REF!</v>
      </c>
      <c r="AF601" s="89" t="e">
        <f>#REF!</f>
        <v>#REF!</v>
      </c>
      <c r="AG601" s="89" t="e">
        <f>#REF!</f>
        <v>#REF!</v>
      </c>
      <c r="AH601" s="89" t="e">
        <f>#REF!</f>
        <v>#REF!</v>
      </c>
      <c r="AI601" s="89" t="e">
        <f>#REF!</f>
        <v>#REF!</v>
      </c>
      <c r="AJ601" s="89" t="e">
        <f>#REF!</f>
        <v>#REF!</v>
      </c>
      <c r="AK601" s="89" t="e">
        <f>#REF!</f>
        <v>#REF!</v>
      </c>
      <c r="AL601" s="89" t="e">
        <f>#REF!</f>
        <v>#REF!</v>
      </c>
      <c r="AM601" s="89" t="e">
        <f>#REF!</f>
        <v>#REF!</v>
      </c>
      <c r="AN601" s="89" t="e">
        <f>#REF!</f>
        <v>#REF!</v>
      </c>
      <c r="AO601" s="89" t="e">
        <f>#REF!</f>
        <v>#REF!</v>
      </c>
      <c r="AP601" s="89" t="e">
        <f>#REF!</f>
        <v>#REF!</v>
      </c>
      <c r="AQ601" s="89" t="e">
        <f>#REF!</f>
        <v>#REF!</v>
      </c>
      <c r="AR601" s="89" t="e">
        <f>#REF!</f>
        <v>#REF!</v>
      </c>
      <c r="AS601" s="89" t="e">
        <f>#REF!</f>
        <v>#REF!</v>
      </c>
      <c r="AT601" s="89" t="e">
        <f>#REF!</f>
        <v>#REF!</v>
      </c>
      <c r="AU601" s="89" t="e">
        <f>#REF!</f>
        <v>#REF!</v>
      </c>
      <c r="AV601" s="89" t="e">
        <f>#REF!</f>
        <v>#REF!</v>
      </c>
      <c r="AW601" s="89" t="e">
        <f>#REF!</f>
        <v>#REF!</v>
      </c>
      <c r="AX601" s="89" t="e">
        <f>#REF!</f>
        <v>#REF!</v>
      </c>
      <c r="AY601" s="89" t="e">
        <f>#REF!</f>
        <v>#REF!</v>
      </c>
      <c r="AZ601" s="89" t="e">
        <f>#REF!</f>
        <v>#REF!</v>
      </c>
      <c r="BA601" s="89" t="e">
        <f>#REF!</f>
        <v>#REF!</v>
      </c>
      <c r="BB601" s="89" t="e">
        <f>#REF!</f>
        <v>#REF!</v>
      </c>
      <c r="BC601" s="89" t="e">
        <f>#REF!</f>
        <v>#REF!</v>
      </c>
      <c r="BD601" s="89" t="e">
        <f>#REF!</f>
        <v>#REF!</v>
      </c>
      <c r="BE601" s="89" t="e">
        <f>#REF!</f>
        <v>#REF!</v>
      </c>
      <c r="BF601" s="89" t="e">
        <f>#REF!</f>
        <v>#REF!</v>
      </c>
    </row>
    <row r="602" spans="9:58" x14ac:dyDescent="0.25">
      <c r="I602" s="89">
        <f>ABCD!J651</f>
        <v>149.5</v>
      </c>
      <c r="J602" s="89">
        <f>ABCD!K651</f>
        <v>490.35999999999996</v>
      </c>
      <c r="K602" s="89">
        <f>ABCD!L651</f>
        <v>2.9343060416119844</v>
      </c>
      <c r="L602" s="89">
        <f>ABCD!M651</f>
        <v>0.57546116012037296</v>
      </c>
      <c r="M602" s="89">
        <f>ABCD!N651</f>
        <v>2.9902019150297661</v>
      </c>
      <c r="N602" s="89" t="e">
        <v>#REF!</v>
      </c>
      <c r="O602" s="89" t="e">
        <v>#REF!</v>
      </c>
      <c r="P602" s="89" t="e">
        <v>#REF!</v>
      </c>
      <c r="Q602" s="89" t="e">
        <v>#REF!</v>
      </c>
      <c r="R602" s="89" t="e">
        <v>#REF!</v>
      </c>
      <c r="S602" s="89" t="e">
        <f>#REF!</f>
        <v>#REF!</v>
      </c>
      <c r="T602" s="89" t="e">
        <f>#REF!</f>
        <v>#REF!</v>
      </c>
      <c r="U602" s="89" t="e">
        <f>#REF!</f>
        <v>#REF!</v>
      </c>
      <c r="V602" s="89" t="e">
        <f>#REF!</f>
        <v>#REF!</v>
      </c>
      <c r="W602" s="89" t="e">
        <f>#REF!</f>
        <v>#REF!</v>
      </c>
      <c r="X602" s="89" t="e">
        <f>#REF!</f>
        <v>#REF!</v>
      </c>
      <c r="Y602" s="89" t="e">
        <f>#REF!</f>
        <v>#REF!</v>
      </c>
      <c r="Z602" s="89" t="e">
        <f>#REF!</f>
        <v>#REF!</v>
      </c>
      <c r="AA602" s="89" t="e">
        <f>#REF!</f>
        <v>#REF!</v>
      </c>
      <c r="AB602" s="89" t="e">
        <f>#REF!</f>
        <v>#REF!</v>
      </c>
      <c r="AC602" s="89" t="e">
        <f>#REF!</f>
        <v>#REF!</v>
      </c>
      <c r="AD602" s="89" t="e">
        <f>#REF!</f>
        <v>#REF!</v>
      </c>
      <c r="AE602" s="89" t="e">
        <f>#REF!</f>
        <v>#REF!</v>
      </c>
      <c r="AF602" s="89" t="e">
        <f>#REF!</f>
        <v>#REF!</v>
      </c>
      <c r="AG602" s="89" t="e">
        <f>#REF!</f>
        <v>#REF!</v>
      </c>
      <c r="AH602" s="89" t="e">
        <f>#REF!</f>
        <v>#REF!</v>
      </c>
      <c r="AI602" s="89" t="e">
        <f>#REF!</f>
        <v>#REF!</v>
      </c>
      <c r="AJ602" s="89" t="e">
        <f>#REF!</f>
        <v>#REF!</v>
      </c>
      <c r="AK602" s="89" t="e">
        <f>#REF!</f>
        <v>#REF!</v>
      </c>
      <c r="AL602" s="89" t="e">
        <f>#REF!</f>
        <v>#REF!</v>
      </c>
      <c r="AM602" s="89" t="e">
        <f>#REF!</f>
        <v>#REF!</v>
      </c>
      <c r="AN602" s="89" t="e">
        <f>#REF!</f>
        <v>#REF!</v>
      </c>
      <c r="AO602" s="89" t="e">
        <f>#REF!</f>
        <v>#REF!</v>
      </c>
      <c r="AP602" s="89" t="e">
        <f>#REF!</f>
        <v>#REF!</v>
      </c>
      <c r="AQ602" s="89" t="e">
        <f>#REF!</f>
        <v>#REF!</v>
      </c>
      <c r="AR602" s="89" t="e">
        <f>#REF!</f>
        <v>#REF!</v>
      </c>
      <c r="AS602" s="89" t="e">
        <f>#REF!</f>
        <v>#REF!</v>
      </c>
      <c r="AT602" s="89" t="e">
        <f>#REF!</f>
        <v>#REF!</v>
      </c>
      <c r="AU602" s="89" t="e">
        <f>#REF!</f>
        <v>#REF!</v>
      </c>
      <c r="AV602" s="89" t="e">
        <f>#REF!</f>
        <v>#REF!</v>
      </c>
      <c r="AW602" s="89" t="e">
        <f>#REF!</f>
        <v>#REF!</v>
      </c>
      <c r="AX602" s="89" t="e">
        <f>#REF!</f>
        <v>#REF!</v>
      </c>
      <c r="AY602" s="89" t="e">
        <f>#REF!</f>
        <v>#REF!</v>
      </c>
      <c r="AZ602" s="89" t="e">
        <f>#REF!</f>
        <v>#REF!</v>
      </c>
      <c r="BA602" s="89" t="e">
        <f>#REF!</f>
        <v>#REF!</v>
      </c>
      <c r="BB602" s="89" t="e">
        <f>#REF!</f>
        <v>#REF!</v>
      </c>
      <c r="BC602" s="89" t="e">
        <f>#REF!</f>
        <v>#REF!</v>
      </c>
      <c r="BD602" s="89" t="e">
        <f>#REF!</f>
        <v>#REF!</v>
      </c>
      <c r="BE602" s="89" t="e">
        <f>#REF!</f>
        <v>#REF!</v>
      </c>
      <c r="BF602" s="89" t="e">
        <f>#REF!</f>
        <v>#REF!</v>
      </c>
    </row>
    <row r="603" spans="9:58" x14ac:dyDescent="0.25">
      <c r="I603" s="89">
        <f>ABCD!J652</f>
        <v>149.75</v>
      </c>
      <c r="J603" s="89">
        <f>ABCD!K652</f>
        <v>491.17999999999995</v>
      </c>
      <c r="K603" s="89">
        <f>ABCD!L652</f>
        <v>2.8642746575566616</v>
      </c>
      <c r="L603" s="89">
        <f>ABCD!M652</f>
        <v>0.56310151685213383</v>
      </c>
      <c r="M603" s="89">
        <f>ABCD!N652</f>
        <v>2.9191013398308914</v>
      </c>
      <c r="N603" s="89" t="e">
        <v>#REF!</v>
      </c>
      <c r="O603" s="89" t="e">
        <v>#REF!</v>
      </c>
      <c r="P603" s="89" t="e">
        <v>#REF!</v>
      </c>
      <c r="Q603" s="89" t="e">
        <v>#REF!</v>
      </c>
      <c r="R603" s="89" t="e">
        <v>#REF!</v>
      </c>
      <c r="S603" s="89" t="e">
        <f>#REF!</f>
        <v>#REF!</v>
      </c>
      <c r="T603" s="89" t="e">
        <f>#REF!</f>
        <v>#REF!</v>
      </c>
      <c r="U603" s="89" t="e">
        <f>#REF!</f>
        <v>#REF!</v>
      </c>
      <c r="V603" s="89" t="e">
        <f>#REF!</f>
        <v>#REF!</v>
      </c>
      <c r="W603" s="89" t="e">
        <f>#REF!</f>
        <v>#REF!</v>
      </c>
      <c r="X603" s="89" t="e">
        <f>#REF!</f>
        <v>#REF!</v>
      </c>
      <c r="Y603" s="89" t="e">
        <f>#REF!</f>
        <v>#REF!</v>
      </c>
      <c r="Z603" s="89" t="e">
        <f>#REF!</f>
        <v>#REF!</v>
      </c>
      <c r="AA603" s="89" t="e">
        <f>#REF!</f>
        <v>#REF!</v>
      </c>
      <c r="AB603" s="89" t="e">
        <f>#REF!</f>
        <v>#REF!</v>
      </c>
      <c r="AC603" s="89" t="e">
        <f>#REF!</f>
        <v>#REF!</v>
      </c>
      <c r="AD603" s="89" t="e">
        <f>#REF!</f>
        <v>#REF!</v>
      </c>
      <c r="AE603" s="89" t="e">
        <f>#REF!</f>
        <v>#REF!</v>
      </c>
      <c r="AF603" s="89" t="e">
        <f>#REF!</f>
        <v>#REF!</v>
      </c>
      <c r="AG603" s="89" t="e">
        <f>#REF!</f>
        <v>#REF!</v>
      </c>
      <c r="AH603" s="89" t="e">
        <f>#REF!</f>
        <v>#REF!</v>
      </c>
      <c r="AI603" s="89" t="e">
        <f>#REF!</f>
        <v>#REF!</v>
      </c>
      <c r="AJ603" s="89" t="e">
        <f>#REF!</f>
        <v>#REF!</v>
      </c>
      <c r="AK603" s="89" t="e">
        <f>#REF!</f>
        <v>#REF!</v>
      </c>
      <c r="AL603" s="89" t="e">
        <f>#REF!</f>
        <v>#REF!</v>
      </c>
      <c r="AM603" s="89" t="e">
        <f>#REF!</f>
        <v>#REF!</v>
      </c>
      <c r="AN603" s="89" t="e">
        <f>#REF!</f>
        <v>#REF!</v>
      </c>
      <c r="AO603" s="89" t="e">
        <f>#REF!</f>
        <v>#REF!</v>
      </c>
      <c r="AP603" s="89" t="e">
        <f>#REF!</f>
        <v>#REF!</v>
      </c>
      <c r="AQ603" s="89" t="e">
        <f>#REF!</f>
        <v>#REF!</v>
      </c>
      <c r="AR603" s="89" t="e">
        <f>#REF!</f>
        <v>#REF!</v>
      </c>
      <c r="AS603" s="89" t="e">
        <f>#REF!</f>
        <v>#REF!</v>
      </c>
      <c r="AT603" s="89" t="e">
        <f>#REF!</f>
        <v>#REF!</v>
      </c>
      <c r="AU603" s="89" t="e">
        <f>#REF!</f>
        <v>#REF!</v>
      </c>
      <c r="AV603" s="89" t="e">
        <f>#REF!</f>
        <v>#REF!</v>
      </c>
      <c r="AW603" s="89" t="e">
        <f>#REF!</f>
        <v>#REF!</v>
      </c>
      <c r="AX603" s="89" t="e">
        <f>#REF!</f>
        <v>#REF!</v>
      </c>
      <c r="AY603" s="89" t="e">
        <f>#REF!</f>
        <v>#REF!</v>
      </c>
      <c r="AZ603" s="89" t="e">
        <f>#REF!</f>
        <v>#REF!</v>
      </c>
      <c r="BA603" s="89" t="e">
        <f>#REF!</f>
        <v>#REF!</v>
      </c>
      <c r="BB603" s="89" t="e">
        <f>#REF!</f>
        <v>#REF!</v>
      </c>
      <c r="BC603" s="89" t="e">
        <f>#REF!</f>
        <v>#REF!</v>
      </c>
      <c r="BD603" s="89" t="e">
        <f>#REF!</f>
        <v>#REF!</v>
      </c>
      <c r="BE603" s="89" t="e">
        <f>#REF!</f>
        <v>#REF!</v>
      </c>
      <c r="BF603" s="89" t="e">
        <f>#REF!</f>
        <v>#REF!</v>
      </c>
    </row>
    <row r="604" spans="9:58" x14ac:dyDescent="0.25">
      <c r="I604" s="89">
        <f>ABCD!J653</f>
        <v>150</v>
      </c>
      <c r="J604" s="89">
        <f>ABCD!K653</f>
        <v>491.99999999999994</v>
      </c>
      <c r="K604" s="89">
        <f>ABCD!L653</f>
        <v>2.7936450811499656</v>
      </c>
      <c r="L604" s="89">
        <f>ABCD!M653</f>
        <v>0.55062300529884745</v>
      </c>
      <c r="M604" s="89">
        <f>ABCD!N653</f>
        <v>2.8473915314543121</v>
      </c>
      <c r="N604" s="89" t="e">
        <v>#REF!</v>
      </c>
      <c r="O604" s="89" t="e">
        <v>#REF!</v>
      </c>
      <c r="P604" s="89" t="e">
        <v>#REF!</v>
      </c>
      <c r="Q604" s="89" t="e">
        <v>#REF!</v>
      </c>
      <c r="R604" s="89" t="e">
        <v>#REF!</v>
      </c>
      <c r="S604" s="89" t="e">
        <f>#REF!</f>
        <v>#REF!</v>
      </c>
      <c r="T604" s="89" t="e">
        <f>#REF!</f>
        <v>#REF!</v>
      </c>
      <c r="U604" s="89" t="e">
        <f>#REF!</f>
        <v>#REF!</v>
      </c>
      <c r="V604" s="89" t="e">
        <f>#REF!</f>
        <v>#REF!</v>
      </c>
      <c r="W604" s="89" t="e">
        <f>#REF!</f>
        <v>#REF!</v>
      </c>
      <c r="X604" s="89" t="e">
        <f>#REF!</f>
        <v>#REF!</v>
      </c>
      <c r="Y604" s="89" t="e">
        <f>#REF!</f>
        <v>#REF!</v>
      </c>
      <c r="Z604" s="89" t="e">
        <f>#REF!</f>
        <v>#REF!</v>
      </c>
      <c r="AA604" s="89" t="e">
        <f>#REF!</f>
        <v>#REF!</v>
      </c>
      <c r="AB604" s="89" t="e">
        <f>#REF!</f>
        <v>#REF!</v>
      </c>
      <c r="AC604" s="89" t="e">
        <f>#REF!</f>
        <v>#REF!</v>
      </c>
      <c r="AD604" s="89" t="e">
        <f>#REF!</f>
        <v>#REF!</v>
      </c>
      <c r="AE604" s="89" t="e">
        <f>#REF!</f>
        <v>#REF!</v>
      </c>
      <c r="AF604" s="89" t="e">
        <f>#REF!</f>
        <v>#REF!</v>
      </c>
      <c r="AG604" s="89" t="e">
        <f>#REF!</f>
        <v>#REF!</v>
      </c>
      <c r="AH604" s="89" t="e">
        <f>#REF!</f>
        <v>#REF!</v>
      </c>
      <c r="AI604" s="89" t="e">
        <f>#REF!</f>
        <v>#REF!</v>
      </c>
      <c r="AJ604" s="89" t="e">
        <f>#REF!</f>
        <v>#REF!</v>
      </c>
      <c r="AK604" s="89" t="e">
        <f>#REF!</f>
        <v>#REF!</v>
      </c>
      <c r="AL604" s="89" t="e">
        <f>#REF!</f>
        <v>#REF!</v>
      </c>
      <c r="AM604" s="89" t="e">
        <f>#REF!</f>
        <v>#REF!</v>
      </c>
      <c r="AN604" s="89" t="e">
        <f>#REF!</f>
        <v>#REF!</v>
      </c>
      <c r="AO604" s="89" t="e">
        <f>#REF!</f>
        <v>#REF!</v>
      </c>
      <c r="AP604" s="89" t="e">
        <f>#REF!</f>
        <v>#REF!</v>
      </c>
      <c r="AQ604" s="89" t="e">
        <f>#REF!</f>
        <v>#REF!</v>
      </c>
      <c r="AR604" s="89" t="e">
        <f>#REF!</f>
        <v>#REF!</v>
      </c>
      <c r="AS604" s="89" t="e">
        <f>#REF!</f>
        <v>#REF!</v>
      </c>
      <c r="AT604" s="89" t="e">
        <f>#REF!</f>
        <v>#REF!</v>
      </c>
      <c r="AU604" s="89" t="e">
        <f>#REF!</f>
        <v>#REF!</v>
      </c>
      <c r="AV604" s="89" t="e">
        <f>#REF!</f>
        <v>#REF!</v>
      </c>
      <c r="AW604" s="89" t="e">
        <f>#REF!</f>
        <v>#REF!</v>
      </c>
      <c r="AX604" s="89" t="e">
        <f>#REF!</f>
        <v>#REF!</v>
      </c>
      <c r="AY604" s="89" t="e">
        <f>#REF!</f>
        <v>#REF!</v>
      </c>
      <c r="AZ604" s="89" t="e">
        <f>#REF!</f>
        <v>#REF!</v>
      </c>
      <c r="BA604" s="89" t="e">
        <f>#REF!</f>
        <v>#REF!</v>
      </c>
      <c r="BB604" s="89" t="e">
        <f>#REF!</f>
        <v>#REF!</v>
      </c>
      <c r="BC604" s="89" t="e">
        <f>#REF!</f>
        <v>#REF!</v>
      </c>
      <c r="BD604" s="89" t="e">
        <f>#REF!</f>
        <v>#REF!</v>
      </c>
      <c r="BE604" s="89" t="e">
        <f>#REF!</f>
        <v>#REF!</v>
      </c>
      <c r="BF604" s="89" t="e">
        <f>#REF!</f>
        <v>#REF!</v>
      </c>
    </row>
    <row r="605" spans="9:58" x14ac:dyDescent="0.25">
      <c r="I605" s="89">
        <f>ABCD!J654</f>
        <v>150.25</v>
      </c>
      <c r="J605" s="89">
        <f>ABCD!K654</f>
        <v>492.82</v>
      </c>
      <c r="K605" s="89">
        <f>ABCD!L654</f>
        <v>2.7224341547302</v>
      </c>
      <c r="L605" s="89">
        <f>ABCD!M654</f>
        <v>0.53802861294687432</v>
      </c>
      <c r="M605" s="89">
        <f>ABCD!N654</f>
        <v>2.7750896409289334</v>
      </c>
      <c r="N605" s="89" t="e">
        <v>#REF!</v>
      </c>
      <c r="O605" s="89" t="e">
        <v>#REF!</v>
      </c>
      <c r="P605" s="89" t="e">
        <v>#REF!</v>
      </c>
      <c r="Q605" s="89" t="e">
        <v>#REF!</v>
      </c>
      <c r="R605" s="89" t="e">
        <v>#REF!</v>
      </c>
      <c r="S605" s="89" t="e">
        <f>#REF!</f>
        <v>#REF!</v>
      </c>
      <c r="T605" s="89" t="e">
        <f>#REF!</f>
        <v>#REF!</v>
      </c>
      <c r="U605" s="89" t="e">
        <f>#REF!</f>
        <v>#REF!</v>
      </c>
      <c r="V605" s="89" t="e">
        <f>#REF!</f>
        <v>#REF!</v>
      </c>
      <c r="W605" s="89" t="e">
        <f>#REF!</f>
        <v>#REF!</v>
      </c>
      <c r="X605" s="89" t="e">
        <f>#REF!</f>
        <v>#REF!</v>
      </c>
      <c r="Y605" s="89" t="e">
        <f>#REF!</f>
        <v>#REF!</v>
      </c>
      <c r="Z605" s="89" t="e">
        <f>#REF!</f>
        <v>#REF!</v>
      </c>
      <c r="AA605" s="89" t="e">
        <f>#REF!</f>
        <v>#REF!</v>
      </c>
      <c r="AB605" s="89" t="e">
        <f>#REF!</f>
        <v>#REF!</v>
      </c>
      <c r="AC605" s="89" t="e">
        <f>#REF!</f>
        <v>#REF!</v>
      </c>
      <c r="AD605" s="89" t="e">
        <f>#REF!</f>
        <v>#REF!</v>
      </c>
      <c r="AE605" s="89" t="e">
        <f>#REF!</f>
        <v>#REF!</v>
      </c>
      <c r="AF605" s="89" t="e">
        <f>#REF!</f>
        <v>#REF!</v>
      </c>
      <c r="AG605" s="89" t="e">
        <f>#REF!</f>
        <v>#REF!</v>
      </c>
      <c r="AH605" s="89" t="e">
        <f>#REF!</f>
        <v>#REF!</v>
      </c>
      <c r="AI605" s="89" t="e">
        <f>#REF!</f>
        <v>#REF!</v>
      </c>
      <c r="AJ605" s="89" t="e">
        <f>#REF!</f>
        <v>#REF!</v>
      </c>
      <c r="AK605" s="89" t="e">
        <f>#REF!</f>
        <v>#REF!</v>
      </c>
      <c r="AL605" s="89" t="e">
        <f>#REF!</f>
        <v>#REF!</v>
      </c>
      <c r="AM605" s="89" t="e">
        <f>#REF!</f>
        <v>#REF!</v>
      </c>
      <c r="AN605" s="89" t="e">
        <f>#REF!</f>
        <v>#REF!</v>
      </c>
      <c r="AO605" s="89" t="e">
        <f>#REF!</f>
        <v>#REF!</v>
      </c>
      <c r="AP605" s="89" t="e">
        <f>#REF!</f>
        <v>#REF!</v>
      </c>
      <c r="AQ605" s="89" t="e">
        <f>#REF!</f>
        <v>#REF!</v>
      </c>
      <c r="AR605" s="89" t="e">
        <f>#REF!</f>
        <v>#REF!</v>
      </c>
      <c r="AS605" s="89" t="e">
        <f>#REF!</f>
        <v>#REF!</v>
      </c>
      <c r="AT605" s="89" t="e">
        <f>#REF!</f>
        <v>#REF!</v>
      </c>
      <c r="AU605" s="89" t="e">
        <f>#REF!</f>
        <v>#REF!</v>
      </c>
      <c r="AV605" s="89" t="e">
        <f>#REF!</f>
        <v>#REF!</v>
      </c>
      <c r="AW605" s="89" t="e">
        <f>#REF!</f>
        <v>#REF!</v>
      </c>
      <c r="AX605" s="89" t="e">
        <f>#REF!</f>
        <v>#REF!</v>
      </c>
      <c r="AY605" s="89" t="e">
        <f>#REF!</f>
        <v>#REF!</v>
      </c>
      <c r="AZ605" s="89" t="e">
        <f>#REF!</f>
        <v>#REF!</v>
      </c>
      <c r="BA605" s="89" t="e">
        <f>#REF!</f>
        <v>#REF!</v>
      </c>
      <c r="BB605" s="89" t="e">
        <f>#REF!</f>
        <v>#REF!</v>
      </c>
      <c r="BC605" s="89" t="e">
        <f>#REF!</f>
        <v>#REF!</v>
      </c>
      <c r="BD605" s="89" t="e">
        <f>#REF!</f>
        <v>#REF!</v>
      </c>
      <c r="BE605" s="89" t="e">
        <f>#REF!</f>
        <v>#REF!</v>
      </c>
      <c r="BF605" s="89" t="e">
        <f>#REF!</f>
        <v>#REF!</v>
      </c>
    </row>
    <row r="606" spans="9:58" x14ac:dyDescent="0.25">
      <c r="I606" s="89">
        <f>ABCD!J655</f>
        <v>150.5</v>
      </c>
      <c r="J606" s="89">
        <f>ABCD!K655</f>
        <v>493.64</v>
      </c>
      <c r="K606" s="89">
        <f>ABCD!L655</f>
        <v>2.6506588396838637</v>
      </c>
      <c r="L606" s="89">
        <f>ABCD!M655</f>
        <v>0.5253213513450925</v>
      </c>
      <c r="M606" s="89">
        <f>ABCD!N655</f>
        <v>2.7022129461930349</v>
      </c>
      <c r="N606" s="89" t="e">
        <v>#REF!</v>
      </c>
      <c r="O606" s="89" t="e">
        <v>#REF!</v>
      </c>
      <c r="P606" s="89" t="e">
        <v>#REF!</v>
      </c>
      <c r="Q606" s="89" t="e">
        <v>#REF!</v>
      </c>
      <c r="R606" s="89" t="e">
        <v>#REF!</v>
      </c>
      <c r="S606" s="89" t="e">
        <f>#REF!</f>
        <v>#REF!</v>
      </c>
      <c r="T606" s="89" t="e">
        <f>#REF!</f>
        <v>#REF!</v>
      </c>
      <c r="U606" s="89" t="e">
        <f>#REF!</f>
        <v>#REF!</v>
      </c>
      <c r="V606" s="89" t="e">
        <f>#REF!</f>
        <v>#REF!</v>
      </c>
      <c r="W606" s="89" t="e">
        <f>#REF!</f>
        <v>#REF!</v>
      </c>
      <c r="X606" s="89" t="e">
        <f>#REF!</f>
        <v>#REF!</v>
      </c>
      <c r="Y606" s="89" t="e">
        <f>#REF!</f>
        <v>#REF!</v>
      </c>
      <c r="Z606" s="89" t="e">
        <f>#REF!</f>
        <v>#REF!</v>
      </c>
      <c r="AA606" s="89" t="e">
        <f>#REF!</f>
        <v>#REF!</v>
      </c>
      <c r="AB606" s="89" t="e">
        <f>#REF!</f>
        <v>#REF!</v>
      </c>
      <c r="AC606" s="89" t="e">
        <f>#REF!</f>
        <v>#REF!</v>
      </c>
      <c r="AD606" s="89" t="e">
        <f>#REF!</f>
        <v>#REF!</v>
      </c>
      <c r="AE606" s="89" t="e">
        <f>#REF!</f>
        <v>#REF!</v>
      </c>
      <c r="AF606" s="89" t="e">
        <f>#REF!</f>
        <v>#REF!</v>
      </c>
      <c r="AG606" s="89" t="e">
        <f>#REF!</f>
        <v>#REF!</v>
      </c>
      <c r="AH606" s="89" t="e">
        <f>#REF!</f>
        <v>#REF!</v>
      </c>
      <c r="AI606" s="89" t="e">
        <f>#REF!</f>
        <v>#REF!</v>
      </c>
      <c r="AJ606" s="89" t="e">
        <f>#REF!</f>
        <v>#REF!</v>
      </c>
      <c r="AK606" s="89" t="e">
        <f>#REF!</f>
        <v>#REF!</v>
      </c>
      <c r="AL606" s="89" t="e">
        <f>#REF!</f>
        <v>#REF!</v>
      </c>
      <c r="AM606" s="89" t="e">
        <f>#REF!</f>
        <v>#REF!</v>
      </c>
      <c r="AN606" s="89" t="e">
        <f>#REF!</f>
        <v>#REF!</v>
      </c>
      <c r="AO606" s="89" t="e">
        <f>#REF!</f>
        <v>#REF!</v>
      </c>
      <c r="AP606" s="89" t="e">
        <f>#REF!</f>
        <v>#REF!</v>
      </c>
      <c r="AQ606" s="89" t="e">
        <f>#REF!</f>
        <v>#REF!</v>
      </c>
      <c r="AR606" s="89" t="e">
        <f>#REF!</f>
        <v>#REF!</v>
      </c>
      <c r="AS606" s="89" t="e">
        <f>#REF!</f>
        <v>#REF!</v>
      </c>
      <c r="AT606" s="89" t="e">
        <f>#REF!</f>
        <v>#REF!</v>
      </c>
      <c r="AU606" s="89" t="e">
        <f>#REF!</f>
        <v>#REF!</v>
      </c>
      <c r="AV606" s="89" t="e">
        <f>#REF!</f>
        <v>#REF!</v>
      </c>
      <c r="AW606" s="89" t="e">
        <f>#REF!</f>
        <v>#REF!</v>
      </c>
      <c r="AX606" s="89" t="e">
        <f>#REF!</f>
        <v>#REF!</v>
      </c>
      <c r="AY606" s="89" t="e">
        <f>#REF!</f>
        <v>#REF!</v>
      </c>
      <c r="AZ606" s="89" t="e">
        <f>#REF!</f>
        <v>#REF!</v>
      </c>
      <c r="BA606" s="89" t="e">
        <f>#REF!</f>
        <v>#REF!</v>
      </c>
      <c r="BB606" s="89" t="e">
        <f>#REF!</f>
        <v>#REF!</v>
      </c>
      <c r="BC606" s="89" t="e">
        <f>#REF!</f>
        <v>#REF!</v>
      </c>
      <c r="BD606" s="89" t="e">
        <f>#REF!</f>
        <v>#REF!</v>
      </c>
      <c r="BE606" s="89" t="e">
        <f>#REF!</f>
        <v>#REF!</v>
      </c>
      <c r="BF606" s="89" t="e">
        <f>#REF!</f>
        <v>#REF!</v>
      </c>
    </row>
    <row r="607" spans="9:58" x14ac:dyDescent="0.25">
      <c r="I607" s="89">
        <f>ABCD!J656</f>
        <v>150.75</v>
      </c>
      <c r="J607" s="89">
        <f>ABCD!K656</f>
        <v>494.46</v>
      </c>
      <c r="K607" s="89">
        <f>ABCD!L656</f>
        <v>2.5783362124231219</v>
      </c>
      <c r="L607" s="89">
        <f>ABCD!M656</f>
        <v>0.51250425538806255</v>
      </c>
      <c r="M607" s="89">
        <f>ABCD!N656</f>
        <v>2.6287788488351933</v>
      </c>
      <c r="N607" s="89" t="e">
        <v>#REF!</v>
      </c>
      <c r="O607" s="89" t="e">
        <v>#REF!</v>
      </c>
      <c r="P607" s="89" t="e">
        <v>#REF!</v>
      </c>
      <c r="Q607" s="89" t="e">
        <v>#REF!</v>
      </c>
      <c r="R607" s="89" t="e">
        <v>#REF!</v>
      </c>
      <c r="S607" s="89" t="e">
        <f>#REF!</f>
        <v>#REF!</v>
      </c>
      <c r="T607" s="89" t="e">
        <f>#REF!</f>
        <v>#REF!</v>
      </c>
      <c r="U607" s="89" t="e">
        <f>#REF!</f>
        <v>#REF!</v>
      </c>
      <c r="V607" s="89" t="e">
        <f>#REF!</f>
        <v>#REF!</v>
      </c>
      <c r="W607" s="89" t="e">
        <f>#REF!</f>
        <v>#REF!</v>
      </c>
      <c r="X607" s="89" t="e">
        <f>#REF!</f>
        <v>#REF!</v>
      </c>
      <c r="Y607" s="89" t="e">
        <f>#REF!</f>
        <v>#REF!</v>
      </c>
      <c r="Z607" s="89" t="e">
        <f>#REF!</f>
        <v>#REF!</v>
      </c>
      <c r="AA607" s="89" t="e">
        <f>#REF!</f>
        <v>#REF!</v>
      </c>
      <c r="AB607" s="89" t="e">
        <f>#REF!</f>
        <v>#REF!</v>
      </c>
      <c r="AC607" s="89" t="e">
        <f>#REF!</f>
        <v>#REF!</v>
      </c>
      <c r="AD607" s="89" t="e">
        <f>#REF!</f>
        <v>#REF!</v>
      </c>
      <c r="AE607" s="89" t="e">
        <f>#REF!</f>
        <v>#REF!</v>
      </c>
      <c r="AF607" s="89" t="e">
        <f>#REF!</f>
        <v>#REF!</v>
      </c>
      <c r="AG607" s="89" t="e">
        <f>#REF!</f>
        <v>#REF!</v>
      </c>
      <c r="AH607" s="89" t="e">
        <f>#REF!</f>
        <v>#REF!</v>
      </c>
      <c r="AI607" s="89" t="e">
        <f>#REF!</f>
        <v>#REF!</v>
      </c>
      <c r="AJ607" s="89" t="e">
        <f>#REF!</f>
        <v>#REF!</v>
      </c>
      <c r="AK607" s="89" t="e">
        <f>#REF!</f>
        <v>#REF!</v>
      </c>
      <c r="AL607" s="89" t="e">
        <f>#REF!</f>
        <v>#REF!</v>
      </c>
      <c r="AM607" s="89" t="e">
        <f>#REF!</f>
        <v>#REF!</v>
      </c>
      <c r="AN607" s="89" t="e">
        <f>#REF!</f>
        <v>#REF!</v>
      </c>
      <c r="AO607" s="89" t="e">
        <f>#REF!</f>
        <v>#REF!</v>
      </c>
      <c r="AP607" s="89" t="e">
        <f>#REF!</f>
        <v>#REF!</v>
      </c>
      <c r="AQ607" s="89" t="e">
        <f>#REF!</f>
        <v>#REF!</v>
      </c>
      <c r="AR607" s="89" t="e">
        <f>#REF!</f>
        <v>#REF!</v>
      </c>
      <c r="AS607" s="89" t="e">
        <f>#REF!</f>
        <v>#REF!</v>
      </c>
      <c r="AT607" s="89" t="e">
        <f>#REF!</f>
        <v>#REF!</v>
      </c>
      <c r="AU607" s="89" t="e">
        <f>#REF!</f>
        <v>#REF!</v>
      </c>
      <c r="AV607" s="89" t="e">
        <f>#REF!</f>
        <v>#REF!</v>
      </c>
      <c r="AW607" s="89" t="e">
        <f>#REF!</f>
        <v>#REF!</v>
      </c>
      <c r="AX607" s="89" t="e">
        <f>#REF!</f>
        <v>#REF!</v>
      </c>
      <c r="AY607" s="89" t="e">
        <f>#REF!</f>
        <v>#REF!</v>
      </c>
      <c r="AZ607" s="89" t="e">
        <f>#REF!</f>
        <v>#REF!</v>
      </c>
      <c r="BA607" s="89" t="e">
        <f>#REF!</f>
        <v>#REF!</v>
      </c>
      <c r="BB607" s="89" t="e">
        <f>#REF!</f>
        <v>#REF!</v>
      </c>
      <c r="BC607" s="89" t="e">
        <f>#REF!</f>
        <v>#REF!</v>
      </c>
      <c r="BD607" s="89" t="e">
        <f>#REF!</f>
        <v>#REF!</v>
      </c>
      <c r="BE607" s="89" t="e">
        <f>#REF!</f>
        <v>#REF!</v>
      </c>
      <c r="BF607" s="89" t="e">
        <f>#REF!</f>
        <v>#REF!</v>
      </c>
    </row>
    <row r="608" spans="9:58" x14ac:dyDescent="0.25">
      <c r="I608" s="89">
        <f>ABCD!J657</f>
        <v>151</v>
      </c>
      <c r="J608" s="89">
        <f>ABCD!K657</f>
        <v>495.28</v>
      </c>
      <c r="K608" s="89">
        <f>ABCD!L657</f>
        <v>2.5054834603404466</v>
      </c>
      <c r="L608" s="89">
        <f>ABCD!M657</f>
        <v>0.49958038259445336</v>
      </c>
      <c r="M608" s="89">
        <f>ABCD!N657</f>
        <v>2.5548048709662265</v>
      </c>
      <c r="N608" s="89" t="e">
        <v>#REF!</v>
      </c>
      <c r="O608" s="89" t="e">
        <v>#REF!</v>
      </c>
      <c r="P608" s="89" t="e">
        <v>#REF!</v>
      </c>
      <c r="Q608" s="89" t="e">
        <v>#REF!</v>
      </c>
      <c r="R608" s="89" t="e">
        <v>#REF!</v>
      </c>
      <c r="S608" s="89" t="e">
        <f>#REF!</f>
        <v>#REF!</v>
      </c>
      <c r="T608" s="89" t="e">
        <f>#REF!</f>
        <v>#REF!</v>
      </c>
      <c r="U608" s="89" t="e">
        <f>#REF!</f>
        <v>#REF!</v>
      </c>
      <c r="V608" s="89" t="e">
        <f>#REF!</f>
        <v>#REF!</v>
      </c>
      <c r="W608" s="89" t="e">
        <f>#REF!</f>
        <v>#REF!</v>
      </c>
      <c r="X608" s="89" t="e">
        <f>#REF!</f>
        <v>#REF!</v>
      </c>
      <c r="Y608" s="89" t="e">
        <f>#REF!</f>
        <v>#REF!</v>
      </c>
      <c r="Z608" s="89" t="e">
        <f>#REF!</f>
        <v>#REF!</v>
      </c>
      <c r="AA608" s="89" t="e">
        <f>#REF!</f>
        <v>#REF!</v>
      </c>
      <c r="AB608" s="89" t="e">
        <f>#REF!</f>
        <v>#REF!</v>
      </c>
      <c r="AC608" s="89" t="e">
        <f>#REF!</f>
        <v>#REF!</v>
      </c>
      <c r="AD608" s="89" t="e">
        <f>#REF!</f>
        <v>#REF!</v>
      </c>
      <c r="AE608" s="89" t="e">
        <f>#REF!</f>
        <v>#REF!</v>
      </c>
      <c r="AF608" s="89" t="e">
        <f>#REF!</f>
        <v>#REF!</v>
      </c>
      <c r="AG608" s="89" t="e">
        <f>#REF!</f>
        <v>#REF!</v>
      </c>
      <c r="AH608" s="89" t="e">
        <f>#REF!</f>
        <v>#REF!</v>
      </c>
      <c r="AI608" s="89" t="e">
        <f>#REF!</f>
        <v>#REF!</v>
      </c>
      <c r="AJ608" s="89" t="e">
        <f>#REF!</f>
        <v>#REF!</v>
      </c>
      <c r="AK608" s="89" t="e">
        <f>#REF!</f>
        <v>#REF!</v>
      </c>
      <c r="AL608" s="89" t="e">
        <f>#REF!</f>
        <v>#REF!</v>
      </c>
      <c r="AM608" s="89" t="e">
        <f>#REF!</f>
        <v>#REF!</v>
      </c>
      <c r="AN608" s="89" t="e">
        <f>#REF!</f>
        <v>#REF!</v>
      </c>
      <c r="AO608" s="89" t="e">
        <f>#REF!</f>
        <v>#REF!</v>
      </c>
      <c r="AP608" s="89" t="e">
        <f>#REF!</f>
        <v>#REF!</v>
      </c>
      <c r="AQ608" s="89" t="e">
        <f>#REF!</f>
        <v>#REF!</v>
      </c>
      <c r="AR608" s="89" t="e">
        <f>#REF!</f>
        <v>#REF!</v>
      </c>
      <c r="AS608" s="89" t="e">
        <f>#REF!</f>
        <v>#REF!</v>
      </c>
      <c r="AT608" s="89" t="e">
        <f>#REF!</f>
        <v>#REF!</v>
      </c>
      <c r="AU608" s="89" t="e">
        <f>#REF!</f>
        <v>#REF!</v>
      </c>
      <c r="AV608" s="89" t="e">
        <f>#REF!</f>
        <v>#REF!</v>
      </c>
      <c r="AW608" s="89" t="e">
        <f>#REF!</f>
        <v>#REF!</v>
      </c>
      <c r="AX608" s="89" t="e">
        <f>#REF!</f>
        <v>#REF!</v>
      </c>
      <c r="AY608" s="89" t="e">
        <f>#REF!</f>
        <v>#REF!</v>
      </c>
      <c r="AZ608" s="89" t="e">
        <f>#REF!</f>
        <v>#REF!</v>
      </c>
      <c r="BA608" s="89" t="e">
        <f>#REF!</f>
        <v>#REF!</v>
      </c>
      <c r="BB608" s="89" t="e">
        <f>#REF!</f>
        <v>#REF!</v>
      </c>
      <c r="BC608" s="89" t="e">
        <f>#REF!</f>
        <v>#REF!</v>
      </c>
      <c r="BD608" s="89" t="e">
        <f>#REF!</f>
        <v>#REF!</v>
      </c>
      <c r="BE608" s="89" t="e">
        <f>#REF!</f>
        <v>#REF!</v>
      </c>
      <c r="BF608" s="89" t="e">
        <f>#REF!</f>
        <v>#REF!</v>
      </c>
    </row>
    <row r="609" spans="9:58" x14ac:dyDescent="0.25">
      <c r="I609" s="89">
        <f>ABCD!J658</f>
        <v>151.25</v>
      </c>
      <c r="J609" s="89">
        <f>ABCD!K658</f>
        <v>496.09999999999997</v>
      </c>
      <c r="K609" s="89">
        <f>ABCD!L658</f>
        <v>2.4321178777411987</v>
      </c>
      <c r="L609" s="89">
        <f>ABCD!M658</f>
        <v>0.48655281238088222</v>
      </c>
      <c r="M609" s="89">
        <f>ABCD!N658</f>
        <v>2.4803086522576376</v>
      </c>
      <c r="N609" s="89" t="e">
        <v>#REF!</v>
      </c>
      <c r="O609" s="89" t="e">
        <v>#REF!</v>
      </c>
      <c r="P609" s="89" t="e">
        <v>#REF!</v>
      </c>
      <c r="Q609" s="89" t="e">
        <v>#REF!</v>
      </c>
      <c r="R609" s="89" t="e">
        <v>#REF!</v>
      </c>
      <c r="S609" s="89" t="e">
        <f>#REF!</f>
        <v>#REF!</v>
      </c>
      <c r="T609" s="89" t="e">
        <f>#REF!</f>
        <v>#REF!</v>
      </c>
      <c r="U609" s="89" t="e">
        <f>#REF!</f>
        <v>#REF!</v>
      </c>
      <c r="V609" s="89" t="e">
        <f>#REF!</f>
        <v>#REF!</v>
      </c>
      <c r="W609" s="89" t="e">
        <f>#REF!</f>
        <v>#REF!</v>
      </c>
      <c r="X609" s="89" t="e">
        <f>#REF!</f>
        <v>#REF!</v>
      </c>
      <c r="Y609" s="89" t="e">
        <f>#REF!</f>
        <v>#REF!</v>
      </c>
      <c r="Z609" s="89" t="e">
        <f>#REF!</f>
        <v>#REF!</v>
      </c>
      <c r="AA609" s="89" t="e">
        <f>#REF!</f>
        <v>#REF!</v>
      </c>
      <c r="AB609" s="89" t="e">
        <f>#REF!</f>
        <v>#REF!</v>
      </c>
      <c r="AC609" s="89" t="e">
        <f>#REF!</f>
        <v>#REF!</v>
      </c>
      <c r="AD609" s="89" t="e">
        <f>#REF!</f>
        <v>#REF!</v>
      </c>
      <c r="AE609" s="89" t="e">
        <f>#REF!</f>
        <v>#REF!</v>
      </c>
      <c r="AF609" s="89" t="e">
        <f>#REF!</f>
        <v>#REF!</v>
      </c>
      <c r="AG609" s="89" t="e">
        <f>#REF!</f>
        <v>#REF!</v>
      </c>
      <c r="AH609" s="89" t="e">
        <f>#REF!</f>
        <v>#REF!</v>
      </c>
      <c r="AI609" s="89" t="e">
        <f>#REF!</f>
        <v>#REF!</v>
      </c>
      <c r="AJ609" s="89" t="e">
        <f>#REF!</f>
        <v>#REF!</v>
      </c>
      <c r="AK609" s="89" t="e">
        <f>#REF!</f>
        <v>#REF!</v>
      </c>
      <c r="AL609" s="89" t="e">
        <f>#REF!</f>
        <v>#REF!</v>
      </c>
      <c r="AM609" s="89" t="e">
        <f>#REF!</f>
        <v>#REF!</v>
      </c>
      <c r="AN609" s="89" t="e">
        <f>#REF!</f>
        <v>#REF!</v>
      </c>
      <c r="AO609" s="89" t="e">
        <f>#REF!</f>
        <v>#REF!</v>
      </c>
      <c r="AP609" s="89" t="e">
        <f>#REF!</f>
        <v>#REF!</v>
      </c>
      <c r="AQ609" s="89" t="e">
        <f>#REF!</f>
        <v>#REF!</v>
      </c>
      <c r="AR609" s="89" t="e">
        <f>#REF!</f>
        <v>#REF!</v>
      </c>
      <c r="AS609" s="89" t="e">
        <f>#REF!</f>
        <v>#REF!</v>
      </c>
      <c r="AT609" s="89" t="e">
        <f>#REF!</f>
        <v>#REF!</v>
      </c>
      <c r="AU609" s="89" t="e">
        <f>#REF!</f>
        <v>#REF!</v>
      </c>
      <c r="AV609" s="89" t="e">
        <f>#REF!</f>
        <v>#REF!</v>
      </c>
      <c r="AW609" s="89" t="e">
        <f>#REF!</f>
        <v>#REF!</v>
      </c>
      <c r="AX609" s="89" t="e">
        <f>#REF!</f>
        <v>#REF!</v>
      </c>
      <c r="AY609" s="89" t="e">
        <f>#REF!</f>
        <v>#REF!</v>
      </c>
      <c r="AZ609" s="89" t="e">
        <f>#REF!</f>
        <v>#REF!</v>
      </c>
      <c r="BA609" s="89" t="e">
        <f>#REF!</f>
        <v>#REF!</v>
      </c>
      <c r="BB609" s="89" t="e">
        <f>#REF!</f>
        <v>#REF!</v>
      </c>
      <c r="BC609" s="89" t="e">
        <f>#REF!</f>
        <v>#REF!</v>
      </c>
      <c r="BD609" s="89" t="e">
        <f>#REF!</f>
        <v>#REF!</v>
      </c>
      <c r="BE609" s="89" t="e">
        <f>#REF!</f>
        <v>#REF!</v>
      </c>
      <c r="BF609" s="89" t="e">
        <f>#REF!</f>
        <v>#REF!</v>
      </c>
    </row>
    <row r="610" spans="9:58" x14ac:dyDescent="0.25">
      <c r="I610" s="89">
        <f>ABCD!J659</f>
        <v>151.5</v>
      </c>
      <c r="J610" s="89">
        <f>ABCD!K659</f>
        <v>496.91999999999996</v>
      </c>
      <c r="K610" s="89">
        <f>ABCD!L659</f>
        <v>2.3582568617552053</v>
      </c>
      <c r="L610" s="89">
        <f>ABCD!M659</f>
        <v>0.47342464533136486</v>
      </c>
      <c r="M610" s="89">
        <f>ABCD!N659</f>
        <v>2.4053079471915106</v>
      </c>
      <c r="N610" s="89" t="e">
        <v>#REF!</v>
      </c>
      <c r="O610" s="89" t="e">
        <v>#REF!</v>
      </c>
      <c r="P610" s="89" t="e">
        <v>#REF!</v>
      </c>
      <c r="Q610" s="89" t="e">
        <v>#REF!</v>
      </c>
      <c r="R610" s="89" t="e">
        <v>#REF!</v>
      </c>
      <c r="S610" s="89" t="e">
        <f>#REF!</f>
        <v>#REF!</v>
      </c>
      <c r="T610" s="89" t="e">
        <f>#REF!</f>
        <v>#REF!</v>
      </c>
      <c r="U610" s="89" t="e">
        <f>#REF!</f>
        <v>#REF!</v>
      </c>
      <c r="V610" s="89" t="e">
        <f>#REF!</f>
        <v>#REF!</v>
      </c>
      <c r="W610" s="89" t="e">
        <f>#REF!</f>
        <v>#REF!</v>
      </c>
      <c r="X610" s="89" t="e">
        <f>#REF!</f>
        <v>#REF!</v>
      </c>
      <c r="Y610" s="89" t="e">
        <f>#REF!</f>
        <v>#REF!</v>
      </c>
      <c r="Z610" s="89" t="e">
        <f>#REF!</f>
        <v>#REF!</v>
      </c>
      <c r="AA610" s="89" t="e">
        <f>#REF!</f>
        <v>#REF!</v>
      </c>
      <c r="AB610" s="89" t="e">
        <f>#REF!</f>
        <v>#REF!</v>
      </c>
      <c r="AC610" s="89" t="e">
        <f>#REF!</f>
        <v>#REF!</v>
      </c>
      <c r="AD610" s="89" t="e">
        <f>#REF!</f>
        <v>#REF!</v>
      </c>
      <c r="AE610" s="89" t="e">
        <f>#REF!</f>
        <v>#REF!</v>
      </c>
      <c r="AF610" s="89" t="e">
        <f>#REF!</f>
        <v>#REF!</v>
      </c>
      <c r="AG610" s="89" t="e">
        <f>#REF!</f>
        <v>#REF!</v>
      </c>
      <c r="AH610" s="89" t="e">
        <f>#REF!</f>
        <v>#REF!</v>
      </c>
      <c r="AI610" s="89" t="e">
        <f>#REF!</f>
        <v>#REF!</v>
      </c>
      <c r="AJ610" s="89" t="e">
        <f>#REF!</f>
        <v>#REF!</v>
      </c>
      <c r="AK610" s="89" t="e">
        <f>#REF!</f>
        <v>#REF!</v>
      </c>
      <c r="AL610" s="89" t="e">
        <f>#REF!</f>
        <v>#REF!</v>
      </c>
      <c r="AM610" s="89" t="e">
        <f>#REF!</f>
        <v>#REF!</v>
      </c>
      <c r="AN610" s="89" t="e">
        <f>#REF!</f>
        <v>#REF!</v>
      </c>
      <c r="AO610" s="89" t="e">
        <f>#REF!</f>
        <v>#REF!</v>
      </c>
      <c r="AP610" s="89" t="e">
        <f>#REF!</f>
        <v>#REF!</v>
      </c>
      <c r="AQ610" s="89" t="e">
        <f>#REF!</f>
        <v>#REF!</v>
      </c>
      <c r="AR610" s="89" t="e">
        <f>#REF!</f>
        <v>#REF!</v>
      </c>
      <c r="AS610" s="89" t="e">
        <f>#REF!</f>
        <v>#REF!</v>
      </c>
      <c r="AT610" s="89" t="e">
        <f>#REF!</f>
        <v>#REF!</v>
      </c>
      <c r="AU610" s="89" t="e">
        <f>#REF!</f>
        <v>#REF!</v>
      </c>
      <c r="AV610" s="89" t="e">
        <f>#REF!</f>
        <v>#REF!</v>
      </c>
      <c r="AW610" s="89" t="e">
        <f>#REF!</f>
        <v>#REF!</v>
      </c>
      <c r="AX610" s="89" t="e">
        <f>#REF!</f>
        <v>#REF!</v>
      </c>
      <c r="AY610" s="89" t="e">
        <f>#REF!</f>
        <v>#REF!</v>
      </c>
      <c r="AZ610" s="89" t="e">
        <f>#REF!</f>
        <v>#REF!</v>
      </c>
      <c r="BA610" s="89" t="e">
        <f>#REF!</f>
        <v>#REF!</v>
      </c>
      <c r="BB610" s="89" t="e">
        <f>#REF!</f>
        <v>#REF!</v>
      </c>
      <c r="BC610" s="89" t="e">
        <f>#REF!</f>
        <v>#REF!</v>
      </c>
      <c r="BD610" s="89" t="e">
        <f>#REF!</f>
        <v>#REF!</v>
      </c>
      <c r="BE610" s="89" t="e">
        <f>#REF!</f>
        <v>#REF!</v>
      </c>
      <c r="BF610" s="89" t="e">
        <f>#REF!</f>
        <v>#REF!</v>
      </c>
    </row>
    <row r="611" spans="9:58" x14ac:dyDescent="0.25">
      <c r="I611" s="89">
        <f>ABCD!J660</f>
        <v>151.75</v>
      </c>
      <c r="J611" s="89">
        <f>ABCD!K660</f>
        <v>497.73999999999995</v>
      </c>
      <c r="K611" s="89">
        <f>ABCD!L660</f>
        <v>2.2839179082283056</v>
      </c>
      <c r="L611" s="89">
        <f>ABCD!M660</f>
        <v>0.46019900246252377</v>
      </c>
      <c r="M611" s="89">
        <f>ABCD!N660</f>
        <v>2.329820622578799</v>
      </c>
      <c r="N611" s="89" t="e">
        <v>#REF!</v>
      </c>
      <c r="O611" s="89" t="e">
        <v>#REF!</v>
      </c>
      <c r="P611" s="89" t="e">
        <v>#REF!</v>
      </c>
      <c r="Q611" s="89" t="e">
        <v>#REF!</v>
      </c>
      <c r="R611" s="89" t="e">
        <v>#REF!</v>
      </c>
      <c r="S611" s="89" t="e">
        <f>#REF!</f>
        <v>#REF!</v>
      </c>
      <c r="T611" s="89" t="e">
        <f>#REF!</f>
        <v>#REF!</v>
      </c>
      <c r="U611" s="89" t="e">
        <f>#REF!</f>
        <v>#REF!</v>
      </c>
      <c r="V611" s="89" t="e">
        <f>#REF!</f>
        <v>#REF!</v>
      </c>
      <c r="W611" s="89" t="e">
        <f>#REF!</f>
        <v>#REF!</v>
      </c>
      <c r="X611" s="89" t="e">
        <f>#REF!</f>
        <v>#REF!</v>
      </c>
      <c r="Y611" s="89" t="e">
        <f>#REF!</f>
        <v>#REF!</v>
      </c>
      <c r="Z611" s="89" t="e">
        <f>#REF!</f>
        <v>#REF!</v>
      </c>
      <c r="AA611" s="89" t="e">
        <f>#REF!</f>
        <v>#REF!</v>
      </c>
      <c r="AB611" s="89" t="e">
        <f>#REF!</f>
        <v>#REF!</v>
      </c>
      <c r="AC611" s="89" t="e">
        <f>#REF!</f>
        <v>#REF!</v>
      </c>
      <c r="AD611" s="89" t="e">
        <f>#REF!</f>
        <v>#REF!</v>
      </c>
      <c r="AE611" s="89" t="e">
        <f>#REF!</f>
        <v>#REF!</v>
      </c>
      <c r="AF611" s="89" t="e">
        <f>#REF!</f>
        <v>#REF!</v>
      </c>
      <c r="AG611" s="89" t="e">
        <f>#REF!</f>
        <v>#REF!</v>
      </c>
      <c r="AH611" s="89" t="e">
        <f>#REF!</f>
        <v>#REF!</v>
      </c>
      <c r="AI611" s="89" t="e">
        <f>#REF!</f>
        <v>#REF!</v>
      </c>
      <c r="AJ611" s="89" t="e">
        <f>#REF!</f>
        <v>#REF!</v>
      </c>
      <c r="AK611" s="89" t="e">
        <f>#REF!</f>
        <v>#REF!</v>
      </c>
      <c r="AL611" s="89" t="e">
        <f>#REF!</f>
        <v>#REF!</v>
      </c>
      <c r="AM611" s="89" t="e">
        <f>#REF!</f>
        <v>#REF!</v>
      </c>
      <c r="AN611" s="89" t="e">
        <f>#REF!</f>
        <v>#REF!</v>
      </c>
      <c r="AO611" s="89" t="e">
        <f>#REF!</f>
        <v>#REF!</v>
      </c>
      <c r="AP611" s="89" t="e">
        <f>#REF!</f>
        <v>#REF!</v>
      </c>
      <c r="AQ611" s="89" t="e">
        <f>#REF!</f>
        <v>#REF!</v>
      </c>
      <c r="AR611" s="89" t="e">
        <f>#REF!</f>
        <v>#REF!</v>
      </c>
      <c r="AS611" s="89" t="e">
        <f>#REF!</f>
        <v>#REF!</v>
      </c>
      <c r="AT611" s="89" t="e">
        <f>#REF!</f>
        <v>#REF!</v>
      </c>
      <c r="AU611" s="89" t="e">
        <f>#REF!</f>
        <v>#REF!</v>
      </c>
      <c r="AV611" s="89" t="e">
        <f>#REF!</f>
        <v>#REF!</v>
      </c>
      <c r="AW611" s="89" t="e">
        <f>#REF!</f>
        <v>#REF!</v>
      </c>
      <c r="AX611" s="89" t="e">
        <f>#REF!</f>
        <v>#REF!</v>
      </c>
      <c r="AY611" s="89" t="e">
        <f>#REF!</f>
        <v>#REF!</v>
      </c>
      <c r="AZ611" s="89" t="e">
        <f>#REF!</f>
        <v>#REF!</v>
      </c>
      <c r="BA611" s="89" t="e">
        <f>#REF!</f>
        <v>#REF!</v>
      </c>
      <c r="BB611" s="89" t="e">
        <f>#REF!</f>
        <v>#REF!</v>
      </c>
      <c r="BC611" s="89" t="e">
        <f>#REF!</f>
        <v>#REF!</v>
      </c>
      <c r="BD611" s="89" t="e">
        <f>#REF!</f>
        <v>#REF!</v>
      </c>
      <c r="BE611" s="89" t="e">
        <f>#REF!</f>
        <v>#REF!</v>
      </c>
      <c r="BF611" s="89" t="e">
        <f>#REF!</f>
        <v>#REF!</v>
      </c>
    </row>
    <row r="612" spans="9:58" x14ac:dyDescent="0.25">
      <c r="I612" s="89">
        <f>ABCD!J661</f>
        <v>152</v>
      </c>
      <c r="J612" s="89">
        <f>ABCD!K661</f>
        <v>498.55999999999995</v>
      </c>
      <c r="K612" s="89">
        <f>ABCD!L661</f>
        <v>2.209118607594768</v>
      </c>
      <c r="L612" s="89">
        <f>ABCD!M661</f>
        <v>0.44687902448476002</v>
      </c>
      <c r="M612" s="89">
        <f>ABCD!N661</f>
        <v>2.2538646554187536</v>
      </c>
      <c r="N612" s="89" t="e">
        <v>#REF!</v>
      </c>
      <c r="O612" s="89" t="e">
        <v>#REF!</v>
      </c>
      <c r="P612" s="89" t="e">
        <v>#REF!</v>
      </c>
      <c r="Q612" s="89" t="e">
        <v>#REF!</v>
      </c>
      <c r="R612" s="89" t="e">
        <v>#REF!</v>
      </c>
      <c r="S612" s="89" t="e">
        <f>#REF!</f>
        <v>#REF!</v>
      </c>
      <c r="T612" s="89" t="e">
        <f>#REF!</f>
        <v>#REF!</v>
      </c>
      <c r="U612" s="89" t="e">
        <f>#REF!</f>
        <v>#REF!</v>
      </c>
      <c r="V612" s="89" t="e">
        <f>#REF!</f>
        <v>#REF!</v>
      </c>
      <c r="W612" s="89" t="e">
        <f>#REF!</f>
        <v>#REF!</v>
      </c>
      <c r="X612" s="89" t="e">
        <f>#REF!</f>
        <v>#REF!</v>
      </c>
      <c r="Y612" s="89" t="e">
        <f>#REF!</f>
        <v>#REF!</v>
      </c>
      <c r="Z612" s="89" t="e">
        <f>#REF!</f>
        <v>#REF!</v>
      </c>
      <c r="AA612" s="89" t="e">
        <f>#REF!</f>
        <v>#REF!</v>
      </c>
      <c r="AB612" s="89" t="e">
        <f>#REF!</f>
        <v>#REF!</v>
      </c>
      <c r="AC612" s="89" t="e">
        <f>#REF!</f>
        <v>#REF!</v>
      </c>
      <c r="AD612" s="89" t="e">
        <f>#REF!</f>
        <v>#REF!</v>
      </c>
      <c r="AE612" s="89" t="e">
        <f>#REF!</f>
        <v>#REF!</v>
      </c>
      <c r="AF612" s="89" t="e">
        <f>#REF!</f>
        <v>#REF!</v>
      </c>
      <c r="AG612" s="89" t="e">
        <f>#REF!</f>
        <v>#REF!</v>
      </c>
      <c r="AH612" s="89" t="e">
        <f>#REF!</f>
        <v>#REF!</v>
      </c>
      <c r="AI612" s="89" t="e">
        <f>#REF!</f>
        <v>#REF!</v>
      </c>
      <c r="AJ612" s="89" t="e">
        <f>#REF!</f>
        <v>#REF!</v>
      </c>
      <c r="AK612" s="89" t="e">
        <f>#REF!</f>
        <v>#REF!</v>
      </c>
      <c r="AL612" s="89" t="e">
        <f>#REF!</f>
        <v>#REF!</v>
      </c>
      <c r="AM612" s="89" t="e">
        <f>#REF!</f>
        <v>#REF!</v>
      </c>
      <c r="AN612" s="89" t="e">
        <f>#REF!</f>
        <v>#REF!</v>
      </c>
      <c r="AO612" s="89" t="e">
        <f>#REF!</f>
        <v>#REF!</v>
      </c>
      <c r="AP612" s="89" t="e">
        <f>#REF!</f>
        <v>#REF!</v>
      </c>
      <c r="AQ612" s="89" t="e">
        <f>#REF!</f>
        <v>#REF!</v>
      </c>
      <c r="AR612" s="89" t="e">
        <f>#REF!</f>
        <v>#REF!</v>
      </c>
      <c r="AS612" s="89" t="e">
        <f>#REF!</f>
        <v>#REF!</v>
      </c>
      <c r="AT612" s="89" t="e">
        <f>#REF!</f>
        <v>#REF!</v>
      </c>
      <c r="AU612" s="89" t="e">
        <f>#REF!</f>
        <v>#REF!</v>
      </c>
      <c r="AV612" s="89" t="e">
        <f>#REF!</f>
        <v>#REF!</v>
      </c>
      <c r="AW612" s="89" t="e">
        <f>#REF!</f>
        <v>#REF!</v>
      </c>
      <c r="AX612" s="89" t="e">
        <f>#REF!</f>
        <v>#REF!</v>
      </c>
      <c r="AY612" s="89" t="e">
        <f>#REF!</f>
        <v>#REF!</v>
      </c>
      <c r="AZ612" s="89" t="e">
        <f>#REF!</f>
        <v>#REF!</v>
      </c>
      <c r="BA612" s="89" t="e">
        <f>#REF!</f>
        <v>#REF!</v>
      </c>
      <c r="BB612" s="89" t="e">
        <f>#REF!</f>
        <v>#REF!</v>
      </c>
      <c r="BC612" s="89" t="e">
        <f>#REF!</f>
        <v>#REF!</v>
      </c>
      <c r="BD612" s="89" t="e">
        <f>#REF!</f>
        <v>#REF!</v>
      </c>
      <c r="BE612" s="89" t="e">
        <f>#REF!</f>
        <v>#REF!</v>
      </c>
      <c r="BF612" s="89" t="e">
        <f>#REF!</f>
        <v>#REF!</v>
      </c>
    </row>
    <row r="613" spans="9:58" x14ac:dyDescent="0.25">
      <c r="I613" s="89">
        <f>ABCD!J662</f>
        <v>152.25</v>
      </c>
      <c r="J613" s="89">
        <f>ABCD!K662</f>
        <v>499.38</v>
      </c>
      <c r="K613" s="89">
        <f>ABCD!L662</f>
        <v>2.1338766407316312</v>
      </c>
      <c r="L613" s="89">
        <f>ABCD!M662</f>
        <v>0.43346787105951945</v>
      </c>
      <c r="M613" s="89">
        <f>ABCD!N662</f>
        <v>2.1774581311935672</v>
      </c>
      <c r="N613" s="89" t="e">
        <v>#REF!</v>
      </c>
      <c r="O613" s="89" t="e">
        <v>#REF!</v>
      </c>
      <c r="P613" s="89" t="e">
        <v>#REF!</v>
      </c>
      <c r="Q613" s="89" t="e">
        <v>#REF!</v>
      </c>
      <c r="R613" s="89" t="e">
        <v>#REF!</v>
      </c>
      <c r="S613" s="89" t="e">
        <f>#REF!</f>
        <v>#REF!</v>
      </c>
      <c r="T613" s="89" t="e">
        <f>#REF!</f>
        <v>#REF!</v>
      </c>
      <c r="U613" s="89" t="e">
        <f>#REF!</f>
        <v>#REF!</v>
      </c>
      <c r="V613" s="89" t="e">
        <f>#REF!</f>
        <v>#REF!</v>
      </c>
      <c r="W613" s="89" t="e">
        <f>#REF!</f>
        <v>#REF!</v>
      </c>
      <c r="X613" s="89" t="e">
        <f>#REF!</f>
        <v>#REF!</v>
      </c>
      <c r="Y613" s="89" t="e">
        <f>#REF!</f>
        <v>#REF!</v>
      </c>
      <c r="Z613" s="89" t="e">
        <f>#REF!</f>
        <v>#REF!</v>
      </c>
      <c r="AA613" s="89" t="e">
        <f>#REF!</f>
        <v>#REF!</v>
      </c>
      <c r="AB613" s="89" t="e">
        <f>#REF!</f>
        <v>#REF!</v>
      </c>
      <c r="AC613" s="89" t="e">
        <f>#REF!</f>
        <v>#REF!</v>
      </c>
      <c r="AD613" s="89" t="e">
        <f>#REF!</f>
        <v>#REF!</v>
      </c>
      <c r="AE613" s="89" t="e">
        <f>#REF!</f>
        <v>#REF!</v>
      </c>
      <c r="AF613" s="89" t="e">
        <f>#REF!</f>
        <v>#REF!</v>
      </c>
      <c r="AG613" s="89" t="e">
        <f>#REF!</f>
        <v>#REF!</v>
      </c>
      <c r="AH613" s="89" t="e">
        <f>#REF!</f>
        <v>#REF!</v>
      </c>
      <c r="AI613" s="89" t="e">
        <f>#REF!</f>
        <v>#REF!</v>
      </c>
      <c r="AJ613" s="89" t="e">
        <f>#REF!</f>
        <v>#REF!</v>
      </c>
      <c r="AK613" s="89" t="e">
        <f>#REF!</f>
        <v>#REF!</v>
      </c>
      <c r="AL613" s="89" t="e">
        <f>#REF!</f>
        <v>#REF!</v>
      </c>
      <c r="AM613" s="89" t="e">
        <f>#REF!</f>
        <v>#REF!</v>
      </c>
      <c r="AN613" s="89" t="e">
        <f>#REF!</f>
        <v>#REF!</v>
      </c>
      <c r="AO613" s="89" t="e">
        <f>#REF!</f>
        <v>#REF!</v>
      </c>
      <c r="AP613" s="89" t="e">
        <f>#REF!</f>
        <v>#REF!</v>
      </c>
      <c r="AQ613" s="89" t="e">
        <f>#REF!</f>
        <v>#REF!</v>
      </c>
      <c r="AR613" s="89" t="e">
        <f>#REF!</f>
        <v>#REF!</v>
      </c>
      <c r="AS613" s="89" t="e">
        <f>#REF!</f>
        <v>#REF!</v>
      </c>
      <c r="AT613" s="89" t="e">
        <f>#REF!</f>
        <v>#REF!</v>
      </c>
      <c r="AU613" s="89" t="e">
        <f>#REF!</f>
        <v>#REF!</v>
      </c>
      <c r="AV613" s="89" t="e">
        <f>#REF!</f>
        <v>#REF!</v>
      </c>
      <c r="AW613" s="89" t="e">
        <f>#REF!</f>
        <v>#REF!</v>
      </c>
      <c r="AX613" s="89" t="e">
        <f>#REF!</f>
        <v>#REF!</v>
      </c>
      <c r="AY613" s="89" t="e">
        <f>#REF!</f>
        <v>#REF!</v>
      </c>
      <c r="AZ613" s="89" t="e">
        <f>#REF!</f>
        <v>#REF!</v>
      </c>
      <c r="BA613" s="89" t="e">
        <f>#REF!</f>
        <v>#REF!</v>
      </c>
      <c r="BB613" s="89" t="e">
        <f>#REF!</f>
        <v>#REF!</v>
      </c>
      <c r="BC613" s="89" t="e">
        <f>#REF!</f>
        <v>#REF!</v>
      </c>
      <c r="BD613" s="89" t="e">
        <f>#REF!</f>
        <v>#REF!</v>
      </c>
      <c r="BE613" s="89" t="e">
        <f>#REF!</f>
        <v>#REF!</v>
      </c>
      <c r="BF613" s="89" t="e">
        <f>#REF!</f>
        <v>#REF!</v>
      </c>
    </row>
    <row r="614" spans="9:58" x14ac:dyDescent="0.25">
      <c r="I614" s="89">
        <f>ABCD!J663</f>
        <v>152.5</v>
      </c>
      <c r="J614" s="89">
        <f>ABCD!K663</f>
        <v>500.2</v>
      </c>
      <c r="K614" s="89">
        <f>ABCD!L663</f>
        <v>2.058209774795817</v>
      </c>
      <c r="L614" s="89">
        <f>ABCD!M663</f>
        <v>0.41996872005287011</v>
      </c>
      <c r="M614" s="89">
        <f>ABCD!N663</f>
        <v>2.1006192427205588</v>
      </c>
      <c r="N614" s="89" t="e">
        <v>#REF!</v>
      </c>
      <c r="O614" s="89" t="e">
        <v>#REF!</v>
      </c>
      <c r="P614" s="89" t="e">
        <v>#REF!</v>
      </c>
      <c r="Q614" s="89" t="e">
        <v>#REF!</v>
      </c>
      <c r="R614" s="89" t="e">
        <v>#REF!</v>
      </c>
      <c r="S614" s="89" t="e">
        <f>#REF!</f>
        <v>#REF!</v>
      </c>
      <c r="T614" s="89" t="e">
        <f>#REF!</f>
        <v>#REF!</v>
      </c>
      <c r="U614" s="89" t="e">
        <f>#REF!</f>
        <v>#REF!</v>
      </c>
      <c r="V614" s="89" t="e">
        <f>#REF!</f>
        <v>#REF!</v>
      </c>
      <c r="W614" s="89" t="e">
        <f>#REF!</f>
        <v>#REF!</v>
      </c>
      <c r="X614" s="89" t="e">
        <f>#REF!</f>
        <v>#REF!</v>
      </c>
      <c r="Y614" s="89" t="e">
        <f>#REF!</f>
        <v>#REF!</v>
      </c>
      <c r="Z614" s="89" t="e">
        <f>#REF!</f>
        <v>#REF!</v>
      </c>
      <c r="AA614" s="89" t="e">
        <f>#REF!</f>
        <v>#REF!</v>
      </c>
      <c r="AB614" s="89" t="e">
        <f>#REF!</f>
        <v>#REF!</v>
      </c>
      <c r="AC614" s="89" t="e">
        <f>#REF!</f>
        <v>#REF!</v>
      </c>
      <c r="AD614" s="89" t="e">
        <f>#REF!</f>
        <v>#REF!</v>
      </c>
      <c r="AE614" s="89" t="e">
        <f>#REF!</f>
        <v>#REF!</v>
      </c>
      <c r="AF614" s="89" t="e">
        <f>#REF!</f>
        <v>#REF!</v>
      </c>
      <c r="AG614" s="89" t="e">
        <f>#REF!</f>
        <v>#REF!</v>
      </c>
      <c r="AH614" s="89" t="e">
        <f>#REF!</f>
        <v>#REF!</v>
      </c>
      <c r="AI614" s="89" t="e">
        <f>#REF!</f>
        <v>#REF!</v>
      </c>
      <c r="AJ614" s="89" t="e">
        <f>#REF!</f>
        <v>#REF!</v>
      </c>
      <c r="AK614" s="89" t="e">
        <f>#REF!</f>
        <v>#REF!</v>
      </c>
      <c r="AL614" s="89" t="e">
        <f>#REF!</f>
        <v>#REF!</v>
      </c>
      <c r="AM614" s="89" t="e">
        <f>#REF!</f>
        <v>#REF!</v>
      </c>
      <c r="AN614" s="89" t="e">
        <f>#REF!</f>
        <v>#REF!</v>
      </c>
      <c r="AO614" s="89" t="e">
        <f>#REF!</f>
        <v>#REF!</v>
      </c>
      <c r="AP614" s="89" t="e">
        <f>#REF!</f>
        <v>#REF!</v>
      </c>
      <c r="AQ614" s="89" t="e">
        <f>#REF!</f>
        <v>#REF!</v>
      </c>
      <c r="AR614" s="89" t="e">
        <f>#REF!</f>
        <v>#REF!</v>
      </c>
      <c r="AS614" s="89" t="e">
        <f>#REF!</f>
        <v>#REF!</v>
      </c>
      <c r="AT614" s="89" t="e">
        <f>#REF!</f>
        <v>#REF!</v>
      </c>
      <c r="AU614" s="89" t="e">
        <f>#REF!</f>
        <v>#REF!</v>
      </c>
      <c r="AV614" s="89" t="e">
        <f>#REF!</f>
        <v>#REF!</v>
      </c>
      <c r="AW614" s="89" t="e">
        <f>#REF!</f>
        <v>#REF!</v>
      </c>
      <c r="AX614" s="89" t="e">
        <f>#REF!</f>
        <v>#REF!</v>
      </c>
      <c r="AY614" s="89" t="e">
        <f>#REF!</f>
        <v>#REF!</v>
      </c>
      <c r="AZ614" s="89" t="e">
        <f>#REF!</f>
        <v>#REF!</v>
      </c>
      <c r="BA614" s="89" t="e">
        <f>#REF!</f>
        <v>#REF!</v>
      </c>
      <c r="BB614" s="89" t="e">
        <f>#REF!</f>
        <v>#REF!</v>
      </c>
      <c r="BC614" s="89" t="e">
        <f>#REF!</f>
        <v>#REF!</v>
      </c>
      <c r="BD614" s="89" t="e">
        <f>#REF!</f>
        <v>#REF!</v>
      </c>
      <c r="BE614" s="89" t="e">
        <f>#REF!</f>
        <v>#REF!</v>
      </c>
      <c r="BF614" s="89" t="e">
        <f>#REF!</f>
        <v>#REF!</v>
      </c>
    </row>
    <row r="615" spans="9:58" x14ac:dyDescent="0.25">
      <c r="I615" s="89">
        <f>ABCD!J664</f>
        <v>152.75</v>
      </c>
      <c r="J615" s="89">
        <f>ABCD!K664</f>
        <v>501.02</v>
      </c>
      <c r="K615" s="89">
        <f>ABCD!L664</f>
        <v>1.9821358590451874</v>
      </c>
      <c r="L615" s="89">
        <f>ABCD!M664</f>
        <v>0.40638476678554625</v>
      </c>
      <c r="M615" s="89">
        <f>ABCD!N664</f>
        <v>2.0233662897231794</v>
      </c>
      <c r="N615" s="89" t="e">
        <v>#REF!</v>
      </c>
      <c r="O615" s="89" t="e">
        <v>#REF!</v>
      </c>
      <c r="P615" s="89" t="e">
        <v>#REF!</v>
      </c>
      <c r="Q615" s="89" t="e">
        <v>#REF!</v>
      </c>
      <c r="R615" s="89" t="e">
        <v>#REF!</v>
      </c>
      <c r="S615" s="89" t="e">
        <f>#REF!</f>
        <v>#REF!</v>
      </c>
      <c r="T615" s="89" t="e">
        <f>#REF!</f>
        <v>#REF!</v>
      </c>
      <c r="U615" s="89" t="e">
        <f>#REF!</f>
        <v>#REF!</v>
      </c>
      <c r="V615" s="89" t="e">
        <f>#REF!</f>
        <v>#REF!</v>
      </c>
      <c r="W615" s="89" t="e">
        <f>#REF!</f>
        <v>#REF!</v>
      </c>
      <c r="X615" s="89" t="e">
        <f>#REF!</f>
        <v>#REF!</v>
      </c>
      <c r="Y615" s="89" t="e">
        <f>#REF!</f>
        <v>#REF!</v>
      </c>
      <c r="Z615" s="89" t="e">
        <f>#REF!</f>
        <v>#REF!</v>
      </c>
      <c r="AA615" s="89" t="e">
        <f>#REF!</f>
        <v>#REF!</v>
      </c>
      <c r="AB615" s="89" t="e">
        <f>#REF!</f>
        <v>#REF!</v>
      </c>
      <c r="AC615" s="89" t="e">
        <f>#REF!</f>
        <v>#REF!</v>
      </c>
      <c r="AD615" s="89" t="e">
        <f>#REF!</f>
        <v>#REF!</v>
      </c>
      <c r="AE615" s="89" t="e">
        <f>#REF!</f>
        <v>#REF!</v>
      </c>
      <c r="AF615" s="89" t="e">
        <f>#REF!</f>
        <v>#REF!</v>
      </c>
      <c r="AG615" s="89" t="e">
        <f>#REF!</f>
        <v>#REF!</v>
      </c>
      <c r="AH615" s="89" t="e">
        <f>#REF!</f>
        <v>#REF!</v>
      </c>
      <c r="AI615" s="89" t="e">
        <f>#REF!</f>
        <v>#REF!</v>
      </c>
      <c r="AJ615" s="89" t="e">
        <f>#REF!</f>
        <v>#REF!</v>
      </c>
      <c r="AK615" s="89" t="e">
        <f>#REF!</f>
        <v>#REF!</v>
      </c>
      <c r="AL615" s="89" t="e">
        <f>#REF!</f>
        <v>#REF!</v>
      </c>
      <c r="AM615" s="89" t="e">
        <f>#REF!</f>
        <v>#REF!</v>
      </c>
      <c r="AN615" s="89" t="e">
        <f>#REF!</f>
        <v>#REF!</v>
      </c>
      <c r="AO615" s="89" t="e">
        <f>#REF!</f>
        <v>#REF!</v>
      </c>
      <c r="AP615" s="89" t="e">
        <f>#REF!</f>
        <v>#REF!</v>
      </c>
      <c r="AQ615" s="89" t="e">
        <f>#REF!</f>
        <v>#REF!</v>
      </c>
      <c r="AR615" s="89" t="e">
        <f>#REF!</f>
        <v>#REF!</v>
      </c>
      <c r="AS615" s="89" t="e">
        <f>#REF!</f>
        <v>#REF!</v>
      </c>
      <c r="AT615" s="89" t="e">
        <f>#REF!</f>
        <v>#REF!</v>
      </c>
      <c r="AU615" s="89" t="e">
        <f>#REF!</f>
        <v>#REF!</v>
      </c>
      <c r="AV615" s="89" t="e">
        <f>#REF!</f>
        <v>#REF!</v>
      </c>
      <c r="AW615" s="89" t="e">
        <f>#REF!</f>
        <v>#REF!</v>
      </c>
      <c r="AX615" s="89" t="e">
        <f>#REF!</f>
        <v>#REF!</v>
      </c>
      <c r="AY615" s="89" t="e">
        <f>#REF!</f>
        <v>#REF!</v>
      </c>
      <c r="AZ615" s="89" t="e">
        <f>#REF!</f>
        <v>#REF!</v>
      </c>
      <c r="BA615" s="89" t="e">
        <f>#REF!</f>
        <v>#REF!</v>
      </c>
      <c r="BB615" s="89" t="e">
        <f>#REF!</f>
        <v>#REF!</v>
      </c>
      <c r="BC615" s="89" t="e">
        <f>#REF!</f>
        <v>#REF!</v>
      </c>
      <c r="BD615" s="89" t="e">
        <f>#REF!</f>
        <v>#REF!</v>
      </c>
      <c r="BE615" s="89" t="e">
        <f>#REF!</f>
        <v>#REF!</v>
      </c>
      <c r="BF615" s="89" t="e">
        <f>#REF!</f>
        <v>#REF!</v>
      </c>
    </row>
    <row r="616" spans="9:58" x14ac:dyDescent="0.25">
      <c r="I616" s="89">
        <f>ABCD!J665</f>
        <v>153</v>
      </c>
      <c r="J616" s="89">
        <f>ABCD!K665</f>
        <v>501.84</v>
      </c>
      <c r="K616" s="89">
        <f>ABCD!L665</f>
        <v>1.905672820644313</v>
      </c>
      <c r="L616" s="89">
        <f>ABCD!M665</f>
        <v>0.39271922327963171</v>
      </c>
      <c r="M616" s="89">
        <f>ABCD!N665</f>
        <v>1.945717679334751</v>
      </c>
      <c r="N616" s="89" t="e">
        <v>#REF!</v>
      </c>
      <c r="O616" s="89" t="e">
        <v>#REF!</v>
      </c>
      <c r="P616" s="89" t="e">
        <v>#REF!</v>
      </c>
      <c r="Q616" s="89" t="e">
        <v>#REF!</v>
      </c>
      <c r="R616" s="89" t="e">
        <v>#REF!</v>
      </c>
      <c r="S616" s="89" t="e">
        <f>#REF!</f>
        <v>#REF!</v>
      </c>
      <c r="T616" s="89" t="e">
        <f>#REF!</f>
        <v>#REF!</v>
      </c>
      <c r="U616" s="89" t="e">
        <f>#REF!</f>
        <v>#REF!</v>
      </c>
      <c r="V616" s="89" t="e">
        <f>#REF!</f>
        <v>#REF!</v>
      </c>
      <c r="W616" s="89" t="e">
        <f>#REF!</f>
        <v>#REF!</v>
      </c>
      <c r="X616" s="89" t="e">
        <f>#REF!</f>
        <v>#REF!</v>
      </c>
      <c r="Y616" s="89" t="e">
        <f>#REF!</f>
        <v>#REF!</v>
      </c>
      <c r="Z616" s="89" t="e">
        <f>#REF!</f>
        <v>#REF!</v>
      </c>
      <c r="AA616" s="89" t="e">
        <f>#REF!</f>
        <v>#REF!</v>
      </c>
      <c r="AB616" s="89" t="e">
        <f>#REF!</f>
        <v>#REF!</v>
      </c>
      <c r="AC616" s="89" t="e">
        <f>#REF!</f>
        <v>#REF!</v>
      </c>
      <c r="AD616" s="89" t="e">
        <f>#REF!</f>
        <v>#REF!</v>
      </c>
      <c r="AE616" s="89" t="e">
        <f>#REF!</f>
        <v>#REF!</v>
      </c>
      <c r="AF616" s="89" t="e">
        <f>#REF!</f>
        <v>#REF!</v>
      </c>
      <c r="AG616" s="89" t="e">
        <f>#REF!</f>
        <v>#REF!</v>
      </c>
      <c r="AH616" s="89" t="e">
        <f>#REF!</f>
        <v>#REF!</v>
      </c>
      <c r="AI616" s="89" t="e">
        <f>#REF!</f>
        <v>#REF!</v>
      </c>
      <c r="AJ616" s="89" t="e">
        <f>#REF!</f>
        <v>#REF!</v>
      </c>
      <c r="AK616" s="89" t="e">
        <f>#REF!</f>
        <v>#REF!</v>
      </c>
      <c r="AL616" s="89" t="e">
        <f>#REF!</f>
        <v>#REF!</v>
      </c>
      <c r="AM616" s="89" t="e">
        <f>#REF!</f>
        <v>#REF!</v>
      </c>
      <c r="AN616" s="89" t="e">
        <f>#REF!</f>
        <v>#REF!</v>
      </c>
      <c r="AO616" s="89" t="e">
        <f>#REF!</f>
        <v>#REF!</v>
      </c>
      <c r="AP616" s="89" t="e">
        <f>#REF!</f>
        <v>#REF!</v>
      </c>
      <c r="AQ616" s="89" t="e">
        <f>#REF!</f>
        <v>#REF!</v>
      </c>
      <c r="AR616" s="89" t="e">
        <f>#REF!</f>
        <v>#REF!</v>
      </c>
      <c r="AS616" s="89" t="e">
        <f>#REF!</f>
        <v>#REF!</v>
      </c>
      <c r="AT616" s="89" t="e">
        <f>#REF!</f>
        <v>#REF!</v>
      </c>
      <c r="AU616" s="89" t="e">
        <f>#REF!</f>
        <v>#REF!</v>
      </c>
      <c r="AV616" s="89" t="e">
        <f>#REF!</f>
        <v>#REF!</v>
      </c>
      <c r="AW616" s="89" t="e">
        <f>#REF!</f>
        <v>#REF!</v>
      </c>
      <c r="AX616" s="89" t="e">
        <f>#REF!</f>
        <v>#REF!</v>
      </c>
      <c r="AY616" s="89" t="e">
        <f>#REF!</f>
        <v>#REF!</v>
      </c>
      <c r="AZ616" s="89" t="e">
        <f>#REF!</f>
        <v>#REF!</v>
      </c>
      <c r="BA616" s="89" t="e">
        <f>#REF!</f>
        <v>#REF!</v>
      </c>
      <c r="BB616" s="89" t="e">
        <f>#REF!</f>
        <v>#REF!</v>
      </c>
      <c r="BC616" s="89" t="e">
        <f>#REF!</f>
        <v>#REF!</v>
      </c>
      <c r="BD616" s="89" t="e">
        <f>#REF!</f>
        <v>#REF!</v>
      </c>
      <c r="BE616" s="89" t="e">
        <f>#REF!</f>
        <v>#REF!</v>
      </c>
      <c r="BF616" s="89" t="e">
        <f>#REF!</f>
        <v>#REF!</v>
      </c>
    </row>
    <row r="617" spans="9:58" x14ac:dyDescent="0.25">
      <c r="I617" s="89">
        <f>ABCD!J666</f>
        <v>153.25</v>
      </c>
      <c r="J617" s="89">
        <f>ABCD!K666</f>
        <v>502.65999999999997</v>
      </c>
      <c r="K617" s="89">
        <f>ABCD!L666</f>
        <v>1.8288386604560565</v>
      </c>
      <c r="L617" s="89">
        <f>ABCD!M666</f>
        <v>0.37897531750206825</v>
      </c>
      <c r="M617" s="89">
        <f>ABCD!N666</f>
        <v>1.8676919278228132</v>
      </c>
      <c r="N617" s="89" t="e">
        <v>#REF!</v>
      </c>
      <c r="O617" s="89" t="e">
        <v>#REF!</v>
      </c>
      <c r="P617" s="89" t="e">
        <v>#REF!</v>
      </c>
      <c r="Q617" s="89" t="e">
        <v>#REF!</v>
      </c>
      <c r="R617" s="89" t="e">
        <v>#REF!</v>
      </c>
      <c r="S617" s="89" t="e">
        <f>#REF!</f>
        <v>#REF!</v>
      </c>
      <c r="T617" s="89" t="e">
        <f>#REF!</f>
        <v>#REF!</v>
      </c>
      <c r="U617" s="89" t="e">
        <f>#REF!</f>
        <v>#REF!</v>
      </c>
      <c r="V617" s="89" t="e">
        <f>#REF!</f>
        <v>#REF!</v>
      </c>
      <c r="W617" s="89" t="e">
        <f>#REF!</f>
        <v>#REF!</v>
      </c>
      <c r="X617" s="89" t="e">
        <f>#REF!</f>
        <v>#REF!</v>
      </c>
      <c r="Y617" s="89" t="e">
        <f>#REF!</f>
        <v>#REF!</v>
      </c>
      <c r="Z617" s="89" t="e">
        <f>#REF!</f>
        <v>#REF!</v>
      </c>
      <c r="AA617" s="89" t="e">
        <f>#REF!</f>
        <v>#REF!</v>
      </c>
      <c r="AB617" s="89" t="e">
        <f>#REF!</f>
        <v>#REF!</v>
      </c>
      <c r="AC617" s="89" t="e">
        <f>#REF!</f>
        <v>#REF!</v>
      </c>
      <c r="AD617" s="89" t="e">
        <f>#REF!</f>
        <v>#REF!</v>
      </c>
      <c r="AE617" s="89" t="e">
        <f>#REF!</f>
        <v>#REF!</v>
      </c>
      <c r="AF617" s="89" t="e">
        <f>#REF!</f>
        <v>#REF!</v>
      </c>
      <c r="AG617" s="89" t="e">
        <f>#REF!</f>
        <v>#REF!</v>
      </c>
      <c r="AH617" s="89" t="e">
        <f>#REF!</f>
        <v>#REF!</v>
      </c>
      <c r="AI617" s="89" t="e">
        <f>#REF!</f>
        <v>#REF!</v>
      </c>
      <c r="AJ617" s="89" t="e">
        <f>#REF!</f>
        <v>#REF!</v>
      </c>
      <c r="AK617" s="89" t="e">
        <f>#REF!</f>
        <v>#REF!</v>
      </c>
      <c r="AL617" s="89" t="e">
        <f>#REF!</f>
        <v>#REF!</v>
      </c>
      <c r="AM617" s="89" t="e">
        <f>#REF!</f>
        <v>#REF!</v>
      </c>
      <c r="AN617" s="89" t="e">
        <f>#REF!</f>
        <v>#REF!</v>
      </c>
      <c r="AO617" s="89" t="e">
        <f>#REF!</f>
        <v>#REF!</v>
      </c>
      <c r="AP617" s="89" t="e">
        <f>#REF!</f>
        <v>#REF!</v>
      </c>
      <c r="AQ617" s="89" t="e">
        <f>#REF!</f>
        <v>#REF!</v>
      </c>
      <c r="AR617" s="89" t="e">
        <f>#REF!</f>
        <v>#REF!</v>
      </c>
      <c r="AS617" s="89" t="e">
        <f>#REF!</f>
        <v>#REF!</v>
      </c>
      <c r="AT617" s="89" t="e">
        <f>#REF!</f>
        <v>#REF!</v>
      </c>
      <c r="AU617" s="89" t="e">
        <f>#REF!</f>
        <v>#REF!</v>
      </c>
      <c r="AV617" s="89" t="e">
        <f>#REF!</f>
        <v>#REF!</v>
      </c>
      <c r="AW617" s="89" t="e">
        <f>#REF!</f>
        <v>#REF!</v>
      </c>
      <c r="AX617" s="89" t="e">
        <f>#REF!</f>
        <v>#REF!</v>
      </c>
      <c r="AY617" s="89" t="e">
        <f>#REF!</f>
        <v>#REF!</v>
      </c>
      <c r="AZ617" s="89" t="e">
        <f>#REF!</f>
        <v>#REF!</v>
      </c>
      <c r="BA617" s="89" t="e">
        <f>#REF!</f>
        <v>#REF!</v>
      </c>
      <c r="BB617" s="89" t="e">
        <f>#REF!</f>
        <v>#REF!</v>
      </c>
      <c r="BC617" s="89" t="e">
        <f>#REF!</f>
        <v>#REF!</v>
      </c>
      <c r="BD617" s="89" t="e">
        <f>#REF!</f>
        <v>#REF!</v>
      </c>
      <c r="BE617" s="89" t="e">
        <f>#REF!</f>
        <v>#REF!</v>
      </c>
      <c r="BF617" s="89" t="e">
        <f>#REF!</f>
        <v>#REF!</v>
      </c>
    </row>
    <row r="618" spans="9:58" x14ac:dyDescent="0.25">
      <c r="I618" s="89">
        <f>ABCD!J667</f>
        <v>153.5</v>
      </c>
      <c r="J618" s="89">
        <f>ABCD!K667</f>
        <v>503.47999999999996</v>
      </c>
      <c r="K618" s="89">
        <f>ABCD!L667</f>
        <v>1.7516514488199546</v>
      </c>
      <c r="L618" s="89">
        <f>ABCD!M667</f>
        <v>0.36515629260516658</v>
      </c>
      <c r="M618" s="89">
        <f>ABCD!N667</f>
        <v>1.7893076639254066</v>
      </c>
      <c r="N618" s="89" t="e">
        <v>#REF!</v>
      </c>
      <c r="O618" s="89" t="e">
        <v>#REF!</v>
      </c>
      <c r="P618" s="89" t="e">
        <v>#REF!</v>
      </c>
      <c r="Q618" s="89" t="e">
        <v>#REF!</v>
      </c>
      <c r="R618" s="89" t="e">
        <v>#REF!</v>
      </c>
      <c r="S618" s="89" t="e">
        <f>#REF!</f>
        <v>#REF!</v>
      </c>
      <c r="T618" s="89" t="e">
        <f>#REF!</f>
        <v>#REF!</v>
      </c>
      <c r="U618" s="89" t="e">
        <f>#REF!</f>
        <v>#REF!</v>
      </c>
      <c r="V618" s="89" t="e">
        <f>#REF!</f>
        <v>#REF!</v>
      </c>
      <c r="W618" s="89" t="e">
        <f>#REF!</f>
        <v>#REF!</v>
      </c>
      <c r="X618" s="89" t="e">
        <f>#REF!</f>
        <v>#REF!</v>
      </c>
      <c r="Y618" s="89" t="e">
        <f>#REF!</f>
        <v>#REF!</v>
      </c>
      <c r="Z618" s="89" t="e">
        <f>#REF!</f>
        <v>#REF!</v>
      </c>
      <c r="AA618" s="89" t="e">
        <f>#REF!</f>
        <v>#REF!</v>
      </c>
      <c r="AB618" s="89" t="e">
        <f>#REF!</f>
        <v>#REF!</v>
      </c>
      <c r="AC618" s="89" t="e">
        <f>#REF!</f>
        <v>#REF!</v>
      </c>
      <c r="AD618" s="89" t="e">
        <f>#REF!</f>
        <v>#REF!</v>
      </c>
      <c r="AE618" s="89" t="e">
        <f>#REF!</f>
        <v>#REF!</v>
      </c>
      <c r="AF618" s="89" t="e">
        <f>#REF!</f>
        <v>#REF!</v>
      </c>
      <c r="AG618" s="89" t="e">
        <f>#REF!</f>
        <v>#REF!</v>
      </c>
      <c r="AH618" s="89" t="e">
        <f>#REF!</f>
        <v>#REF!</v>
      </c>
      <c r="AI618" s="89" t="e">
        <f>#REF!</f>
        <v>#REF!</v>
      </c>
      <c r="AJ618" s="89" t="e">
        <f>#REF!</f>
        <v>#REF!</v>
      </c>
      <c r="AK618" s="89" t="e">
        <f>#REF!</f>
        <v>#REF!</v>
      </c>
      <c r="AL618" s="89" t="e">
        <f>#REF!</f>
        <v>#REF!</v>
      </c>
      <c r="AM618" s="89" t="e">
        <f>#REF!</f>
        <v>#REF!</v>
      </c>
      <c r="AN618" s="89" t="e">
        <f>#REF!</f>
        <v>#REF!</v>
      </c>
      <c r="AO618" s="89" t="e">
        <f>#REF!</f>
        <v>#REF!</v>
      </c>
      <c r="AP618" s="89" t="e">
        <f>#REF!</f>
        <v>#REF!</v>
      </c>
      <c r="AQ618" s="89" t="e">
        <f>#REF!</f>
        <v>#REF!</v>
      </c>
      <c r="AR618" s="89" t="e">
        <f>#REF!</f>
        <v>#REF!</v>
      </c>
      <c r="AS618" s="89" t="e">
        <f>#REF!</f>
        <v>#REF!</v>
      </c>
      <c r="AT618" s="89" t="e">
        <f>#REF!</f>
        <v>#REF!</v>
      </c>
      <c r="AU618" s="89" t="e">
        <f>#REF!</f>
        <v>#REF!</v>
      </c>
      <c r="AV618" s="89" t="e">
        <f>#REF!</f>
        <v>#REF!</v>
      </c>
      <c r="AW618" s="89" t="e">
        <f>#REF!</f>
        <v>#REF!</v>
      </c>
      <c r="AX618" s="89" t="e">
        <f>#REF!</f>
        <v>#REF!</v>
      </c>
      <c r="AY618" s="89" t="e">
        <f>#REF!</f>
        <v>#REF!</v>
      </c>
      <c r="AZ618" s="89" t="e">
        <f>#REF!</f>
        <v>#REF!</v>
      </c>
      <c r="BA618" s="89" t="e">
        <f>#REF!</f>
        <v>#REF!</v>
      </c>
      <c r="BB618" s="89" t="e">
        <f>#REF!</f>
        <v>#REF!</v>
      </c>
      <c r="BC618" s="89" t="e">
        <f>#REF!</f>
        <v>#REF!</v>
      </c>
      <c r="BD618" s="89" t="e">
        <f>#REF!</f>
        <v>#REF!</v>
      </c>
      <c r="BE618" s="89" t="e">
        <f>#REF!</f>
        <v>#REF!</v>
      </c>
      <c r="BF618" s="89" t="e">
        <f>#REF!</f>
        <v>#REF!</v>
      </c>
    </row>
    <row r="619" spans="9:58" x14ac:dyDescent="0.25">
      <c r="I619" s="89">
        <f>ABCD!J668</f>
        <v>153.75</v>
      </c>
      <c r="J619" s="89">
        <f>ABCD!K668</f>
        <v>504.29999999999995</v>
      </c>
      <c r="K619" s="89">
        <f>ABCD!L668</f>
        <v>1.6741293213183228</v>
      </c>
      <c r="L619" s="89">
        <f>ABCD!M668</f>
        <v>0.35126540616429125</v>
      </c>
      <c r="M619" s="89">
        <f>ABCD!N668</f>
        <v>1.7105836343381497</v>
      </c>
      <c r="N619" s="89" t="e">
        <v>#REF!</v>
      </c>
      <c r="O619" s="89" t="e">
        <v>#REF!</v>
      </c>
      <c r="P619" s="89" t="e">
        <v>#REF!</v>
      </c>
      <c r="Q619" s="89" t="e">
        <v>#REF!</v>
      </c>
      <c r="R619" s="89" t="e">
        <v>#REF!</v>
      </c>
      <c r="S619" s="89" t="e">
        <f>#REF!</f>
        <v>#REF!</v>
      </c>
      <c r="T619" s="89" t="e">
        <f>#REF!</f>
        <v>#REF!</v>
      </c>
      <c r="U619" s="89" t="e">
        <f>#REF!</f>
        <v>#REF!</v>
      </c>
      <c r="V619" s="89" t="e">
        <f>#REF!</f>
        <v>#REF!</v>
      </c>
      <c r="W619" s="89" t="e">
        <f>#REF!</f>
        <v>#REF!</v>
      </c>
      <c r="X619" s="89" t="e">
        <f>#REF!</f>
        <v>#REF!</v>
      </c>
      <c r="Y619" s="89" t="e">
        <f>#REF!</f>
        <v>#REF!</v>
      </c>
      <c r="Z619" s="89" t="e">
        <f>#REF!</f>
        <v>#REF!</v>
      </c>
      <c r="AA619" s="89" t="e">
        <f>#REF!</f>
        <v>#REF!</v>
      </c>
      <c r="AB619" s="89" t="e">
        <f>#REF!</f>
        <v>#REF!</v>
      </c>
      <c r="AC619" s="89" t="e">
        <f>#REF!</f>
        <v>#REF!</v>
      </c>
      <c r="AD619" s="89" t="e">
        <f>#REF!</f>
        <v>#REF!</v>
      </c>
      <c r="AE619" s="89" t="e">
        <f>#REF!</f>
        <v>#REF!</v>
      </c>
      <c r="AF619" s="89" t="e">
        <f>#REF!</f>
        <v>#REF!</v>
      </c>
      <c r="AG619" s="89" t="e">
        <f>#REF!</f>
        <v>#REF!</v>
      </c>
      <c r="AH619" s="89" t="e">
        <f>#REF!</f>
        <v>#REF!</v>
      </c>
      <c r="AI619" s="89" t="e">
        <f>#REF!</f>
        <v>#REF!</v>
      </c>
      <c r="AJ619" s="89" t="e">
        <f>#REF!</f>
        <v>#REF!</v>
      </c>
      <c r="AK619" s="89" t="e">
        <f>#REF!</f>
        <v>#REF!</v>
      </c>
      <c r="AL619" s="89" t="e">
        <f>#REF!</f>
        <v>#REF!</v>
      </c>
      <c r="AM619" s="89" t="e">
        <f>#REF!</f>
        <v>#REF!</v>
      </c>
      <c r="AN619" s="89" t="e">
        <f>#REF!</f>
        <v>#REF!</v>
      </c>
      <c r="AO619" s="89" t="e">
        <f>#REF!</f>
        <v>#REF!</v>
      </c>
      <c r="AP619" s="89" t="e">
        <f>#REF!</f>
        <v>#REF!</v>
      </c>
      <c r="AQ619" s="89" t="e">
        <f>#REF!</f>
        <v>#REF!</v>
      </c>
      <c r="AR619" s="89" t="e">
        <f>#REF!</f>
        <v>#REF!</v>
      </c>
      <c r="AS619" s="89" t="e">
        <f>#REF!</f>
        <v>#REF!</v>
      </c>
      <c r="AT619" s="89" t="e">
        <f>#REF!</f>
        <v>#REF!</v>
      </c>
      <c r="AU619" s="89" t="e">
        <f>#REF!</f>
        <v>#REF!</v>
      </c>
      <c r="AV619" s="89" t="e">
        <f>#REF!</f>
        <v>#REF!</v>
      </c>
      <c r="AW619" s="89" t="e">
        <f>#REF!</f>
        <v>#REF!</v>
      </c>
      <c r="AX619" s="89" t="e">
        <f>#REF!</f>
        <v>#REF!</v>
      </c>
      <c r="AY619" s="89" t="e">
        <f>#REF!</f>
        <v>#REF!</v>
      </c>
      <c r="AZ619" s="89" t="e">
        <f>#REF!</f>
        <v>#REF!</v>
      </c>
      <c r="BA619" s="89" t="e">
        <f>#REF!</f>
        <v>#REF!</v>
      </c>
      <c r="BB619" s="89" t="e">
        <f>#REF!</f>
        <v>#REF!</v>
      </c>
      <c r="BC619" s="89" t="e">
        <f>#REF!</f>
        <v>#REF!</v>
      </c>
      <c r="BD619" s="89" t="e">
        <f>#REF!</f>
        <v>#REF!</v>
      </c>
      <c r="BE619" s="89" t="e">
        <f>#REF!</f>
        <v>#REF!</v>
      </c>
      <c r="BF619" s="89" t="e">
        <f>#REF!</f>
        <v>#REF!</v>
      </c>
    </row>
    <row r="620" spans="9:58" x14ac:dyDescent="0.25">
      <c r="I620" s="89">
        <f>ABCD!J669</f>
        <v>154</v>
      </c>
      <c r="J620" s="89">
        <f>ABCD!K669</f>
        <v>505.11999999999995</v>
      </c>
      <c r="K620" s="89">
        <f>ABCD!L669</f>
        <v>1.5962904745311439</v>
      </c>
      <c r="L620" s="89">
        <f>ABCD!M669</f>
        <v>0.33730592941290549</v>
      </c>
      <c r="M620" s="89">
        <f>ABCD!N669</f>
        <v>1.6315387121046097</v>
      </c>
      <c r="N620" s="89" t="e">
        <v>#REF!</v>
      </c>
      <c r="O620" s="89" t="e">
        <v>#REF!</v>
      </c>
      <c r="P620" s="89" t="e">
        <v>#REF!</v>
      </c>
      <c r="Q620" s="89" t="e">
        <v>#REF!</v>
      </c>
      <c r="R620" s="89" t="e">
        <v>#REF!</v>
      </c>
      <c r="S620" s="89" t="e">
        <f>#REF!</f>
        <v>#REF!</v>
      </c>
      <c r="T620" s="89" t="e">
        <f>#REF!</f>
        <v>#REF!</v>
      </c>
      <c r="U620" s="89" t="e">
        <f>#REF!</f>
        <v>#REF!</v>
      </c>
      <c r="V620" s="89" t="e">
        <f>#REF!</f>
        <v>#REF!</v>
      </c>
      <c r="W620" s="89" t="e">
        <f>#REF!</f>
        <v>#REF!</v>
      </c>
      <c r="X620" s="89" t="e">
        <f>#REF!</f>
        <v>#REF!</v>
      </c>
      <c r="Y620" s="89" t="e">
        <f>#REF!</f>
        <v>#REF!</v>
      </c>
      <c r="Z620" s="89" t="e">
        <f>#REF!</f>
        <v>#REF!</v>
      </c>
      <c r="AA620" s="89" t="e">
        <f>#REF!</f>
        <v>#REF!</v>
      </c>
      <c r="AB620" s="89" t="e">
        <f>#REF!</f>
        <v>#REF!</v>
      </c>
      <c r="AC620" s="89" t="e">
        <f>#REF!</f>
        <v>#REF!</v>
      </c>
      <c r="AD620" s="89" t="e">
        <f>#REF!</f>
        <v>#REF!</v>
      </c>
      <c r="AE620" s="89" t="e">
        <f>#REF!</f>
        <v>#REF!</v>
      </c>
      <c r="AF620" s="89" t="e">
        <f>#REF!</f>
        <v>#REF!</v>
      </c>
      <c r="AG620" s="89" t="e">
        <f>#REF!</f>
        <v>#REF!</v>
      </c>
      <c r="AH620" s="89" t="e">
        <f>#REF!</f>
        <v>#REF!</v>
      </c>
      <c r="AI620" s="89" t="e">
        <f>#REF!</f>
        <v>#REF!</v>
      </c>
      <c r="AJ620" s="89" t="e">
        <f>#REF!</f>
        <v>#REF!</v>
      </c>
      <c r="AK620" s="89" t="e">
        <f>#REF!</f>
        <v>#REF!</v>
      </c>
      <c r="AL620" s="89" t="e">
        <f>#REF!</f>
        <v>#REF!</v>
      </c>
      <c r="AM620" s="89" t="e">
        <f>#REF!</f>
        <v>#REF!</v>
      </c>
      <c r="AN620" s="89" t="e">
        <f>#REF!</f>
        <v>#REF!</v>
      </c>
      <c r="AO620" s="89" t="e">
        <f>#REF!</f>
        <v>#REF!</v>
      </c>
      <c r="AP620" s="89" t="e">
        <f>#REF!</f>
        <v>#REF!</v>
      </c>
      <c r="AQ620" s="89" t="e">
        <f>#REF!</f>
        <v>#REF!</v>
      </c>
      <c r="AR620" s="89" t="e">
        <f>#REF!</f>
        <v>#REF!</v>
      </c>
      <c r="AS620" s="89" t="e">
        <f>#REF!</f>
        <v>#REF!</v>
      </c>
      <c r="AT620" s="89" t="e">
        <f>#REF!</f>
        <v>#REF!</v>
      </c>
      <c r="AU620" s="89" t="e">
        <f>#REF!</f>
        <v>#REF!</v>
      </c>
      <c r="AV620" s="89" t="e">
        <f>#REF!</f>
        <v>#REF!</v>
      </c>
      <c r="AW620" s="89" t="e">
        <f>#REF!</f>
        <v>#REF!</v>
      </c>
      <c r="AX620" s="89" t="e">
        <f>#REF!</f>
        <v>#REF!</v>
      </c>
      <c r="AY620" s="89" t="e">
        <f>#REF!</f>
        <v>#REF!</v>
      </c>
      <c r="AZ620" s="89" t="e">
        <f>#REF!</f>
        <v>#REF!</v>
      </c>
      <c r="BA620" s="89" t="e">
        <f>#REF!</f>
        <v>#REF!</v>
      </c>
      <c r="BB620" s="89" t="e">
        <f>#REF!</f>
        <v>#REF!</v>
      </c>
      <c r="BC620" s="89" t="e">
        <f>#REF!</f>
        <v>#REF!</v>
      </c>
      <c r="BD620" s="89" t="e">
        <f>#REF!</f>
        <v>#REF!</v>
      </c>
      <c r="BE620" s="89" t="e">
        <f>#REF!</f>
        <v>#REF!</v>
      </c>
      <c r="BF620" s="89" t="e">
        <f>#REF!</f>
        <v>#REF!</v>
      </c>
    </row>
    <row r="621" spans="9:58" x14ac:dyDescent="0.25">
      <c r="I621" s="89">
        <f>ABCD!J670</f>
        <v>154.25</v>
      </c>
      <c r="J621" s="89">
        <f>ABCD!K670</f>
        <v>505.94</v>
      </c>
      <c r="K621" s="89">
        <f>ABCD!L670</f>
        <v>1.5181531617806452</v>
      </c>
      <c r="L621" s="89">
        <f>ABCD!M670</f>
        <v>0.32328114647514328</v>
      </c>
      <c r="M621" s="89">
        <f>ABCD!N670</f>
        <v>1.5521919089760947</v>
      </c>
      <c r="N621" s="89" t="e">
        <v>#REF!</v>
      </c>
      <c r="O621" s="89" t="e">
        <v>#REF!</v>
      </c>
      <c r="P621" s="89" t="e">
        <v>#REF!</v>
      </c>
      <c r="Q621" s="89" t="e">
        <v>#REF!</v>
      </c>
      <c r="R621" s="89" t="e">
        <v>#REF!</v>
      </c>
      <c r="S621" s="89" t="e">
        <f>#REF!</f>
        <v>#REF!</v>
      </c>
      <c r="T621" s="89" t="e">
        <f>#REF!</f>
        <v>#REF!</v>
      </c>
      <c r="U621" s="89" t="e">
        <f>#REF!</f>
        <v>#REF!</v>
      </c>
      <c r="V621" s="89" t="e">
        <f>#REF!</f>
        <v>#REF!</v>
      </c>
      <c r="W621" s="89" t="e">
        <f>#REF!</f>
        <v>#REF!</v>
      </c>
      <c r="X621" s="89" t="e">
        <f>#REF!</f>
        <v>#REF!</v>
      </c>
      <c r="Y621" s="89" t="e">
        <f>#REF!</f>
        <v>#REF!</v>
      </c>
      <c r="Z621" s="89" t="e">
        <f>#REF!</f>
        <v>#REF!</v>
      </c>
      <c r="AA621" s="89" t="e">
        <f>#REF!</f>
        <v>#REF!</v>
      </c>
      <c r="AB621" s="89" t="e">
        <f>#REF!</f>
        <v>#REF!</v>
      </c>
      <c r="AC621" s="89" t="e">
        <f>#REF!</f>
        <v>#REF!</v>
      </c>
      <c r="AD621" s="89" t="e">
        <f>#REF!</f>
        <v>#REF!</v>
      </c>
      <c r="AE621" s="89" t="e">
        <f>#REF!</f>
        <v>#REF!</v>
      </c>
      <c r="AF621" s="89" t="e">
        <f>#REF!</f>
        <v>#REF!</v>
      </c>
      <c r="AG621" s="89" t="e">
        <f>#REF!</f>
        <v>#REF!</v>
      </c>
      <c r="AH621" s="89" t="e">
        <f>#REF!</f>
        <v>#REF!</v>
      </c>
      <c r="AI621" s="89" t="e">
        <f>#REF!</f>
        <v>#REF!</v>
      </c>
      <c r="AJ621" s="89" t="e">
        <f>#REF!</f>
        <v>#REF!</v>
      </c>
      <c r="AK621" s="89" t="e">
        <f>#REF!</f>
        <v>#REF!</v>
      </c>
      <c r="AL621" s="89" t="e">
        <f>#REF!</f>
        <v>#REF!</v>
      </c>
      <c r="AM621" s="89" t="e">
        <f>#REF!</f>
        <v>#REF!</v>
      </c>
      <c r="AN621" s="89" t="e">
        <f>#REF!</f>
        <v>#REF!</v>
      </c>
      <c r="AO621" s="89" t="e">
        <f>#REF!</f>
        <v>#REF!</v>
      </c>
      <c r="AP621" s="89" t="e">
        <f>#REF!</f>
        <v>#REF!</v>
      </c>
      <c r="AQ621" s="89" t="e">
        <f>#REF!</f>
        <v>#REF!</v>
      </c>
      <c r="AR621" s="89" t="e">
        <f>#REF!</f>
        <v>#REF!</v>
      </c>
      <c r="AS621" s="89" t="e">
        <f>#REF!</f>
        <v>#REF!</v>
      </c>
      <c r="AT621" s="89" t="e">
        <f>#REF!</f>
        <v>#REF!</v>
      </c>
      <c r="AU621" s="89" t="e">
        <f>#REF!</f>
        <v>#REF!</v>
      </c>
      <c r="AV621" s="89" t="e">
        <f>#REF!</f>
        <v>#REF!</v>
      </c>
      <c r="AW621" s="89" t="e">
        <f>#REF!</f>
        <v>#REF!</v>
      </c>
      <c r="AX621" s="89" t="e">
        <f>#REF!</f>
        <v>#REF!</v>
      </c>
      <c r="AY621" s="89" t="e">
        <f>#REF!</f>
        <v>#REF!</v>
      </c>
      <c r="AZ621" s="89" t="e">
        <f>#REF!</f>
        <v>#REF!</v>
      </c>
      <c r="BA621" s="89" t="e">
        <f>#REF!</f>
        <v>#REF!</v>
      </c>
      <c r="BB621" s="89" t="e">
        <f>#REF!</f>
        <v>#REF!</v>
      </c>
      <c r="BC621" s="89" t="e">
        <f>#REF!</f>
        <v>#REF!</v>
      </c>
      <c r="BD621" s="89" t="e">
        <f>#REF!</f>
        <v>#REF!</v>
      </c>
      <c r="BE621" s="89" t="e">
        <f>#REF!</f>
        <v>#REF!</v>
      </c>
      <c r="BF621" s="89" t="e">
        <f>#REF!</f>
        <v>#REF!</v>
      </c>
    </row>
    <row r="622" spans="9:58" x14ac:dyDescent="0.25">
      <c r="I622" s="89">
        <f>ABCD!J671</f>
        <v>154.5</v>
      </c>
      <c r="J622" s="89">
        <f>ABCD!K671</f>
        <v>506.76</v>
      </c>
      <c r="K622" s="89">
        <f>ABCD!L671</f>
        <v>1.4397356888666784</v>
      </c>
      <c r="L622" s="89">
        <f>ABCD!M671</f>
        <v>0.30919435359611125</v>
      </c>
      <c r="M622" s="89">
        <f>ABCD!N671</f>
        <v>1.4725623932764702</v>
      </c>
      <c r="N622" s="89" t="e">
        <v>#REF!</v>
      </c>
      <c r="O622" s="89" t="e">
        <v>#REF!</v>
      </c>
      <c r="P622" s="89" t="e">
        <v>#REF!</v>
      </c>
      <c r="Q622" s="89" t="e">
        <v>#REF!</v>
      </c>
      <c r="R622" s="89" t="e">
        <v>#REF!</v>
      </c>
      <c r="S622" s="89" t="e">
        <f>#REF!</f>
        <v>#REF!</v>
      </c>
      <c r="T622" s="89" t="e">
        <f>#REF!</f>
        <v>#REF!</v>
      </c>
      <c r="U622" s="89" t="e">
        <f>#REF!</f>
        <v>#REF!</v>
      </c>
      <c r="V622" s="89" t="e">
        <f>#REF!</f>
        <v>#REF!</v>
      </c>
      <c r="W622" s="89" t="e">
        <f>#REF!</f>
        <v>#REF!</v>
      </c>
      <c r="X622" s="89" t="e">
        <f>#REF!</f>
        <v>#REF!</v>
      </c>
      <c r="Y622" s="89" t="e">
        <f>#REF!</f>
        <v>#REF!</v>
      </c>
      <c r="Z622" s="89" t="e">
        <f>#REF!</f>
        <v>#REF!</v>
      </c>
      <c r="AA622" s="89" t="e">
        <f>#REF!</f>
        <v>#REF!</v>
      </c>
      <c r="AB622" s="89" t="e">
        <f>#REF!</f>
        <v>#REF!</v>
      </c>
      <c r="AC622" s="89" t="e">
        <f>#REF!</f>
        <v>#REF!</v>
      </c>
      <c r="AD622" s="89" t="e">
        <f>#REF!</f>
        <v>#REF!</v>
      </c>
      <c r="AE622" s="89" t="e">
        <f>#REF!</f>
        <v>#REF!</v>
      </c>
      <c r="AF622" s="89" t="e">
        <f>#REF!</f>
        <v>#REF!</v>
      </c>
      <c r="AG622" s="89" t="e">
        <f>#REF!</f>
        <v>#REF!</v>
      </c>
      <c r="AH622" s="89" t="e">
        <f>#REF!</f>
        <v>#REF!</v>
      </c>
      <c r="AI622" s="89" t="e">
        <f>#REF!</f>
        <v>#REF!</v>
      </c>
      <c r="AJ622" s="89" t="e">
        <f>#REF!</f>
        <v>#REF!</v>
      </c>
      <c r="AK622" s="89" t="e">
        <f>#REF!</f>
        <v>#REF!</v>
      </c>
      <c r="AL622" s="89" t="e">
        <f>#REF!</f>
        <v>#REF!</v>
      </c>
      <c r="AM622" s="89" t="e">
        <f>#REF!</f>
        <v>#REF!</v>
      </c>
      <c r="AN622" s="89" t="e">
        <f>#REF!</f>
        <v>#REF!</v>
      </c>
      <c r="AO622" s="89" t="e">
        <f>#REF!</f>
        <v>#REF!</v>
      </c>
      <c r="AP622" s="89" t="e">
        <f>#REF!</f>
        <v>#REF!</v>
      </c>
      <c r="AQ622" s="89" t="e">
        <f>#REF!</f>
        <v>#REF!</v>
      </c>
      <c r="AR622" s="89" t="e">
        <f>#REF!</f>
        <v>#REF!</v>
      </c>
      <c r="AS622" s="89" t="e">
        <f>#REF!</f>
        <v>#REF!</v>
      </c>
      <c r="AT622" s="89" t="e">
        <f>#REF!</f>
        <v>#REF!</v>
      </c>
      <c r="AU622" s="89" t="e">
        <f>#REF!</f>
        <v>#REF!</v>
      </c>
      <c r="AV622" s="89" t="e">
        <f>#REF!</f>
        <v>#REF!</v>
      </c>
      <c r="AW622" s="89" t="e">
        <f>#REF!</f>
        <v>#REF!</v>
      </c>
      <c r="AX622" s="89" t="e">
        <f>#REF!</f>
        <v>#REF!</v>
      </c>
      <c r="AY622" s="89" t="e">
        <f>#REF!</f>
        <v>#REF!</v>
      </c>
      <c r="AZ622" s="89" t="e">
        <f>#REF!</f>
        <v>#REF!</v>
      </c>
      <c r="BA622" s="89" t="e">
        <f>#REF!</f>
        <v>#REF!</v>
      </c>
      <c r="BB622" s="89" t="e">
        <f>#REF!</f>
        <v>#REF!</v>
      </c>
      <c r="BC622" s="89" t="e">
        <f>#REF!</f>
        <v>#REF!</v>
      </c>
      <c r="BD622" s="89" t="e">
        <f>#REF!</f>
        <v>#REF!</v>
      </c>
      <c r="BE622" s="89" t="e">
        <f>#REF!</f>
        <v>#REF!</v>
      </c>
      <c r="BF622" s="89" t="e">
        <f>#REF!</f>
        <v>#REF!</v>
      </c>
    </row>
    <row r="623" spans="9:58" x14ac:dyDescent="0.25">
      <c r="I623" s="89">
        <f>ABCD!J672</f>
        <v>154.75</v>
      </c>
      <c r="J623" s="89">
        <f>ABCD!K672</f>
        <v>507.58</v>
      </c>
      <c r="K623" s="89">
        <f>ABCD!L672</f>
        <v>1.3610564097937576</v>
      </c>
      <c r="L623" s="89">
        <f>ABCD!M672</f>
        <v>0.29504885837007055</v>
      </c>
      <c r="M623" s="89">
        <f>ABCD!N672</f>
        <v>1.3926695155226723</v>
      </c>
      <c r="N623" s="89" t="e">
        <v>#REF!</v>
      </c>
      <c r="O623" s="89" t="e">
        <v>#REF!</v>
      </c>
      <c r="P623" s="89" t="e">
        <v>#REF!</v>
      </c>
      <c r="Q623" s="89" t="e">
        <v>#REF!</v>
      </c>
      <c r="R623" s="89" t="e">
        <v>#REF!</v>
      </c>
      <c r="S623" s="89" t="e">
        <f>#REF!</f>
        <v>#REF!</v>
      </c>
      <c r="T623" s="89" t="e">
        <f>#REF!</f>
        <v>#REF!</v>
      </c>
      <c r="U623" s="89" t="e">
        <f>#REF!</f>
        <v>#REF!</v>
      </c>
      <c r="V623" s="89" t="e">
        <f>#REF!</f>
        <v>#REF!</v>
      </c>
      <c r="W623" s="89" t="e">
        <f>#REF!</f>
        <v>#REF!</v>
      </c>
      <c r="X623" s="89" t="e">
        <f>#REF!</f>
        <v>#REF!</v>
      </c>
      <c r="Y623" s="89" t="e">
        <f>#REF!</f>
        <v>#REF!</v>
      </c>
      <c r="Z623" s="89" t="e">
        <f>#REF!</f>
        <v>#REF!</v>
      </c>
      <c r="AA623" s="89" t="e">
        <f>#REF!</f>
        <v>#REF!</v>
      </c>
      <c r="AB623" s="89" t="e">
        <f>#REF!</f>
        <v>#REF!</v>
      </c>
      <c r="AC623" s="89" t="e">
        <f>#REF!</f>
        <v>#REF!</v>
      </c>
      <c r="AD623" s="89" t="e">
        <f>#REF!</f>
        <v>#REF!</v>
      </c>
      <c r="AE623" s="89" t="e">
        <f>#REF!</f>
        <v>#REF!</v>
      </c>
      <c r="AF623" s="89" t="e">
        <f>#REF!</f>
        <v>#REF!</v>
      </c>
      <c r="AG623" s="89" t="e">
        <f>#REF!</f>
        <v>#REF!</v>
      </c>
      <c r="AH623" s="89" t="e">
        <f>#REF!</f>
        <v>#REF!</v>
      </c>
      <c r="AI623" s="89" t="e">
        <f>#REF!</f>
        <v>#REF!</v>
      </c>
      <c r="AJ623" s="89" t="e">
        <f>#REF!</f>
        <v>#REF!</v>
      </c>
      <c r="AK623" s="89" t="e">
        <f>#REF!</f>
        <v>#REF!</v>
      </c>
      <c r="AL623" s="89" t="e">
        <f>#REF!</f>
        <v>#REF!</v>
      </c>
      <c r="AM623" s="89" t="e">
        <f>#REF!</f>
        <v>#REF!</v>
      </c>
      <c r="AN623" s="89" t="e">
        <f>#REF!</f>
        <v>#REF!</v>
      </c>
      <c r="AO623" s="89" t="e">
        <f>#REF!</f>
        <v>#REF!</v>
      </c>
      <c r="AP623" s="89" t="e">
        <f>#REF!</f>
        <v>#REF!</v>
      </c>
      <c r="AQ623" s="89" t="e">
        <f>#REF!</f>
        <v>#REF!</v>
      </c>
      <c r="AR623" s="89" t="e">
        <f>#REF!</f>
        <v>#REF!</v>
      </c>
      <c r="AS623" s="89" t="e">
        <f>#REF!</f>
        <v>#REF!</v>
      </c>
      <c r="AT623" s="89" t="e">
        <f>#REF!</f>
        <v>#REF!</v>
      </c>
      <c r="AU623" s="89" t="e">
        <f>#REF!</f>
        <v>#REF!</v>
      </c>
      <c r="AV623" s="89" t="e">
        <f>#REF!</f>
        <v>#REF!</v>
      </c>
      <c r="AW623" s="89" t="e">
        <f>#REF!</f>
        <v>#REF!</v>
      </c>
      <c r="AX623" s="89" t="e">
        <f>#REF!</f>
        <v>#REF!</v>
      </c>
      <c r="AY623" s="89" t="e">
        <f>#REF!</f>
        <v>#REF!</v>
      </c>
      <c r="AZ623" s="89" t="e">
        <f>#REF!</f>
        <v>#REF!</v>
      </c>
      <c r="BA623" s="89" t="e">
        <f>#REF!</f>
        <v>#REF!</v>
      </c>
      <c r="BB623" s="89" t="e">
        <f>#REF!</f>
        <v>#REF!</v>
      </c>
      <c r="BC623" s="89" t="e">
        <f>#REF!</f>
        <v>#REF!</v>
      </c>
      <c r="BD623" s="89" t="e">
        <f>#REF!</f>
        <v>#REF!</v>
      </c>
      <c r="BE623" s="89" t="e">
        <f>#REF!</f>
        <v>#REF!</v>
      </c>
      <c r="BF623" s="89" t="e">
        <f>#REF!</f>
        <v>#REF!</v>
      </c>
    </row>
    <row r="624" spans="9:58" x14ac:dyDescent="0.25">
      <c r="I624" s="89">
        <f>ABCD!J673</f>
        <v>155</v>
      </c>
      <c r="J624" s="89">
        <f>ABCD!K673</f>
        <v>508.4</v>
      </c>
      <c r="K624" s="89">
        <f>ABCD!L673</f>
        <v>1.2821337224908351</v>
      </c>
      <c r="L624" s="89">
        <f>ABCD!M673</f>
        <v>0.28084797896669889</v>
      </c>
      <c r="M624" s="89">
        <f>ABCD!N673</f>
        <v>1.3125328451653639</v>
      </c>
      <c r="N624" s="89" t="e">
        <v>#REF!</v>
      </c>
      <c r="O624" s="89" t="e">
        <v>#REF!</v>
      </c>
      <c r="P624" s="89" t="e">
        <v>#REF!</v>
      </c>
      <c r="Q624" s="89" t="e">
        <v>#REF!</v>
      </c>
      <c r="R624" s="89" t="e">
        <v>#REF!</v>
      </c>
      <c r="S624" s="89" t="e">
        <f>#REF!</f>
        <v>#REF!</v>
      </c>
      <c r="T624" s="89" t="e">
        <f>#REF!</f>
        <v>#REF!</v>
      </c>
      <c r="U624" s="89" t="e">
        <f>#REF!</f>
        <v>#REF!</v>
      </c>
      <c r="V624" s="89" t="e">
        <f>#REF!</f>
        <v>#REF!</v>
      </c>
      <c r="W624" s="89" t="e">
        <f>#REF!</f>
        <v>#REF!</v>
      </c>
      <c r="X624" s="89" t="e">
        <f>#REF!</f>
        <v>#REF!</v>
      </c>
      <c r="Y624" s="89" t="e">
        <f>#REF!</f>
        <v>#REF!</v>
      </c>
      <c r="Z624" s="89" t="e">
        <f>#REF!</f>
        <v>#REF!</v>
      </c>
      <c r="AA624" s="89" t="e">
        <f>#REF!</f>
        <v>#REF!</v>
      </c>
      <c r="AB624" s="89" t="e">
        <f>#REF!</f>
        <v>#REF!</v>
      </c>
      <c r="AC624" s="89" t="e">
        <f>#REF!</f>
        <v>#REF!</v>
      </c>
      <c r="AD624" s="89" t="e">
        <f>#REF!</f>
        <v>#REF!</v>
      </c>
      <c r="AE624" s="89" t="e">
        <f>#REF!</f>
        <v>#REF!</v>
      </c>
      <c r="AF624" s="89" t="e">
        <f>#REF!</f>
        <v>#REF!</v>
      </c>
      <c r="AG624" s="89" t="e">
        <f>#REF!</f>
        <v>#REF!</v>
      </c>
      <c r="AH624" s="89" t="e">
        <f>#REF!</f>
        <v>#REF!</v>
      </c>
      <c r="AI624" s="89" t="e">
        <f>#REF!</f>
        <v>#REF!</v>
      </c>
      <c r="AJ624" s="89" t="e">
        <f>#REF!</f>
        <v>#REF!</v>
      </c>
      <c r="AK624" s="89" t="e">
        <f>#REF!</f>
        <v>#REF!</v>
      </c>
      <c r="AL624" s="89" t="e">
        <f>#REF!</f>
        <v>#REF!</v>
      </c>
      <c r="AM624" s="89" t="e">
        <f>#REF!</f>
        <v>#REF!</v>
      </c>
      <c r="AN624" s="89" t="e">
        <f>#REF!</f>
        <v>#REF!</v>
      </c>
      <c r="AO624" s="89" t="e">
        <f>#REF!</f>
        <v>#REF!</v>
      </c>
      <c r="AP624" s="89" t="e">
        <f>#REF!</f>
        <v>#REF!</v>
      </c>
      <c r="AQ624" s="89" t="e">
        <f>#REF!</f>
        <v>#REF!</v>
      </c>
      <c r="AR624" s="89" t="e">
        <f>#REF!</f>
        <v>#REF!</v>
      </c>
      <c r="AS624" s="89" t="e">
        <f>#REF!</f>
        <v>#REF!</v>
      </c>
      <c r="AT624" s="89" t="e">
        <f>#REF!</f>
        <v>#REF!</v>
      </c>
      <c r="AU624" s="89" t="e">
        <f>#REF!</f>
        <v>#REF!</v>
      </c>
      <c r="AV624" s="89" t="e">
        <f>#REF!</f>
        <v>#REF!</v>
      </c>
      <c r="AW624" s="89" t="e">
        <f>#REF!</f>
        <v>#REF!</v>
      </c>
      <c r="AX624" s="89" t="e">
        <f>#REF!</f>
        <v>#REF!</v>
      </c>
      <c r="AY624" s="89" t="e">
        <f>#REF!</f>
        <v>#REF!</v>
      </c>
      <c r="AZ624" s="89" t="e">
        <f>#REF!</f>
        <v>#REF!</v>
      </c>
      <c r="BA624" s="89" t="e">
        <f>#REF!</f>
        <v>#REF!</v>
      </c>
      <c r="BB624" s="89" t="e">
        <f>#REF!</f>
        <v>#REF!</v>
      </c>
      <c r="BC624" s="89" t="e">
        <f>#REF!</f>
        <v>#REF!</v>
      </c>
      <c r="BD624" s="89" t="e">
        <f>#REF!</f>
        <v>#REF!</v>
      </c>
      <c r="BE624" s="89" t="e">
        <f>#REF!</f>
        <v>#REF!</v>
      </c>
      <c r="BF624" s="89" t="e">
        <f>#REF!</f>
        <v>#REF!</v>
      </c>
    </row>
    <row r="625" spans="9:58" x14ac:dyDescent="0.25">
      <c r="I625" s="89">
        <f>ABCD!J674</f>
        <v>155.25</v>
      </c>
      <c r="J625" s="89">
        <f>ABCD!K674</f>
        <v>509.21999999999997</v>
      </c>
      <c r="K625" s="89">
        <f>ABCD!L674</f>
        <v>1.2029860645247925</v>
      </c>
      <c r="L625" s="89">
        <f>ABCD!M674</f>
        <v>0.26659504335560946</v>
      </c>
      <c r="M625" s="89">
        <f>ABCD!N674</f>
        <v>1.2321722235883372</v>
      </c>
      <c r="N625" s="89" t="e">
        <v>#REF!</v>
      </c>
      <c r="O625" s="89" t="e">
        <v>#REF!</v>
      </c>
      <c r="P625" s="89" t="e">
        <v>#REF!</v>
      </c>
      <c r="Q625" s="89" t="e">
        <v>#REF!</v>
      </c>
      <c r="R625" s="89" t="e">
        <v>#REF!</v>
      </c>
      <c r="S625" s="89" t="e">
        <f>#REF!</f>
        <v>#REF!</v>
      </c>
      <c r="T625" s="89" t="e">
        <f>#REF!</f>
        <v>#REF!</v>
      </c>
      <c r="U625" s="89" t="e">
        <f>#REF!</f>
        <v>#REF!</v>
      </c>
      <c r="V625" s="89" t="e">
        <f>#REF!</f>
        <v>#REF!</v>
      </c>
      <c r="W625" s="89" t="e">
        <f>#REF!</f>
        <v>#REF!</v>
      </c>
      <c r="X625" s="89" t="e">
        <f>#REF!</f>
        <v>#REF!</v>
      </c>
      <c r="Y625" s="89" t="e">
        <f>#REF!</f>
        <v>#REF!</v>
      </c>
      <c r="Z625" s="89" t="e">
        <f>#REF!</f>
        <v>#REF!</v>
      </c>
      <c r="AA625" s="89" t="e">
        <f>#REF!</f>
        <v>#REF!</v>
      </c>
      <c r="AB625" s="89" t="e">
        <f>#REF!</f>
        <v>#REF!</v>
      </c>
      <c r="AC625" s="89" t="e">
        <f>#REF!</f>
        <v>#REF!</v>
      </c>
      <c r="AD625" s="89" t="e">
        <f>#REF!</f>
        <v>#REF!</v>
      </c>
      <c r="AE625" s="89" t="e">
        <f>#REF!</f>
        <v>#REF!</v>
      </c>
      <c r="AF625" s="89" t="e">
        <f>#REF!</f>
        <v>#REF!</v>
      </c>
      <c r="AG625" s="89" t="e">
        <f>#REF!</f>
        <v>#REF!</v>
      </c>
      <c r="AH625" s="89" t="e">
        <f>#REF!</f>
        <v>#REF!</v>
      </c>
      <c r="AI625" s="89" t="e">
        <f>#REF!</f>
        <v>#REF!</v>
      </c>
      <c r="AJ625" s="89" t="e">
        <f>#REF!</f>
        <v>#REF!</v>
      </c>
      <c r="AK625" s="89" t="e">
        <f>#REF!</f>
        <v>#REF!</v>
      </c>
      <c r="AL625" s="89" t="e">
        <f>#REF!</f>
        <v>#REF!</v>
      </c>
      <c r="AM625" s="89" t="e">
        <f>#REF!</f>
        <v>#REF!</v>
      </c>
      <c r="AN625" s="89" t="e">
        <f>#REF!</f>
        <v>#REF!</v>
      </c>
      <c r="AO625" s="89" t="e">
        <f>#REF!</f>
        <v>#REF!</v>
      </c>
      <c r="AP625" s="89" t="e">
        <f>#REF!</f>
        <v>#REF!</v>
      </c>
      <c r="AQ625" s="89" t="e">
        <f>#REF!</f>
        <v>#REF!</v>
      </c>
      <c r="AR625" s="89" t="e">
        <f>#REF!</f>
        <v>#REF!</v>
      </c>
      <c r="AS625" s="89" t="e">
        <f>#REF!</f>
        <v>#REF!</v>
      </c>
      <c r="AT625" s="89" t="e">
        <f>#REF!</f>
        <v>#REF!</v>
      </c>
      <c r="AU625" s="89" t="e">
        <f>#REF!</f>
        <v>#REF!</v>
      </c>
      <c r="AV625" s="89" t="e">
        <f>#REF!</f>
        <v>#REF!</v>
      </c>
      <c r="AW625" s="89" t="e">
        <f>#REF!</f>
        <v>#REF!</v>
      </c>
      <c r="AX625" s="89" t="e">
        <f>#REF!</f>
        <v>#REF!</v>
      </c>
      <c r="AY625" s="89" t="e">
        <f>#REF!</f>
        <v>#REF!</v>
      </c>
      <c r="AZ625" s="89" t="e">
        <f>#REF!</f>
        <v>#REF!</v>
      </c>
      <c r="BA625" s="89" t="e">
        <f>#REF!</f>
        <v>#REF!</v>
      </c>
      <c r="BB625" s="89" t="e">
        <f>#REF!</f>
        <v>#REF!</v>
      </c>
      <c r="BC625" s="89" t="e">
        <f>#REF!</f>
        <v>#REF!</v>
      </c>
      <c r="BD625" s="89" t="e">
        <f>#REF!</f>
        <v>#REF!</v>
      </c>
      <c r="BE625" s="89" t="e">
        <f>#REF!</f>
        <v>#REF!</v>
      </c>
      <c r="BF625" s="89" t="e">
        <f>#REF!</f>
        <v>#REF!</v>
      </c>
    </row>
    <row r="626" spans="9:58" x14ac:dyDescent="0.25">
      <c r="I626" s="89">
        <f>ABCD!J675</f>
        <v>155.5</v>
      </c>
      <c r="J626" s="89">
        <f>ABCD!K675</f>
        <v>510.03999999999996</v>
      </c>
      <c r="K626" s="89">
        <f>ABCD!L675</f>
        <v>1.1236319088086533</v>
      </c>
      <c r="L626" s="89">
        <f>ABCD!M675</f>
        <v>0.25229338852930061</v>
      </c>
      <c r="M626" s="89">
        <f>ABCD!N675</f>
        <v>1.151607841406342</v>
      </c>
      <c r="N626" s="89" t="e">
        <v>#REF!</v>
      </c>
      <c r="O626" s="89" t="e">
        <v>#REF!</v>
      </c>
      <c r="P626" s="89" t="e">
        <v>#REF!</v>
      </c>
      <c r="Q626" s="89" t="e">
        <v>#REF!</v>
      </c>
      <c r="R626" s="89" t="e">
        <v>#REF!</v>
      </c>
      <c r="S626" s="89" t="e">
        <f>#REF!</f>
        <v>#REF!</v>
      </c>
      <c r="T626" s="89" t="e">
        <f>#REF!</f>
        <v>#REF!</v>
      </c>
      <c r="U626" s="89" t="e">
        <f>#REF!</f>
        <v>#REF!</v>
      </c>
      <c r="V626" s="89" t="e">
        <f>#REF!</f>
        <v>#REF!</v>
      </c>
      <c r="W626" s="89" t="e">
        <f>#REF!</f>
        <v>#REF!</v>
      </c>
      <c r="X626" s="89" t="e">
        <f>#REF!</f>
        <v>#REF!</v>
      </c>
      <c r="Y626" s="89" t="e">
        <f>#REF!</f>
        <v>#REF!</v>
      </c>
      <c r="Z626" s="89" t="e">
        <f>#REF!</f>
        <v>#REF!</v>
      </c>
      <c r="AA626" s="89" t="e">
        <f>#REF!</f>
        <v>#REF!</v>
      </c>
      <c r="AB626" s="89" t="e">
        <f>#REF!</f>
        <v>#REF!</v>
      </c>
      <c r="AC626" s="89" t="e">
        <f>#REF!</f>
        <v>#REF!</v>
      </c>
      <c r="AD626" s="89" t="e">
        <f>#REF!</f>
        <v>#REF!</v>
      </c>
      <c r="AE626" s="89" t="e">
        <f>#REF!</f>
        <v>#REF!</v>
      </c>
      <c r="AF626" s="89" t="e">
        <f>#REF!</f>
        <v>#REF!</v>
      </c>
      <c r="AG626" s="89" t="e">
        <f>#REF!</f>
        <v>#REF!</v>
      </c>
      <c r="AH626" s="89" t="e">
        <f>#REF!</f>
        <v>#REF!</v>
      </c>
      <c r="AI626" s="89" t="e">
        <f>#REF!</f>
        <v>#REF!</v>
      </c>
      <c r="AJ626" s="89" t="e">
        <f>#REF!</f>
        <v>#REF!</v>
      </c>
      <c r="AK626" s="89" t="e">
        <f>#REF!</f>
        <v>#REF!</v>
      </c>
      <c r="AL626" s="89" t="e">
        <f>#REF!</f>
        <v>#REF!</v>
      </c>
      <c r="AM626" s="89" t="e">
        <f>#REF!</f>
        <v>#REF!</v>
      </c>
      <c r="AN626" s="89" t="e">
        <f>#REF!</f>
        <v>#REF!</v>
      </c>
      <c r="AO626" s="89" t="e">
        <f>#REF!</f>
        <v>#REF!</v>
      </c>
      <c r="AP626" s="89" t="e">
        <f>#REF!</f>
        <v>#REF!</v>
      </c>
      <c r="AQ626" s="89" t="e">
        <f>#REF!</f>
        <v>#REF!</v>
      </c>
      <c r="AR626" s="89" t="e">
        <f>#REF!</f>
        <v>#REF!</v>
      </c>
      <c r="AS626" s="89" t="e">
        <f>#REF!</f>
        <v>#REF!</v>
      </c>
      <c r="AT626" s="89" t="e">
        <f>#REF!</f>
        <v>#REF!</v>
      </c>
      <c r="AU626" s="89" t="e">
        <f>#REF!</f>
        <v>#REF!</v>
      </c>
      <c r="AV626" s="89" t="e">
        <f>#REF!</f>
        <v>#REF!</v>
      </c>
      <c r="AW626" s="89" t="e">
        <f>#REF!</f>
        <v>#REF!</v>
      </c>
      <c r="AX626" s="89" t="e">
        <f>#REF!</f>
        <v>#REF!</v>
      </c>
      <c r="AY626" s="89" t="e">
        <f>#REF!</f>
        <v>#REF!</v>
      </c>
      <c r="AZ626" s="89" t="e">
        <f>#REF!</f>
        <v>#REF!</v>
      </c>
      <c r="BA626" s="89" t="e">
        <f>#REF!</f>
        <v>#REF!</v>
      </c>
      <c r="BB626" s="89" t="e">
        <f>#REF!</f>
        <v>#REF!</v>
      </c>
      <c r="BC626" s="89" t="e">
        <f>#REF!</f>
        <v>#REF!</v>
      </c>
      <c r="BD626" s="89" t="e">
        <f>#REF!</f>
        <v>#REF!</v>
      </c>
      <c r="BE626" s="89" t="e">
        <f>#REF!</f>
        <v>#REF!</v>
      </c>
      <c r="BF626" s="89" t="e">
        <f>#REF!</f>
        <v>#REF!</v>
      </c>
    </row>
    <row r="627" spans="9:58" x14ac:dyDescent="0.25">
      <c r="I627" s="89">
        <f>ABCD!J676</f>
        <v>155.75</v>
      </c>
      <c r="J627" s="89">
        <f>ABCD!K676</f>
        <v>510.85999999999996</v>
      </c>
      <c r="K627" s="89">
        <f>ABCD!L676</f>
        <v>1.0440897593054241</v>
      </c>
      <c r="L627" s="89">
        <f>ABCD!M676</f>
        <v>0.23794635972472067</v>
      </c>
      <c r="M627" s="89">
        <f>ABCD!N676</f>
        <v>1.0708603529838541</v>
      </c>
      <c r="N627" s="89" t="e">
        <v>#REF!</v>
      </c>
      <c r="O627" s="89" t="e">
        <v>#REF!</v>
      </c>
      <c r="P627" s="89" t="e">
        <v>#REF!</v>
      </c>
      <c r="Q627" s="89" t="e">
        <v>#REF!</v>
      </c>
      <c r="R627" s="89" t="e">
        <v>#REF!</v>
      </c>
      <c r="S627" s="89" t="e">
        <f>#REF!</f>
        <v>#REF!</v>
      </c>
      <c r="T627" s="89" t="e">
        <f>#REF!</f>
        <v>#REF!</v>
      </c>
      <c r="U627" s="89" t="e">
        <f>#REF!</f>
        <v>#REF!</v>
      </c>
      <c r="V627" s="89" t="e">
        <f>#REF!</f>
        <v>#REF!</v>
      </c>
      <c r="W627" s="89" t="e">
        <f>#REF!</f>
        <v>#REF!</v>
      </c>
      <c r="X627" s="89" t="e">
        <f>#REF!</f>
        <v>#REF!</v>
      </c>
      <c r="Y627" s="89" t="e">
        <f>#REF!</f>
        <v>#REF!</v>
      </c>
      <c r="Z627" s="89" t="e">
        <f>#REF!</f>
        <v>#REF!</v>
      </c>
      <c r="AA627" s="89" t="e">
        <f>#REF!</f>
        <v>#REF!</v>
      </c>
      <c r="AB627" s="89" t="e">
        <f>#REF!</f>
        <v>#REF!</v>
      </c>
      <c r="AC627" s="89" t="e">
        <f>#REF!</f>
        <v>#REF!</v>
      </c>
      <c r="AD627" s="89" t="e">
        <f>#REF!</f>
        <v>#REF!</v>
      </c>
      <c r="AE627" s="89" t="e">
        <f>#REF!</f>
        <v>#REF!</v>
      </c>
      <c r="AF627" s="89" t="e">
        <f>#REF!</f>
        <v>#REF!</v>
      </c>
      <c r="AG627" s="89" t="e">
        <f>#REF!</f>
        <v>#REF!</v>
      </c>
      <c r="AH627" s="89" t="e">
        <f>#REF!</f>
        <v>#REF!</v>
      </c>
      <c r="AI627" s="89" t="e">
        <f>#REF!</f>
        <v>#REF!</v>
      </c>
      <c r="AJ627" s="89" t="e">
        <f>#REF!</f>
        <v>#REF!</v>
      </c>
      <c r="AK627" s="89" t="e">
        <f>#REF!</f>
        <v>#REF!</v>
      </c>
      <c r="AL627" s="89" t="e">
        <f>#REF!</f>
        <v>#REF!</v>
      </c>
      <c r="AM627" s="89" t="e">
        <f>#REF!</f>
        <v>#REF!</v>
      </c>
      <c r="AN627" s="89" t="e">
        <f>#REF!</f>
        <v>#REF!</v>
      </c>
      <c r="AO627" s="89" t="e">
        <f>#REF!</f>
        <v>#REF!</v>
      </c>
      <c r="AP627" s="89" t="e">
        <f>#REF!</f>
        <v>#REF!</v>
      </c>
      <c r="AQ627" s="89" t="e">
        <f>#REF!</f>
        <v>#REF!</v>
      </c>
      <c r="AR627" s="89" t="e">
        <f>#REF!</f>
        <v>#REF!</v>
      </c>
      <c r="AS627" s="89" t="e">
        <f>#REF!</f>
        <v>#REF!</v>
      </c>
      <c r="AT627" s="89" t="e">
        <f>#REF!</f>
        <v>#REF!</v>
      </c>
      <c r="AU627" s="89" t="e">
        <f>#REF!</f>
        <v>#REF!</v>
      </c>
      <c r="AV627" s="89" t="e">
        <f>#REF!</f>
        <v>#REF!</v>
      </c>
      <c r="AW627" s="89" t="e">
        <f>#REF!</f>
        <v>#REF!</v>
      </c>
      <c r="AX627" s="89" t="e">
        <f>#REF!</f>
        <v>#REF!</v>
      </c>
      <c r="AY627" s="89" t="e">
        <f>#REF!</f>
        <v>#REF!</v>
      </c>
      <c r="AZ627" s="89" t="e">
        <f>#REF!</f>
        <v>#REF!</v>
      </c>
      <c r="BA627" s="89" t="e">
        <f>#REF!</f>
        <v>#REF!</v>
      </c>
      <c r="BB627" s="89" t="e">
        <f>#REF!</f>
        <v>#REF!</v>
      </c>
      <c r="BC627" s="89" t="e">
        <f>#REF!</f>
        <v>#REF!</v>
      </c>
      <c r="BD627" s="89" t="e">
        <f>#REF!</f>
        <v>#REF!</v>
      </c>
      <c r="BE627" s="89" t="e">
        <f>#REF!</f>
        <v>#REF!</v>
      </c>
      <c r="BF627" s="89" t="e">
        <f>#REF!</f>
        <v>#REF!</v>
      </c>
    </row>
    <row r="628" spans="9:58" x14ac:dyDescent="0.25">
      <c r="I628" s="89">
        <f>ABCD!J677</f>
        <v>156</v>
      </c>
      <c r="J628" s="89">
        <f>ABCD!K677</f>
        <v>511.67999999999995</v>
      </c>
      <c r="K628" s="89">
        <f>ABCD!L677</f>
        <v>0.96437814672875466</v>
      </c>
      <c r="L628" s="89">
        <f>ABCD!M677</f>
        <v>0.22355730964364229</v>
      </c>
      <c r="M628" s="89">
        <f>ABCD!N677</f>
        <v>0.98995104958936775</v>
      </c>
      <c r="N628" s="89" t="e">
        <v>#REF!</v>
      </c>
      <c r="O628" s="89" t="e">
        <v>#REF!</v>
      </c>
      <c r="P628" s="89" t="e">
        <v>#REF!</v>
      </c>
      <c r="Q628" s="89" t="e">
        <v>#REF!</v>
      </c>
      <c r="R628" s="89" t="e">
        <v>#REF!</v>
      </c>
      <c r="S628" s="89" t="e">
        <f>#REF!</f>
        <v>#REF!</v>
      </c>
      <c r="T628" s="89" t="e">
        <f>#REF!</f>
        <v>#REF!</v>
      </c>
      <c r="U628" s="89" t="e">
        <f>#REF!</f>
        <v>#REF!</v>
      </c>
      <c r="V628" s="89" t="e">
        <f>#REF!</f>
        <v>#REF!</v>
      </c>
      <c r="W628" s="89" t="e">
        <f>#REF!</f>
        <v>#REF!</v>
      </c>
      <c r="X628" s="89" t="e">
        <f>#REF!</f>
        <v>#REF!</v>
      </c>
      <c r="Y628" s="89" t="e">
        <f>#REF!</f>
        <v>#REF!</v>
      </c>
      <c r="Z628" s="89" t="e">
        <f>#REF!</f>
        <v>#REF!</v>
      </c>
      <c r="AA628" s="89" t="e">
        <f>#REF!</f>
        <v>#REF!</v>
      </c>
      <c r="AB628" s="89" t="e">
        <f>#REF!</f>
        <v>#REF!</v>
      </c>
      <c r="AC628" s="89" t="e">
        <f>#REF!</f>
        <v>#REF!</v>
      </c>
      <c r="AD628" s="89" t="e">
        <f>#REF!</f>
        <v>#REF!</v>
      </c>
      <c r="AE628" s="89" t="e">
        <f>#REF!</f>
        <v>#REF!</v>
      </c>
      <c r="AF628" s="89" t="e">
        <f>#REF!</f>
        <v>#REF!</v>
      </c>
      <c r="AG628" s="89" t="e">
        <f>#REF!</f>
        <v>#REF!</v>
      </c>
      <c r="AH628" s="89" t="e">
        <f>#REF!</f>
        <v>#REF!</v>
      </c>
      <c r="AI628" s="89" t="e">
        <f>#REF!</f>
        <v>#REF!</v>
      </c>
      <c r="AJ628" s="89" t="e">
        <f>#REF!</f>
        <v>#REF!</v>
      </c>
      <c r="AK628" s="89" t="e">
        <f>#REF!</f>
        <v>#REF!</v>
      </c>
      <c r="AL628" s="89" t="e">
        <f>#REF!</f>
        <v>#REF!</v>
      </c>
      <c r="AM628" s="89" t="e">
        <f>#REF!</f>
        <v>#REF!</v>
      </c>
      <c r="AN628" s="89" t="e">
        <f>#REF!</f>
        <v>#REF!</v>
      </c>
      <c r="AO628" s="89" t="e">
        <f>#REF!</f>
        <v>#REF!</v>
      </c>
      <c r="AP628" s="89" t="e">
        <f>#REF!</f>
        <v>#REF!</v>
      </c>
      <c r="AQ628" s="89" t="e">
        <f>#REF!</f>
        <v>#REF!</v>
      </c>
      <c r="AR628" s="89" t="e">
        <f>#REF!</f>
        <v>#REF!</v>
      </c>
      <c r="AS628" s="89" t="e">
        <f>#REF!</f>
        <v>#REF!</v>
      </c>
      <c r="AT628" s="89" t="e">
        <f>#REF!</f>
        <v>#REF!</v>
      </c>
      <c r="AU628" s="89" t="e">
        <f>#REF!</f>
        <v>#REF!</v>
      </c>
      <c r="AV628" s="89" t="e">
        <f>#REF!</f>
        <v>#REF!</v>
      </c>
      <c r="AW628" s="89" t="e">
        <f>#REF!</f>
        <v>#REF!</v>
      </c>
      <c r="AX628" s="89" t="e">
        <f>#REF!</f>
        <v>#REF!</v>
      </c>
      <c r="AY628" s="89" t="e">
        <f>#REF!</f>
        <v>#REF!</v>
      </c>
      <c r="AZ628" s="89" t="e">
        <f>#REF!</f>
        <v>#REF!</v>
      </c>
      <c r="BA628" s="89" t="e">
        <f>#REF!</f>
        <v>#REF!</v>
      </c>
      <c r="BB628" s="89" t="e">
        <f>#REF!</f>
        <v>#REF!</v>
      </c>
      <c r="BC628" s="89" t="e">
        <f>#REF!</f>
        <v>#REF!</v>
      </c>
      <c r="BD628" s="89" t="e">
        <f>#REF!</f>
        <v>#REF!</v>
      </c>
      <c r="BE628" s="89" t="e">
        <f>#REF!</f>
        <v>#REF!</v>
      </c>
      <c r="BF628" s="89" t="e">
        <f>#REF!</f>
        <v>#REF!</v>
      </c>
    </row>
    <row r="629" spans="9:58" x14ac:dyDescent="0.25">
      <c r="I629" s="89">
        <f>ABCD!J678</f>
        <v>156.25</v>
      </c>
      <c r="J629" s="89">
        <f>ABCD!K678</f>
        <v>512.5</v>
      </c>
      <c r="K629" s="89">
        <f>ABCD!L678</f>
        <v>0.88451562424119057</v>
      </c>
      <c r="L629" s="89">
        <f>ABCD!M678</f>
        <v>0.20912959767199801</v>
      </c>
      <c r="M629" s="89">
        <f>ABCD!N678</f>
        <v>0.9089021279264532</v>
      </c>
      <c r="N629" s="89" t="e">
        <v>#REF!</v>
      </c>
      <c r="O629" s="89" t="e">
        <v>#REF!</v>
      </c>
      <c r="P629" s="89" t="e">
        <v>#REF!</v>
      </c>
      <c r="Q629" s="89" t="e">
        <v>#REF!</v>
      </c>
      <c r="R629" s="89" t="e">
        <v>#REF!</v>
      </c>
      <c r="S629" s="89" t="e">
        <f>#REF!</f>
        <v>#REF!</v>
      </c>
      <c r="T629" s="89" t="e">
        <f>#REF!</f>
        <v>#REF!</v>
      </c>
      <c r="U629" s="89" t="e">
        <f>#REF!</f>
        <v>#REF!</v>
      </c>
      <c r="V629" s="89" t="e">
        <f>#REF!</f>
        <v>#REF!</v>
      </c>
      <c r="W629" s="89" t="e">
        <f>#REF!</f>
        <v>#REF!</v>
      </c>
      <c r="X629" s="89" t="e">
        <f>#REF!</f>
        <v>#REF!</v>
      </c>
      <c r="Y629" s="89" t="e">
        <f>#REF!</f>
        <v>#REF!</v>
      </c>
      <c r="Z629" s="89" t="e">
        <f>#REF!</f>
        <v>#REF!</v>
      </c>
      <c r="AA629" s="89" t="e">
        <f>#REF!</f>
        <v>#REF!</v>
      </c>
      <c r="AB629" s="89" t="e">
        <f>#REF!</f>
        <v>#REF!</v>
      </c>
      <c r="AC629" s="89" t="e">
        <f>#REF!</f>
        <v>#REF!</v>
      </c>
      <c r="AD629" s="89" t="e">
        <f>#REF!</f>
        <v>#REF!</v>
      </c>
      <c r="AE629" s="89" t="e">
        <f>#REF!</f>
        <v>#REF!</v>
      </c>
      <c r="AF629" s="89" t="e">
        <f>#REF!</f>
        <v>#REF!</v>
      </c>
      <c r="AG629" s="89" t="e">
        <f>#REF!</f>
        <v>#REF!</v>
      </c>
      <c r="AH629" s="89" t="e">
        <f>#REF!</f>
        <v>#REF!</v>
      </c>
      <c r="AI629" s="89" t="e">
        <f>#REF!</f>
        <v>#REF!</v>
      </c>
      <c r="AJ629" s="89" t="e">
        <f>#REF!</f>
        <v>#REF!</v>
      </c>
      <c r="AK629" s="89" t="e">
        <f>#REF!</f>
        <v>#REF!</v>
      </c>
      <c r="AL629" s="89" t="e">
        <f>#REF!</f>
        <v>#REF!</v>
      </c>
      <c r="AM629" s="89" t="e">
        <f>#REF!</f>
        <v>#REF!</v>
      </c>
      <c r="AN629" s="89" t="e">
        <f>#REF!</f>
        <v>#REF!</v>
      </c>
      <c r="AO629" s="89" t="e">
        <f>#REF!</f>
        <v>#REF!</v>
      </c>
      <c r="AP629" s="89" t="e">
        <f>#REF!</f>
        <v>#REF!</v>
      </c>
      <c r="AQ629" s="89" t="e">
        <f>#REF!</f>
        <v>#REF!</v>
      </c>
      <c r="AR629" s="89" t="e">
        <f>#REF!</f>
        <v>#REF!</v>
      </c>
      <c r="AS629" s="89" t="e">
        <f>#REF!</f>
        <v>#REF!</v>
      </c>
      <c r="AT629" s="89" t="e">
        <f>#REF!</f>
        <v>#REF!</v>
      </c>
      <c r="AU629" s="89" t="e">
        <f>#REF!</f>
        <v>#REF!</v>
      </c>
      <c r="AV629" s="89" t="e">
        <f>#REF!</f>
        <v>#REF!</v>
      </c>
      <c r="AW629" s="89" t="e">
        <f>#REF!</f>
        <v>#REF!</v>
      </c>
      <c r="AX629" s="89" t="e">
        <f>#REF!</f>
        <v>#REF!</v>
      </c>
      <c r="AY629" s="89" t="e">
        <f>#REF!</f>
        <v>#REF!</v>
      </c>
      <c r="AZ629" s="89" t="e">
        <f>#REF!</f>
        <v>#REF!</v>
      </c>
      <c r="BA629" s="89" t="e">
        <f>#REF!</f>
        <v>#REF!</v>
      </c>
      <c r="BB629" s="89" t="e">
        <f>#REF!</f>
        <v>#REF!</v>
      </c>
      <c r="BC629" s="89" t="e">
        <f>#REF!</f>
        <v>#REF!</v>
      </c>
      <c r="BD629" s="89" t="e">
        <f>#REF!</f>
        <v>#REF!</v>
      </c>
      <c r="BE629" s="89" t="e">
        <f>#REF!</f>
        <v>#REF!</v>
      </c>
      <c r="BF629" s="89" t="e">
        <f>#REF!</f>
        <v>#REF!</v>
      </c>
    </row>
    <row r="630" spans="9:58" x14ac:dyDescent="0.25">
      <c r="I630" s="89">
        <f>ABCD!J679</f>
        <v>156.5</v>
      </c>
      <c r="J630" s="89">
        <f>ABCD!K679</f>
        <v>513.31999999999994</v>
      </c>
      <c r="K630" s="89">
        <f>ABCD!L679</f>
        <v>0.80452076315114018</v>
      </c>
      <c r="L630" s="89">
        <f>ABCD!M679</f>
        <v>0.19466658909838763</v>
      </c>
      <c r="M630" s="89">
        <f>ABCD!N679</f>
        <v>0.8277371196536335</v>
      </c>
      <c r="N630" s="89" t="e">
        <v>#REF!</v>
      </c>
      <c r="O630" s="89" t="e">
        <v>#REF!</v>
      </c>
      <c r="P630" s="89" t="e">
        <v>#REF!</v>
      </c>
      <c r="Q630" s="89" t="e">
        <v>#REF!</v>
      </c>
      <c r="R630" s="89" t="e">
        <v>#REF!</v>
      </c>
      <c r="S630" s="89" t="e">
        <f>#REF!</f>
        <v>#REF!</v>
      </c>
      <c r="T630" s="89" t="e">
        <f>#REF!</f>
        <v>#REF!</v>
      </c>
      <c r="U630" s="89" t="e">
        <f>#REF!</f>
        <v>#REF!</v>
      </c>
      <c r="V630" s="89" t="e">
        <f>#REF!</f>
        <v>#REF!</v>
      </c>
      <c r="W630" s="89" t="e">
        <f>#REF!</f>
        <v>#REF!</v>
      </c>
      <c r="X630" s="89" t="e">
        <f>#REF!</f>
        <v>#REF!</v>
      </c>
      <c r="Y630" s="89" t="e">
        <f>#REF!</f>
        <v>#REF!</v>
      </c>
      <c r="Z630" s="89" t="e">
        <f>#REF!</f>
        <v>#REF!</v>
      </c>
      <c r="AA630" s="89" t="e">
        <f>#REF!</f>
        <v>#REF!</v>
      </c>
      <c r="AB630" s="89" t="e">
        <f>#REF!</f>
        <v>#REF!</v>
      </c>
      <c r="AC630" s="89" t="e">
        <f>#REF!</f>
        <v>#REF!</v>
      </c>
      <c r="AD630" s="89" t="e">
        <f>#REF!</f>
        <v>#REF!</v>
      </c>
      <c r="AE630" s="89" t="e">
        <f>#REF!</f>
        <v>#REF!</v>
      </c>
      <c r="AF630" s="89" t="e">
        <f>#REF!</f>
        <v>#REF!</v>
      </c>
      <c r="AG630" s="89" t="e">
        <f>#REF!</f>
        <v>#REF!</v>
      </c>
      <c r="AH630" s="89" t="e">
        <f>#REF!</f>
        <v>#REF!</v>
      </c>
      <c r="AI630" s="89" t="e">
        <f>#REF!</f>
        <v>#REF!</v>
      </c>
      <c r="AJ630" s="89" t="e">
        <f>#REF!</f>
        <v>#REF!</v>
      </c>
      <c r="AK630" s="89" t="e">
        <f>#REF!</f>
        <v>#REF!</v>
      </c>
      <c r="AL630" s="89" t="e">
        <f>#REF!</f>
        <v>#REF!</v>
      </c>
      <c r="AM630" s="89" t="e">
        <f>#REF!</f>
        <v>#REF!</v>
      </c>
      <c r="AN630" s="89" t="e">
        <f>#REF!</f>
        <v>#REF!</v>
      </c>
      <c r="AO630" s="89" t="e">
        <f>#REF!</f>
        <v>#REF!</v>
      </c>
      <c r="AP630" s="89" t="e">
        <f>#REF!</f>
        <v>#REF!</v>
      </c>
      <c r="AQ630" s="89" t="e">
        <f>#REF!</f>
        <v>#REF!</v>
      </c>
      <c r="AR630" s="89" t="e">
        <f>#REF!</f>
        <v>#REF!</v>
      </c>
      <c r="AS630" s="89" t="e">
        <f>#REF!</f>
        <v>#REF!</v>
      </c>
      <c r="AT630" s="89" t="e">
        <f>#REF!</f>
        <v>#REF!</v>
      </c>
      <c r="AU630" s="89" t="e">
        <f>#REF!</f>
        <v>#REF!</v>
      </c>
      <c r="AV630" s="89" t="e">
        <f>#REF!</f>
        <v>#REF!</v>
      </c>
      <c r="AW630" s="89" t="e">
        <f>#REF!</f>
        <v>#REF!</v>
      </c>
      <c r="AX630" s="89" t="e">
        <f>#REF!</f>
        <v>#REF!</v>
      </c>
      <c r="AY630" s="89" t="e">
        <f>#REF!</f>
        <v>#REF!</v>
      </c>
      <c r="AZ630" s="89" t="e">
        <f>#REF!</f>
        <v>#REF!</v>
      </c>
      <c r="BA630" s="89" t="e">
        <f>#REF!</f>
        <v>#REF!</v>
      </c>
      <c r="BB630" s="89" t="e">
        <f>#REF!</f>
        <v>#REF!</v>
      </c>
      <c r="BC630" s="89" t="e">
        <f>#REF!</f>
        <v>#REF!</v>
      </c>
      <c r="BD630" s="89" t="e">
        <f>#REF!</f>
        <v>#REF!</v>
      </c>
      <c r="BE630" s="89" t="e">
        <f>#REF!</f>
        <v>#REF!</v>
      </c>
      <c r="BF630" s="89" t="e">
        <f>#REF!</f>
        <v>#REF!</v>
      </c>
    </row>
    <row r="631" spans="9:58" x14ac:dyDescent="0.25">
      <c r="I631" s="89">
        <f>ABCD!J680</f>
        <v>156.75</v>
      </c>
      <c r="J631" s="89">
        <f>ABCD!K680</f>
        <v>514.14</v>
      </c>
      <c r="K631" s="89">
        <f>ABCD!L680</f>
        <v>0.72441214860954639</v>
      </c>
      <c r="L631" s="89">
        <f>ABCD!M680</f>
        <v>0.18017165433191629</v>
      </c>
      <c r="M631" s="89">
        <f>ABCD!N680</f>
        <v>0.74648160464796387</v>
      </c>
      <c r="N631" s="89" t="e">
        <v>#REF!</v>
      </c>
      <c r="O631" s="89" t="e">
        <v>#REF!</v>
      </c>
      <c r="P631" s="89" t="e">
        <v>#REF!</v>
      </c>
      <c r="Q631" s="89" t="e">
        <v>#REF!</v>
      </c>
      <c r="R631" s="89" t="e">
        <v>#REF!</v>
      </c>
      <c r="S631" s="89" t="e">
        <f>#REF!</f>
        <v>#REF!</v>
      </c>
      <c r="T631" s="89" t="e">
        <f>#REF!</f>
        <v>#REF!</v>
      </c>
      <c r="U631" s="89" t="e">
        <f>#REF!</f>
        <v>#REF!</v>
      </c>
      <c r="V631" s="89" t="e">
        <f>#REF!</f>
        <v>#REF!</v>
      </c>
      <c r="W631" s="89" t="e">
        <f>#REF!</f>
        <v>#REF!</v>
      </c>
      <c r="X631" s="89" t="e">
        <f>#REF!</f>
        <v>#REF!</v>
      </c>
      <c r="Y631" s="89" t="e">
        <f>#REF!</f>
        <v>#REF!</v>
      </c>
      <c r="Z631" s="89" t="e">
        <f>#REF!</f>
        <v>#REF!</v>
      </c>
      <c r="AA631" s="89" t="e">
        <f>#REF!</f>
        <v>#REF!</v>
      </c>
      <c r="AB631" s="89" t="e">
        <f>#REF!</f>
        <v>#REF!</v>
      </c>
      <c r="AC631" s="89" t="e">
        <f>#REF!</f>
        <v>#REF!</v>
      </c>
      <c r="AD631" s="89" t="e">
        <f>#REF!</f>
        <v>#REF!</v>
      </c>
      <c r="AE631" s="89" t="e">
        <f>#REF!</f>
        <v>#REF!</v>
      </c>
      <c r="AF631" s="89" t="e">
        <f>#REF!</f>
        <v>#REF!</v>
      </c>
      <c r="AG631" s="89" t="e">
        <f>#REF!</f>
        <v>#REF!</v>
      </c>
      <c r="AH631" s="89" t="e">
        <f>#REF!</f>
        <v>#REF!</v>
      </c>
      <c r="AI631" s="89" t="e">
        <f>#REF!</f>
        <v>#REF!</v>
      </c>
      <c r="AJ631" s="89" t="e">
        <f>#REF!</f>
        <v>#REF!</v>
      </c>
      <c r="AK631" s="89" t="e">
        <f>#REF!</f>
        <v>#REF!</v>
      </c>
      <c r="AL631" s="89" t="e">
        <f>#REF!</f>
        <v>#REF!</v>
      </c>
      <c r="AM631" s="89" t="e">
        <f>#REF!</f>
        <v>#REF!</v>
      </c>
      <c r="AN631" s="89" t="e">
        <f>#REF!</f>
        <v>#REF!</v>
      </c>
      <c r="AO631" s="89" t="e">
        <f>#REF!</f>
        <v>#REF!</v>
      </c>
      <c r="AP631" s="89" t="e">
        <f>#REF!</f>
        <v>#REF!</v>
      </c>
      <c r="AQ631" s="89" t="e">
        <f>#REF!</f>
        <v>#REF!</v>
      </c>
      <c r="AR631" s="89" t="e">
        <f>#REF!</f>
        <v>#REF!</v>
      </c>
      <c r="AS631" s="89" t="e">
        <f>#REF!</f>
        <v>#REF!</v>
      </c>
      <c r="AT631" s="89" t="e">
        <f>#REF!</f>
        <v>#REF!</v>
      </c>
      <c r="AU631" s="89" t="e">
        <f>#REF!</f>
        <v>#REF!</v>
      </c>
      <c r="AV631" s="89" t="e">
        <f>#REF!</f>
        <v>#REF!</v>
      </c>
      <c r="AW631" s="89" t="e">
        <f>#REF!</f>
        <v>#REF!</v>
      </c>
      <c r="AX631" s="89" t="e">
        <f>#REF!</f>
        <v>#REF!</v>
      </c>
      <c r="AY631" s="89" t="e">
        <f>#REF!</f>
        <v>#REF!</v>
      </c>
      <c r="AZ631" s="89" t="e">
        <f>#REF!</f>
        <v>#REF!</v>
      </c>
      <c r="BA631" s="89" t="e">
        <f>#REF!</f>
        <v>#REF!</v>
      </c>
      <c r="BB631" s="89" t="e">
        <f>#REF!</f>
        <v>#REF!</v>
      </c>
      <c r="BC631" s="89" t="e">
        <f>#REF!</f>
        <v>#REF!</v>
      </c>
      <c r="BD631" s="89" t="e">
        <f>#REF!</f>
        <v>#REF!</v>
      </c>
      <c r="BE631" s="89" t="e">
        <f>#REF!</f>
        <v>#REF!</v>
      </c>
      <c r="BF631" s="89" t="e">
        <f>#REF!</f>
        <v>#REF!</v>
      </c>
    </row>
    <row r="632" spans="9:58" x14ac:dyDescent="0.25">
      <c r="I632" s="89">
        <f>ABCD!J681</f>
        <v>157</v>
      </c>
      <c r="J632" s="89">
        <f>ABCD!K681</f>
        <v>514.95999999999992</v>
      </c>
      <c r="K632" s="89">
        <f>ABCD!L681</f>
        <v>0.6442083753072021</v>
      </c>
      <c r="L632" s="89">
        <f>ABCD!M681</f>
        <v>0.16564816811956495</v>
      </c>
      <c r="M632" s="89">
        <f>ABCD!N681</f>
        <v>0.66516445065661212</v>
      </c>
      <c r="N632" s="89" t="e">
        <v>#REF!</v>
      </c>
      <c r="O632" s="89" t="e">
        <v>#REF!</v>
      </c>
      <c r="P632" s="89" t="e">
        <v>#REF!</v>
      </c>
      <c r="Q632" s="89" t="e">
        <v>#REF!</v>
      </c>
      <c r="R632" s="89" t="e">
        <v>#REF!</v>
      </c>
      <c r="S632" s="89" t="e">
        <f>#REF!</f>
        <v>#REF!</v>
      </c>
      <c r="T632" s="89" t="e">
        <f>#REF!</f>
        <v>#REF!</v>
      </c>
      <c r="U632" s="89" t="e">
        <f>#REF!</f>
        <v>#REF!</v>
      </c>
      <c r="V632" s="89" t="e">
        <f>#REF!</f>
        <v>#REF!</v>
      </c>
      <c r="W632" s="89" t="e">
        <f>#REF!</f>
        <v>#REF!</v>
      </c>
      <c r="X632" s="89" t="e">
        <f>#REF!</f>
        <v>#REF!</v>
      </c>
      <c r="Y632" s="89" t="e">
        <f>#REF!</f>
        <v>#REF!</v>
      </c>
      <c r="Z632" s="89" t="e">
        <f>#REF!</f>
        <v>#REF!</v>
      </c>
      <c r="AA632" s="89" t="e">
        <f>#REF!</f>
        <v>#REF!</v>
      </c>
      <c r="AB632" s="89" t="e">
        <f>#REF!</f>
        <v>#REF!</v>
      </c>
      <c r="AC632" s="89" t="e">
        <f>#REF!</f>
        <v>#REF!</v>
      </c>
      <c r="AD632" s="89" t="e">
        <f>#REF!</f>
        <v>#REF!</v>
      </c>
      <c r="AE632" s="89" t="e">
        <f>#REF!</f>
        <v>#REF!</v>
      </c>
      <c r="AF632" s="89" t="e">
        <f>#REF!</f>
        <v>#REF!</v>
      </c>
      <c r="AG632" s="89" t="e">
        <f>#REF!</f>
        <v>#REF!</v>
      </c>
      <c r="AH632" s="89" t="e">
        <f>#REF!</f>
        <v>#REF!</v>
      </c>
      <c r="AI632" s="89" t="e">
        <f>#REF!</f>
        <v>#REF!</v>
      </c>
      <c r="AJ632" s="89" t="e">
        <f>#REF!</f>
        <v>#REF!</v>
      </c>
      <c r="AK632" s="89" t="e">
        <f>#REF!</f>
        <v>#REF!</v>
      </c>
      <c r="AL632" s="89" t="e">
        <f>#REF!</f>
        <v>#REF!</v>
      </c>
      <c r="AM632" s="89" t="e">
        <f>#REF!</f>
        <v>#REF!</v>
      </c>
      <c r="AN632" s="89" t="e">
        <f>#REF!</f>
        <v>#REF!</v>
      </c>
      <c r="AO632" s="89" t="e">
        <f>#REF!</f>
        <v>#REF!</v>
      </c>
      <c r="AP632" s="89" t="e">
        <f>#REF!</f>
        <v>#REF!</v>
      </c>
      <c r="AQ632" s="89" t="e">
        <f>#REF!</f>
        <v>#REF!</v>
      </c>
      <c r="AR632" s="89" t="e">
        <f>#REF!</f>
        <v>#REF!</v>
      </c>
      <c r="AS632" s="89" t="e">
        <f>#REF!</f>
        <v>#REF!</v>
      </c>
      <c r="AT632" s="89" t="e">
        <f>#REF!</f>
        <v>#REF!</v>
      </c>
      <c r="AU632" s="89" t="e">
        <f>#REF!</f>
        <v>#REF!</v>
      </c>
      <c r="AV632" s="89" t="e">
        <f>#REF!</f>
        <v>#REF!</v>
      </c>
      <c r="AW632" s="89" t="e">
        <f>#REF!</f>
        <v>#REF!</v>
      </c>
      <c r="AX632" s="89" t="e">
        <f>#REF!</f>
        <v>#REF!</v>
      </c>
      <c r="AY632" s="89" t="e">
        <f>#REF!</f>
        <v>#REF!</v>
      </c>
      <c r="AZ632" s="89" t="e">
        <f>#REF!</f>
        <v>#REF!</v>
      </c>
      <c r="BA632" s="89" t="e">
        <f>#REF!</f>
        <v>#REF!</v>
      </c>
      <c r="BB632" s="89" t="e">
        <f>#REF!</f>
        <v>#REF!</v>
      </c>
      <c r="BC632" s="89" t="e">
        <f>#REF!</f>
        <v>#REF!</v>
      </c>
      <c r="BD632" s="89" t="e">
        <f>#REF!</f>
        <v>#REF!</v>
      </c>
      <c r="BE632" s="89" t="e">
        <f>#REF!</f>
        <v>#REF!</v>
      </c>
      <c r="BF632" s="89" t="e">
        <f>#REF!</f>
        <v>#REF!</v>
      </c>
    </row>
    <row r="633" spans="9:58" x14ac:dyDescent="0.25">
      <c r="I633" s="89">
        <f>ABCD!J682</f>
        <v>157.25</v>
      </c>
      <c r="J633" s="89">
        <f>ABCD!K682</f>
        <v>515.78</v>
      </c>
      <c r="K633" s="89">
        <f>ABCD!L682</f>
        <v>0.56392804317377743</v>
      </c>
      <c r="L633" s="89">
        <f>ABCD!M682</f>
        <v>0.15109950876325495</v>
      </c>
      <c r="M633" s="89">
        <f>ABCD!N682</f>
        <v>0.58382009166035276</v>
      </c>
      <c r="N633" s="89" t="e">
        <v>#REF!</v>
      </c>
      <c r="O633" s="89" t="e">
        <v>#REF!</v>
      </c>
      <c r="P633" s="89" t="e">
        <v>#REF!</v>
      </c>
      <c r="Q633" s="89" t="e">
        <v>#REF!</v>
      </c>
      <c r="R633" s="89" t="e">
        <v>#REF!</v>
      </c>
      <c r="S633" s="89" t="e">
        <f>#REF!</f>
        <v>#REF!</v>
      </c>
      <c r="T633" s="89" t="e">
        <f>#REF!</f>
        <v>#REF!</v>
      </c>
      <c r="U633" s="89" t="e">
        <f>#REF!</f>
        <v>#REF!</v>
      </c>
      <c r="V633" s="89" t="e">
        <f>#REF!</f>
        <v>#REF!</v>
      </c>
      <c r="W633" s="89" t="e">
        <f>#REF!</f>
        <v>#REF!</v>
      </c>
      <c r="X633" s="89" t="e">
        <f>#REF!</f>
        <v>#REF!</v>
      </c>
      <c r="Y633" s="89" t="e">
        <f>#REF!</f>
        <v>#REF!</v>
      </c>
      <c r="Z633" s="89" t="e">
        <f>#REF!</f>
        <v>#REF!</v>
      </c>
      <c r="AA633" s="89" t="e">
        <f>#REF!</f>
        <v>#REF!</v>
      </c>
      <c r="AB633" s="89" t="e">
        <f>#REF!</f>
        <v>#REF!</v>
      </c>
      <c r="AC633" s="89" t="e">
        <f>#REF!</f>
        <v>#REF!</v>
      </c>
      <c r="AD633" s="89" t="e">
        <f>#REF!</f>
        <v>#REF!</v>
      </c>
      <c r="AE633" s="89" t="e">
        <f>#REF!</f>
        <v>#REF!</v>
      </c>
      <c r="AF633" s="89" t="e">
        <f>#REF!</f>
        <v>#REF!</v>
      </c>
      <c r="AG633" s="89" t="e">
        <f>#REF!</f>
        <v>#REF!</v>
      </c>
      <c r="AH633" s="89" t="e">
        <f>#REF!</f>
        <v>#REF!</v>
      </c>
      <c r="AI633" s="89" t="e">
        <f>#REF!</f>
        <v>#REF!</v>
      </c>
      <c r="AJ633" s="89" t="e">
        <f>#REF!</f>
        <v>#REF!</v>
      </c>
      <c r="AK633" s="89" t="e">
        <f>#REF!</f>
        <v>#REF!</v>
      </c>
      <c r="AL633" s="89" t="e">
        <f>#REF!</f>
        <v>#REF!</v>
      </c>
      <c r="AM633" s="89" t="e">
        <f>#REF!</f>
        <v>#REF!</v>
      </c>
      <c r="AN633" s="89" t="e">
        <f>#REF!</f>
        <v>#REF!</v>
      </c>
      <c r="AO633" s="89" t="e">
        <f>#REF!</f>
        <v>#REF!</v>
      </c>
      <c r="AP633" s="89" t="e">
        <f>#REF!</f>
        <v>#REF!</v>
      </c>
      <c r="AQ633" s="89" t="e">
        <f>#REF!</f>
        <v>#REF!</v>
      </c>
      <c r="AR633" s="89" t="e">
        <f>#REF!</f>
        <v>#REF!</v>
      </c>
      <c r="AS633" s="89" t="e">
        <f>#REF!</f>
        <v>#REF!</v>
      </c>
      <c r="AT633" s="89" t="e">
        <f>#REF!</f>
        <v>#REF!</v>
      </c>
      <c r="AU633" s="89" t="e">
        <f>#REF!</f>
        <v>#REF!</v>
      </c>
      <c r="AV633" s="89" t="e">
        <f>#REF!</f>
        <v>#REF!</v>
      </c>
      <c r="AW633" s="89" t="e">
        <f>#REF!</f>
        <v>#REF!</v>
      </c>
      <c r="AX633" s="89" t="e">
        <f>#REF!</f>
        <v>#REF!</v>
      </c>
      <c r="AY633" s="89" t="e">
        <f>#REF!</f>
        <v>#REF!</v>
      </c>
      <c r="AZ633" s="89" t="e">
        <f>#REF!</f>
        <v>#REF!</v>
      </c>
      <c r="BA633" s="89" t="e">
        <f>#REF!</f>
        <v>#REF!</v>
      </c>
      <c r="BB633" s="89" t="e">
        <f>#REF!</f>
        <v>#REF!</v>
      </c>
      <c r="BC633" s="89" t="e">
        <f>#REF!</f>
        <v>#REF!</v>
      </c>
      <c r="BD633" s="89" t="e">
        <f>#REF!</f>
        <v>#REF!</v>
      </c>
      <c r="BE633" s="89" t="e">
        <f>#REF!</f>
        <v>#REF!</v>
      </c>
      <c r="BF633" s="89" t="e">
        <f>#REF!</f>
        <v>#REF!</v>
      </c>
    </row>
    <row r="634" spans="9:58" x14ac:dyDescent="0.25">
      <c r="I634" s="89">
        <f>ABCD!J683</f>
        <v>157.5</v>
      </c>
      <c r="J634" s="89">
        <f>ABCD!K683</f>
        <v>516.6</v>
      </c>
      <c r="K634" s="89">
        <f>ABCD!L683</f>
        <v>0.48358975307942165</v>
      </c>
      <c r="L634" s="89">
        <f>ABCD!M683</f>
        <v>0.1365290573367961</v>
      </c>
      <c r="M634" s="89">
        <f>ABCD!N683</f>
        <v>0.50249301764371823</v>
      </c>
      <c r="N634" s="89" t="e">
        <v>#REF!</v>
      </c>
      <c r="O634" s="89" t="e">
        <v>#REF!</v>
      </c>
      <c r="P634" s="89" t="e">
        <v>#REF!</v>
      </c>
      <c r="Q634" s="89" t="e">
        <v>#REF!</v>
      </c>
      <c r="R634" s="89" t="e">
        <v>#REF!</v>
      </c>
      <c r="S634" s="89" t="e">
        <f>#REF!</f>
        <v>#REF!</v>
      </c>
      <c r="T634" s="89" t="e">
        <f>#REF!</f>
        <v>#REF!</v>
      </c>
      <c r="U634" s="89" t="e">
        <f>#REF!</f>
        <v>#REF!</v>
      </c>
      <c r="V634" s="89" t="e">
        <f>#REF!</f>
        <v>#REF!</v>
      </c>
      <c r="W634" s="89" t="e">
        <f>#REF!</f>
        <v>#REF!</v>
      </c>
      <c r="X634" s="89" t="e">
        <f>#REF!</f>
        <v>#REF!</v>
      </c>
      <c r="Y634" s="89" t="e">
        <f>#REF!</f>
        <v>#REF!</v>
      </c>
      <c r="Z634" s="89" t="e">
        <f>#REF!</f>
        <v>#REF!</v>
      </c>
      <c r="AA634" s="89" t="e">
        <f>#REF!</f>
        <v>#REF!</v>
      </c>
      <c r="AB634" s="89" t="e">
        <f>#REF!</f>
        <v>#REF!</v>
      </c>
      <c r="AC634" s="89" t="e">
        <f>#REF!</f>
        <v>#REF!</v>
      </c>
      <c r="AD634" s="89" t="e">
        <f>#REF!</f>
        <v>#REF!</v>
      </c>
      <c r="AE634" s="89" t="e">
        <f>#REF!</f>
        <v>#REF!</v>
      </c>
      <c r="AF634" s="89" t="e">
        <f>#REF!</f>
        <v>#REF!</v>
      </c>
      <c r="AG634" s="89" t="e">
        <f>#REF!</f>
        <v>#REF!</v>
      </c>
      <c r="AH634" s="89" t="e">
        <f>#REF!</f>
        <v>#REF!</v>
      </c>
      <c r="AI634" s="89" t="e">
        <f>#REF!</f>
        <v>#REF!</v>
      </c>
      <c r="AJ634" s="89" t="e">
        <f>#REF!</f>
        <v>#REF!</v>
      </c>
      <c r="AK634" s="89" t="e">
        <f>#REF!</f>
        <v>#REF!</v>
      </c>
      <c r="AL634" s="89" t="e">
        <f>#REF!</f>
        <v>#REF!</v>
      </c>
      <c r="AM634" s="89" t="e">
        <f>#REF!</f>
        <v>#REF!</v>
      </c>
      <c r="AN634" s="89" t="e">
        <f>#REF!</f>
        <v>#REF!</v>
      </c>
      <c r="AO634" s="89" t="e">
        <f>#REF!</f>
        <v>#REF!</v>
      </c>
      <c r="AP634" s="89" t="e">
        <f>#REF!</f>
        <v>#REF!</v>
      </c>
      <c r="AQ634" s="89" t="e">
        <f>#REF!</f>
        <v>#REF!</v>
      </c>
      <c r="AR634" s="89" t="e">
        <f>#REF!</f>
        <v>#REF!</v>
      </c>
      <c r="AS634" s="89" t="e">
        <f>#REF!</f>
        <v>#REF!</v>
      </c>
      <c r="AT634" s="89" t="e">
        <f>#REF!</f>
        <v>#REF!</v>
      </c>
      <c r="AU634" s="89" t="e">
        <f>#REF!</f>
        <v>#REF!</v>
      </c>
      <c r="AV634" s="89" t="e">
        <f>#REF!</f>
        <v>#REF!</v>
      </c>
      <c r="AW634" s="89" t="e">
        <f>#REF!</f>
        <v>#REF!</v>
      </c>
      <c r="AX634" s="89" t="e">
        <f>#REF!</f>
        <v>#REF!</v>
      </c>
      <c r="AY634" s="89" t="e">
        <f>#REF!</f>
        <v>#REF!</v>
      </c>
      <c r="AZ634" s="89" t="e">
        <f>#REF!</f>
        <v>#REF!</v>
      </c>
      <c r="BA634" s="89" t="e">
        <f>#REF!</f>
        <v>#REF!</v>
      </c>
      <c r="BB634" s="89" t="e">
        <f>#REF!</f>
        <v>#REF!</v>
      </c>
      <c r="BC634" s="89" t="e">
        <f>#REF!</f>
        <v>#REF!</v>
      </c>
      <c r="BD634" s="89" t="e">
        <f>#REF!</f>
        <v>#REF!</v>
      </c>
      <c r="BE634" s="89" t="e">
        <f>#REF!</f>
        <v>#REF!</v>
      </c>
      <c r="BF634" s="89" t="e">
        <f>#REF!</f>
        <v>#REF!</v>
      </c>
    </row>
    <row r="635" spans="9:58" x14ac:dyDescent="0.25">
      <c r="I635" s="89">
        <f>ABCD!J684</f>
        <v>157.75</v>
      </c>
      <c r="J635" s="89">
        <f>ABCD!K684</f>
        <v>517.41999999999996</v>
      </c>
      <c r="K635" s="89">
        <f>ABCD!L684</f>
        <v>0.40321210254013945</v>
      </c>
      <c r="L635" s="89">
        <f>ABCD!M684</f>
        <v>0.12194019690290903</v>
      </c>
      <c r="M635" s="89">
        <f>ABCD!N684</f>
        <v>0.4212474465863979</v>
      </c>
      <c r="N635" s="89" t="e">
        <v>#REF!</v>
      </c>
      <c r="O635" s="89" t="e">
        <v>#REF!</v>
      </c>
      <c r="P635" s="89" t="e">
        <v>#REF!</v>
      </c>
      <c r="Q635" s="89" t="e">
        <v>#REF!</v>
      </c>
      <c r="R635" s="89" t="e">
        <v>#REF!</v>
      </c>
      <c r="S635" s="89" t="e">
        <f>#REF!</f>
        <v>#REF!</v>
      </c>
      <c r="T635" s="89" t="e">
        <f>#REF!</f>
        <v>#REF!</v>
      </c>
      <c r="U635" s="89" t="e">
        <f>#REF!</f>
        <v>#REF!</v>
      </c>
      <c r="V635" s="89" t="e">
        <f>#REF!</f>
        <v>#REF!</v>
      </c>
      <c r="W635" s="89" t="e">
        <f>#REF!</f>
        <v>#REF!</v>
      </c>
      <c r="X635" s="89" t="e">
        <f>#REF!</f>
        <v>#REF!</v>
      </c>
      <c r="Y635" s="89" t="e">
        <f>#REF!</f>
        <v>#REF!</v>
      </c>
      <c r="Z635" s="89" t="e">
        <f>#REF!</f>
        <v>#REF!</v>
      </c>
      <c r="AA635" s="89" t="e">
        <f>#REF!</f>
        <v>#REF!</v>
      </c>
      <c r="AB635" s="89" t="e">
        <f>#REF!</f>
        <v>#REF!</v>
      </c>
      <c r="AC635" s="89" t="e">
        <f>#REF!</f>
        <v>#REF!</v>
      </c>
      <c r="AD635" s="89" t="e">
        <f>#REF!</f>
        <v>#REF!</v>
      </c>
      <c r="AE635" s="89" t="e">
        <f>#REF!</f>
        <v>#REF!</v>
      </c>
      <c r="AF635" s="89" t="e">
        <f>#REF!</f>
        <v>#REF!</v>
      </c>
      <c r="AG635" s="89" t="e">
        <f>#REF!</f>
        <v>#REF!</v>
      </c>
      <c r="AH635" s="89" t="e">
        <f>#REF!</f>
        <v>#REF!</v>
      </c>
      <c r="AI635" s="89" t="e">
        <f>#REF!</f>
        <v>#REF!</v>
      </c>
      <c r="AJ635" s="89" t="e">
        <f>#REF!</f>
        <v>#REF!</v>
      </c>
      <c r="AK635" s="89" t="e">
        <f>#REF!</f>
        <v>#REF!</v>
      </c>
      <c r="AL635" s="89" t="e">
        <f>#REF!</f>
        <v>#REF!</v>
      </c>
      <c r="AM635" s="89" t="e">
        <f>#REF!</f>
        <v>#REF!</v>
      </c>
      <c r="AN635" s="89" t="e">
        <f>#REF!</f>
        <v>#REF!</v>
      </c>
      <c r="AO635" s="89" t="e">
        <f>#REF!</f>
        <v>#REF!</v>
      </c>
      <c r="AP635" s="89" t="e">
        <f>#REF!</f>
        <v>#REF!</v>
      </c>
      <c r="AQ635" s="89" t="e">
        <f>#REF!</f>
        <v>#REF!</v>
      </c>
      <c r="AR635" s="89" t="e">
        <f>#REF!</f>
        <v>#REF!</v>
      </c>
      <c r="AS635" s="89" t="e">
        <f>#REF!</f>
        <v>#REF!</v>
      </c>
      <c r="AT635" s="89" t="e">
        <f>#REF!</f>
        <v>#REF!</v>
      </c>
      <c r="AU635" s="89" t="e">
        <f>#REF!</f>
        <v>#REF!</v>
      </c>
      <c r="AV635" s="89" t="e">
        <f>#REF!</f>
        <v>#REF!</v>
      </c>
      <c r="AW635" s="89" t="e">
        <f>#REF!</f>
        <v>#REF!</v>
      </c>
      <c r="AX635" s="89" t="e">
        <f>#REF!</f>
        <v>#REF!</v>
      </c>
      <c r="AY635" s="89" t="e">
        <f>#REF!</f>
        <v>#REF!</v>
      </c>
      <c r="AZ635" s="89" t="e">
        <f>#REF!</f>
        <v>#REF!</v>
      </c>
      <c r="BA635" s="89" t="e">
        <f>#REF!</f>
        <v>#REF!</v>
      </c>
      <c r="BB635" s="89" t="e">
        <f>#REF!</f>
        <v>#REF!</v>
      </c>
      <c r="BC635" s="89" t="e">
        <f>#REF!</f>
        <v>#REF!</v>
      </c>
      <c r="BD635" s="89" t="e">
        <f>#REF!</f>
        <v>#REF!</v>
      </c>
      <c r="BE635" s="89" t="e">
        <f>#REF!</f>
        <v>#REF!</v>
      </c>
      <c r="BF635" s="89" t="e">
        <f>#REF!</f>
        <v>#REF!</v>
      </c>
    </row>
    <row r="636" spans="9:58" x14ac:dyDescent="0.25">
      <c r="I636" s="89">
        <f>ABCD!J685</f>
        <v>158</v>
      </c>
      <c r="J636" s="89">
        <f>ABCD!K685</f>
        <v>518.24</v>
      </c>
      <c r="K636" s="89">
        <f>ABCD!L685</f>
        <v>0.32281368142770667</v>
      </c>
      <c r="L636" s="89">
        <f>ABCD!M685</f>
        <v>0.10733631173048153</v>
      </c>
      <c r="M636" s="89">
        <f>ABCD!N685</f>
        <v>0.34019076520801089</v>
      </c>
      <c r="N636" s="89" t="e">
        <v>#REF!</v>
      </c>
      <c r="O636" s="89" t="e">
        <v>#REF!</v>
      </c>
      <c r="P636" s="89" t="e">
        <v>#REF!</v>
      </c>
      <c r="Q636" s="89" t="e">
        <v>#REF!</v>
      </c>
      <c r="R636" s="89" t="e">
        <v>#REF!</v>
      </c>
      <c r="S636" s="89" t="e">
        <f>#REF!</f>
        <v>#REF!</v>
      </c>
      <c r="T636" s="89" t="e">
        <f>#REF!</f>
        <v>#REF!</v>
      </c>
      <c r="U636" s="89" t="e">
        <f>#REF!</f>
        <v>#REF!</v>
      </c>
      <c r="V636" s="89" t="e">
        <f>#REF!</f>
        <v>#REF!</v>
      </c>
      <c r="W636" s="89" t="e">
        <f>#REF!</f>
        <v>#REF!</v>
      </c>
      <c r="X636" s="89" t="e">
        <f>#REF!</f>
        <v>#REF!</v>
      </c>
      <c r="Y636" s="89" t="e">
        <f>#REF!</f>
        <v>#REF!</v>
      </c>
      <c r="Z636" s="89" t="e">
        <f>#REF!</f>
        <v>#REF!</v>
      </c>
      <c r="AA636" s="89" t="e">
        <f>#REF!</f>
        <v>#REF!</v>
      </c>
      <c r="AB636" s="89" t="e">
        <f>#REF!</f>
        <v>#REF!</v>
      </c>
      <c r="AC636" s="89" t="e">
        <f>#REF!</f>
        <v>#REF!</v>
      </c>
      <c r="AD636" s="89" t="e">
        <f>#REF!</f>
        <v>#REF!</v>
      </c>
      <c r="AE636" s="89" t="e">
        <f>#REF!</f>
        <v>#REF!</v>
      </c>
      <c r="AF636" s="89" t="e">
        <f>#REF!</f>
        <v>#REF!</v>
      </c>
      <c r="AG636" s="89" t="e">
        <f>#REF!</f>
        <v>#REF!</v>
      </c>
      <c r="AH636" s="89" t="e">
        <f>#REF!</f>
        <v>#REF!</v>
      </c>
      <c r="AI636" s="89" t="e">
        <f>#REF!</f>
        <v>#REF!</v>
      </c>
      <c r="AJ636" s="89" t="e">
        <f>#REF!</f>
        <v>#REF!</v>
      </c>
      <c r="AK636" s="89" t="e">
        <f>#REF!</f>
        <v>#REF!</v>
      </c>
      <c r="AL636" s="89" t="e">
        <f>#REF!</f>
        <v>#REF!</v>
      </c>
      <c r="AM636" s="89" t="e">
        <f>#REF!</f>
        <v>#REF!</v>
      </c>
      <c r="AN636" s="89" t="e">
        <f>#REF!</f>
        <v>#REF!</v>
      </c>
      <c r="AO636" s="89" t="e">
        <f>#REF!</f>
        <v>#REF!</v>
      </c>
      <c r="AP636" s="89" t="e">
        <f>#REF!</f>
        <v>#REF!</v>
      </c>
      <c r="AQ636" s="89" t="e">
        <f>#REF!</f>
        <v>#REF!</v>
      </c>
      <c r="AR636" s="89" t="e">
        <f>#REF!</f>
        <v>#REF!</v>
      </c>
      <c r="AS636" s="89" t="e">
        <f>#REF!</f>
        <v>#REF!</v>
      </c>
      <c r="AT636" s="89" t="e">
        <f>#REF!</f>
        <v>#REF!</v>
      </c>
      <c r="AU636" s="89" t="e">
        <f>#REF!</f>
        <v>#REF!</v>
      </c>
      <c r="AV636" s="89" t="e">
        <f>#REF!</f>
        <v>#REF!</v>
      </c>
      <c r="AW636" s="89" t="e">
        <f>#REF!</f>
        <v>#REF!</v>
      </c>
      <c r="AX636" s="89" t="e">
        <f>#REF!</f>
        <v>#REF!</v>
      </c>
      <c r="AY636" s="89" t="e">
        <f>#REF!</f>
        <v>#REF!</v>
      </c>
      <c r="AZ636" s="89" t="e">
        <f>#REF!</f>
        <v>#REF!</v>
      </c>
      <c r="BA636" s="89" t="e">
        <f>#REF!</f>
        <v>#REF!</v>
      </c>
      <c r="BB636" s="89" t="e">
        <f>#REF!</f>
        <v>#REF!</v>
      </c>
      <c r="BC636" s="89" t="e">
        <f>#REF!</f>
        <v>#REF!</v>
      </c>
      <c r="BD636" s="89" t="e">
        <f>#REF!</f>
        <v>#REF!</v>
      </c>
      <c r="BE636" s="89" t="e">
        <f>#REF!</f>
        <v>#REF!</v>
      </c>
      <c r="BF636" s="89" t="e">
        <f>#REF!</f>
        <v>#REF!</v>
      </c>
    </row>
    <row r="637" spans="9:58" x14ac:dyDescent="0.25">
      <c r="I637" s="89">
        <f>ABCD!J686</f>
        <v>158.25</v>
      </c>
      <c r="J637" s="89">
        <f>ABCD!K686</f>
        <v>519.05999999999995</v>
      </c>
      <c r="K637" s="89">
        <f>ABCD!L686</f>
        <v>0.24241306768523274</v>
      </c>
      <c r="L637" s="89">
        <f>ABCD!M686</f>
        <v>9.2720786512257014E-2</v>
      </c>
      <c r="M637" s="89">
        <f>ABCD!N686</f>
        <v>0.25954043930766696</v>
      </c>
      <c r="N637" s="89" t="e">
        <v>#REF!</v>
      </c>
      <c r="O637" s="89" t="e">
        <v>#REF!</v>
      </c>
      <c r="P637" s="89" t="e">
        <v>#REF!</v>
      </c>
      <c r="Q637" s="89" t="e">
        <v>#REF!</v>
      </c>
      <c r="R637" s="89" t="e">
        <v>#REF!</v>
      </c>
      <c r="S637" s="89" t="e">
        <f>#REF!</f>
        <v>#REF!</v>
      </c>
      <c r="T637" s="89" t="e">
        <f>#REF!</f>
        <v>#REF!</v>
      </c>
      <c r="U637" s="89" t="e">
        <f>#REF!</f>
        <v>#REF!</v>
      </c>
      <c r="V637" s="89" t="e">
        <f>#REF!</f>
        <v>#REF!</v>
      </c>
      <c r="W637" s="89" t="e">
        <f>#REF!</f>
        <v>#REF!</v>
      </c>
      <c r="X637" s="89" t="e">
        <f>#REF!</f>
        <v>#REF!</v>
      </c>
      <c r="Y637" s="89" t="e">
        <f>#REF!</f>
        <v>#REF!</v>
      </c>
      <c r="Z637" s="89" t="e">
        <f>#REF!</f>
        <v>#REF!</v>
      </c>
      <c r="AA637" s="89" t="e">
        <f>#REF!</f>
        <v>#REF!</v>
      </c>
      <c r="AB637" s="89" t="e">
        <f>#REF!</f>
        <v>#REF!</v>
      </c>
      <c r="AC637" s="89" t="e">
        <f>#REF!</f>
        <v>#REF!</v>
      </c>
      <c r="AD637" s="89" t="e">
        <f>#REF!</f>
        <v>#REF!</v>
      </c>
      <c r="AE637" s="89" t="e">
        <f>#REF!</f>
        <v>#REF!</v>
      </c>
      <c r="AF637" s="89" t="e">
        <f>#REF!</f>
        <v>#REF!</v>
      </c>
      <c r="AG637" s="89" t="e">
        <f>#REF!</f>
        <v>#REF!</v>
      </c>
      <c r="AH637" s="89" t="e">
        <f>#REF!</f>
        <v>#REF!</v>
      </c>
      <c r="AI637" s="89" t="e">
        <f>#REF!</f>
        <v>#REF!</v>
      </c>
      <c r="AJ637" s="89" t="e">
        <f>#REF!</f>
        <v>#REF!</v>
      </c>
      <c r="AK637" s="89" t="e">
        <f>#REF!</f>
        <v>#REF!</v>
      </c>
      <c r="AL637" s="89" t="e">
        <f>#REF!</f>
        <v>#REF!</v>
      </c>
      <c r="AM637" s="89" t="e">
        <f>#REF!</f>
        <v>#REF!</v>
      </c>
      <c r="AN637" s="89" t="e">
        <f>#REF!</f>
        <v>#REF!</v>
      </c>
      <c r="AO637" s="89" t="e">
        <f>#REF!</f>
        <v>#REF!</v>
      </c>
      <c r="AP637" s="89" t="e">
        <f>#REF!</f>
        <v>#REF!</v>
      </c>
      <c r="AQ637" s="89" t="e">
        <f>#REF!</f>
        <v>#REF!</v>
      </c>
      <c r="AR637" s="89" t="e">
        <f>#REF!</f>
        <v>#REF!</v>
      </c>
      <c r="AS637" s="89" t="e">
        <f>#REF!</f>
        <v>#REF!</v>
      </c>
      <c r="AT637" s="89" t="e">
        <f>#REF!</f>
        <v>#REF!</v>
      </c>
      <c r="AU637" s="89" t="e">
        <f>#REF!</f>
        <v>#REF!</v>
      </c>
      <c r="AV637" s="89" t="e">
        <f>#REF!</f>
        <v>#REF!</v>
      </c>
      <c r="AW637" s="89" t="e">
        <f>#REF!</f>
        <v>#REF!</v>
      </c>
      <c r="AX637" s="89" t="e">
        <f>#REF!</f>
        <v>#REF!</v>
      </c>
      <c r="AY637" s="89" t="e">
        <f>#REF!</f>
        <v>#REF!</v>
      </c>
      <c r="AZ637" s="89" t="e">
        <f>#REF!</f>
        <v>#REF!</v>
      </c>
      <c r="BA637" s="89" t="e">
        <f>#REF!</f>
        <v>#REF!</v>
      </c>
      <c r="BB637" s="89" t="e">
        <f>#REF!</f>
        <v>#REF!</v>
      </c>
      <c r="BC637" s="89" t="e">
        <f>#REF!</f>
        <v>#REF!</v>
      </c>
      <c r="BD637" s="89" t="e">
        <f>#REF!</f>
        <v>#REF!</v>
      </c>
      <c r="BE637" s="89" t="e">
        <f>#REF!</f>
        <v>#REF!</v>
      </c>
      <c r="BF637" s="89" t="e">
        <f>#REF!</f>
        <v>#REF!</v>
      </c>
    </row>
    <row r="638" spans="9:58" x14ac:dyDescent="0.25">
      <c r="I638" s="89">
        <f>ABCD!J687</f>
        <v>158.5</v>
      </c>
      <c r="J638" s="89">
        <f>ABCD!K687</f>
        <v>519.88</v>
      </c>
      <c r="K638" s="89">
        <f>ABCD!L687</f>
        <v>0.16202882304935906</v>
      </c>
      <c r="L638" s="89">
        <f>ABCD!M687</f>
        <v>7.8097005583125156E-2</v>
      </c>
      <c r="M638" s="89">
        <f>ABCD!N687</f>
        <v>0.17986795651202353</v>
      </c>
      <c r="N638" s="89" t="e">
        <v>#REF!</v>
      </c>
      <c r="O638" s="89" t="e">
        <v>#REF!</v>
      </c>
      <c r="P638" s="89" t="e">
        <v>#REF!</v>
      </c>
      <c r="Q638" s="89" t="e">
        <v>#REF!</v>
      </c>
      <c r="R638" s="89" t="e">
        <v>#REF!</v>
      </c>
      <c r="S638" s="89" t="e">
        <f>#REF!</f>
        <v>#REF!</v>
      </c>
      <c r="T638" s="89" t="e">
        <f>#REF!</f>
        <v>#REF!</v>
      </c>
      <c r="U638" s="89" t="e">
        <f>#REF!</f>
        <v>#REF!</v>
      </c>
      <c r="V638" s="89" t="e">
        <f>#REF!</f>
        <v>#REF!</v>
      </c>
      <c r="W638" s="89" t="e">
        <f>#REF!</f>
        <v>#REF!</v>
      </c>
      <c r="X638" s="89" t="e">
        <f>#REF!</f>
        <v>#REF!</v>
      </c>
      <c r="Y638" s="89" t="e">
        <f>#REF!</f>
        <v>#REF!</v>
      </c>
      <c r="Z638" s="89" t="e">
        <f>#REF!</f>
        <v>#REF!</v>
      </c>
      <c r="AA638" s="89" t="e">
        <f>#REF!</f>
        <v>#REF!</v>
      </c>
      <c r="AB638" s="89" t="e">
        <f>#REF!</f>
        <v>#REF!</v>
      </c>
      <c r="AC638" s="89" t="e">
        <f>#REF!</f>
        <v>#REF!</v>
      </c>
      <c r="AD638" s="89" t="e">
        <f>#REF!</f>
        <v>#REF!</v>
      </c>
      <c r="AE638" s="89" t="e">
        <f>#REF!</f>
        <v>#REF!</v>
      </c>
      <c r="AF638" s="89" t="e">
        <f>#REF!</f>
        <v>#REF!</v>
      </c>
      <c r="AG638" s="89" t="e">
        <f>#REF!</f>
        <v>#REF!</v>
      </c>
      <c r="AH638" s="89" t="e">
        <f>#REF!</f>
        <v>#REF!</v>
      </c>
      <c r="AI638" s="89" t="e">
        <f>#REF!</f>
        <v>#REF!</v>
      </c>
      <c r="AJ638" s="89" t="e">
        <f>#REF!</f>
        <v>#REF!</v>
      </c>
      <c r="AK638" s="89" t="e">
        <f>#REF!</f>
        <v>#REF!</v>
      </c>
      <c r="AL638" s="89" t="e">
        <f>#REF!</f>
        <v>#REF!</v>
      </c>
      <c r="AM638" s="89" t="e">
        <f>#REF!</f>
        <v>#REF!</v>
      </c>
      <c r="AN638" s="89" t="e">
        <f>#REF!</f>
        <v>#REF!</v>
      </c>
      <c r="AO638" s="89" t="e">
        <f>#REF!</f>
        <v>#REF!</v>
      </c>
      <c r="AP638" s="89" t="e">
        <f>#REF!</f>
        <v>#REF!</v>
      </c>
      <c r="AQ638" s="89" t="e">
        <f>#REF!</f>
        <v>#REF!</v>
      </c>
      <c r="AR638" s="89" t="e">
        <f>#REF!</f>
        <v>#REF!</v>
      </c>
      <c r="AS638" s="89" t="e">
        <f>#REF!</f>
        <v>#REF!</v>
      </c>
      <c r="AT638" s="89" t="e">
        <f>#REF!</f>
        <v>#REF!</v>
      </c>
      <c r="AU638" s="89" t="e">
        <f>#REF!</f>
        <v>#REF!</v>
      </c>
      <c r="AV638" s="89" t="e">
        <f>#REF!</f>
        <v>#REF!</v>
      </c>
      <c r="AW638" s="89" t="e">
        <f>#REF!</f>
        <v>#REF!</v>
      </c>
      <c r="AX638" s="89" t="e">
        <f>#REF!</f>
        <v>#REF!</v>
      </c>
      <c r="AY638" s="89" t="e">
        <f>#REF!</f>
        <v>#REF!</v>
      </c>
      <c r="AZ638" s="89" t="e">
        <f>#REF!</f>
        <v>#REF!</v>
      </c>
      <c r="BA638" s="89" t="e">
        <f>#REF!</f>
        <v>#REF!</v>
      </c>
      <c r="BB638" s="89" t="e">
        <f>#REF!</f>
        <v>#REF!</v>
      </c>
      <c r="BC638" s="89" t="e">
        <f>#REF!</f>
        <v>#REF!</v>
      </c>
      <c r="BD638" s="89" t="e">
        <f>#REF!</f>
        <v>#REF!</v>
      </c>
      <c r="BE638" s="89" t="e">
        <f>#REF!</f>
        <v>#REF!</v>
      </c>
      <c r="BF638" s="89" t="e">
        <f>#REF!</f>
        <v>#REF!</v>
      </c>
    </row>
    <row r="639" spans="9:58" x14ac:dyDescent="0.25">
      <c r="I639" s="89">
        <f>ABCD!J688</f>
        <v>158.75</v>
      </c>
      <c r="J639" s="89">
        <f>ABCD!K688</f>
        <v>520.69999999999993</v>
      </c>
      <c r="K639" s="89">
        <f>ABCD!L688</f>
        <v>8.167948878000808E-2</v>
      </c>
      <c r="L639" s="89">
        <f>ABCD!M688</f>
        <v>6.3468352139203432E-2</v>
      </c>
      <c r="M639" s="89">
        <f>ABCD!N688</f>
        <v>0.10343969552656947</v>
      </c>
      <c r="N639" s="89" t="e">
        <v>#REF!</v>
      </c>
      <c r="O639" s="89" t="e">
        <v>#REF!</v>
      </c>
      <c r="P639" s="89" t="e">
        <v>#REF!</v>
      </c>
      <c r="Q639" s="89" t="e">
        <v>#REF!</v>
      </c>
      <c r="R639" s="89" t="e">
        <v>#REF!</v>
      </c>
      <c r="S639" s="89" t="e">
        <f>#REF!</f>
        <v>#REF!</v>
      </c>
      <c r="T639" s="89" t="e">
        <f>#REF!</f>
        <v>#REF!</v>
      </c>
      <c r="U639" s="89" t="e">
        <f>#REF!</f>
        <v>#REF!</v>
      </c>
      <c r="V639" s="89" t="e">
        <f>#REF!</f>
        <v>#REF!</v>
      </c>
      <c r="W639" s="89" t="e">
        <f>#REF!</f>
        <v>#REF!</v>
      </c>
      <c r="X639" s="89" t="e">
        <f>#REF!</f>
        <v>#REF!</v>
      </c>
      <c r="Y639" s="89" t="e">
        <f>#REF!</f>
        <v>#REF!</v>
      </c>
      <c r="Z639" s="89" t="e">
        <f>#REF!</f>
        <v>#REF!</v>
      </c>
      <c r="AA639" s="89" t="e">
        <f>#REF!</f>
        <v>#REF!</v>
      </c>
      <c r="AB639" s="89" t="e">
        <f>#REF!</f>
        <v>#REF!</v>
      </c>
      <c r="AC639" s="89" t="e">
        <f>#REF!</f>
        <v>#REF!</v>
      </c>
      <c r="AD639" s="89" t="e">
        <f>#REF!</f>
        <v>#REF!</v>
      </c>
      <c r="AE639" s="89" t="e">
        <f>#REF!</f>
        <v>#REF!</v>
      </c>
      <c r="AF639" s="89" t="e">
        <f>#REF!</f>
        <v>#REF!</v>
      </c>
      <c r="AG639" s="89" t="e">
        <f>#REF!</f>
        <v>#REF!</v>
      </c>
      <c r="AH639" s="89" t="e">
        <f>#REF!</f>
        <v>#REF!</v>
      </c>
      <c r="AI639" s="89" t="e">
        <f>#REF!</f>
        <v>#REF!</v>
      </c>
      <c r="AJ639" s="89" t="e">
        <f>#REF!</f>
        <v>#REF!</v>
      </c>
      <c r="AK639" s="89" t="e">
        <f>#REF!</f>
        <v>#REF!</v>
      </c>
      <c r="AL639" s="89" t="e">
        <f>#REF!</f>
        <v>#REF!</v>
      </c>
      <c r="AM639" s="89" t="e">
        <f>#REF!</f>
        <v>#REF!</v>
      </c>
      <c r="AN639" s="89" t="e">
        <f>#REF!</f>
        <v>#REF!</v>
      </c>
      <c r="AO639" s="89" t="e">
        <f>#REF!</f>
        <v>#REF!</v>
      </c>
      <c r="AP639" s="89" t="e">
        <f>#REF!</f>
        <v>#REF!</v>
      </c>
      <c r="AQ639" s="89" t="e">
        <f>#REF!</f>
        <v>#REF!</v>
      </c>
      <c r="AR639" s="89" t="e">
        <f>#REF!</f>
        <v>#REF!</v>
      </c>
      <c r="AS639" s="89" t="e">
        <f>#REF!</f>
        <v>#REF!</v>
      </c>
      <c r="AT639" s="89" t="e">
        <f>#REF!</f>
        <v>#REF!</v>
      </c>
      <c r="AU639" s="89" t="e">
        <f>#REF!</f>
        <v>#REF!</v>
      </c>
      <c r="AV639" s="89" t="e">
        <f>#REF!</f>
        <v>#REF!</v>
      </c>
      <c r="AW639" s="89" t="e">
        <f>#REF!</f>
        <v>#REF!</v>
      </c>
      <c r="AX639" s="89" t="e">
        <f>#REF!</f>
        <v>#REF!</v>
      </c>
      <c r="AY639" s="89" t="e">
        <f>#REF!</f>
        <v>#REF!</v>
      </c>
      <c r="AZ639" s="89" t="e">
        <f>#REF!</f>
        <v>#REF!</v>
      </c>
      <c r="BA639" s="89" t="e">
        <f>#REF!</f>
        <v>#REF!</v>
      </c>
      <c r="BB639" s="89" t="e">
        <f>#REF!</f>
        <v>#REF!</v>
      </c>
      <c r="BC639" s="89" t="e">
        <f>#REF!</f>
        <v>#REF!</v>
      </c>
      <c r="BD639" s="89" t="e">
        <f>#REF!</f>
        <v>#REF!</v>
      </c>
      <c r="BE639" s="89" t="e">
        <f>#REF!</f>
        <v>#REF!</v>
      </c>
      <c r="BF639" s="89" t="e">
        <f>#REF!</f>
        <v>#REF!</v>
      </c>
    </row>
    <row r="640" spans="9:58" x14ac:dyDescent="0.25">
      <c r="I640" s="89">
        <f>ABCD!J689</f>
        <v>159</v>
      </c>
      <c r="J640" s="89">
        <f>ABCD!K689</f>
        <v>521.52</v>
      </c>
      <c r="K640" s="89">
        <f>ABCD!L689</f>
        <v>1.3835813987433943E-3</v>
      </c>
      <c r="L640" s="89">
        <f>ABCD!M689</f>
        <v>4.8838207457880145E-2</v>
      </c>
      <c r="M640" s="89">
        <f>ABCD!N689</f>
        <v>4.8857801886555322E-2</v>
      </c>
      <c r="N640" s="89" t="e">
        <v>#REF!</v>
      </c>
      <c r="O640" s="89" t="e">
        <v>#REF!</v>
      </c>
      <c r="P640" s="89" t="e">
        <v>#REF!</v>
      </c>
      <c r="Q640" s="89" t="e">
        <v>#REF!</v>
      </c>
      <c r="R640" s="89" t="e">
        <v>#REF!</v>
      </c>
      <c r="S640" s="89" t="e">
        <f>#REF!</f>
        <v>#REF!</v>
      </c>
      <c r="T640" s="89" t="e">
        <f>#REF!</f>
        <v>#REF!</v>
      </c>
      <c r="U640" s="89" t="e">
        <f>#REF!</f>
        <v>#REF!</v>
      </c>
      <c r="V640" s="89" t="e">
        <f>#REF!</f>
        <v>#REF!</v>
      </c>
      <c r="W640" s="89" t="e">
        <f>#REF!</f>
        <v>#REF!</v>
      </c>
      <c r="X640" s="89" t="e">
        <f>#REF!</f>
        <v>#REF!</v>
      </c>
      <c r="Y640" s="89" t="e">
        <f>#REF!</f>
        <v>#REF!</v>
      </c>
      <c r="Z640" s="89" t="e">
        <f>#REF!</f>
        <v>#REF!</v>
      </c>
      <c r="AA640" s="89" t="e">
        <f>#REF!</f>
        <v>#REF!</v>
      </c>
      <c r="AB640" s="89" t="e">
        <f>#REF!</f>
        <v>#REF!</v>
      </c>
      <c r="AC640" s="89" t="e">
        <f>#REF!</f>
        <v>#REF!</v>
      </c>
      <c r="AD640" s="89" t="e">
        <f>#REF!</f>
        <v>#REF!</v>
      </c>
      <c r="AE640" s="89" t="e">
        <f>#REF!</f>
        <v>#REF!</v>
      </c>
      <c r="AF640" s="89" t="e">
        <f>#REF!</f>
        <v>#REF!</v>
      </c>
      <c r="AG640" s="89" t="e">
        <f>#REF!</f>
        <v>#REF!</v>
      </c>
      <c r="AH640" s="89" t="e">
        <f>#REF!</f>
        <v>#REF!</v>
      </c>
      <c r="AI640" s="89" t="e">
        <f>#REF!</f>
        <v>#REF!</v>
      </c>
      <c r="AJ640" s="89" t="e">
        <f>#REF!</f>
        <v>#REF!</v>
      </c>
      <c r="AK640" s="89" t="e">
        <f>#REF!</f>
        <v>#REF!</v>
      </c>
      <c r="AL640" s="89" t="e">
        <f>#REF!</f>
        <v>#REF!</v>
      </c>
      <c r="AM640" s="89" t="e">
        <f>#REF!</f>
        <v>#REF!</v>
      </c>
      <c r="AN640" s="89" t="e">
        <f>#REF!</f>
        <v>#REF!</v>
      </c>
      <c r="AO640" s="89" t="e">
        <f>#REF!</f>
        <v>#REF!</v>
      </c>
      <c r="AP640" s="89" t="e">
        <f>#REF!</f>
        <v>#REF!</v>
      </c>
      <c r="AQ640" s="89" t="e">
        <f>#REF!</f>
        <v>#REF!</v>
      </c>
      <c r="AR640" s="89" t="e">
        <f>#REF!</f>
        <v>#REF!</v>
      </c>
      <c r="AS640" s="89" t="e">
        <f>#REF!</f>
        <v>#REF!</v>
      </c>
      <c r="AT640" s="89" t="e">
        <f>#REF!</f>
        <v>#REF!</v>
      </c>
      <c r="AU640" s="89" t="e">
        <f>#REF!</f>
        <v>#REF!</v>
      </c>
      <c r="AV640" s="89" t="e">
        <f>#REF!</f>
        <v>#REF!</v>
      </c>
      <c r="AW640" s="89" t="e">
        <f>#REF!</f>
        <v>#REF!</v>
      </c>
      <c r="AX640" s="89" t="e">
        <f>#REF!</f>
        <v>#REF!</v>
      </c>
      <c r="AY640" s="89" t="e">
        <f>#REF!</f>
        <v>#REF!</v>
      </c>
      <c r="AZ640" s="89" t="e">
        <f>#REF!</f>
        <v>#REF!</v>
      </c>
      <c r="BA640" s="89" t="e">
        <f>#REF!</f>
        <v>#REF!</v>
      </c>
      <c r="BB640" s="89" t="e">
        <f>#REF!</f>
        <v>#REF!</v>
      </c>
      <c r="BC640" s="89" t="e">
        <f>#REF!</f>
        <v>#REF!</v>
      </c>
      <c r="BD640" s="89" t="e">
        <f>#REF!</f>
        <v>#REF!</v>
      </c>
      <c r="BE640" s="89" t="e">
        <f>#REF!</f>
        <v>#REF!</v>
      </c>
      <c r="BF640" s="89" t="e">
        <f>#REF!</f>
        <v>#REF!</v>
      </c>
    </row>
    <row r="641" spans="9:58" x14ac:dyDescent="0.25">
      <c r="I641" s="89">
        <f>ABCD!J690</f>
        <v>159.25</v>
      </c>
      <c r="J641" s="89">
        <f>ABCD!K690</f>
        <v>522.33999999999992</v>
      </c>
      <c r="K641" s="89">
        <f>ABCD!L690</f>
        <v>-7.8840411563399937E-2</v>
      </c>
      <c r="L641" s="89">
        <f>ABCD!M690</f>
        <v>3.4209950118994747E-2</v>
      </c>
      <c r="M641" s="89">
        <f>ABCD!N690</f>
        <v>8.594260400191743E-2</v>
      </c>
      <c r="N641" s="89" t="e">
        <v>#REF!</v>
      </c>
      <c r="O641" s="89" t="e">
        <v>#REF!</v>
      </c>
      <c r="P641" s="89" t="e">
        <v>#REF!</v>
      </c>
      <c r="Q641" s="89" t="e">
        <v>#REF!</v>
      </c>
      <c r="R641" s="89" t="e">
        <v>#REF!</v>
      </c>
      <c r="S641" s="89" t="e">
        <f>#REF!</f>
        <v>#REF!</v>
      </c>
      <c r="T641" s="89" t="e">
        <f>#REF!</f>
        <v>#REF!</v>
      </c>
      <c r="U641" s="89" t="e">
        <f>#REF!</f>
        <v>#REF!</v>
      </c>
      <c r="V641" s="89" t="e">
        <f>#REF!</f>
        <v>#REF!</v>
      </c>
      <c r="W641" s="89" t="e">
        <f>#REF!</f>
        <v>#REF!</v>
      </c>
      <c r="X641" s="89" t="e">
        <f>#REF!</f>
        <v>#REF!</v>
      </c>
      <c r="Y641" s="89" t="e">
        <f>#REF!</f>
        <v>#REF!</v>
      </c>
      <c r="Z641" s="89" t="e">
        <f>#REF!</f>
        <v>#REF!</v>
      </c>
      <c r="AA641" s="89" t="e">
        <f>#REF!</f>
        <v>#REF!</v>
      </c>
      <c r="AB641" s="89" t="e">
        <f>#REF!</f>
        <v>#REF!</v>
      </c>
      <c r="AC641" s="89" t="e">
        <f>#REF!</f>
        <v>#REF!</v>
      </c>
      <c r="AD641" s="89" t="e">
        <f>#REF!</f>
        <v>#REF!</v>
      </c>
      <c r="AE641" s="89" t="e">
        <f>#REF!</f>
        <v>#REF!</v>
      </c>
      <c r="AF641" s="89" t="e">
        <f>#REF!</f>
        <v>#REF!</v>
      </c>
      <c r="AG641" s="89" t="e">
        <f>#REF!</f>
        <v>#REF!</v>
      </c>
      <c r="AH641" s="89" t="e">
        <f>#REF!</f>
        <v>#REF!</v>
      </c>
      <c r="AI641" s="89" t="e">
        <f>#REF!</f>
        <v>#REF!</v>
      </c>
      <c r="AJ641" s="89" t="e">
        <f>#REF!</f>
        <v>#REF!</v>
      </c>
      <c r="AK641" s="89" t="e">
        <f>#REF!</f>
        <v>#REF!</v>
      </c>
      <c r="AL641" s="89" t="e">
        <f>#REF!</f>
        <v>#REF!</v>
      </c>
      <c r="AM641" s="89" t="e">
        <f>#REF!</f>
        <v>#REF!</v>
      </c>
      <c r="AN641" s="89" t="e">
        <f>#REF!</f>
        <v>#REF!</v>
      </c>
      <c r="AO641" s="89" t="e">
        <f>#REF!</f>
        <v>#REF!</v>
      </c>
      <c r="AP641" s="89" t="e">
        <f>#REF!</f>
        <v>#REF!</v>
      </c>
      <c r="AQ641" s="89" t="e">
        <f>#REF!</f>
        <v>#REF!</v>
      </c>
      <c r="AR641" s="89" t="e">
        <f>#REF!</f>
        <v>#REF!</v>
      </c>
      <c r="AS641" s="89" t="e">
        <f>#REF!</f>
        <v>#REF!</v>
      </c>
      <c r="AT641" s="89" t="e">
        <f>#REF!</f>
        <v>#REF!</v>
      </c>
      <c r="AU641" s="89" t="e">
        <f>#REF!</f>
        <v>#REF!</v>
      </c>
      <c r="AV641" s="89" t="e">
        <f>#REF!</f>
        <v>#REF!</v>
      </c>
      <c r="AW641" s="89" t="e">
        <f>#REF!</f>
        <v>#REF!</v>
      </c>
      <c r="AX641" s="89" t="e">
        <f>#REF!</f>
        <v>#REF!</v>
      </c>
      <c r="AY641" s="89" t="e">
        <f>#REF!</f>
        <v>#REF!</v>
      </c>
      <c r="AZ641" s="89" t="e">
        <f>#REF!</f>
        <v>#REF!</v>
      </c>
      <c r="BA641" s="89" t="e">
        <f>#REF!</f>
        <v>#REF!</v>
      </c>
      <c r="BB641" s="89" t="e">
        <f>#REF!</f>
        <v>#REF!</v>
      </c>
      <c r="BC641" s="89" t="e">
        <f>#REF!</f>
        <v>#REF!</v>
      </c>
      <c r="BD641" s="89" t="e">
        <f>#REF!</f>
        <v>#REF!</v>
      </c>
      <c r="BE641" s="89" t="e">
        <f>#REF!</f>
        <v>#REF!</v>
      </c>
      <c r="BF641" s="89" t="e">
        <f>#REF!</f>
        <v>#REF!</v>
      </c>
    </row>
    <row r="642" spans="9:58" x14ac:dyDescent="0.25">
      <c r="I642" s="89">
        <f>ABCD!J691</f>
        <v>159.5</v>
      </c>
      <c r="J642" s="89">
        <f>ABCD!K691</f>
        <v>523.16</v>
      </c>
      <c r="K642" s="89">
        <f>ABCD!L691</f>
        <v>-0.15897403580743713</v>
      </c>
      <c r="L642" s="89">
        <f>ABCD!M691</f>
        <v>1.9586955227365088E-2</v>
      </c>
      <c r="M642" s="89">
        <f>ABCD!N691</f>
        <v>0.16017613079352086</v>
      </c>
      <c r="N642" s="89" t="e">
        <v>#REF!</v>
      </c>
      <c r="O642" s="89" t="e">
        <v>#REF!</v>
      </c>
      <c r="P642" s="89" t="e">
        <v>#REF!</v>
      </c>
      <c r="Q642" s="89" t="e">
        <v>#REF!</v>
      </c>
      <c r="R642" s="89" t="e">
        <v>#REF!</v>
      </c>
      <c r="S642" s="89" t="e">
        <f>#REF!</f>
        <v>#REF!</v>
      </c>
      <c r="T642" s="89" t="e">
        <f>#REF!</f>
        <v>#REF!</v>
      </c>
      <c r="U642" s="89" t="e">
        <f>#REF!</f>
        <v>#REF!</v>
      </c>
      <c r="V642" s="89" t="e">
        <f>#REF!</f>
        <v>#REF!</v>
      </c>
      <c r="W642" s="89" t="e">
        <f>#REF!</f>
        <v>#REF!</v>
      </c>
      <c r="X642" s="89" t="e">
        <f>#REF!</f>
        <v>#REF!</v>
      </c>
      <c r="Y642" s="89" t="e">
        <f>#REF!</f>
        <v>#REF!</v>
      </c>
      <c r="Z642" s="89" t="e">
        <f>#REF!</f>
        <v>#REF!</v>
      </c>
      <c r="AA642" s="89" t="e">
        <f>#REF!</f>
        <v>#REF!</v>
      </c>
      <c r="AB642" s="89" t="e">
        <f>#REF!</f>
        <v>#REF!</v>
      </c>
      <c r="AC642" s="89" t="e">
        <f>#REF!</f>
        <v>#REF!</v>
      </c>
      <c r="AD642" s="89" t="e">
        <f>#REF!</f>
        <v>#REF!</v>
      </c>
      <c r="AE642" s="89" t="e">
        <f>#REF!</f>
        <v>#REF!</v>
      </c>
      <c r="AF642" s="89" t="e">
        <f>#REF!</f>
        <v>#REF!</v>
      </c>
      <c r="AG642" s="89" t="e">
        <f>#REF!</f>
        <v>#REF!</v>
      </c>
      <c r="AH642" s="89" t="e">
        <f>#REF!</f>
        <v>#REF!</v>
      </c>
      <c r="AI642" s="89" t="e">
        <f>#REF!</f>
        <v>#REF!</v>
      </c>
      <c r="AJ642" s="89" t="e">
        <f>#REF!</f>
        <v>#REF!</v>
      </c>
      <c r="AK642" s="89" t="e">
        <f>#REF!</f>
        <v>#REF!</v>
      </c>
      <c r="AL642" s="89" t="e">
        <f>#REF!</f>
        <v>#REF!</v>
      </c>
      <c r="AM642" s="89" t="e">
        <f>#REF!</f>
        <v>#REF!</v>
      </c>
      <c r="AN642" s="89" t="e">
        <f>#REF!</f>
        <v>#REF!</v>
      </c>
      <c r="AO642" s="89" t="e">
        <f>#REF!</f>
        <v>#REF!</v>
      </c>
      <c r="AP642" s="89" t="e">
        <f>#REF!</f>
        <v>#REF!</v>
      </c>
      <c r="AQ642" s="89" t="e">
        <f>#REF!</f>
        <v>#REF!</v>
      </c>
      <c r="AR642" s="89" t="e">
        <f>#REF!</f>
        <v>#REF!</v>
      </c>
      <c r="AS642" s="89" t="e">
        <f>#REF!</f>
        <v>#REF!</v>
      </c>
      <c r="AT642" s="89" t="e">
        <f>#REF!</f>
        <v>#REF!</v>
      </c>
      <c r="AU642" s="89" t="e">
        <f>#REF!</f>
        <v>#REF!</v>
      </c>
      <c r="AV642" s="89" t="e">
        <f>#REF!</f>
        <v>#REF!</v>
      </c>
      <c r="AW642" s="89" t="e">
        <f>#REF!</f>
        <v>#REF!</v>
      </c>
      <c r="AX642" s="89" t="e">
        <f>#REF!</f>
        <v>#REF!</v>
      </c>
      <c r="AY642" s="89" t="e">
        <f>#REF!</f>
        <v>#REF!</v>
      </c>
      <c r="AZ642" s="89" t="e">
        <f>#REF!</f>
        <v>#REF!</v>
      </c>
      <c r="BA642" s="89" t="e">
        <f>#REF!</f>
        <v>#REF!</v>
      </c>
      <c r="BB642" s="89" t="e">
        <f>#REF!</f>
        <v>#REF!</v>
      </c>
      <c r="BC642" s="89" t="e">
        <f>#REF!</f>
        <v>#REF!</v>
      </c>
      <c r="BD642" s="89" t="e">
        <f>#REF!</f>
        <v>#REF!</v>
      </c>
      <c r="BE642" s="89" t="e">
        <f>#REF!</f>
        <v>#REF!</v>
      </c>
      <c r="BF642" s="89" t="e">
        <f>#REF!</f>
        <v>#REF!</v>
      </c>
    </row>
    <row r="643" spans="9:58" x14ac:dyDescent="0.25">
      <c r="I643" s="89">
        <f>ABCD!J692</f>
        <v>159.75</v>
      </c>
      <c r="J643" s="89">
        <f>ABCD!K692</f>
        <v>523.98</v>
      </c>
      <c r="K643" s="89">
        <f>ABCD!L692</f>
        <v>-0.23899887449661628</v>
      </c>
      <c r="L643" s="89">
        <f>ABCD!M692</f>
        <v>4.9725936367890355E-3</v>
      </c>
      <c r="M643" s="89">
        <f>ABCD!N692</f>
        <v>0.23905059861486641</v>
      </c>
      <c r="N643" s="89" t="e">
        <v>#REF!</v>
      </c>
      <c r="O643" s="89" t="e">
        <v>#REF!</v>
      </c>
      <c r="P643" s="89" t="e">
        <v>#REF!</v>
      </c>
      <c r="Q643" s="89" t="e">
        <v>#REF!</v>
      </c>
      <c r="R643" s="89" t="e">
        <v>#REF!</v>
      </c>
      <c r="S643" s="89" t="e">
        <f>#REF!</f>
        <v>#REF!</v>
      </c>
      <c r="T643" s="89" t="e">
        <f>#REF!</f>
        <v>#REF!</v>
      </c>
      <c r="U643" s="89" t="e">
        <f>#REF!</f>
        <v>#REF!</v>
      </c>
      <c r="V643" s="89" t="e">
        <f>#REF!</f>
        <v>#REF!</v>
      </c>
      <c r="W643" s="89" t="e">
        <f>#REF!</f>
        <v>#REF!</v>
      </c>
      <c r="X643" s="89" t="e">
        <f>#REF!</f>
        <v>#REF!</v>
      </c>
      <c r="Y643" s="89" t="e">
        <f>#REF!</f>
        <v>#REF!</v>
      </c>
      <c r="Z643" s="89" t="e">
        <f>#REF!</f>
        <v>#REF!</v>
      </c>
      <c r="AA643" s="89" t="e">
        <f>#REF!</f>
        <v>#REF!</v>
      </c>
      <c r="AB643" s="89" t="e">
        <f>#REF!</f>
        <v>#REF!</v>
      </c>
      <c r="AC643" s="89" t="e">
        <f>#REF!</f>
        <v>#REF!</v>
      </c>
      <c r="AD643" s="89" t="e">
        <f>#REF!</f>
        <v>#REF!</v>
      </c>
      <c r="AE643" s="89" t="e">
        <f>#REF!</f>
        <v>#REF!</v>
      </c>
      <c r="AF643" s="89" t="e">
        <f>#REF!</f>
        <v>#REF!</v>
      </c>
      <c r="AG643" s="89" t="e">
        <f>#REF!</f>
        <v>#REF!</v>
      </c>
      <c r="AH643" s="89" t="e">
        <f>#REF!</f>
        <v>#REF!</v>
      </c>
      <c r="AI643" s="89" t="e">
        <f>#REF!</f>
        <v>#REF!</v>
      </c>
      <c r="AJ643" s="89" t="e">
        <f>#REF!</f>
        <v>#REF!</v>
      </c>
      <c r="AK643" s="89" t="e">
        <f>#REF!</f>
        <v>#REF!</v>
      </c>
      <c r="AL643" s="89" t="e">
        <f>#REF!</f>
        <v>#REF!</v>
      </c>
      <c r="AM643" s="89" t="e">
        <f>#REF!</f>
        <v>#REF!</v>
      </c>
      <c r="AN643" s="89" t="e">
        <f>#REF!</f>
        <v>#REF!</v>
      </c>
      <c r="AO643" s="89" t="e">
        <f>#REF!</f>
        <v>#REF!</v>
      </c>
      <c r="AP643" s="89" t="e">
        <f>#REF!</f>
        <v>#REF!</v>
      </c>
      <c r="AQ643" s="89" t="e">
        <f>#REF!</f>
        <v>#REF!</v>
      </c>
      <c r="AR643" s="89" t="e">
        <f>#REF!</f>
        <v>#REF!</v>
      </c>
      <c r="AS643" s="89" t="e">
        <f>#REF!</f>
        <v>#REF!</v>
      </c>
      <c r="AT643" s="89" t="e">
        <f>#REF!</f>
        <v>#REF!</v>
      </c>
      <c r="AU643" s="89" t="e">
        <f>#REF!</f>
        <v>#REF!</v>
      </c>
      <c r="AV643" s="89" t="e">
        <f>#REF!</f>
        <v>#REF!</v>
      </c>
      <c r="AW643" s="89" t="e">
        <f>#REF!</f>
        <v>#REF!</v>
      </c>
      <c r="AX643" s="89" t="e">
        <f>#REF!</f>
        <v>#REF!</v>
      </c>
      <c r="AY643" s="89" t="e">
        <f>#REF!</f>
        <v>#REF!</v>
      </c>
      <c r="AZ643" s="89" t="e">
        <f>#REF!</f>
        <v>#REF!</v>
      </c>
      <c r="BA643" s="89" t="e">
        <f>#REF!</f>
        <v>#REF!</v>
      </c>
      <c r="BB643" s="89" t="e">
        <f>#REF!</f>
        <v>#REF!</v>
      </c>
      <c r="BC643" s="89" t="e">
        <f>#REF!</f>
        <v>#REF!</v>
      </c>
      <c r="BD643" s="89" t="e">
        <f>#REF!</f>
        <v>#REF!</v>
      </c>
      <c r="BE643" s="89" t="e">
        <f>#REF!</f>
        <v>#REF!</v>
      </c>
      <c r="BF643" s="89" t="e">
        <f>#REF!</f>
        <v>#REF!</v>
      </c>
    </row>
    <row r="644" spans="9:58" x14ac:dyDescent="0.25">
      <c r="I644" s="89">
        <f>ABCD!J693</f>
        <v>160</v>
      </c>
      <c r="J644" s="89">
        <f>ABCD!K693</f>
        <v>524.79999999999995</v>
      </c>
      <c r="K644" s="89">
        <f>ABCD!L693</f>
        <v>-0.3188965524740538</v>
      </c>
      <c r="L644" s="89">
        <f>ABCD!M693</f>
        <v>-9.6297688242601431E-3</v>
      </c>
      <c r="M644" s="89">
        <f>ABCD!N693</f>
        <v>0.3190419151576257</v>
      </c>
      <c r="N644" s="89" t="e">
        <v>#REF!</v>
      </c>
      <c r="O644" s="89" t="e">
        <v>#REF!</v>
      </c>
      <c r="P644" s="89" t="e">
        <v>#REF!</v>
      </c>
      <c r="Q644" s="89" t="e">
        <v>#REF!</v>
      </c>
      <c r="R644" s="89" t="e">
        <v>#REF!</v>
      </c>
      <c r="S644" s="89" t="e">
        <f>#REF!</f>
        <v>#REF!</v>
      </c>
      <c r="T644" s="89" t="e">
        <f>#REF!</f>
        <v>#REF!</v>
      </c>
      <c r="U644" s="89" t="e">
        <f>#REF!</f>
        <v>#REF!</v>
      </c>
      <c r="V644" s="89" t="e">
        <f>#REF!</f>
        <v>#REF!</v>
      </c>
      <c r="W644" s="89" t="e">
        <f>#REF!</f>
        <v>#REF!</v>
      </c>
      <c r="X644" s="89" t="e">
        <f>#REF!</f>
        <v>#REF!</v>
      </c>
      <c r="Y644" s="89" t="e">
        <f>#REF!</f>
        <v>#REF!</v>
      </c>
      <c r="Z644" s="89" t="e">
        <f>#REF!</f>
        <v>#REF!</v>
      </c>
      <c r="AA644" s="89" t="e">
        <f>#REF!</f>
        <v>#REF!</v>
      </c>
      <c r="AB644" s="89" t="e">
        <f>#REF!</f>
        <v>#REF!</v>
      </c>
      <c r="AC644" s="89" t="e">
        <f>#REF!</f>
        <v>#REF!</v>
      </c>
      <c r="AD644" s="89" t="e">
        <f>#REF!</f>
        <v>#REF!</v>
      </c>
      <c r="AE644" s="89" t="e">
        <f>#REF!</f>
        <v>#REF!</v>
      </c>
      <c r="AF644" s="89" t="e">
        <f>#REF!</f>
        <v>#REF!</v>
      </c>
      <c r="AG644" s="89" t="e">
        <f>#REF!</f>
        <v>#REF!</v>
      </c>
      <c r="AH644" s="89" t="e">
        <f>#REF!</f>
        <v>#REF!</v>
      </c>
      <c r="AI644" s="89" t="e">
        <f>#REF!</f>
        <v>#REF!</v>
      </c>
      <c r="AJ644" s="89" t="e">
        <f>#REF!</f>
        <v>#REF!</v>
      </c>
      <c r="AK644" s="89" t="e">
        <f>#REF!</f>
        <v>#REF!</v>
      </c>
      <c r="AL644" s="89" t="e">
        <f>#REF!</f>
        <v>#REF!</v>
      </c>
      <c r="AM644" s="89" t="e">
        <f>#REF!</f>
        <v>#REF!</v>
      </c>
      <c r="AN644" s="89" t="e">
        <f>#REF!</f>
        <v>#REF!</v>
      </c>
      <c r="AO644" s="89" t="e">
        <f>#REF!</f>
        <v>#REF!</v>
      </c>
      <c r="AP644" s="89" t="e">
        <f>#REF!</f>
        <v>#REF!</v>
      </c>
      <c r="AQ644" s="89" t="e">
        <f>#REF!</f>
        <v>#REF!</v>
      </c>
      <c r="AR644" s="89" t="e">
        <f>#REF!</f>
        <v>#REF!</v>
      </c>
      <c r="AS644" s="89" t="e">
        <f>#REF!</f>
        <v>#REF!</v>
      </c>
      <c r="AT644" s="89" t="e">
        <f>#REF!</f>
        <v>#REF!</v>
      </c>
      <c r="AU644" s="89" t="e">
        <f>#REF!</f>
        <v>#REF!</v>
      </c>
      <c r="AV644" s="89" t="e">
        <f>#REF!</f>
        <v>#REF!</v>
      </c>
      <c r="AW644" s="89" t="e">
        <f>#REF!</f>
        <v>#REF!</v>
      </c>
      <c r="AX644" s="89" t="e">
        <f>#REF!</f>
        <v>#REF!</v>
      </c>
      <c r="AY644" s="89" t="e">
        <f>#REF!</f>
        <v>#REF!</v>
      </c>
      <c r="AZ644" s="89" t="e">
        <f>#REF!</f>
        <v>#REF!</v>
      </c>
      <c r="BA644" s="89" t="e">
        <f>#REF!</f>
        <v>#REF!</v>
      </c>
      <c r="BB644" s="89" t="e">
        <f>#REF!</f>
        <v>#REF!</v>
      </c>
      <c r="BC644" s="89" t="e">
        <f>#REF!</f>
        <v>#REF!</v>
      </c>
      <c r="BD644" s="89" t="e">
        <f>#REF!</f>
        <v>#REF!</v>
      </c>
      <c r="BE644" s="89" t="e">
        <f>#REF!</f>
        <v>#REF!</v>
      </c>
      <c r="BF644" s="89" t="e">
        <f>#REF!</f>
        <v>#REF!</v>
      </c>
    </row>
    <row r="645" spans="9:58" x14ac:dyDescent="0.25">
      <c r="I645" s="89">
        <f>ABCD!J694</f>
        <v>160.25</v>
      </c>
      <c r="J645" s="89">
        <f>ABCD!K694</f>
        <v>525.62</v>
      </c>
      <c r="K645" s="89">
        <f>ABCD!L694</f>
        <v>-0.39864874046698107</v>
      </c>
      <c r="L645" s="89">
        <f>ABCD!M694</f>
        <v>-2.4216772125084773E-2</v>
      </c>
      <c r="M645" s="89">
        <f>ABCD!N694</f>
        <v>0.39938361299390929</v>
      </c>
      <c r="N645" s="89" t="e">
        <v>#REF!</v>
      </c>
      <c r="O645" s="89" t="e">
        <v>#REF!</v>
      </c>
      <c r="P645" s="89" t="e">
        <v>#REF!</v>
      </c>
      <c r="Q645" s="89" t="e">
        <v>#REF!</v>
      </c>
      <c r="R645" s="89" t="e">
        <v>#REF!</v>
      </c>
      <c r="S645" s="89" t="e">
        <f>#REF!</f>
        <v>#REF!</v>
      </c>
      <c r="T645" s="89" t="e">
        <f>#REF!</f>
        <v>#REF!</v>
      </c>
      <c r="U645" s="89" t="e">
        <f>#REF!</f>
        <v>#REF!</v>
      </c>
      <c r="V645" s="89" t="e">
        <f>#REF!</f>
        <v>#REF!</v>
      </c>
      <c r="W645" s="89" t="e">
        <f>#REF!</f>
        <v>#REF!</v>
      </c>
      <c r="X645" s="89" t="e">
        <f>#REF!</f>
        <v>#REF!</v>
      </c>
      <c r="Y645" s="89" t="e">
        <f>#REF!</f>
        <v>#REF!</v>
      </c>
      <c r="Z645" s="89" t="e">
        <f>#REF!</f>
        <v>#REF!</v>
      </c>
      <c r="AA645" s="89" t="e">
        <f>#REF!</f>
        <v>#REF!</v>
      </c>
      <c r="AB645" s="89" t="e">
        <f>#REF!</f>
        <v>#REF!</v>
      </c>
      <c r="AC645" s="89" t="e">
        <f>#REF!</f>
        <v>#REF!</v>
      </c>
      <c r="AD645" s="89" t="e">
        <f>#REF!</f>
        <v>#REF!</v>
      </c>
      <c r="AE645" s="89" t="e">
        <f>#REF!</f>
        <v>#REF!</v>
      </c>
      <c r="AF645" s="89" t="e">
        <f>#REF!</f>
        <v>#REF!</v>
      </c>
      <c r="AG645" s="89" t="e">
        <f>#REF!</f>
        <v>#REF!</v>
      </c>
      <c r="AH645" s="89" t="e">
        <f>#REF!</f>
        <v>#REF!</v>
      </c>
      <c r="AI645" s="89" t="e">
        <f>#REF!</f>
        <v>#REF!</v>
      </c>
      <c r="AJ645" s="89" t="e">
        <f>#REF!</f>
        <v>#REF!</v>
      </c>
      <c r="AK645" s="89" t="e">
        <f>#REF!</f>
        <v>#REF!</v>
      </c>
      <c r="AL645" s="89" t="e">
        <f>#REF!</f>
        <v>#REF!</v>
      </c>
      <c r="AM645" s="89" t="e">
        <f>#REF!</f>
        <v>#REF!</v>
      </c>
      <c r="AN645" s="89" t="e">
        <f>#REF!</f>
        <v>#REF!</v>
      </c>
      <c r="AO645" s="89" t="e">
        <f>#REF!</f>
        <v>#REF!</v>
      </c>
      <c r="AP645" s="89" t="e">
        <f>#REF!</f>
        <v>#REF!</v>
      </c>
      <c r="AQ645" s="89" t="e">
        <f>#REF!</f>
        <v>#REF!</v>
      </c>
      <c r="AR645" s="89" t="e">
        <f>#REF!</f>
        <v>#REF!</v>
      </c>
      <c r="AS645" s="89" t="e">
        <f>#REF!</f>
        <v>#REF!</v>
      </c>
      <c r="AT645" s="89" t="e">
        <f>#REF!</f>
        <v>#REF!</v>
      </c>
      <c r="AU645" s="89" t="e">
        <f>#REF!</f>
        <v>#REF!</v>
      </c>
      <c r="AV645" s="89" t="e">
        <f>#REF!</f>
        <v>#REF!</v>
      </c>
      <c r="AW645" s="89" t="e">
        <f>#REF!</f>
        <v>#REF!</v>
      </c>
      <c r="AX645" s="89" t="e">
        <f>#REF!</f>
        <v>#REF!</v>
      </c>
      <c r="AY645" s="89" t="e">
        <f>#REF!</f>
        <v>#REF!</v>
      </c>
      <c r="AZ645" s="89" t="e">
        <f>#REF!</f>
        <v>#REF!</v>
      </c>
      <c r="BA645" s="89" t="e">
        <f>#REF!</f>
        <v>#REF!</v>
      </c>
      <c r="BB645" s="89" t="e">
        <f>#REF!</f>
        <v>#REF!</v>
      </c>
      <c r="BC645" s="89" t="e">
        <f>#REF!</f>
        <v>#REF!</v>
      </c>
      <c r="BD645" s="89" t="e">
        <f>#REF!</f>
        <v>#REF!</v>
      </c>
      <c r="BE645" s="89" t="e">
        <f>#REF!</f>
        <v>#REF!</v>
      </c>
      <c r="BF645" s="89" t="e">
        <f>#REF!</f>
        <v>#REF!</v>
      </c>
    </row>
    <row r="646" spans="9:58" x14ac:dyDescent="0.25">
      <c r="I646" s="89">
        <f>ABCD!J695</f>
        <v>160.5</v>
      </c>
      <c r="J646" s="89">
        <f>ABCD!K695</f>
        <v>526.43999999999994</v>
      </c>
      <c r="K646" s="89">
        <f>ABCD!L695</f>
        <v>-0.4782371592766137</v>
      </c>
      <c r="L646" s="89">
        <f>ABCD!M695</f>
        <v>-3.8785062803176729E-2</v>
      </c>
      <c r="M646" s="89">
        <f>ABCD!N695</f>
        <v>0.47980731716972752</v>
      </c>
      <c r="N646" s="89" t="e">
        <v>#REF!</v>
      </c>
      <c r="O646" s="89" t="e">
        <v>#REF!</v>
      </c>
      <c r="P646" s="89" t="e">
        <v>#REF!</v>
      </c>
      <c r="Q646" s="89" t="e">
        <v>#REF!</v>
      </c>
      <c r="R646" s="89" t="e">
        <v>#REF!</v>
      </c>
      <c r="S646" s="89" t="e">
        <f>#REF!</f>
        <v>#REF!</v>
      </c>
      <c r="T646" s="89" t="e">
        <f>#REF!</f>
        <v>#REF!</v>
      </c>
      <c r="U646" s="89" t="e">
        <f>#REF!</f>
        <v>#REF!</v>
      </c>
      <c r="V646" s="89" t="e">
        <f>#REF!</f>
        <v>#REF!</v>
      </c>
      <c r="W646" s="89" t="e">
        <f>#REF!</f>
        <v>#REF!</v>
      </c>
      <c r="X646" s="89" t="e">
        <f>#REF!</f>
        <v>#REF!</v>
      </c>
      <c r="Y646" s="89" t="e">
        <f>#REF!</f>
        <v>#REF!</v>
      </c>
      <c r="Z646" s="89" t="e">
        <f>#REF!</f>
        <v>#REF!</v>
      </c>
      <c r="AA646" s="89" t="e">
        <f>#REF!</f>
        <v>#REF!</v>
      </c>
      <c r="AB646" s="89" t="e">
        <f>#REF!</f>
        <v>#REF!</v>
      </c>
      <c r="AC646" s="89" t="e">
        <f>#REF!</f>
        <v>#REF!</v>
      </c>
      <c r="AD646" s="89" t="e">
        <f>#REF!</f>
        <v>#REF!</v>
      </c>
      <c r="AE646" s="89" t="e">
        <f>#REF!</f>
        <v>#REF!</v>
      </c>
      <c r="AF646" s="89" t="e">
        <f>#REF!</f>
        <v>#REF!</v>
      </c>
      <c r="AG646" s="89" t="e">
        <f>#REF!</f>
        <v>#REF!</v>
      </c>
      <c r="AH646" s="89" t="e">
        <f>#REF!</f>
        <v>#REF!</v>
      </c>
      <c r="AI646" s="89" t="e">
        <f>#REF!</f>
        <v>#REF!</v>
      </c>
      <c r="AJ646" s="89" t="e">
        <f>#REF!</f>
        <v>#REF!</v>
      </c>
      <c r="AK646" s="89" t="e">
        <f>#REF!</f>
        <v>#REF!</v>
      </c>
      <c r="AL646" s="89" t="e">
        <f>#REF!</f>
        <v>#REF!</v>
      </c>
      <c r="AM646" s="89" t="e">
        <f>#REF!</f>
        <v>#REF!</v>
      </c>
      <c r="AN646" s="89" t="e">
        <f>#REF!</f>
        <v>#REF!</v>
      </c>
      <c r="AO646" s="89" t="e">
        <f>#REF!</f>
        <v>#REF!</v>
      </c>
      <c r="AP646" s="89" t="e">
        <f>#REF!</f>
        <v>#REF!</v>
      </c>
      <c r="AQ646" s="89" t="e">
        <f>#REF!</f>
        <v>#REF!</v>
      </c>
      <c r="AR646" s="89" t="e">
        <f>#REF!</f>
        <v>#REF!</v>
      </c>
      <c r="AS646" s="89" t="e">
        <f>#REF!</f>
        <v>#REF!</v>
      </c>
      <c r="AT646" s="89" t="e">
        <f>#REF!</f>
        <v>#REF!</v>
      </c>
      <c r="AU646" s="89" t="e">
        <f>#REF!</f>
        <v>#REF!</v>
      </c>
      <c r="AV646" s="89" t="e">
        <f>#REF!</f>
        <v>#REF!</v>
      </c>
      <c r="AW646" s="89" t="e">
        <f>#REF!</f>
        <v>#REF!</v>
      </c>
      <c r="AX646" s="89" t="e">
        <f>#REF!</f>
        <v>#REF!</v>
      </c>
      <c r="AY646" s="89" t="e">
        <f>#REF!</f>
        <v>#REF!</v>
      </c>
      <c r="AZ646" s="89" t="e">
        <f>#REF!</f>
        <v>#REF!</v>
      </c>
      <c r="BA646" s="89" t="e">
        <f>#REF!</f>
        <v>#REF!</v>
      </c>
      <c r="BB646" s="89" t="e">
        <f>#REF!</f>
        <v>#REF!</v>
      </c>
      <c r="BC646" s="89" t="e">
        <f>#REF!</f>
        <v>#REF!</v>
      </c>
      <c r="BD646" s="89" t="e">
        <f>#REF!</f>
        <v>#REF!</v>
      </c>
      <c r="BE646" s="89" t="e">
        <f>#REF!</f>
        <v>#REF!</v>
      </c>
      <c r="BF646" s="89" t="e">
        <f>#REF!</f>
        <v>#REF!</v>
      </c>
    </row>
    <row r="647" spans="9:58" x14ac:dyDescent="0.25">
      <c r="I647" s="89">
        <f>ABCD!J696</f>
        <v>160.75</v>
      </c>
      <c r="J647" s="89">
        <f>ABCD!K696</f>
        <v>527.26</v>
      </c>
      <c r="K647" s="89">
        <f>ABCD!L696</f>
        <v>-0.55764358395271507</v>
      </c>
      <c r="L647" s="89">
        <f>ABCD!M696</f>
        <v>-5.3331294732431367E-2</v>
      </c>
      <c r="M647" s="89">
        <f>ABCD!N696</f>
        <v>0.56018799855179535</v>
      </c>
      <c r="N647" s="89" t="e">
        <v>#REF!</v>
      </c>
      <c r="O647" s="89" t="e">
        <v>#REF!</v>
      </c>
      <c r="P647" s="89" t="e">
        <v>#REF!</v>
      </c>
      <c r="Q647" s="89" t="e">
        <v>#REF!</v>
      </c>
      <c r="R647" s="89" t="e">
        <v>#REF!</v>
      </c>
      <c r="S647" s="89" t="e">
        <f>#REF!</f>
        <v>#REF!</v>
      </c>
      <c r="T647" s="89" t="e">
        <f>#REF!</f>
        <v>#REF!</v>
      </c>
      <c r="U647" s="89" t="e">
        <f>#REF!</f>
        <v>#REF!</v>
      </c>
      <c r="V647" s="89" t="e">
        <f>#REF!</f>
        <v>#REF!</v>
      </c>
      <c r="W647" s="89" t="e">
        <f>#REF!</f>
        <v>#REF!</v>
      </c>
      <c r="X647" s="89" t="e">
        <f>#REF!</f>
        <v>#REF!</v>
      </c>
      <c r="Y647" s="89" t="e">
        <f>#REF!</f>
        <v>#REF!</v>
      </c>
      <c r="Z647" s="89" t="e">
        <f>#REF!</f>
        <v>#REF!</v>
      </c>
      <c r="AA647" s="89" t="e">
        <f>#REF!</f>
        <v>#REF!</v>
      </c>
      <c r="AB647" s="89" t="e">
        <f>#REF!</f>
        <v>#REF!</v>
      </c>
      <c r="AC647" s="89" t="e">
        <f>#REF!</f>
        <v>#REF!</v>
      </c>
      <c r="AD647" s="89" t="e">
        <f>#REF!</f>
        <v>#REF!</v>
      </c>
      <c r="AE647" s="89" t="e">
        <f>#REF!</f>
        <v>#REF!</v>
      </c>
      <c r="AF647" s="89" t="e">
        <f>#REF!</f>
        <v>#REF!</v>
      </c>
      <c r="AG647" s="89" t="e">
        <f>#REF!</f>
        <v>#REF!</v>
      </c>
      <c r="AH647" s="89" t="e">
        <f>#REF!</f>
        <v>#REF!</v>
      </c>
      <c r="AI647" s="89" t="e">
        <f>#REF!</f>
        <v>#REF!</v>
      </c>
      <c r="AJ647" s="89" t="e">
        <f>#REF!</f>
        <v>#REF!</v>
      </c>
      <c r="AK647" s="89" t="e">
        <f>#REF!</f>
        <v>#REF!</v>
      </c>
      <c r="AL647" s="89" t="e">
        <f>#REF!</f>
        <v>#REF!</v>
      </c>
      <c r="AM647" s="89" t="e">
        <f>#REF!</f>
        <v>#REF!</v>
      </c>
      <c r="AN647" s="89" t="e">
        <f>#REF!</f>
        <v>#REF!</v>
      </c>
      <c r="AO647" s="89" t="e">
        <f>#REF!</f>
        <v>#REF!</v>
      </c>
      <c r="AP647" s="89" t="e">
        <f>#REF!</f>
        <v>#REF!</v>
      </c>
      <c r="AQ647" s="89" t="e">
        <f>#REF!</f>
        <v>#REF!</v>
      </c>
      <c r="AR647" s="89" t="e">
        <f>#REF!</f>
        <v>#REF!</v>
      </c>
      <c r="AS647" s="89" t="e">
        <f>#REF!</f>
        <v>#REF!</v>
      </c>
      <c r="AT647" s="89" t="e">
        <f>#REF!</f>
        <v>#REF!</v>
      </c>
      <c r="AU647" s="89" t="e">
        <f>#REF!</f>
        <v>#REF!</v>
      </c>
      <c r="AV647" s="89" t="e">
        <f>#REF!</f>
        <v>#REF!</v>
      </c>
      <c r="AW647" s="89" t="e">
        <f>#REF!</f>
        <v>#REF!</v>
      </c>
      <c r="AX647" s="89" t="e">
        <f>#REF!</f>
        <v>#REF!</v>
      </c>
      <c r="AY647" s="89" t="e">
        <f>#REF!</f>
        <v>#REF!</v>
      </c>
      <c r="AZ647" s="89" t="e">
        <f>#REF!</f>
        <v>#REF!</v>
      </c>
      <c r="BA647" s="89" t="e">
        <f>#REF!</f>
        <v>#REF!</v>
      </c>
      <c r="BB647" s="89" t="e">
        <f>#REF!</f>
        <v>#REF!</v>
      </c>
      <c r="BC647" s="89" t="e">
        <f>#REF!</f>
        <v>#REF!</v>
      </c>
      <c r="BD647" s="89" t="e">
        <f>#REF!</f>
        <v>#REF!</v>
      </c>
      <c r="BE647" s="89" t="e">
        <f>#REF!</f>
        <v>#REF!</v>
      </c>
      <c r="BF647" s="89" t="e">
        <f>#REF!</f>
        <v>#REF!</v>
      </c>
    </row>
    <row r="648" spans="9:58" x14ac:dyDescent="0.25">
      <c r="I648" s="89">
        <f>ABCD!J697</f>
        <v>161</v>
      </c>
      <c r="J648" s="89">
        <f>ABCD!K697</f>
        <v>528.07999999999993</v>
      </c>
      <c r="K648" s="89">
        <f>ABCD!L697</f>
        <v>-0.63684984795183253</v>
      </c>
      <c r="L648" s="89">
        <f>ABCD!M697</f>
        <v>-6.7852129888966939E-2</v>
      </c>
      <c r="M648" s="89">
        <f>ABCD!N697</f>
        <v>0.64045424533431072</v>
      </c>
      <c r="N648" s="89" t="e">
        <v>#REF!</v>
      </c>
      <c r="O648" s="89" t="e">
        <v>#REF!</v>
      </c>
      <c r="P648" s="89" t="e">
        <v>#REF!</v>
      </c>
      <c r="Q648" s="89" t="e">
        <v>#REF!</v>
      </c>
      <c r="R648" s="89" t="e">
        <v>#REF!</v>
      </c>
      <c r="S648" s="89" t="e">
        <f>#REF!</f>
        <v>#REF!</v>
      </c>
      <c r="T648" s="89" t="e">
        <f>#REF!</f>
        <v>#REF!</v>
      </c>
      <c r="U648" s="89" t="e">
        <f>#REF!</f>
        <v>#REF!</v>
      </c>
      <c r="V648" s="89" t="e">
        <f>#REF!</f>
        <v>#REF!</v>
      </c>
      <c r="W648" s="89" t="e">
        <f>#REF!</f>
        <v>#REF!</v>
      </c>
      <c r="X648" s="89" t="e">
        <f>#REF!</f>
        <v>#REF!</v>
      </c>
      <c r="Y648" s="89" t="e">
        <f>#REF!</f>
        <v>#REF!</v>
      </c>
      <c r="Z648" s="89" t="e">
        <f>#REF!</f>
        <v>#REF!</v>
      </c>
      <c r="AA648" s="89" t="e">
        <f>#REF!</f>
        <v>#REF!</v>
      </c>
      <c r="AB648" s="89" t="e">
        <f>#REF!</f>
        <v>#REF!</v>
      </c>
      <c r="AC648" s="89" t="e">
        <f>#REF!</f>
        <v>#REF!</v>
      </c>
      <c r="AD648" s="89" t="e">
        <f>#REF!</f>
        <v>#REF!</v>
      </c>
      <c r="AE648" s="89" t="e">
        <f>#REF!</f>
        <v>#REF!</v>
      </c>
      <c r="AF648" s="89" t="e">
        <f>#REF!</f>
        <v>#REF!</v>
      </c>
      <c r="AG648" s="89" t="e">
        <f>#REF!</f>
        <v>#REF!</v>
      </c>
      <c r="AH648" s="89" t="e">
        <f>#REF!</f>
        <v>#REF!</v>
      </c>
      <c r="AI648" s="89" t="e">
        <f>#REF!</f>
        <v>#REF!</v>
      </c>
      <c r="AJ648" s="89" t="e">
        <f>#REF!</f>
        <v>#REF!</v>
      </c>
      <c r="AK648" s="89" t="e">
        <f>#REF!</f>
        <v>#REF!</v>
      </c>
      <c r="AL648" s="89" t="e">
        <f>#REF!</f>
        <v>#REF!</v>
      </c>
      <c r="AM648" s="89" t="e">
        <f>#REF!</f>
        <v>#REF!</v>
      </c>
      <c r="AN648" s="89" t="e">
        <f>#REF!</f>
        <v>#REF!</v>
      </c>
      <c r="AO648" s="89" t="e">
        <f>#REF!</f>
        <v>#REF!</v>
      </c>
      <c r="AP648" s="89" t="e">
        <f>#REF!</f>
        <v>#REF!</v>
      </c>
      <c r="AQ648" s="89" t="e">
        <f>#REF!</f>
        <v>#REF!</v>
      </c>
      <c r="AR648" s="89" t="e">
        <f>#REF!</f>
        <v>#REF!</v>
      </c>
      <c r="AS648" s="89" t="e">
        <f>#REF!</f>
        <v>#REF!</v>
      </c>
      <c r="AT648" s="89" t="e">
        <f>#REF!</f>
        <v>#REF!</v>
      </c>
      <c r="AU648" s="89" t="e">
        <f>#REF!</f>
        <v>#REF!</v>
      </c>
      <c r="AV648" s="89" t="e">
        <f>#REF!</f>
        <v>#REF!</v>
      </c>
      <c r="AW648" s="89" t="e">
        <f>#REF!</f>
        <v>#REF!</v>
      </c>
      <c r="AX648" s="89" t="e">
        <f>#REF!</f>
        <v>#REF!</v>
      </c>
      <c r="AY648" s="89" t="e">
        <f>#REF!</f>
        <v>#REF!</v>
      </c>
      <c r="AZ648" s="89" t="e">
        <f>#REF!</f>
        <v>#REF!</v>
      </c>
      <c r="BA648" s="89" t="e">
        <f>#REF!</f>
        <v>#REF!</v>
      </c>
      <c r="BB648" s="89" t="e">
        <f>#REF!</f>
        <v>#REF!</v>
      </c>
      <c r="BC648" s="89" t="e">
        <f>#REF!</f>
        <v>#REF!</v>
      </c>
      <c r="BD648" s="89" t="e">
        <f>#REF!</f>
        <v>#REF!</v>
      </c>
      <c r="BE648" s="89" t="e">
        <f>#REF!</f>
        <v>#REF!</v>
      </c>
      <c r="BF648" s="89" t="e">
        <f>#REF!</f>
        <v>#REF!</v>
      </c>
    </row>
    <row r="649" spans="9:58" x14ac:dyDescent="0.25">
      <c r="I649" s="89">
        <f>ABCD!J698</f>
        <v>161.25</v>
      </c>
      <c r="J649" s="89">
        <f>ABCD!K698</f>
        <v>528.9</v>
      </c>
      <c r="K649" s="89">
        <f>ABCD!L698</f>
        <v>-0.7158378472783562</v>
      </c>
      <c r="L649" s="89">
        <f>ABCD!M698</f>
        <v>-8.2344239114388706E-2</v>
      </c>
      <c r="M649" s="89">
        <f>ABCD!N698</f>
        <v>0.72055839271459377</v>
      </c>
      <c r="N649" s="89" t="e">
        <v>#REF!</v>
      </c>
      <c r="O649" s="89" t="e">
        <v>#REF!</v>
      </c>
      <c r="P649" s="89" t="e">
        <v>#REF!</v>
      </c>
      <c r="Q649" s="89" t="e">
        <v>#REF!</v>
      </c>
      <c r="R649" s="89" t="e">
        <v>#REF!</v>
      </c>
      <c r="S649" s="89" t="e">
        <f>#REF!</f>
        <v>#REF!</v>
      </c>
      <c r="T649" s="89" t="e">
        <f>#REF!</f>
        <v>#REF!</v>
      </c>
      <c r="U649" s="89" t="e">
        <f>#REF!</f>
        <v>#REF!</v>
      </c>
      <c r="V649" s="89" t="e">
        <f>#REF!</f>
        <v>#REF!</v>
      </c>
      <c r="W649" s="89" t="e">
        <f>#REF!</f>
        <v>#REF!</v>
      </c>
      <c r="X649" s="89" t="e">
        <f>#REF!</f>
        <v>#REF!</v>
      </c>
      <c r="Y649" s="89" t="e">
        <f>#REF!</f>
        <v>#REF!</v>
      </c>
      <c r="Z649" s="89" t="e">
        <f>#REF!</f>
        <v>#REF!</v>
      </c>
      <c r="AA649" s="89" t="e">
        <f>#REF!</f>
        <v>#REF!</v>
      </c>
      <c r="AB649" s="89" t="e">
        <f>#REF!</f>
        <v>#REF!</v>
      </c>
      <c r="AC649" s="89" t="e">
        <f>#REF!</f>
        <v>#REF!</v>
      </c>
      <c r="AD649" s="89" t="e">
        <f>#REF!</f>
        <v>#REF!</v>
      </c>
      <c r="AE649" s="89" t="e">
        <f>#REF!</f>
        <v>#REF!</v>
      </c>
      <c r="AF649" s="89" t="e">
        <f>#REF!</f>
        <v>#REF!</v>
      </c>
      <c r="AG649" s="89" t="e">
        <f>#REF!</f>
        <v>#REF!</v>
      </c>
      <c r="AH649" s="89" t="e">
        <f>#REF!</f>
        <v>#REF!</v>
      </c>
      <c r="AI649" s="89" t="e">
        <f>#REF!</f>
        <v>#REF!</v>
      </c>
      <c r="AJ649" s="89" t="e">
        <f>#REF!</f>
        <v>#REF!</v>
      </c>
      <c r="AK649" s="89" t="e">
        <f>#REF!</f>
        <v>#REF!</v>
      </c>
      <c r="AL649" s="89" t="e">
        <f>#REF!</f>
        <v>#REF!</v>
      </c>
      <c r="AM649" s="89" t="e">
        <f>#REF!</f>
        <v>#REF!</v>
      </c>
      <c r="AN649" s="89" t="e">
        <f>#REF!</f>
        <v>#REF!</v>
      </c>
      <c r="AO649" s="89" t="e">
        <f>#REF!</f>
        <v>#REF!</v>
      </c>
      <c r="AP649" s="89" t="e">
        <f>#REF!</f>
        <v>#REF!</v>
      </c>
      <c r="AQ649" s="89" t="e">
        <f>#REF!</f>
        <v>#REF!</v>
      </c>
      <c r="AR649" s="89" t="e">
        <f>#REF!</f>
        <v>#REF!</v>
      </c>
      <c r="AS649" s="89" t="e">
        <f>#REF!</f>
        <v>#REF!</v>
      </c>
      <c r="AT649" s="89" t="e">
        <f>#REF!</f>
        <v>#REF!</v>
      </c>
      <c r="AU649" s="89" t="e">
        <f>#REF!</f>
        <v>#REF!</v>
      </c>
      <c r="AV649" s="89" t="e">
        <f>#REF!</f>
        <v>#REF!</v>
      </c>
      <c r="AW649" s="89" t="e">
        <f>#REF!</f>
        <v>#REF!</v>
      </c>
      <c r="AX649" s="89" t="e">
        <f>#REF!</f>
        <v>#REF!</v>
      </c>
      <c r="AY649" s="89" t="e">
        <f>#REF!</f>
        <v>#REF!</v>
      </c>
      <c r="AZ649" s="89" t="e">
        <f>#REF!</f>
        <v>#REF!</v>
      </c>
      <c r="BA649" s="89" t="e">
        <f>#REF!</f>
        <v>#REF!</v>
      </c>
      <c r="BB649" s="89" t="e">
        <f>#REF!</f>
        <v>#REF!</v>
      </c>
      <c r="BC649" s="89" t="e">
        <f>#REF!</f>
        <v>#REF!</v>
      </c>
      <c r="BD649" s="89" t="e">
        <f>#REF!</f>
        <v>#REF!</v>
      </c>
      <c r="BE649" s="89" t="e">
        <f>#REF!</f>
        <v>#REF!</v>
      </c>
      <c r="BF649" s="89" t="e">
        <f>#REF!</f>
        <v>#REF!</v>
      </c>
    </row>
    <row r="650" spans="9:58" x14ac:dyDescent="0.25">
      <c r="I650" s="89">
        <f>ABCD!J699</f>
        <v>161.5</v>
      </c>
      <c r="J650" s="89">
        <f>ABCD!K699</f>
        <v>529.71999999999991</v>
      </c>
      <c r="K650" s="89">
        <f>ABCD!L699</f>
        <v>-0.79458954460739561</v>
      </c>
      <c r="L650" s="89">
        <f>ABCD!M699</f>
        <v>-9.6804302876323245E-2</v>
      </c>
      <c r="M650" s="89">
        <f>ABCD!N699</f>
        <v>0.80046462598590784</v>
      </c>
      <c r="N650" s="89" t="e">
        <v>#REF!</v>
      </c>
      <c r="O650" s="89" t="e">
        <v>#REF!</v>
      </c>
      <c r="P650" s="89" t="e">
        <v>#REF!</v>
      </c>
      <c r="Q650" s="89" t="e">
        <v>#REF!</v>
      </c>
      <c r="R650" s="89" t="e">
        <v>#REF!</v>
      </c>
      <c r="S650" s="89" t="e">
        <f>#REF!</f>
        <v>#REF!</v>
      </c>
      <c r="T650" s="89" t="e">
        <f>#REF!</f>
        <v>#REF!</v>
      </c>
      <c r="U650" s="89" t="e">
        <f>#REF!</f>
        <v>#REF!</v>
      </c>
      <c r="V650" s="89" t="e">
        <f>#REF!</f>
        <v>#REF!</v>
      </c>
      <c r="W650" s="89" t="e">
        <f>#REF!</f>
        <v>#REF!</v>
      </c>
      <c r="X650" s="89" t="e">
        <f>#REF!</f>
        <v>#REF!</v>
      </c>
      <c r="Y650" s="89" t="e">
        <f>#REF!</f>
        <v>#REF!</v>
      </c>
      <c r="Z650" s="89" t="e">
        <f>#REF!</f>
        <v>#REF!</v>
      </c>
      <c r="AA650" s="89" t="e">
        <f>#REF!</f>
        <v>#REF!</v>
      </c>
      <c r="AB650" s="89" t="e">
        <f>#REF!</f>
        <v>#REF!</v>
      </c>
      <c r="AC650" s="89" t="e">
        <f>#REF!</f>
        <v>#REF!</v>
      </c>
      <c r="AD650" s="89" t="e">
        <f>#REF!</f>
        <v>#REF!</v>
      </c>
      <c r="AE650" s="89" t="e">
        <f>#REF!</f>
        <v>#REF!</v>
      </c>
      <c r="AF650" s="89" t="e">
        <f>#REF!</f>
        <v>#REF!</v>
      </c>
      <c r="AG650" s="89" t="e">
        <f>#REF!</f>
        <v>#REF!</v>
      </c>
      <c r="AH650" s="89" t="e">
        <f>#REF!</f>
        <v>#REF!</v>
      </c>
      <c r="AI650" s="89" t="e">
        <f>#REF!</f>
        <v>#REF!</v>
      </c>
      <c r="AJ650" s="89" t="e">
        <f>#REF!</f>
        <v>#REF!</v>
      </c>
      <c r="AK650" s="89" t="e">
        <f>#REF!</f>
        <v>#REF!</v>
      </c>
      <c r="AL650" s="89" t="e">
        <f>#REF!</f>
        <v>#REF!</v>
      </c>
      <c r="AM650" s="89" t="e">
        <f>#REF!</f>
        <v>#REF!</v>
      </c>
      <c r="AN650" s="89" t="e">
        <f>#REF!</f>
        <v>#REF!</v>
      </c>
      <c r="AO650" s="89" t="e">
        <f>#REF!</f>
        <v>#REF!</v>
      </c>
      <c r="AP650" s="89" t="e">
        <f>#REF!</f>
        <v>#REF!</v>
      </c>
      <c r="AQ650" s="89" t="e">
        <f>#REF!</f>
        <v>#REF!</v>
      </c>
      <c r="AR650" s="89" t="e">
        <f>#REF!</f>
        <v>#REF!</v>
      </c>
      <c r="AS650" s="89" t="e">
        <f>#REF!</f>
        <v>#REF!</v>
      </c>
      <c r="AT650" s="89" t="e">
        <f>#REF!</f>
        <v>#REF!</v>
      </c>
      <c r="AU650" s="89" t="e">
        <f>#REF!</f>
        <v>#REF!</v>
      </c>
      <c r="AV650" s="89" t="e">
        <f>#REF!</f>
        <v>#REF!</v>
      </c>
      <c r="AW650" s="89" t="e">
        <f>#REF!</f>
        <v>#REF!</v>
      </c>
      <c r="AX650" s="89" t="e">
        <f>#REF!</f>
        <v>#REF!</v>
      </c>
      <c r="AY650" s="89" t="e">
        <f>#REF!</f>
        <v>#REF!</v>
      </c>
      <c r="AZ650" s="89" t="e">
        <f>#REF!</f>
        <v>#REF!</v>
      </c>
      <c r="BA650" s="89" t="e">
        <f>#REF!</f>
        <v>#REF!</v>
      </c>
      <c r="BB650" s="89" t="e">
        <f>#REF!</f>
        <v>#REF!</v>
      </c>
      <c r="BC650" s="89" t="e">
        <f>#REF!</f>
        <v>#REF!</v>
      </c>
      <c r="BD650" s="89" t="e">
        <f>#REF!</f>
        <v>#REF!</v>
      </c>
      <c r="BE650" s="89" t="e">
        <f>#REF!</f>
        <v>#REF!</v>
      </c>
      <c r="BF650" s="89" t="e">
        <f>#REF!</f>
        <v>#REF!</v>
      </c>
    </row>
    <row r="651" spans="9:58" x14ac:dyDescent="0.25">
      <c r="I651" s="89">
        <f>ABCD!J700</f>
        <v>161.75</v>
      </c>
      <c r="J651" s="89">
        <f>ABCD!K700</f>
        <v>530.54</v>
      </c>
      <c r="K651" s="89">
        <f>ABCD!L700</f>
        <v>-0.87308697338855989</v>
      </c>
      <c r="L651" s="89">
        <f>ABCD!M700</f>
        <v>-0.11122901202604218</v>
      </c>
      <c r="M651" s="89">
        <f>ABCD!N700</f>
        <v>0.88014359977056322</v>
      </c>
      <c r="N651" s="89" t="e">
        <v>#REF!</v>
      </c>
      <c r="O651" s="89" t="e">
        <v>#REF!</v>
      </c>
      <c r="P651" s="89" t="e">
        <v>#REF!</v>
      </c>
      <c r="Q651" s="89" t="e">
        <v>#REF!</v>
      </c>
      <c r="R651" s="89" t="e">
        <v>#REF!</v>
      </c>
      <c r="S651" s="89" t="e">
        <f>#REF!</f>
        <v>#REF!</v>
      </c>
      <c r="T651" s="89" t="e">
        <f>#REF!</f>
        <v>#REF!</v>
      </c>
      <c r="U651" s="89" t="e">
        <f>#REF!</f>
        <v>#REF!</v>
      </c>
      <c r="V651" s="89" t="e">
        <f>#REF!</f>
        <v>#REF!</v>
      </c>
      <c r="W651" s="89" t="e">
        <f>#REF!</f>
        <v>#REF!</v>
      </c>
      <c r="X651" s="89" t="e">
        <f>#REF!</f>
        <v>#REF!</v>
      </c>
      <c r="Y651" s="89" t="e">
        <f>#REF!</f>
        <v>#REF!</v>
      </c>
      <c r="Z651" s="89" t="e">
        <f>#REF!</f>
        <v>#REF!</v>
      </c>
      <c r="AA651" s="89" t="e">
        <f>#REF!</f>
        <v>#REF!</v>
      </c>
      <c r="AB651" s="89" t="e">
        <f>#REF!</f>
        <v>#REF!</v>
      </c>
      <c r="AC651" s="89" t="e">
        <f>#REF!</f>
        <v>#REF!</v>
      </c>
      <c r="AD651" s="89" t="e">
        <f>#REF!</f>
        <v>#REF!</v>
      </c>
      <c r="AE651" s="89" t="e">
        <f>#REF!</f>
        <v>#REF!</v>
      </c>
      <c r="AF651" s="89" t="e">
        <f>#REF!</f>
        <v>#REF!</v>
      </c>
      <c r="AG651" s="89" t="e">
        <f>#REF!</f>
        <v>#REF!</v>
      </c>
      <c r="AH651" s="89" t="e">
        <f>#REF!</f>
        <v>#REF!</v>
      </c>
      <c r="AI651" s="89" t="e">
        <f>#REF!</f>
        <v>#REF!</v>
      </c>
      <c r="AJ651" s="89" t="e">
        <f>#REF!</f>
        <v>#REF!</v>
      </c>
      <c r="AK651" s="89" t="e">
        <f>#REF!</f>
        <v>#REF!</v>
      </c>
      <c r="AL651" s="89" t="e">
        <f>#REF!</f>
        <v>#REF!</v>
      </c>
      <c r="AM651" s="89" t="e">
        <f>#REF!</f>
        <v>#REF!</v>
      </c>
      <c r="AN651" s="89" t="e">
        <f>#REF!</f>
        <v>#REF!</v>
      </c>
      <c r="AO651" s="89" t="e">
        <f>#REF!</f>
        <v>#REF!</v>
      </c>
      <c r="AP651" s="89" t="e">
        <f>#REF!</f>
        <v>#REF!</v>
      </c>
      <c r="AQ651" s="89" t="e">
        <f>#REF!</f>
        <v>#REF!</v>
      </c>
      <c r="AR651" s="89" t="e">
        <f>#REF!</f>
        <v>#REF!</v>
      </c>
      <c r="AS651" s="89" t="e">
        <f>#REF!</f>
        <v>#REF!</v>
      </c>
      <c r="AT651" s="89" t="e">
        <f>#REF!</f>
        <v>#REF!</v>
      </c>
      <c r="AU651" s="89" t="e">
        <f>#REF!</f>
        <v>#REF!</v>
      </c>
      <c r="AV651" s="89" t="e">
        <f>#REF!</f>
        <v>#REF!</v>
      </c>
      <c r="AW651" s="89" t="e">
        <f>#REF!</f>
        <v>#REF!</v>
      </c>
      <c r="AX651" s="89" t="e">
        <f>#REF!</f>
        <v>#REF!</v>
      </c>
      <c r="AY651" s="89" t="e">
        <f>#REF!</f>
        <v>#REF!</v>
      </c>
      <c r="AZ651" s="89" t="e">
        <f>#REF!</f>
        <v>#REF!</v>
      </c>
      <c r="BA651" s="89" t="e">
        <f>#REF!</f>
        <v>#REF!</v>
      </c>
      <c r="BB651" s="89" t="e">
        <f>#REF!</f>
        <v>#REF!</v>
      </c>
      <c r="BC651" s="89" t="e">
        <f>#REF!</f>
        <v>#REF!</v>
      </c>
      <c r="BD651" s="89" t="e">
        <f>#REF!</f>
        <v>#REF!</v>
      </c>
      <c r="BE651" s="89" t="e">
        <f>#REF!</f>
        <v>#REF!</v>
      </c>
      <c r="BF651" s="89" t="e">
        <f>#REF!</f>
        <v>#REF!</v>
      </c>
    </row>
    <row r="652" spans="9:58" x14ac:dyDescent="0.25">
      <c r="I652" s="89">
        <f>ABCD!J701</f>
        <v>162</v>
      </c>
      <c r="J652" s="89">
        <f>ABCD!K701</f>
        <v>531.36</v>
      </c>
      <c r="K652" s="89">
        <f>ABCD!L701</f>
        <v>-0.95131224192969355</v>
      </c>
      <c r="L652" s="89">
        <f>ABCD!M701</f>
        <v>-0.12561506855300353</v>
      </c>
      <c r="M652" s="89">
        <f>ABCD!N701</f>
        <v>0.95956976145191009</v>
      </c>
      <c r="N652" s="89" t="e">
        <v>#REF!</v>
      </c>
      <c r="O652" s="89" t="e">
        <v>#REF!</v>
      </c>
      <c r="P652" s="89" t="e">
        <v>#REF!</v>
      </c>
      <c r="Q652" s="89" t="e">
        <v>#REF!</v>
      </c>
      <c r="R652" s="89" t="e">
        <v>#REF!</v>
      </c>
      <c r="S652" s="89" t="e">
        <f>#REF!</f>
        <v>#REF!</v>
      </c>
      <c r="T652" s="89" t="e">
        <f>#REF!</f>
        <v>#REF!</v>
      </c>
      <c r="U652" s="89" t="e">
        <f>#REF!</f>
        <v>#REF!</v>
      </c>
      <c r="V652" s="89" t="e">
        <f>#REF!</f>
        <v>#REF!</v>
      </c>
      <c r="W652" s="89" t="e">
        <f>#REF!</f>
        <v>#REF!</v>
      </c>
      <c r="X652" s="89" t="e">
        <f>#REF!</f>
        <v>#REF!</v>
      </c>
      <c r="Y652" s="89" t="e">
        <f>#REF!</f>
        <v>#REF!</v>
      </c>
      <c r="Z652" s="89" t="e">
        <f>#REF!</f>
        <v>#REF!</v>
      </c>
      <c r="AA652" s="89" t="e">
        <f>#REF!</f>
        <v>#REF!</v>
      </c>
      <c r="AB652" s="89" t="e">
        <f>#REF!</f>
        <v>#REF!</v>
      </c>
      <c r="AC652" s="89" t="e">
        <f>#REF!</f>
        <v>#REF!</v>
      </c>
      <c r="AD652" s="89" t="e">
        <f>#REF!</f>
        <v>#REF!</v>
      </c>
      <c r="AE652" s="89" t="e">
        <f>#REF!</f>
        <v>#REF!</v>
      </c>
      <c r="AF652" s="89" t="e">
        <f>#REF!</f>
        <v>#REF!</v>
      </c>
      <c r="AG652" s="89" t="e">
        <f>#REF!</f>
        <v>#REF!</v>
      </c>
      <c r="AH652" s="89" t="e">
        <f>#REF!</f>
        <v>#REF!</v>
      </c>
      <c r="AI652" s="89" t="e">
        <f>#REF!</f>
        <v>#REF!</v>
      </c>
      <c r="AJ652" s="89" t="e">
        <f>#REF!</f>
        <v>#REF!</v>
      </c>
      <c r="AK652" s="89" t="e">
        <f>#REF!</f>
        <v>#REF!</v>
      </c>
      <c r="AL652" s="89" t="e">
        <f>#REF!</f>
        <v>#REF!</v>
      </c>
      <c r="AM652" s="89" t="e">
        <f>#REF!</f>
        <v>#REF!</v>
      </c>
      <c r="AN652" s="89" t="e">
        <f>#REF!</f>
        <v>#REF!</v>
      </c>
      <c r="AO652" s="89" t="e">
        <f>#REF!</f>
        <v>#REF!</v>
      </c>
      <c r="AP652" s="89" t="e">
        <f>#REF!</f>
        <v>#REF!</v>
      </c>
      <c r="AQ652" s="89" t="e">
        <f>#REF!</f>
        <v>#REF!</v>
      </c>
      <c r="AR652" s="89" t="e">
        <f>#REF!</f>
        <v>#REF!</v>
      </c>
      <c r="AS652" s="89" t="e">
        <f>#REF!</f>
        <v>#REF!</v>
      </c>
      <c r="AT652" s="89" t="e">
        <f>#REF!</f>
        <v>#REF!</v>
      </c>
      <c r="AU652" s="89" t="e">
        <f>#REF!</f>
        <v>#REF!</v>
      </c>
      <c r="AV652" s="89" t="e">
        <f>#REF!</f>
        <v>#REF!</v>
      </c>
      <c r="AW652" s="89" t="e">
        <f>#REF!</f>
        <v>#REF!</v>
      </c>
      <c r="AX652" s="89" t="e">
        <f>#REF!</f>
        <v>#REF!</v>
      </c>
      <c r="AY652" s="89" t="e">
        <f>#REF!</f>
        <v>#REF!</v>
      </c>
      <c r="AZ652" s="89" t="e">
        <f>#REF!</f>
        <v>#REF!</v>
      </c>
      <c r="BA652" s="89" t="e">
        <f>#REF!</f>
        <v>#REF!</v>
      </c>
      <c r="BB652" s="89" t="e">
        <f>#REF!</f>
        <v>#REF!</v>
      </c>
      <c r="BC652" s="89" t="e">
        <f>#REF!</f>
        <v>#REF!</v>
      </c>
      <c r="BD652" s="89" t="e">
        <f>#REF!</f>
        <v>#REF!</v>
      </c>
      <c r="BE652" s="89" t="e">
        <f>#REF!</f>
        <v>#REF!</v>
      </c>
      <c r="BF652" s="89" t="e">
        <f>#REF!</f>
        <v>#REF!</v>
      </c>
    </row>
    <row r="653" spans="9:58" x14ac:dyDescent="0.25">
      <c r="I653" s="89">
        <f>ABCD!J702</f>
        <v>162.25</v>
      </c>
      <c r="J653" s="89">
        <f>ABCD!K702</f>
        <v>532.17999999999995</v>
      </c>
      <c r="K653" s="89">
        <f>ABCD!L702</f>
        <v>-1.0292475374596841</v>
      </c>
      <c r="L653" s="89">
        <f>ABCD!M702</f>
        <v>-0.13995918633615556</v>
      </c>
      <c r="M653" s="89">
        <f>ABCD!N702</f>
        <v>1.0387199175941042</v>
      </c>
      <c r="N653" s="89" t="e">
        <v>#REF!</v>
      </c>
      <c r="O653" s="89" t="e">
        <v>#REF!</v>
      </c>
      <c r="P653" s="89" t="e">
        <v>#REF!</v>
      </c>
      <c r="Q653" s="89" t="e">
        <v>#REF!</v>
      </c>
      <c r="R653" s="89" t="e">
        <v>#REF!</v>
      </c>
      <c r="S653" s="89" t="e">
        <f>#REF!</f>
        <v>#REF!</v>
      </c>
      <c r="T653" s="89" t="e">
        <f>#REF!</f>
        <v>#REF!</v>
      </c>
      <c r="U653" s="89" t="e">
        <f>#REF!</f>
        <v>#REF!</v>
      </c>
      <c r="V653" s="89" t="e">
        <f>#REF!</f>
        <v>#REF!</v>
      </c>
      <c r="W653" s="89" t="e">
        <f>#REF!</f>
        <v>#REF!</v>
      </c>
      <c r="X653" s="89" t="e">
        <f>#REF!</f>
        <v>#REF!</v>
      </c>
      <c r="Y653" s="89" t="e">
        <f>#REF!</f>
        <v>#REF!</v>
      </c>
      <c r="Z653" s="89" t="e">
        <f>#REF!</f>
        <v>#REF!</v>
      </c>
      <c r="AA653" s="89" t="e">
        <f>#REF!</f>
        <v>#REF!</v>
      </c>
      <c r="AB653" s="89" t="e">
        <f>#REF!</f>
        <v>#REF!</v>
      </c>
      <c r="AC653" s="89" t="e">
        <f>#REF!</f>
        <v>#REF!</v>
      </c>
      <c r="AD653" s="89" t="e">
        <f>#REF!</f>
        <v>#REF!</v>
      </c>
      <c r="AE653" s="89" t="e">
        <f>#REF!</f>
        <v>#REF!</v>
      </c>
      <c r="AF653" s="89" t="e">
        <f>#REF!</f>
        <v>#REF!</v>
      </c>
      <c r="AG653" s="89" t="e">
        <f>#REF!</f>
        <v>#REF!</v>
      </c>
      <c r="AH653" s="89" t="e">
        <f>#REF!</f>
        <v>#REF!</v>
      </c>
      <c r="AI653" s="89" t="e">
        <f>#REF!</f>
        <v>#REF!</v>
      </c>
      <c r="AJ653" s="89" t="e">
        <f>#REF!</f>
        <v>#REF!</v>
      </c>
      <c r="AK653" s="89" t="e">
        <f>#REF!</f>
        <v>#REF!</v>
      </c>
      <c r="AL653" s="89" t="e">
        <f>#REF!</f>
        <v>#REF!</v>
      </c>
      <c r="AM653" s="89" t="e">
        <f>#REF!</f>
        <v>#REF!</v>
      </c>
      <c r="AN653" s="89" t="e">
        <f>#REF!</f>
        <v>#REF!</v>
      </c>
      <c r="AO653" s="89" t="e">
        <f>#REF!</f>
        <v>#REF!</v>
      </c>
      <c r="AP653" s="89" t="e">
        <f>#REF!</f>
        <v>#REF!</v>
      </c>
      <c r="AQ653" s="89" t="e">
        <f>#REF!</f>
        <v>#REF!</v>
      </c>
      <c r="AR653" s="89" t="e">
        <f>#REF!</f>
        <v>#REF!</v>
      </c>
      <c r="AS653" s="89" t="e">
        <f>#REF!</f>
        <v>#REF!</v>
      </c>
      <c r="AT653" s="89" t="e">
        <f>#REF!</f>
        <v>#REF!</v>
      </c>
      <c r="AU653" s="89" t="e">
        <f>#REF!</f>
        <v>#REF!</v>
      </c>
      <c r="AV653" s="89" t="e">
        <f>#REF!</f>
        <v>#REF!</v>
      </c>
      <c r="AW653" s="89" t="e">
        <f>#REF!</f>
        <v>#REF!</v>
      </c>
      <c r="AX653" s="89" t="e">
        <f>#REF!</f>
        <v>#REF!</v>
      </c>
      <c r="AY653" s="89" t="e">
        <f>#REF!</f>
        <v>#REF!</v>
      </c>
      <c r="AZ653" s="89" t="e">
        <f>#REF!</f>
        <v>#REF!</v>
      </c>
      <c r="BA653" s="89" t="e">
        <f>#REF!</f>
        <v>#REF!</v>
      </c>
      <c r="BB653" s="89" t="e">
        <f>#REF!</f>
        <v>#REF!</v>
      </c>
      <c r="BC653" s="89" t="e">
        <f>#REF!</f>
        <v>#REF!</v>
      </c>
      <c r="BD653" s="89" t="e">
        <f>#REF!</f>
        <v>#REF!</v>
      </c>
      <c r="BE653" s="89" t="e">
        <f>#REF!</f>
        <v>#REF!</v>
      </c>
      <c r="BF653" s="89" t="e">
        <f>#REF!</f>
        <v>#REF!</v>
      </c>
    </row>
    <row r="654" spans="9:58" x14ac:dyDescent="0.25">
      <c r="I654" s="89">
        <f>ABCD!J703</f>
        <v>162.5</v>
      </c>
      <c r="J654" s="89">
        <f>ABCD!K703</f>
        <v>533</v>
      </c>
      <c r="K654" s="89">
        <f>ABCD!L703</f>
        <v>-1.1068751301694082</v>
      </c>
      <c r="L654" s="89">
        <f>ABCD!M703</f>
        <v>-0.15425809189181194</v>
      </c>
      <c r="M654" s="89">
        <f>ABCD!N703</f>
        <v>1.1175724194438799</v>
      </c>
      <c r="N654" s="89" t="e">
        <v>#REF!</v>
      </c>
      <c r="O654" s="89" t="e">
        <v>#REF!</v>
      </c>
      <c r="P654" s="89" t="e">
        <v>#REF!</v>
      </c>
      <c r="Q654" s="89" t="e">
        <v>#REF!</v>
      </c>
      <c r="R654" s="89" t="e">
        <v>#REF!</v>
      </c>
      <c r="S654" s="89" t="e">
        <f>#REF!</f>
        <v>#REF!</v>
      </c>
      <c r="T654" s="89" t="e">
        <f>#REF!</f>
        <v>#REF!</v>
      </c>
      <c r="U654" s="89" t="e">
        <f>#REF!</f>
        <v>#REF!</v>
      </c>
      <c r="V654" s="89" t="e">
        <f>#REF!</f>
        <v>#REF!</v>
      </c>
      <c r="W654" s="89" t="e">
        <f>#REF!</f>
        <v>#REF!</v>
      </c>
      <c r="X654" s="89" t="e">
        <f>#REF!</f>
        <v>#REF!</v>
      </c>
      <c r="Y654" s="89" t="e">
        <f>#REF!</f>
        <v>#REF!</v>
      </c>
      <c r="Z654" s="89" t="e">
        <f>#REF!</f>
        <v>#REF!</v>
      </c>
      <c r="AA654" s="89" t="e">
        <f>#REF!</f>
        <v>#REF!</v>
      </c>
      <c r="AB654" s="89" t="e">
        <f>#REF!</f>
        <v>#REF!</v>
      </c>
      <c r="AC654" s="89" t="e">
        <f>#REF!</f>
        <v>#REF!</v>
      </c>
      <c r="AD654" s="89" t="e">
        <f>#REF!</f>
        <v>#REF!</v>
      </c>
      <c r="AE654" s="89" t="e">
        <f>#REF!</f>
        <v>#REF!</v>
      </c>
      <c r="AF654" s="89" t="e">
        <f>#REF!</f>
        <v>#REF!</v>
      </c>
      <c r="AG654" s="89" t="e">
        <f>#REF!</f>
        <v>#REF!</v>
      </c>
      <c r="AH654" s="89" t="e">
        <f>#REF!</f>
        <v>#REF!</v>
      </c>
      <c r="AI654" s="89" t="e">
        <f>#REF!</f>
        <v>#REF!</v>
      </c>
      <c r="AJ654" s="89" t="e">
        <f>#REF!</f>
        <v>#REF!</v>
      </c>
      <c r="AK654" s="89" t="e">
        <f>#REF!</f>
        <v>#REF!</v>
      </c>
      <c r="AL654" s="89" t="e">
        <f>#REF!</f>
        <v>#REF!</v>
      </c>
      <c r="AM654" s="89" t="e">
        <f>#REF!</f>
        <v>#REF!</v>
      </c>
      <c r="AN654" s="89" t="e">
        <f>#REF!</f>
        <v>#REF!</v>
      </c>
      <c r="AO654" s="89" t="e">
        <f>#REF!</f>
        <v>#REF!</v>
      </c>
      <c r="AP654" s="89" t="e">
        <f>#REF!</f>
        <v>#REF!</v>
      </c>
      <c r="AQ654" s="89" t="e">
        <f>#REF!</f>
        <v>#REF!</v>
      </c>
      <c r="AR654" s="89" t="e">
        <f>#REF!</f>
        <v>#REF!</v>
      </c>
      <c r="AS654" s="89" t="e">
        <f>#REF!</f>
        <v>#REF!</v>
      </c>
      <c r="AT654" s="89" t="e">
        <f>#REF!</f>
        <v>#REF!</v>
      </c>
      <c r="AU654" s="89" t="e">
        <f>#REF!</f>
        <v>#REF!</v>
      </c>
      <c r="AV654" s="89" t="e">
        <f>#REF!</f>
        <v>#REF!</v>
      </c>
      <c r="AW654" s="89" t="e">
        <f>#REF!</f>
        <v>#REF!</v>
      </c>
      <c r="AX654" s="89" t="e">
        <f>#REF!</f>
        <v>#REF!</v>
      </c>
      <c r="AY654" s="89" t="e">
        <f>#REF!</f>
        <v>#REF!</v>
      </c>
      <c r="AZ654" s="89" t="e">
        <f>#REF!</f>
        <v>#REF!</v>
      </c>
      <c r="BA654" s="89" t="e">
        <f>#REF!</f>
        <v>#REF!</v>
      </c>
      <c r="BB654" s="89" t="e">
        <f>#REF!</f>
        <v>#REF!</v>
      </c>
      <c r="BC654" s="89" t="e">
        <f>#REF!</f>
        <v>#REF!</v>
      </c>
      <c r="BD654" s="89" t="e">
        <f>#REF!</f>
        <v>#REF!</v>
      </c>
      <c r="BE654" s="89" t="e">
        <f>#REF!</f>
        <v>#REF!</v>
      </c>
      <c r="BF654" s="89" t="e">
        <f>#REF!</f>
        <v>#REF!</v>
      </c>
    </row>
    <row r="655" spans="9:58" x14ac:dyDescent="0.25">
      <c r="I655" s="89">
        <f>ABCD!J704</f>
        <v>162.75</v>
      </c>
      <c r="J655" s="89">
        <f>ABCD!K704</f>
        <v>533.81999999999994</v>
      </c>
      <c r="K655" s="89">
        <f>ABCD!L704</f>
        <v>-1.1841773772298125</v>
      </c>
      <c r="L655" s="89">
        <f>ABCD!M704</f>
        <v>-0.16850852511793413</v>
      </c>
      <c r="M655" s="89">
        <f>ABCD!N704</f>
        <v>1.1961066774248437</v>
      </c>
      <c r="N655" s="89" t="e">
        <v>#REF!</v>
      </c>
      <c r="O655" s="89" t="e">
        <v>#REF!</v>
      </c>
      <c r="P655" s="89" t="e">
        <v>#REF!</v>
      </c>
      <c r="Q655" s="89" t="e">
        <v>#REF!</v>
      </c>
      <c r="R655" s="89" t="e">
        <v>#REF!</v>
      </c>
      <c r="S655" s="89" t="e">
        <f>#REF!</f>
        <v>#REF!</v>
      </c>
      <c r="T655" s="89" t="e">
        <f>#REF!</f>
        <v>#REF!</v>
      </c>
      <c r="U655" s="89" t="e">
        <f>#REF!</f>
        <v>#REF!</v>
      </c>
      <c r="V655" s="89" t="e">
        <f>#REF!</f>
        <v>#REF!</v>
      </c>
      <c r="W655" s="89" t="e">
        <f>#REF!</f>
        <v>#REF!</v>
      </c>
      <c r="X655" s="89" t="e">
        <f>#REF!</f>
        <v>#REF!</v>
      </c>
      <c r="Y655" s="89" t="e">
        <f>#REF!</f>
        <v>#REF!</v>
      </c>
      <c r="Z655" s="89" t="e">
        <f>#REF!</f>
        <v>#REF!</v>
      </c>
      <c r="AA655" s="89" t="e">
        <f>#REF!</f>
        <v>#REF!</v>
      </c>
      <c r="AB655" s="89" t="e">
        <f>#REF!</f>
        <v>#REF!</v>
      </c>
      <c r="AC655" s="89" t="e">
        <f>#REF!</f>
        <v>#REF!</v>
      </c>
      <c r="AD655" s="89" t="e">
        <f>#REF!</f>
        <v>#REF!</v>
      </c>
      <c r="AE655" s="89" t="e">
        <f>#REF!</f>
        <v>#REF!</v>
      </c>
      <c r="AF655" s="89" t="e">
        <f>#REF!</f>
        <v>#REF!</v>
      </c>
      <c r="AG655" s="89" t="e">
        <f>#REF!</f>
        <v>#REF!</v>
      </c>
      <c r="AH655" s="89" t="e">
        <f>#REF!</f>
        <v>#REF!</v>
      </c>
      <c r="AI655" s="89" t="e">
        <f>#REF!</f>
        <v>#REF!</v>
      </c>
      <c r="AJ655" s="89" t="e">
        <f>#REF!</f>
        <v>#REF!</v>
      </c>
      <c r="AK655" s="89" t="e">
        <f>#REF!</f>
        <v>#REF!</v>
      </c>
      <c r="AL655" s="89" t="e">
        <f>#REF!</f>
        <v>#REF!</v>
      </c>
      <c r="AM655" s="89" t="e">
        <f>#REF!</f>
        <v>#REF!</v>
      </c>
      <c r="AN655" s="89" t="e">
        <f>#REF!</f>
        <v>#REF!</v>
      </c>
      <c r="AO655" s="89" t="e">
        <f>#REF!</f>
        <v>#REF!</v>
      </c>
      <c r="AP655" s="89" t="e">
        <f>#REF!</f>
        <v>#REF!</v>
      </c>
      <c r="AQ655" s="89" t="e">
        <f>#REF!</f>
        <v>#REF!</v>
      </c>
      <c r="AR655" s="89" t="e">
        <f>#REF!</f>
        <v>#REF!</v>
      </c>
      <c r="AS655" s="89" t="e">
        <f>#REF!</f>
        <v>#REF!</v>
      </c>
      <c r="AT655" s="89" t="e">
        <f>#REF!</f>
        <v>#REF!</v>
      </c>
      <c r="AU655" s="89" t="e">
        <f>#REF!</f>
        <v>#REF!</v>
      </c>
      <c r="AV655" s="89" t="e">
        <f>#REF!</f>
        <v>#REF!</v>
      </c>
      <c r="AW655" s="89" t="e">
        <f>#REF!</f>
        <v>#REF!</v>
      </c>
      <c r="AX655" s="89" t="e">
        <f>#REF!</f>
        <v>#REF!</v>
      </c>
      <c r="AY655" s="89" t="e">
        <f>#REF!</f>
        <v>#REF!</v>
      </c>
      <c r="AZ655" s="89" t="e">
        <f>#REF!</f>
        <v>#REF!</v>
      </c>
      <c r="BA655" s="89" t="e">
        <f>#REF!</f>
        <v>#REF!</v>
      </c>
      <c r="BB655" s="89" t="e">
        <f>#REF!</f>
        <v>#REF!</v>
      </c>
      <c r="BC655" s="89" t="e">
        <f>#REF!</f>
        <v>#REF!</v>
      </c>
      <c r="BD655" s="89" t="e">
        <f>#REF!</f>
        <v>#REF!</v>
      </c>
      <c r="BE655" s="89" t="e">
        <f>#REF!</f>
        <v>#REF!</v>
      </c>
      <c r="BF655" s="89" t="e">
        <f>#REF!</f>
        <v>#REF!</v>
      </c>
    </row>
    <row r="656" spans="9:58" x14ac:dyDescent="0.25">
      <c r="I656" s="89">
        <f>ABCD!J705</f>
        <v>163</v>
      </c>
      <c r="J656" s="89">
        <f>ABCD!K705</f>
        <v>534.64</v>
      </c>
      <c r="K656" s="89">
        <f>ABCD!L705</f>
        <v>-1.2611367267864022</v>
      </c>
      <c r="L656" s="89">
        <f>ABCD!M705</f>
        <v>-0.18270724003465943</v>
      </c>
      <c r="M656" s="89">
        <f>ABCD!N705</f>
        <v>1.2743028600809947</v>
      </c>
      <c r="N656" s="89" t="e">
        <v>#REF!</v>
      </c>
      <c r="O656" s="89" t="e">
        <v>#REF!</v>
      </c>
      <c r="P656" s="89" t="e">
        <v>#REF!</v>
      </c>
      <c r="Q656" s="89" t="e">
        <v>#REF!</v>
      </c>
      <c r="R656" s="89" t="e">
        <v>#REF!</v>
      </c>
      <c r="S656" s="89" t="e">
        <f>#REF!</f>
        <v>#REF!</v>
      </c>
      <c r="T656" s="89" t="e">
        <f>#REF!</f>
        <v>#REF!</v>
      </c>
      <c r="U656" s="89" t="e">
        <f>#REF!</f>
        <v>#REF!</v>
      </c>
      <c r="V656" s="89" t="e">
        <f>#REF!</f>
        <v>#REF!</v>
      </c>
      <c r="W656" s="89" t="e">
        <f>#REF!</f>
        <v>#REF!</v>
      </c>
      <c r="X656" s="89" t="e">
        <f>#REF!</f>
        <v>#REF!</v>
      </c>
      <c r="Y656" s="89" t="e">
        <f>#REF!</f>
        <v>#REF!</v>
      </c>
      <c r="Z656" s="89" t="e">
        <f>#REF!</f>
        <v>#REF!</v>
      </c>
      <c r="AA656" s="89" t="e">
        <f>#REF!</f>
        <v>#REF!</v>
      </c>
      <c r="AB656" s="89" t="e">
        <f>#REF!</f>
        <v>#REF!</v>
      </c>
      <c r="AC656" s="89" t="e">
        <f>#REF!</f>
        <v>#REF!</v>
      </c>
      <c r="AD656" s="89" t="e">
        <f>#REF!</f>
        <v>#REF!</v>
      </c>
      <c r="AE656" s="89" t="e">
        <f>#REF!</f>
        <v>#REF!</v>
      </c>
      <c r="AF656" s="89" t="e">
        <f>#REF!</f>
        <v>#REF!</v>
      </c>
      <c r="AG656" s="89" t="e">
        <f>#REF!</f>
        <v>#REF!</v>
      </c>
      <c r="AH656" s="89" t="e">
        <f>#REF!</f>
        <v>#REF!</v>
      </c>
      <c r="AI656" s="89" t="e">
        <f>#REF!</f>
        <v>#REF!</v>
      </c>
      <c r="AJ656" s="89" t="e">
        <f>#REF!</f>
        <v>#REF!</v>
      </c>
      <c r="AK656" s="89" t="e">
        <f>#REF!</f>
        <v>#REF!</v>
      </c>
      <c r="AL656" s="89" t="e">
        <f>#REF!</f>
        <v>#REF!</v>
      </c>
      <c r="AM656" s="89" t="e">
        <f>#REF!</f>
        <v>#REF!</v>
      </c>
      <c r="AN656" s="89" t="e">
        <f>#REF!</f>
        <v>#REF!</v>
      </c>
      <c r="AO656" s="89" t="e">
        <f>#REF!</f>
        <v>#REF!</v>
      </c>
      <c r="AP656" s="89" t="e">
        <f>#REF!</f>
        <v>#REF!</v>
      </c>
      <c r="AQ656" s="89" t="e">
        <f>#REF!</f>
        <v>#REF!</v>
      </c>
      <c r="AR656" s="89" t="e">
        <f>#REF!</f>
        <v>#REF!</v>
      </c>
      <c r="AS656" s="89" t="e">
        <f>#REF!</f>
        <v>#REF!</v>
      </c>
      <c r="AT656" s="89" t="e">
        <f>#REF!</f>
        <v>#REF!</v>
      </c>
      <c r="AU656" s="89" t="e">
        <f>#REF!</f>
        <v>#REF!</v>
      </c>
      <c r="AV656" s="89" t="e">
        <f>#REF!</f>
        <v>#REF!</v>
      </c>
      <c r="AW656" s="89" t="e">
        <f>#REF!</f>
        <v>#REF!</v>
      </c>
      <c r="AX656" s="89" t="e">
        <f>#REF!</f>
        <v>#REF!</v>
      </c>
      <c r="AY656" s="89" t="e">
        <f>#REF!</f>
        <v>#REF!</v>
      </c>
      <c r="AZ656" s="89" t="e">
        <f>#REF!</f>
        <v>#REF!</v>
      </c>
      <c r="BA656" s="89" t="e">
        <f>#REF!</f>
        <v>#REF!</v>
      </c>
      <c r="BB656" s="89" t="e">
        <f>#REF!</f>
        <v>#REF!</v>
      </c>
      <c r="BC656" s="89" t="e">
        <f>#REF!</f>
        <v>#REF!</v>
      </c>
      <c r="BD656" s="89" t="e">
        <f>#REF!</f>
        <v>#REF!</v>
      </c>
      <c r="BE656" s="89" t="e">
        <f>#REF!</f>
        <v>#REF!</v>
      </c>
      <c r="BF656" s="89" t="e">
        <f>#REF!</f>
        <v>#REF!</v>
      </c>
    </row>
    <row r="657" spans="9:58" x14ac:dyDescent="0.25">
      <c r="I657" s="89">
        <f>ABCD!J706</f>
        <v>163.25</v>
      </c>
      <c r="J657" s="89">
        <f>ABCD!K706</f>
        <v>535.45999999999992</v>
      </c>
      <c r="K657" s="89">
        <f>ABCD!L706</f>
        <v>-1.3377357219290593</v>
      </c>
      <c r="L657" s="89">
        <f>ABCD!M706</f>
        <v>-0.19685100552089851</v>
      </c>
      <c r="M657" s="89">
        <f>ABCD!N706</f>
        <v>1.3521417011909846</v>
      </c>
      <c r="N657" s="89" t="e">
        <v>#REF!</v>
      </c>
      <c r="O657" s="89" t="e">
        <v>#REF!</v>
      </c>
      <c r="P657" s="89" t="e">
        <v>#REF!</v>
      </c>
      <c r="Q657" s="89" t="e">
        <v>#REF!</v>
      </c>
      <c r="R657" s="89" t="e">
        <v>#REF!</v>
      </c>
      <c r="S657" s="89" t="e">
        <f>#REF!</f>
        <v>#REF!</v>
      </c>
      <c r="T657" s="89" t="e">
        <f>#REF!</f>
        <v>#REF!</v>
      </c>
      <c r="U657" s="89" t="e">
        <f>#REF!</f>
        <v>#REF!</v>
      </c>
      <c r="V657" s="89" t="e">
        <f>#REF!</f>
        <v>#REF!</v>
      </c>
      <c r="W657" s="89" t="e">
        <f>#REF!</f>
        <v>#REF!</v>
      </c>
      <c r="X657" s="89" t="e">
        <f>#REF!</f>
        <v>#REF!</v>
      </c>
      <c r="Y657" s="89" t="e">
        <f>#REF!</f>
        <v>#REF!</v>
      </c>
      <c r="Z657" s="89" t="e">
        <f>#REF!</f>
        <v>#REF!</v>
      </c>
      <c r="AA657" s="89" t="e">
        <f>#REF!</f>
        <v>#REF!</v>
      </c>
      <c r="AB657" s="89" t="e">
        <f>#REF!</f>
        <v>#REF!</v>
      </c>
      <c r="AC657" s="89" t="e">
        <f>#REF!</f>
        <v>#REF!</v>
      </c>
      <c r="AD657" s="89" t="e">
        <f>#REF!</f>
        <v>#REF!</v>
      </c>
      <c r="AE657" s="89" t="e">
        <f>#REF!</f>
        <v>#REF!</v>
      </c>
      <c r="AF657" s="89" t="e">
        <f>#REF!</f>
        <v>#REF!</v>
      </c>
      <c r="AG657" s="89" t="e">
        <f>#REF!</f>
        <v>#REF!</v>
      </c>
      <c r="AH657" s="89" t="e">
        <f>#REF!</f>
        <v>#REF!</v>
      </c>
      <c r="AI657" s="89" t="e">
        <f>#REF!</f>
        <v>#REF!</v>
      </c>
      <c r="AJ657" s="89" t="e">
        <f>#REF!</f>
        <v>#REF!</v>
      </c>
      <c r="AK657" s="89" t="e">
        <f>#REF!</f>
        <v>#REF!</v>
      </c>
      <c r="AL657" s="89" t="e">
        <f>#REF!</f>
        <v>#REF!</v>
      </c>
      <c r="AM657" s="89" t="e">
        <f>#REF!</f>
        <v>#REF!</v>
      </c>
      <c r="AN657" s="89" t="e">
        <f>#REF!</f>
        <v>#REF!</v>
      </c>
      <c r="AO657" s="89" t="e">
        <f>#REF!</f>
        <v>#REF!</v>
      </c>
      <c r="AP657" s="89" t="e">
        <f>#REF!</f>
        <v>#REF!</v>
      </c>
      <c r="AQ657" s="89" t="e">
        <f>#REF!</f>
        <v>#REF!</v>
      </c>
      <c r="AR657" s="89" t="e">
        <f>#REF!</f>
        <v>#REF!</v>
      </c>
      <c r="AS657" s="89" t="e">
        <f>#REF!</f>
        <v>#REF!</v>
      </c>
      <c r="AT657" s="89" t="e">
        <f>#REF!</f>
        <v>#REF!</v>
      </c>
      <c r="AU657" s="89" t="e">
        <f>#REF!</f>
        <v>#REF!</v>
      </c>
      <c r="AV657" s="89" t="e">
        <f>#REF!</f>
        <v>#REF!</v>
      </c>
      <c r="AW657" s="89" t="e">
        <f>#REF!</f>
        <v>#REF!</v>
      </c>
      <c r="AX657" s="89" t="e">
        <f>#REF!</f>
        <v>#REF!</v>
      </c>
      <c r="AY657" s="89" t="e">
        <f>#REF!</f>
        <v>#REF!</v>
      </c>
      <c r="AZ657" s="89" t="e">
        <f>#REF!</f>
        <v>#REF!</v>
      </c>
      <c r="BA657" s="89" t="e">
        <f>#REF!</f>
        <v>#REF!</v>
      </c>
      <c r="BB657" s="89" t="e">
        <f>#REF!</f>
        <v>#REF!</v>
      </c>
      <c r="BC657" s="89" t="e">
        <f>#REF!</f>
        <v>#REF!</v>
      </c>
      <c r="BD657" s="89" t="e">
        <f>#REF!</f>
        <v>#REF!</v>
      </c>
      <c r="BE657" s="89" t="e">
        <f>#REF!</f>
        <v>#REF!</v>
      </c>
      <c r="BF657" s="89" t="e">
        <f>#REF!</f>
        <v>#REF!</v>
      </c>
    </row>
    <row r="658" spans="9:58" x14ac:dyDescent="0.25">
      <c r="I658" s="89">
        <f>ABCD!J707</f>
        <v>163.5</v>
      </c>
      <c r="J658" s="89">
        <f>ABCD!K707</f>
        <v>536.28</v>
      </c>
      <c r="K658" s="89">
        <f>ABCD!L707</f>
        <v>-1.41395700463643</v>
      </c>
      <c r="L658" s="89">
        <f>ABCD!M707</f>
        <v>-0.21093660604685649</v>
      </c>
      <c r="M658" s="89">
        <f>ABCD!N707</f>
        <v>1.4296043728007384</v>
      </c>
      <c r="N658" s="89" t="e">
        <v>#REF!</v>
      </c>
      <c r="O658" s="89" t="e">
        <v>#REF!</v>
      </c>
      <c r="P658" s="89" t="e">
        <v>#REF!</v>
      </c>
      <c r="Q658" s="89" t="e">
        <v>#REF!</v>
      </c>
      <c r="R658" s="89" t="e">
        <v>#REF!</v>
      </c>
      <c r="S658" s="89" t="e">
        <f>#REF!</f>
        <v>#REF!</v>
      </c>
      <c r="T658" s="89" t="e">
        <f>#REF!</f>
        <v>#REF!</v>
      </c>
      <c r="U658" s="89" t="e">
        <f>#REF!</f>
        <v>#REF!</v>
      </c>
      <c r="V658" s="89" t="e">
        <f>#REF!</f>
        <v>#REF!</v>
      </c>
      <c r="W658" s="89" t="e">
        <f>#REF!</f>
        <v>#REF!</v>
      </c>
      <c r="X658" s="89" t="e">
        <f>#REF!</f>
        <v>#REF!</v>
      </c>
      <c r="Y658" s="89" t="e">
        <f>#REF!</f>
        <v>#REF!</v>
      </c>
      <c r="Z658" s="89" t="e">
        <f>#REF!</f>
        <v>#REF!</v>
      </c>
      <c r="AA658" s="89" t="e">
        <f>#REF!</f>
        <v>#REF!</v>
      </c>
      <c r="AB658" s="89" t="e">
        <f>#REF!</f>
        <v>#REF!</v>
      </c>
      <c r="AC658" s="89" t="e">
        <f>#REF!</f>
        <v>#REF!</v>
      </c>
      <c r="AD658" s="89" t="e">
        <f>#REF!</f>
        <v>#REF!</v>
      </c>
      <c r="AE658" s="89" t="e">
        <f>#REF!</f>
        <v>#REF!</v>
      </c>
      <c r="AF658" s="89" t="e">
        <f>#REF!</f>
        <v>#REF!</v>
      </c>
      <c r="AG658" s="89" t="e">
        <f>#REF!</f>
        <v>#REF!</v>
      </c>
      <c r="AH658" s="89" t="e">
        <f>#REF!</f>
        <v>#REF!</v>
      </c>
      <c r="AI658" s="89" t="e">
        <f>#REF!</f>
        <v>#REF!</v>
      </c>
      <c r="AJ658" s="89" t="e">
        <f>#REF!</f>
        <v>#REF!</v>
      </c>
      <c r="AK658" s="89" t="e">
        <f>#REF!</f>
        <v>#REF!</v>
      </c>
      <c r="AL658" s="89" t="e">
        <f>#REF!</f>
        <v>#REF!</v>
      </c>
      <c r="AM658" s="89" t="e">
        <f>#REF!</f>
        <v>#REF!</v>
      </c>
      <c r="AN658" s="89" t="e">
        <f>#REF!</f>
        <v>#REF!</v>
      </c>
      <c r="AO658" s="89" t="e">
        <f>#REF!</f>
        <v>#REF!</v>
      </c>
      <c r="AP658" s="89" t="e">
        <f>#REF!</f>
        <v>#REF!</v>
      </c>
      <c r="AQ658" s="89" t="e">
        <f>#REF!</f>
        <v>#REF!</v>
      </c>
      <c r="AR658" s="89" t="e">
        <f>#REF!</f>
        <v>#REF!</v>
      </c>
      <c r="AS658" s="89" t="e">
        <f>#REF!</f>
        <v>#REF!</v>
      </c>
      <c r="AT658" s="89" t="e">
        <f>#REF!</f>
        <v>#REF!</v>
      </c>
      <c r="AU658" s="89" t="e">
        <f>#REF!</f>
        <v>#REF!</v>
      </c>
      <c r="AV658" s="89" t="e">
        <f>#REF!</f>
        <v>#REF!</v>
      </c>
      <c r="AW658" s="89" t="e">
        <f>#REF!</f>
        <v>#REF!</v>
      </c>
      <c r="AX658" s="89" t="e">
        <f>#REF!</f>
        <v>#REF!</v>
      </c>
      <c r="AY658" s="89" t="e">
        <f>#REF!</f>
        <v>#REF!</v>
      </c>
      <c r="AZ658" s="89" t="e">
        <f>#REF!</f>
        <v>#REF!</v>
      </c>
      <c r="BA658" s="89" t="e">
        <f>#REF!</f>
        <v>#REF!</v>
      </c>
      <c r="BB658" s="89" t="e">
        <f>#REF!</f>
        <v>#REF!</v>
      </c>
      <c r="BC658" s="89" t="e">
        <f>#REF!</f>
        <v>#REF!</v>
      </c>
      <c r="BD658" s="89" t="e">
        <f>#REF!</f>
        <v>#REF!</v>
      </c>
      <c r="BE658" s="89" t="e">
        <f>#REF!</f>
        <v>#REF!</v>
      </c>
      <c r="BF658" s="89" t="e">
        <f>#REF!</f>
        <v>#REF!</v>
      </c>
    </row>
    <row r="659" spans="9:58" x14ac:dyDescent="0.25">
      <c r="I659" s="89">
        <f>ABCD!J708</f>
        <v>163.75</v>
      </c>
      <c r="J659" s="89">
        <f>ABCD!K708</f>
        <v>537.1</v>
      </c>
      <c r="K659" s="89">
        <f>ABCD!L708</f>
        <v>-1.4897833196938834</v>
      </c>
      <c r="L659" s="89">
        <f>ABCD!M708</f>
        <v>-0.22496084240226866</v>
      </c>
      <c r="M659" s="89">
        <f>ABCD!N708</f>
        <v>1.5066723997778901</v>
      </c>
      <c r="N659" s="89" t="e">
        <v>#REF!</v>
      </c>
      <c r="O659" s="89" t="e">
        <v>#REF!</v>
      </c>
      <c r="P659" s="89" t="e">
        <v>#REF!</v>
      </c>
      <c r="Q659" s="89" t="e">
        <v>#REF!</v>
      </c>
      <c r="R659" s="89" t="e">
        <v>#REF!</v>
      </c>
      <c r="S659" s="89" t="e">
        <f>#REF!</f>
        <v>#REF!</v>
      </c>
      <c r="T659" s="89" t="e">
        <f>#REF!</f>
        <v>#REF!</v>
      </c>
      <c r="U659" s="89" t="e">
        <f>#REF!</f>
        <v>#REF!</v>
      </c>
      <c r="V659" s="89" t="e">
        <f>#REF!</f>
        <v>#REF!</v>
      </c>
      <c r="W659" s="89" t="e">
        <f>#REF!</f>
        <v>#REF!</v>
      </c>
      <c r="X659" s="89" t="e">
        <f>#REF!</f>
        <v>#REF!</v>
      </c>
      <c r="Y659" s="89" t="e">
        <f>#REF!</f>
        <v>#REF!</v>
      </c>
      <c r="Z659" s="89" t="e">
        <f>#REF!</f>
        <v>#REF!</v>
      </c>
      <c r="AA659" s="89" t="e">
        <f>#REF!</f>
        <v>#REF!</v>
      </c>
      <c r="AB659" s="89" t="e">
        <f>#REF!</f>
        <v>#REF!</v>
      </c>
      <c r="AC659" s="89" t="e">
        <f>#REF!</f>
        <v>#REF!</v>
      </c>
      <c r="AD659" s="89" t="e">
        <f>#REF!</f>
        <v>#REF!</v>
      </c>
      <c r="AE659" s="89" t="e">
        <f>#REF!</f>
        <v>#REF!</v>
      </c>
      <c r="AF659" s="89" t="e">
        <f>#REF!</f>
        <v>#REF!</v>
      </c>
      <c r="AG659" s="89" t="e">
        <f>#REF!</f>
        <v>#REF!</v>
      </c>
      <c r="AH659" s="89" t="e">
        <f>#REF!</f>
        <v>#REF!</v>
      </c>
      <c r="AI659" s="89" t="e">
        <f>#REF!</f>
        <v>#REF!</v>
      </c>
      <c r="AJ659" s="89" t="e">
        <f>#REF!</f>
        <v>#REF!</v>
      </c>
      <c r="AK659" s="89" t="e">
        <f>#REF!</f>
        <v>#REF!</v>
      </c>
      <c r="AL659" s="89" t="e">
        <f>#REF!</f>
        <v>#REF!</v>
      </c>
      <c r="AM659" s="89" t="e">
        <f>#REF!</f>
        <v>#REF!</v>
      </c>
      <c r="AN659" s="89" t="e">
        <f>#REF!</f>
        <v>#REF!</v>
      </c>
      <c r="AO659" s="89" t="e">
        <f>#REF!</f>
        <v>#REF!</v>
      </c>
      <c r="AP659" s="89" t="e">
        <f>#REF!</f>
        <v>#REF!</v>
      </c>
      <c r="AQ659" s="89" t="e">
        <f>#REF!</f>
        <v>#REF!</v>
      </c>
      <c r="AR659" s="89" t="e">
        <f>#REF!</f>
        <v>#REF!</v>
      </c>
      <c r="AS659" s="89" t="e">
        <f>#REF!</f>
        <v>#REF!</v>
      </c>
      <c r="AT659" s="89" t="e">
        <f>#REF!</f>
        <v>#REF!</v>
      </c>
      <c r="AU659" s="89" t="e">
        <f>#REF!</f>
        <v>#REF!</v>
      </c>
      <c r="AV659" s="89" t="e">
        <f>#REF!</f>
        <v>#REF!</v>
      </c>
      <c r="AW659" s="89" t="e">
        <f>#REF!</f>
        <v>#REF!</v>
      </c>
      <c r="AX659" s="89" t="e">
        <f>#REF!</f>
        <v>#REF!</v>
      </c>
      <c r="AY659" s="89" t="e">
        <f>#REF!</f>
        <v>#REF!</v>
      </c>
      <c r="AZ659" s="89" t="e">
        <f>#REF!</f>
        <v>#REF!</v>
      </c>
      <c r="BA659" s="89" t="e">
        <f>#REF!</f>
        <v>#REF!</v>
      </c>
      <c r="BB659" s="89" t="e">
        <f>#REF!</f>
        <v>#REF!</v>
      </c>
      <c r="BC659" s="89" t="e">
        <f>#REF!</f>
        <v>#REF!</v>
      </c>
      <c r="BD659" s="89" t="e">
        <f>#REF!</f>
        <v>#REF!</v>
      </c>
      <c r="BE659" s="89" t="e">
        <f>#REF!</f>
        <v>#REF!</v>
      </c>
      <c r="BF659" s="89" t="e">
        <f>#REF!</f>
        <v>#REF!</v>
      </c>
    </row>
    <row r="660" spans="9:58" x14ac:dyDescent="0.25">
      <c r="I660" s="89">
        <f>ABCD!J709</f>
        <v>164</v>
      </c>
      <c r="J660" s="89">
        <f>ABCD!K709</f>
        <v>537.91999999999996</v>
      </c>
      <c r="K660" s="89">
        <f>ABCD!L709</f>
        <v>-1.5651975185842832</v>
      </c>
      <c r="L660" s="89">
        <f>ABCD!M709</f>
        <v>-0.23892053242024103</v>
      </c>
      <c r="M660" s="89">
        <f>ABCD!N709</f>
        <v>1.5833276012860917</v>
      </c>
      <c r="N660" s="89" t="e">
        <v>#REF!</v>
      </c>
      <c r="O660" s="89" t="e">
        <v>#REF!</v>
      </c>
      <c r="P660" s="89" t="e">
        <v>#REF!</v>
      </c>
      <c r="Q660" s="89" t="e">
        <v>#REF!</v>
      </c>
      <c r="R660" s="89" t="e">
        <v>#REF!</v>
      </c>
      <c r="S660" s="89" t="e">
        <f>#REF!</f>
        <v>#REF!</v>
      </c>
      <c r="T660" s="89" t="e">
        <f>#REF!</f>
        <v>#REF!</v>
      </c>
      <c r="U660" s="89" t="e">
        <f>#REF!</f>
        <v>#REF!</v>
      </c>
      <c r="V660" s="89" t="e">
        <f>#REF!</f>
        <v>#REF!</v>
      </c>
      <c r="W660" s="89" t="e">
        <f>#REF!</f>
        <v>#REF!</v>
      </c>
      <c r="X660" s="89" t="e">
        <f>#REF!</f>
        <v>#REF!</v>
      </c>
      <c r="Y660" s="89" t="e">
        <f>#REF!</f>
        <v>#REF!</v>
      </c>
      <c r="Z660" s="89" t="e">
        <f>#REF!</f>
        <v>#REF!</v>
      </c>
      <c r="AA660" s="89" t="e">
        <f>#REF!</f>
        <v>#REF!</v>
      </c>
      <c r="AB660" s="89" t="e">
        <f>#REF!</f>
        <v>#REF!</v>
      </c>
      <c r="AC660" s="89" t="e">
        <f>#REF!</f>
        <v>#REF!</v>
      </c>
      <c r="AD660" s="89" t="e">
        <f>#REF!</f>
        <v>#REF!</v>
      </c>
      <c r="AE660" s="89" t="e">
        <f>#REF!</f>
        <v>#REF!</v>
      </c>
      <c r="AF660" s="89" t="e">
        <f>#REF!</f>
        <v>#REF!</v>
      </c>
      <c r="AG660" s="89" t="e">
        <f>#REF!</f>
        <v>#REF!</v>
      </c>
      <c r="AH660" s="89" t="e">
        <f>#REF!</f>
        <v>#REF!</v>
      </c>
      <c r="AI660" s="89" t="e">
        <f>#REF!</f>
        <v>#REF!</v>
      </c>
      <c r="AJ660" s="89" t="e">
        <f>#REF!</f>
        <v>#REF!</v>
      </c>
      <c r="AK660" s="89" t="e">
        <f>#REF!</f>
        <v>#REF!</v>
      </c>
      <c r="AL660" s="89" t="e">
        <f>#REF!</f>
        <v>#REF!</v>
      </c>
      <c r="AM660" s="89" t="e">
        <f>#REF!</f>
        <v>#REF!</v>
      </c>
      <c r="AN660" s="89" t="e">
        <f>#REF!</f>
        <v>#REF!</v>
      </c>
      <c r="AO660" s="89" t="e">
        <f>#REF!</f>
        <v>#REF!</v>
      </c>
      <c r="AP660" s="89" t="e">
        <f>#REF!</f>
        <v>#REF!</v>
      </c>
      <c r="AQ660" s="89" t="e">
        <f>#REF!</f>
        <v>#REF!</v>
      </c>
      <c r="AR660" s="89" t="e">
        <f>#REF!</f>
        <v>#REF!</v>
      </c>
      <c r="AS660" s="89" t="e">
        <f>#REF!</f>
        <v>#REF!</v>
      </c>
      <c r="AT660" s="89" t="e">
        <f>#REF!</f>
        <v>#REF!</v>
      </c>
      <c r="AU660" s="89" t="e">
        <f>#REF!</f>
        <v>#REF!</v>
      </c>
      <c r="AV660" s="89" t="e">
        <f>#REF!</f>
        <v>#REF!</v>
      </c>
      <c r="AW660" s="89" t="e">
        <f>#REF!</f>
        <v>#REF!</v>
      </c>
      <c r="AX660" s="89" t="e">
        <f>#REF!</f>
        <v>#REF!</v>
      </c>
      <c r="AY660" s="89" t="e">
        <f>#REF!</f>
        <v>#REF!</v>
      </c>
      <c r="AZ660" s="89" t="e">
        <f>#REF!</f>
        <v>#REF!</v>
      </c>
      <c r="BA660" s="89" t="e">
        <f>#REF!</f>
        <v>#REF!</v>
      </c>
      <c r="BB660" s="89" t="e">
        <f>#REF!</f>
        <v>#REF!</v>
      </c>
      <c r="BC660" s="89" t="e">
        <f>#REF!</f>
        <v>#REF!</v>
      </c>
      <c r="BD660" s="89" t="e">
        <f>#REF!</f>
        <v>#REF!</v>
      </c>
      <c r="BE660" s="89" t="e">
        <f>#REF!</f>
        <v>#REF!</v>
      </c>
      <c r="BF660" s="89" t="e">
        <f>#REF!</f>
        <v>#REF!</v>
      </c>
    </row>
    <row r="661" spans="9:58" x14ac:dyDescent="0.25">
      <c r="I661" s="89">
        <f>ABCD!J710</f>
        <v>164.25</v>
      </c>
      <c r="J661" s="89">
        <f>ABCD!K710</f>
        <v>538.74</v>
      </c>
      <c r="K661" s="89">
        <f>ABCD!L710</f>
        <v>-1.6401825633505267</v>
      </c>
      <c r="L661" s="89">
        <f>ABCD!M710</f>
        <v>-0.25281251169648788</v>
      </c>
      <c r="M661" s="89">
        <f>ABCD!N710</f>
        <v>1.6595520501597385</v>
      </c>
      <c r="N661" s="89" t="e">
        <v>#REF!</v>
      </c>
      <c r="O661" s="89" t="e">
        <v>#REF!</v>
      </c>
      <c r="P661" s="89" t="e">
        <v>#REF!</v>
      </c>
      <c r="Q661" s="89" t="e">
        <v>#REF!</v>
      </c>
      <c r="R661" s="89" t="e">
        <v>#REF!</v>
      </c>
      <c r="S661" s="89" t="e">
        <f>#REF!</f>
        <v>#REF!</v>
      </c>
      <c r="T661" s="89" t="e">
        <f>#REF!</f>
        <v>#REF!</v>
      </c>
      <c r="U661" s="89" t="e">
        <f>#REF!</f>
        <v>#REF!</v>
      </c>
      <c r="V661" s="89" t="e">
        <f>#REF!</f>
        <v>#REF!</v>
      </c>
      <c r="W661" s="89" t="e">
        <f>#REF!</f>
        <v>#REF!</v>
      </c>
      <c r="X661" s="89" t="e">
        <f>#REF!</f>
        <v>#REF!</v>
      </c>
      <c r="Y661" s="89" t="e">
        <f>#REF!</f>
        <v>#REF!</v>
      </c>
      <c r="Z661" s="89" t="e">
        <f>#REF!</f>
        <v>#REF!</v>
      </c>
      <c r="AA661" s="89" t="e">
        <f>#REF!</f>
        <v>#REF!</v>
      </c>
      <c r="AB661" s="89" t="e">
        <f>#REF!</f>
        <v>#REF!</v>
      </c>
      <c r="AC661" s="89" t="e">
        <f>#REF!</f>
        <v>#REF!</v>
      </c>
      <c r="AD661" s="89" t="e">
        <f>#REF!</f>
        <v>#REF!</v>
      </c>
      <c r="AE661" s="89" t="e">
        <f>#REF!</f>
        <v>#REF!</v>
      </c>
      <c r="AF661" s="89" t="e">
        <f>#REF!</f>
        <v>#REF!</v>
      </c>
      <c r="AG661" s="89" t="e">
        <f>#REF!</f>
        <v>#REF!</v>
      </c>
      <c r="AH661" s="89" t="e">
        <f>#REF!</f>
        <v>#REF!</v>
      </c>
      <c r="AI661" s="89" t="e">
        <f>#REF!</f>
        <v>#REF!</v>
      </c>
      <c r="AJ661" s="89" t="e">
        <f>#REF!</f>
        <v>#REF!</v>
      </c>
      <c r="AK661" s="89" t="e">
        <f>#REF!</f>
        <v>#REF!</v>
      </c>
      <c r="AL661" s="89" t="e">
        <f>#REF!</f>
        <v>#REF!</v>
      </c>
      <c r="AM661" s="89" t="e">
        <f>#REF!</f>
        <v>#REF!</v>
      </c>
      <c r="AN661" s="89" t="e">
        <f>#REF!</f>
        <v>#REF!</v>
      </c>
      <c r="AO661" s="89" t="e">
        <f>#REF!</f>
        <v>#REF!</v>
      </c>
      <c r="AP661" s="89" t="e">
        <f>#REF!</f>
        <v>#REF!</v>
      </c>
      <c r="AQ661" s="89" t="e">
        <f>#REF!</f>
        <v>#REF!</v>
      </c>
      <c r="AR661" s="89" t="e">
        <f>#REF!</f>
        <v>#REF!</v>
      </c>
      <c r="AS661" s="89" t="e">
        <f>#REF!</f>
        <v>#REF!</v>
      </c>
      <c r="AT661" s="89" t="e">
        <f>#REF!</f>
        <v>#REF!</v>
      </c>
      <c r="AU661" s="89" t="e">
        <f>#REF!</f>
        <v>#REF!</v>
      </c>
      <c r="AV661" s="89" t="e">
        <f>#REF!</f>
        <v>#REF!</v>
      </c>
      <c r="AW661" s="89" t="e">
        <f>#REF!</f>
        <v>#REF!</v>
      </c>
      <c r="AX661" s="89" t="e">
        <f>#REF!</f>
        <v>#REF!</v>
      </c>
      <c r="AY661" s="89" t="e">
        <f>#REF!</f>
        <v>#REF!</v>
      </c>
      <c r="AZ661" s="89" t="e">
        <f>#REF!</f>
        <v>#REF!</v>
      </c>
      <c r="BA661" s="89" t="e">
        <f>#REF!</f>
        <v>#REF!</v>
      </c>
      <c r="BB661" s="89" t="e">
        <f>#REF!</f>
        <v>#REF!</v>
      </c>
      <c r="BC661" s="89" t="e">
        <f>#REF!</f>
        <v>#REF!</v>
      </c>
      <c r="BD661" s="89" t="e">
        <f>#REF!</f>
        <v>#REF!</v>
      </c>
      <c r="BE661" s="89" t="e">
        <f>#REF!</f>
        <v>#REF!</v>
      </c>
      <c r="BF661" s="89" t="e">
        <f>#REF!</f>
        <v>#REF!</v>
      </c>
    </row>
    <row r="662" spans="9:58" x14ac:dyDescent="0.25">
      <c r="I662" s="89">
        <f>ABCD!J711</f>
        <v>164.5</v>
      </c>
      <c r="J662" s="89">
        <f>ABCD!K711</f>
        <v>539.55999999999995</v>
      </c>
      <c r="K662" s="89">
        <f>ABCD!L711</f>
        <v>-1.714721530429173</v>
      </c>
      <c r="L662" s="89">
        <f>ABCD!M711</f>
        <v>-0.2666336343038167</v>
      </c>
      <c r="M662" s="89">
        <f>ABCD!N711</f>
        <v>1.735328044451373</v>
      </c>
      <c r="N662" s="89" t="e">
        <v>#REF!</v>
      </c>
      <c r="O662" s="89" t="e">
        <v>#REF!</v>
      </c>
      <c r="P662" s="89" t="e">
        <v>#REF!</v>
      </c>
      <c r="Q662" s="89" t="e">
        <v>#REF!</v>
      </c>
      <c r="R662" s="89" t="e">
        <v>#REF!</v>
      </c>
      <c r="S662" s="89" t="e">
        <f>#REF!</f>
        <v>#REF!</v>
      </c>
      <c r="T662" s="89" t="e">
        <f>#REF!</f>
        <v>#REF!</v>
      </c>
      <c r="U662" s="89" t="e">
        <f>#REF!</f>
        <v>#REF!</v>
      </c>
      <c r="V662" s="89" t="e">
        <f>#REF!</f>
        <v>#REF!</v>
      </c>
      <c r="W662" s="89" t="e">
        <f>#REF!</f>
        <v>#REF!</v>
      </c>
      <c r="X662" s="89" t="e">
        <f>#REF!</f>
        <v>#REF!</v>
      </c>
      <c r="Y662" s="89" t="e">
        <f>#REF!</f>
        <v>#REF!</v>
      </c>
      <c r="Z662" s="89" t="e">
        <f>#REF!</f>
        <v>#REF!</v>
      </c>
      <c r="AA662" s="89" t="e">
        <f>#REF!</f>
        <v>#REF!</v>
      </c>
      <c r="AB662" s="89" t="e">
        <f>#REF!</f>
        <v>#REF!</v>
      </c>
      <c r="AC662" s="89" t="e">
        <f>#REF!</f>
        <v>#REF!</v>
      </c>
      <c r="AD662" s="89" t="e">
        <f>#REF!</f>
        <v>#REF!</v>
      </c>
      <c r="AE662" s="89" t="e">
        <f>#REF!</f>
        <v>#REF!</v>
      </c>
      <c r="AF662" s="89" t="e">
        <f>#REF!</f>
        <v>#REF!</v>
      </c>
      <c r="AG662" s="89" t="e">
        <f>#REF!</f>
        <v>#REF!</v>
      </c>
      <c r="AH662" s="89" t="e">
        <f>#REF!</f>
        <v>#REF!</v>
      </c>
      <c r="AI662" s="89" t="e">
        <f>#REF!</f>
        <v>#REF!</v>
      </c>
      <c r="AJ662" s="89" t="e">
        <f>#REF!</f>
        <v>#REF!</v>
      </c>
      <c r="AK662" s="89" t="e">
        <f>#REF!</f>
        <v>#REF!</v>
      </c>
      <c r="AL662" s="89" t="e">
        <f>#REF!</f>
        <v>#REF!</v>
      </c>
      <c r="AM662" s="89" t="e">
        <f>#REF!</f>
        <v>#REF!</v>
      </c>
      <c r="AN662" s="89" t="e">
        <f>#REF!</f>
        <v>#REF!</v>
      </c>
      <c r="AO662" s="89" t="e">
        <f>#REF!</f>
        <v>#REF!</v>
      </c>
      <c r="AP662" s="89" t="e">
        <f>#REF!</f>
        <v>#REF!</v>
      </c>
      <c r="AQ662" s="89" t="e">
        <f>#REF!</f>
        <v>#REF!</v>
      </c>
      <c r="AR662" s="89" t="e">
        <f>#REF!</f>
        <v>#REF!</v>
      </c>
      <c r="AS662" s="89" t="e">
        <f>#REF!</f>
        <v>#REF!</v>
      </c>
      <c r="AT662" s="89" t="e">
        <f>#REF!</f>
        <v>#REF!</v>
      </c>
      <c r="AU662" s="89" t="e">
        <f>#REF!</f>
        <v>#REF!</v>
      </c>
      <c r="AV662" s="89" t="e">
        <f>#REF!</f>
        <v>#REF!</v>
      </c>
      <c r="AW662" s="89" t="e">
        <f>#REF!</f>
        <v>#REF!</v>
      </c>
      <c r="AX662" s="89" t="e">
        <f>#REF!</f>
        <v>#REF!</v>
      </c>
      <c r="AY662" s="89" t="e">
        <f>#REF!</f>
        <v>#REF!</v>
      </c>
      <c r="AZ662" s="89" t="e">
        <f>#REF!</f>
        <v>#REF!</v>
      </c>
      <c r="BA662" s="89" t="e">
        <f>#REF!</f>
        <v>#REF!</v>
      </c>
      <c r="BB662" s="89" t="e">
        <f>#REF!</f>
        <v>#REF!</v>
      </c>
      <c r="BC662" s="89" t="e">
        <f>#REF!</f>
        <v>#REF!</v>
      </c>
      <c r="BD662" s="89" t="e">
        <f>#REF!</f>
        <v>#REF!</v>
      </c>
      <c r="BE662" s="89" t="e">
        <f>#REF!</f>
        <v>#REF!</v>
      </c>
      <c r="BF662" s="89" t="e">
        <f>#REF!</f>
        <v>#REF!</v>
      </c>
    </row>
    <row r="663" spans="9:58" x14ac:dyDescent="0.25">
      <c r="I663" s="89">
        <f>ABCD!J712</f>
        <v>164.75</v>
      </c>
      <c r="J663" s="89">
        <f>ABCD!K712</f>
        <v>540.38</v>
      </c>
      <c r="K663" s="89">
        <f>ABCD!L712</f>
        <v>-1.7887976144542019</v>
      </c>
      <c r="L663" s="89">
        <f>ABCD!M712</f>
        <v>-0.28038077350173607</v>
      </c>
      <c r="M663" s="89">
        <f>ABCD!N712</f>
        <v>1.8106380874229051</v>
      </c>
      <c r="N663" s="89" t="e">
        <v>#REF!</v>
      </c>
      <c r="O663" s="89" t="e">
        <v>#REF!</v>
      </c>
      <c r="P663" s="89" t="e">
        <v>#REF!</v>
      </c>
      <c r="Q663" s="89" t="e">
        <v>#REF!</v>
      </c>
      <c r="R663" s="89" t="e">
        <v>#REF!</v>
      </c>
      <c r="S663" s="89" t="e">
        <f>#REF!</f>
        <v>#REF!</v>
      </c>
      <c r="T663" s="89" t="e">
        <f>#REF!</f>
        <v>#REF!</v>
      </c>
      <c r="U663" s="89" t="e">
        <f>#REF!</f>
        <v>#REF!</v>
      </c>
      <c r="V663" s="89" t="e">
        <f>#REF!</f>
        <v>#REF!</v>
      </c>
      <c r="W663" s="89" t="e">
        <f>#REF!</f>
        <v>#REF!</v>
      </c>
      <c r="X663" s="89" t="e">
        <f>#REF!</f>
        <v>#REF!</v>
      </c>
      <c r="Y663" s="89" t="e">
        <f>#REF!</f>
        <v>#REF!</v>
      </c>
      <c r="Z663" s="89" t="e">
        <f>#REF!</f>
        <v>#REF!</v>
      </c>
      <c r="AA663" s="89" t="e">
        <f>#REF!</f>
        <v>#REF!</v>
      </c>
      <c r="AB663" s="89" t="e">
        <f>#REF!</f>
        <v>#REF!</v>
      </c>
      <c r="AC663" s="89" t="e">
        <f>#REF!</f>
        <v>#REF!</v>
      </c>
      <c r="AD663" s="89" t="e">
        <f>#REF!</f>
        <v>#REF!</v>
      </c>
      <c r="AE663" s="89" t="e">
        <f>#REF!</f>
        <v>#REF!</v>
      </c>
      <c r="AF663" s="89" t="e">
        <f>#REF!</f>
        <v>#REF!</v>
      </c>
      <c r="AG663" s="89" t="e">
        <f>#REF!</f>
        <v>#REF!</v>
      </c>
      <c r="AH663" s="89" t="e">
        <f>#REF!</f>
        <v>#REF!</v>
      </c>
      <c r="AI663" s="89" t="e">
        <f>#REF!</f>
        <v>#REF!</v>
      </c>
      <c r="AJ663" s="89" t="e">
        <f>#REF!</f>
        <v>#REF!</v>
      </c>
      <c r="AK663" s="89" t="e">
        <f>#REF!</f>
        <v>#REF!</v>
      </c>
      <c r="AL663" s="89" t="e">
        <f>#REF!</f>
        <v>#REF!</v>
      </c>
      <c r="AM663" s="89" t="e">
        <f>#REF!</f>
        <v>#REF!</v>
      </c>
      <c r="AN663" s="89" t="e">
        <f>#REF!</f>
        <v>#REF!</v>
      </c>
      <c r="AO663" s="89" t="e">
        <f>#REF!</f>
        <v>#REF!</v>
      </c>
      <c r="AP663" s="89" t="e">
        <f>#REF!</f>
        <v>#REF!</v>
      </c>
      <c r="AQ663" s="89" t="e">
        <f>#REF!</f>
        <v>#REF!</v>
      </c>
      <c r="AR663" s="89" t="e">
        <f>#REF!</f>
        <v>#REF!</v>
      </c>
      <c r="AS663" s="89" t="e">
        <f>#REF!</f>
        <v>#REF!</v>
      </c>
      <c r="AT663" s="89" t="e">
        <f>#REF!</f>
        <v>#REF!</v>
      </c>
      <c r="AU663" s="89" t="e">
        <f>#REF!</f>
        <v>#REF!</v>
      </c>
      <c r="AV663" s="89" t="e">
        <f>#REF!</f>
        <v>#REF!</v>
      </c>
      <c r="AW663" s="89" t="e">
        <f>#REF!</f>
        <v>#REF!</v>
      </c>
      <c r="AX663" s="89" t="e">
        <f>#REF!</f>
        <v>#REF!</v>
      </c>
      <c r="AY663" s="89" t="e">
        <f>#REF!</f>
        <v>#REF!</v>
      </c>
      <c r="AZ663" s="89" t="e">
        <f>#REF!</f>
        <v>#REF!</v>
      </c>
      <c r="BA663" s="89" t="e">
        <f>#REF!</f>
        <v>#REF!</v>
      </c>
      <c r="BB663" s="89" t="e">
        <f>#REF!</f>
        <v>#REF!</v>
      </c>
      <c r="BC663" s="89" t="e">
        <f>#REF!</f>
        <v>#REF!</v>
      </c>
      <c r="BD663" s="89" t="e">
        <f>#REF!</f>
        <v>#REF!</v>
      </c>
      <c r="BE663" s="89" t="e">
        <f>#REF!</f>
        <v>#REF!</v>
      </c>
      <c r="BF663" s="89" t="e">
        <f>#REF!</f>
        <v>#REF!</v>
      </c>
    </row>
    <row r="664" spans="9:58" x14ac:dyDescent="0.25">
      <c r="I664" s="89">
        <f>ABCD!J713</f>
        <v>165</v>
      </c>
      <c r="J664" s="89">
        <f>ABCD!K713</f>
        <v>541.19999999999993</v>
      </c>
      <c r="K664" s="89">
        <f>ABCD!L713</f>
        <v>-1.8623941320300366</v>
      </c>
      <c r="L664" s="89">
        <f>ABCD!M713</f>
        <v>-0.29405082244096059</v>
      </c>
      <c r="M664" s="89">
        <f>ABCD!N713</f>
        <v>1.8854648734988724</v>
      </c>
      <c r="N664" s="89" t="e">
        <v>#REF!</v>
      </c>
      <c r="O664" s="89" t="e">
        <v>#REF!</v>
      </c>
      <c r="P664" s="89" t="e">
        <v>#REF!</v>
      </c>
      <c r="Q664" s="89" t="e">
        <v>#REF!</v>
      </c>
      <c r="R664" s="89" t="e">
        <v>#REF!</v>
      </c>
      <c r="S664" s="89" t="e">
        <f>#REF!</f>
        <v>#REF!</v>
      </c>
      <c r="T664" s="89" t="e">
        <f>#REF!</f>
        <v>#REF!</v>
      </c>
      <c r="U664" s="89" t="e">
        <f>#REF!</f>
        <v>#REF!</v>
      </c>
      <c r="V664" s="89" t="e">
        <f>#REF!</f>
        <v>#REF!</v>
      </c>
      <c r="W664" s="89" t="e">
        <f>#REF!</f>
        <v>#REF!</v>
      </c>
      <c r="X664" s="89" t="e">
        <f>#REF!</f>
        <v>#REF!</v>
      </c>
      <c r="Y664" s="89" t="e">
        <f>#REF!</f>
        <v>#REF!</v>
      </c>
      <c r="Z664" s="89" t="e">
        <f>#REF!</f>
        <v>#REF!</v>
      </c>
      <c r="AA664" s="89" t="e">
        <f>#REF!</f>
        <v>#REF!</v>
      </c>
      <c r="AB664" s="89" t="e">
        <f>#REF!</f>
        <v>#REF!</v>
      </c>
      <c r="AC664" s="89" t="e">
        <f>#REF!</f>
        <v>#REF!</v>
      </c>
      <c r="AD664" s="89" t="e">
        <f>#REF!</f>
        <v>#REF!</v>
      </c>
      <c r="AE664" s="89" t="e">
        <f>#REF!</f>
        <v>#REF!</v>
      </c>
      <c r="AF664" s="89" t="e">
        <f>#REF!</f>
        <v>#REF!</v>
      </c>
      <c r="AG664" s="89" t="e">
        <f>#REF!</f>
        <v>#REF!</v>
      </c>
      <c r="AH664" s="89" t="e">
        <f>#REF!</f>
        <v>#REF!</v>
      </c>
      <c r="AI664" s="89" t="e">
        <f>#REF!</f>
        <v>#REF!</v>
      </c>
      <c r="AJ664" s="89" t="e">
        <f>#REF!</f>
        <v>#REF!</v>
      </c>
      <c r="AK664" s="89" t="e">
        <f>#REF!</f>
        <v>#REF!</v>
      </c>
      <c r="AL664" s="89" t="e">
        <f>#REF!</f>
        <v>#REF!</v>
      </c>
      <c r="AM664" s="89" t="e">
        <f>#REF!</f>
        <v>#REF!</v>
      </c>
      <c r="AN664" s="89" t="e">
        <f>#REF!</f>
        <v>#REF!</v>
      </c>
      <c r="AO664" s="89" t="e">
        <f>#REF!</f>
        <v>#REF!</v>
      </c>
      <c r="AP664" s="89" t="e">
        <f>#REF!</f>
        <v>#REF!</v>
      </c>
      <c r="AQ664" s="89" t="e">
        <f>#REF!</f>
        <v>#REF!</v>
      </c>
      <c r="AR664" s="89" t="e">
        <f>#REF!</f>
        <v>#REF!</v>
      </c>
      <c r="AS664" s="89" t="e">
        <f>#REF!</f>
        <v>#REF!</v>
      </c>
      <c r="AT664" s="89" t="e">
        <f>#REF!</f>
        <v>#REF!</v>
      </c>
      <c r="AU664" s="89" t="e">
        <f>#REF!</f>
        <v>#REF!</v>
      </c>
      <c r="AV664" s="89" t="e">
        <f>#REF!</f>
        <v>#REF!</v>
      </c>
      <c r="AW664" s="89" t="e">
        <f>#REF!</f>
        <v>#REF!</v>
      </c>
      <c r="AX664" s="89" t="e">
        <f>#REF!</f>
        <v>#REF!</v>
      </c>
      <c r="AY664" s="89" t="e">
        <f>#REF!</f>
        <v>#REF!</v>
      </c>
      <c r="AZ664" s="89" t="e">
        <f>#REF!</f>
        <v>#REF!</v>
      </c>
      <c r="BA664" s="89" t="e">
        <f>#REF!</f>
        <v>#REF!</v>
      </c>
      <c r="BB664" s="89" t="e">
        <f>#REF!</f>
        <v>#REF!</v>
      </c>
      <c r="BC664" s="89" t="e">
        <f>#REF!</f>
        <v>#REF!</v>
      </c>
      <c r="BD664" s="89" t="e">
        <f>#REF!</f>
        <v>#REF!</v>
      </c>
      <c r="BE664" s="89" t="e">
        <f>#REF!</f>
        <v>#REF!</v>
      </c>
      <c r="BF664" s="89" t="e">
        <f>#REF!</f>
        <v>#REF!</v>
      </c>
    </row>
    <row r="665" spans="9:58" x14ac:dyDescent="0.25">
      <c r="I665" s="89">
        <f>ABCD!J714</f>
        <v>165.25</v>
      </c>
      <c r="J665" s="89">
        <f>ABCD!K714</f>
        <v>542.02</v>
      </c>
      <c r="K665" s="89">
        <f>ABCD!L714</f>
        <v>-1.9354945254730356</v>
      </c>
      <c r="L665" s="89">
        <f>ABCD!M714</f>
        <v>-0.3076406948627084</v>
      </c>
      <c r="M665" s="89">
        <f>ABCD!N714</f>
        <v>1.9597912784966927</v>
      </c>
      <c r="N665" s="89" t="e">
        <v>#REF!</v>
      </c>
      <c r="O665" s="89" t="e">
        <v>#REF!</v>
      </c>
      <c r="P665" s="89" t="e">
        <v>#REF!</v>
      </c>
      <c r="Q665" s="89" t="e">
        <v>#REF!</v>
      </c>
      <c r="R665" s="89" t="e">
        <v>#REF!</v>
      </c>
      <c r="S665" s="89" t="e">
        <f>#REF!</f>
        <v>#REF!</v>
      </c>
      <c r="T665" s="89" t="e">
        <f>#REF!</f>
        <v>#REF!</v>
      </c>
      <c r="U665" s="89" t="e">
        <f>#REF!</f>
        <v>#REF!</v>
      </c>
      <c r="V665" s="89" t="e">
        <f>#REF!</f>
        <v>#REF!</v>
      </c>
      <c r="W665" s="89" t="e">
        <f>#REF!</f>
        <v>#REF!</v>
      </c>
      <c r="X665" s="89" t="e">
        <f>#REF!</f>
        <v>#REF!</v>
      </c>
      <c r="Y665" s="89" t="e">
        <f>#REF!</f>
        <v>#REF!</v>
      </c>
      <c r="Z665" s="89" t="e">
        <f>#REF!</f>
        <v>#REF!</v>
      </c>
      <c r="AA665" s="89" t="e">
        <f>#REF!</f>
        <v>#REF!</v>
      </c>
      <c r="AB665" s="89" t="e">
        <f>#REF!</f>
        <v>#REF!</v>
      </c>
      <c r="AC665" s="89" t="e">
        <f>#REF!</f>
        <v>#REF!</v>
      </c>
      <c r="AD665" s="89" t="e">
        <f>#REF!</f>
        <v>#REF!</v>
      </c>
      <c r="AE665" s="89" t="e">
        <f>#REF!</f>
        <v>#REF!</v>
      </c>
      <c r="AF665" s="89" t="e">
        <f>#REF!</f>
        <v>#REF!</v>
      </c>
      <c r="AG665" s="89" t="e">
        <f>#REF!</f>
        <v>#REF!</v>
      </c>
      <c r="AH665" s="89" t="e">
        <f>#REF!</f>
        <v>#REF!</v>
      </c>
      <c r="AI665" s="89" t="e">
        <f>#REF!</f>
        <v>#REF!</v>
      </c>
      <c r="AJ665" s="89" t="e">
        <f>#REF!</f>
        <v>#REF!</v>
      </c>
      <c r="AK665" s="89" t="e">
        <f>#REF!</f>
        <v>#REF!</v>
      </c>
      <c r="AL665" s="89" t="e">
        <f>#REF!</f>
        <v>#REF!</v>
      </c>
      <c r="AM665" s="89" t="e">
        <f>#REF!</f>
        <v>#REF!</v>
      </c>
      <c r="AN665" s="89" t="e">
        <f>#REF!</f>
        <v>#REF!</v>
      </c>
      <c r="AO665" s="89" t="e">
        <f>#REF!</f>
        <v>#REF!</v>
      </c>
      <c r="AP665" s="89" t="e">
        <f>#REF!</f>
        <v>#REF!</v>
      </c>
      <c r="AQ665" s="89" t="e">
        <f>#REF!</f>
        <v>#REF!</v>
      </c>
      <c r="AR665" s="89" t="e">
        <f>#REF!</f>
        <v>#REF!</v>
      </c>
      <c r="AS665" s="89" t="e">
        <f>#REF!</f>
        <v>#REF!</v>
      </c>
      <c r="AT665" s="89" t="e">
        <f>#REF!</f>
        <v>#REF!</v>
      </c>
      <c r="AU665" s="89" t="e">
        <f>#REF!</f>
        <v>#REF!</v>
      </c>
      <c r="AV665" s="89" t="e">
        <f>#REF!</f>
        <v>#REF!</v>
      </c>
      <c r="AW665" s="89" t="e">
        <f>#REF!</f>
        <v>#REF!</v>
      </c>
      <c r="AX665" s="89" t="e">
        <f>#REF!</f>
        <v>#REF!</v>
      </c>
      <c r="AY665" s="89" t="e">
        <f>#REF!</f>
        <v>#REF!</v>
      </c>
      <c r="AZ665" s="89" t="e">
        <f>#REF!</f>
        <v>#REF!</v>
      </c>
      <c r="BA665" s="89" t="e">
        <f>#REF!</f>
        <v>#REF!</v>
      </c>
      <c r="BB665" s="89" t="e">
        <f>#REF!</f>
        <v>#REF!</v>
      </c>
      <c r="BC665" s="89" t="e">
        <f>#REF!</f>
        <v>#REF!</v>
      </c>
      <c r="BD665" s="89" t="e">
        <f>#REF!</f>
        <v>#REF!</v>
      </c>
      <c r="BE665" s="89" t="e">
        <f>#REF!</f>
        <v>#REF!</v>
      </c>
      <c r="BF665" s="89" t="e">
        <f>#REF!</f>
        <v>#REF!</v>
      </c>
    </row>
    <row r="666" spans="9:58" x14ac:dyDescent="0.25">
      <c r="I666" s="89">
        <f>ABCD!J715</f>
        <v>165.5</v>
      </c>
      <c r="J666" s="89">
        <f>ABCD!K715</f>
        <v>542.83999999999992</v>
      </c>
      <c r="K666" s="89">
        <f>ABCD!L715</f>
        <v>-2.0080823665205934</v>
      </c>
      <c r="L666" s="89">
        <f>ABCD!M715</f>
        <v>-0.3211473257926194</v>
      </c>
      <c r="M666" s="89">
        <f>ABCD!N715</f>
        <v>2.0336003529687678</v>
      </c>
      <c r="N666" s="89" t="e">
        <v>#REF!</v>
      </c>
      <c r="O666" s="89" t="e">
        <v>#REF!</v>
      </c>
      <c r="P666" s="89" t="e">
        <v>#REF!</v>
      </c>
      <c r="Q666" s="89" t="e">
        <v>#REF!</v>
      </c>
      <c r="R666" s="89" t="e">
        <v>#REF!</v>
      </c>
      <c r="S666" s="89" t="e">
        <f>#REF!</f>
        <v>#REF!</v>
      </c>
      <c r="T666" s="89" t="e">
        <f>#REF!</f>
        <v>#REF!</v>
      </c>
      <c r="U666" s="89" t="e">
        <f>#REF!</f>
        <v>#REF!</v>
      </c>
      <c r="V666" s="89" t="e">
        <f>#REF!</f>
        <v>#REF!</v>
      </c>
      <c r="W666" s="89" t="e">
        <f>#REF!</f>
        <v>#REF!</v>
      </c>
      <c r="X666" s="89" t="e">
        <f>#REF!</f>
        <v>#REF!</v>
      </c>
      <c r="Y666" s="89" t="e">
        <f>#REF!</f>
        <v>#REF!</v>
      </c>
      <c r="Z666" s="89" t="e">
        <f>#REF!</f>
        <v>#REF!</v>
      </c>
      <c r="AA666" s="89" t="e">
        <f>#REF!</f>
        <v>#REF!</v>
      </c>
      <c r="AB666" s="89" t="e">
        <f>#REF!</f>
        <v>#REF!</v>
      </c>
      <c r="AC666" s="89" t="e">
        <f>#REF!</f>
        <v>#REF!</v>
      </c>
      <c r="AD666" s="89" t="e">
        <f>#REF!</f>
        <v>#REF!</v>
      </c>
      <c r="AE666" s="89" t="e">
        <f>#REF!</f>
        <v>#REF!</v>
      </c>
      <c r="AF666" s="89" t="e">
        <f>#REF!</f>
        <v>#REF!</v>
      </c>
      <c r="AG666" s="89" t="e">
        <f>#REF!</f>
        <v>#REF!</v>
      </c>
      <c r="AH666" s="89" t="e">
        <f>#REF!</f>
        <v>#REF!</v>
      </c>
      <c r="AI666" s="89" t="e">
        <f>#REF!</f>
        <v>#REF!</v>
      </c>
      <c r="AJ666" s="89" t="e">
        <f>#REF!</f>
        <v>#REF!</v>
      </c>
      <c r="AK666" s="89" t="e">
        <f>#REF!</f>
        <v>#REF!</v>
      </c>
      <c r="AL666" s="89" t="e">
        <f>#REF!</f>
        <v>#REF!</v>
      </c>
      <c r="AM666" s="89" t="e">
        <f>#REF!</f>
        <v>#REF!</v>
      </c>
      <c r="AN666" s="89" t="e">
        <f>#REF!</f>
        <v>#REF!</v>
      </c>
      <c r="AO666" s="89" t="e">
        <f>#REF!</f>
        <v>#REF!</v>
      </c>
      <c r="AP666" s="89" t="e">
        <f>#REF!</f>
        <v>#REF!</v>
      </c>
      <c r="AQ666" s="89" t="e">
        <f>#REF!</f>
        <v>#REF!</v>
      </c>
      <c r="AR666" s="89" t="e">
        <f>#REF!</f>
        <v>#REF!</v>
      </c>
      <c r="AS666" s="89" t="e">
        <f>#REF!</f>
        <v>#REF!</v>
      </c>
      <c r="AT666" s="89" t="e">
        <f>#REF!</f>
        <v>#REF!</v>
      </c>
      <c r="AU666" s="89" t="e">
        <f>#REF!</f>
        <v>#REF!</v>
      </c>
      <c r="AV666" s="89" t="e">
        <f>#REF!</f>
        <v>#REF!</v>
      </c>
      <c r="AW666" s="89" t="e">
        <f>#REF!</f>
        <v>#REF!</v>
      </c>
      <c r="AX666" s="89" t="e">
        <f>#REF!</f>
        <v>#REF!</v>
      </c>
      <c r="AY666" s="89" t="e">
        <f>#REF!</f>
        <v>#REF!</v>
      </c>
      <c r="AZ666" s="89" t="e">
        <f>#REF!</f>
        <v>#REF!</v>
      </c>
      <c r="BA666" s="89" t="e">
        <f>#REF!</f>
        <v>#REF!</v>
      </c>
      <c r="BB666" s="89" t="e">
        <f>#REF!</f>
        <v>#REF!</v>
      </c>
      <c r="BC666" s="89" t="e">
        <f>#REF!</f>
        <v>#REF!</v>
      </c>
      <c r="BD666" s="89" t="e">
        <f>#REF!</f>
        <v>#REF!</v>
      </c>
      <c r="BE666" s="89" t="e">
        <f>#REF!</f>
        <v>#REF!</v>
      </c>
      <c r="BF666" s="89" t="e">
        <f>#REF!</f>
        <v>#REF!</v>
      </c>
    </row>
    <row r="667" spans="9:58" x14ac:dyDescent="0.25">
      <c r="I667" s="89">
        <f>ABCD!J716</f>
        <v>165.75</v>
      </c>
      <c r="J667" s="89">
        <f>ABCD!K716</f>
        <v>543.66</v>
      </c>
      <c r="K667" s="89">
        <f>ABCD!L716</f>
        <v>-2.0801413600070493</v>
      </c>
      <c r="L667" s="89">
        <f>ABCD!M716</f>
        <v>-0.33456767222911887</v>
      </c>
      <c r="M667" s="89">
        <f>ABCD!N716</f>
        <v>2.1068753178374813</v>
      </c>
      <c r="N667" s="89" t="e">
        <v>#REF!</v>
      </c>
      <c r="O667" s="89" t="e">
        <v>#REF!</v>
      </c>
      <c r="P667" s="89" t="e">
        <v>#REF!</v>
      </c>
      <c r="Q667" s="89" t="e">
        <v>#REF!</v>
      </c>
      <c r="R667" s="89" t="e">
        <v>#REF!</v>
      </c>
      <c r="S667" s="89" t="e">
        <f>#REF!</f>
        <v>#REF!</v>
      </c>
      <c r="T667" s="89" t="e">
        <f>#REF!</f>
        <v>#REF!</v>
      </c>
      <c r="U667" s="89" t="e">
        <f>#REF!</f>
        <v>#REF!</v>
      </c>
      <c r="V667" s="89" t="e">
        <f>#REF!</f>
        <v>#REF!</v>
      </c>
      <c r="W667" s="89" t="e">
        <f>#REF!</f>
        <v>#REF!</v>
      </c>
      <c r="X667" s="89" t="e">
        <f>#REF!</f>
        <v>#REF!</v>
      </c>
      <c r="Y667" s="89" t="e">
        <f>#REF!</f>
        <v>#REF!</v>
      </c>
      <c r="Z667" s="89" t="e">
        <f>#REF!</f>
        <v>#REF!</v>
      </c>
      <c r="AA667" s="89" t="e">
        <f>#REF!</f>
        <v>#REF!</v>
      </c>
      <c r="AB667" s="89" t="e">
        <f>#REF!</f>
        <v>#REF!</v>
      </c>
      <c r="AC667" s="89" t="e">
        <f>#REF!</f>
        <v>#REF!</v>
      </c>
      <c r="AD667" s="89" t="e">
        <f>#REF!</f>
        <v>#REF!</v>
      </c>
      <c r="AE667" s="89" t="e">
        <f>#REF!</f>
        <v>#REF!</v>
      </c>
      <c r="AF667" s="89" t="e">
        <f>#REF!</f>
        <v>#REF!</v>
      </c>
      <c r="AG667" s="89" t="e">
        <f>#REF!</f>
        <v>#REF!</v>
      </c>
      <c r="AH667" s="89" t="e">
        <f>#REF!</f>
        <v>#REF!</v>
      </c>
      <c r="AI667" s="89" t="e">
        <f>#REF!</f>
        <v>#REF!</v>
      </c>
      <c r="AJ667" s="89" t="e">
        <f>#REF!</f>
        <v>#REF!</v>
      </c>
      <c r="AK667" s="89" t="e">
        <f>#REF!</f>
        <v>#REF!</v>
      </c>
      <c r="AL667" s="89" t="e">
        <f>#REF!</f>
        <v>#REF!</v>
      </c>
      <c r="AM667" s="89" t="e">
        <f>#REF!</f>
        <v>#REF!</v>
      </c>
      <c r="AN667" s="89" t="e">
        <f>#REF!</f>
        <v>#REF!</v>
      </c>
      <c r="AO667" s="89" t="e">
        <f>#REF!</f>
        <v>#REF!</v>
      </c>
      <c r="AP667" s="89" t="e">
        <f>#REF!</f>
        <v>#REF!</v>
      </c>
      <c r="AQ667" s="89" t="e">
        <f>#REF!</f>
        <v>#REF!</v>
      </c>
      <c r="AR667" s="89" t="e">
        <f>#REF!</f>
        <v>#REF!</v>
      </c>
      <c r="AS667" s="89" t="e">
        <f>#REF!</f>
        <v>#REF!</v>
      </c>
      <c r="AT667" s="89" t="e">
        <f>#REF!</f>
        <v>#REF!</v>
      </c>
      <c r="AU667" s="89" t="e">
        <f>#REF!</f>
        <v>#REF!</v>
      </c>
      <c r="AV667" s="89" t="e">
        <f>#REF!</f>
        <v>#REF!</v>
      </c>
      <c r="AW667" s="89" t="e">
        <f>#REF!</f>
        <v>#REF!</v>
      </c>
      <c r="AX667" s="89" t="e">
        <f>#REF!</f>
        <v>#REF!</v>
      </c>
      <c r="AY667" s="89" t="e">
        <f>#REF!</f>
        <v>#REF!</v>
      </c>
      <c r="AZ667" s="89" t="e">
        <f>#REF!</f>
        <v>#REF!</v>
      </c>
      <c r="BA667" s="89" t="e">
        <f>#REF!</f>
        <v>#REF!</v>
      </c>
      <c r="BB667" s="89" t="e">
        <f>#REF!</f>
        <v>#REF!</v>
      </c>
      <c r="BC667" s="89" t="e">
        <f>#REF!</f>
        <v>#REF!</v>
      </c>
      <c r="BD667" s="89" t="e">
        <f>#REF!</f>
        <v>#REF!</v>
      </c>
      <c r="BE667" s="89" t="e">
        <f>#REF!</f>
        <v>#REF!</v>
      </c>
      <c r="BF667" s="89" t="e">
        <f>#REF!</f>
        <v>#REF!</v>
      </c>
    </row>
    <row r="668" spans="9:58" x14ac:dyDescent="0.25">
      <c r="I668" s="89">
        <f>ABCD!J717</f>
        <v>166</v>
      </c>
      <c r="J668" s="89">
        <f>ABCD!K717</f>
        <v>544.48</v>
      </c>
      <c r="K668" s="89">
        <f>ABCD!L717</f>
        <v>-2.1516553475055193</v>
      </c>
      <c r="L668" s="89">
        <f>ABCD!M717</f>
        <v>-0.34789871382611093</v>
      </c>
      <c r="M668" s="89">
        <f>ABCD!N717</f>
        <v>2.1795995617385682</v>
      </c>
      <c r="N668" s="89" t="e">
        <v>#REF!</v>
      </c>
      <c r="O668" s="89" t="e">
        <v>#REF!</v>
      </c>
      <c r="P668" s="89" t="e">
        <v>#REF!</v>
      </c>
      <c r="Q668" s="89" t="e">
        <v>#REF!</v>
      </c>
      <c r="R668" s="89" t="e">
        <v>#REF!</v>
      </c>
      <c r="S668" s="89" t="e">
        <f>#REF!</f>
        <v>#REF!</v>
      </c>
      <c r="T668" s="89" t="e">
        <f>#REF!</f>
        <v>#REF!</v>
      </c>
      <c r="U668" s="89" t="e">
        <f>#REF!</f>
        <v>#REF!</v>
      </c>
      <c r="V668" s="89" t="e">
        <f>#REF!</f>
        <v>#REF!</v>
      </c>
      <c r="W668" s="89" t="e">
        <f>#REF!</f>
        <v>#REF!</v>
      </c>
      <c r="X668" s="89" t="e">
        <f>#REF!</f>
        <v>#REF!</v>
      </c>
      <c r="Y668" s="89" t="e">
        <f>#REF!</f>
        <v>#REF!</v>
      </c>
      <c r="Z668" s="89" t="e">
        <f>#REF!</f>
        <v>#REF!</v>
      </c>
      <c r="AA668" s="89" t="e">
        <f>#REF!</f>
        <v>#REF!</v>
      </c>
      <c r="AB668" s="89" t="e">
        <f>#REF!</f>
        <v>#REF!</v>
      </c>
      <c r="AC668" s="89" t="e">
        <f>#REF!</f>
        <v>#REF!</v>
      </c>
      <c r="AD668" s="89" t="e">
        <f>#REF!</f>
        <v>#REF!</v>
      </c>
      <c r="AE668" s="89" t="e">
        <f>#REF!</f>
        <v>#REF!</v>
      </c>
      <c r="AF668" s="89" t="e">
        <f>#REF!</f>
        <v>#REF!</v>
      </c>
      <c r="AG668" s="89" t="e">
        <f>#REF!</f>
        <v>#REF!</v>
      </c>
      <c r="AH668" s="89" t="e">
        <f>#REF!</f>
        <v>#REF!</v>
      </c>
      <c r="AI668" s="89" t="e">
        <f>#REF!</f>
        <v>#REF!</v>
      </c>
      <c r="AJ668" s="89" t="e">
        <f>#REF!</f>
        <v>#REF!</v>
      </c>
      <c r="AK668" s="89" t="e">
        <f>#REF!</f>
        <v>#REF!</v>
      </c>
      <c r="AL668" s="89" t="e">
        <f>#REF!</f>
        <v>#REF!</v>
      </c>
      <c r="AM668" s="89" t="e">
        <f>#REF!</f>
        <v>#REF!</v>
      </c>
      <c r="AN668" s="89" t="e">
        <f>#REF!</f>
        <v>#REF!</v>
      </c>
      <c r="AO668" s="89" t="e">
        <f>#REF!</f>
        <v>#REF!</v>
      </c>
      <c r="AP668" s="89" t="e">
        <f>#REF!</f>
        <v>#REF!</v>
      </c>
      <c r="AQ668" s="89" t="e">
        <f>#REF!</f>
        <v>#REF!</v>
      </c>
      <c r="AR668" s="89" t="e">
        <f>#REF!</f>
        <v>#REF!</v>
      </c>
      <c r="AS668" s="89" t="e">
        <f>#REF!</f>
        <v>#REF!</v>
      </c>
      <c r="AT668" s="89" t="e">
        <f>#REF!</f>
        <v>#REF!</v>
      </c>
      <c r="AU668" s="89" t="e">
        <f>#REF!</f>
        <v>#REF!</v>
      </c>
      <c r="AV668" s="89" t="e">
        <f>#REF!</f>
        <v>#REF!</v>
      </c>
      <c r="AW668" s="89" t="e">
        <f>#REF!</f>
        <v>#REF!</v>
      </c>
      <c r="AX668" s="89" t="e">
        <f>#REF!</f>
        <v>#REF!</v>
      </c>
      <c r="AY668" s="89" t="e">
        <f>#REF!</f>
        <v>#REF!</v>
      </c>
      <c r="AZ668" s="89" t="e">
        <f>#REF!</f>
        <v>#REF!</v>
      </c>
      <c r="BA668" s="89" t="e">
        <f>#REF!</f>
        <v>#REF!</v>
      </c>
      <c r="BB668" s="89" t="e">
        <f>#REF!</f>
        <v>#REF!</v>
      </c>
      <c r="BC668" s="89" t="e">
        <f>#REF!</f>
        <v>#REF!</v>
      </c>
      <c r="BD668" s="89" t="e">
        <f>#REF!</f>
        <v>#REF!</v>
      </c>
      <c r="BE668" s="89" t="e">
        <f>#REF!</f>
        <v>#REF!</v>
      </c>
      <c r="BF668" s="89" t="e">
        <f>#REF!</f>
        <v>#REF!</v>
      </c>
    </row>
    <row r="669" spans="9:58" x14ac:dyDescent="0.25">
      <c r="I669" s="89">
        <f>ABCD!J718</f>
        <v>166.25</v>
      </c>
      <c r="J669" s="89">
        <f>ABCD!K718</f>
        <v>545.29999999999995</v>
      </c>
      <c r="K669" s="89">
        <f>ABCD!L718</f>
        <v>-2.222608310934937</v>
      </c>
      <c r="L669" s="89">
        <f>ABCD!M718</f>
        <v>-0.36113745356981086</v>
      </c>
      <c r="M669" s="89">
        <f>ABCD!N718</f>
        <v>2.2517566396500182</v>
      </c>
      <c r="N669" s="89" t="e">
        <v>#REF!</v>
      </c>
      <c r="O669" s="89" t="e">
        <v>#REF!</v>
      </c>
      <c r="P669" s="89" t="e">
        <v>#REF!</v>
      </c>
      <c r="Q669" s="89" t="e">
        <v>#REF!</v>
      </c>
      <c r="R669" s="89" t="e">
        <v>#REF!</v>
      </c>
      <c r="S669" s="89" t="e">
        <f>#REF!</f>
        <v>#REF!</v>
      </c>
      <c r="T669" s="89" t="e">
        <f>#REF!</f>
        <v>#REF!</v>
      </c>
      <c r="U669" s="89" t="e">
        <f>#REF!</f>
        <v>#REF!</v>
      </c>
      <c r="V669" s="89" t="e">
        <f>#REF!</f>
        <v>#REF!</v>
      </c>
      <c r="W669" s="89" t="e">
        <f>#REF!</f>
        <v>#REF!</v>
      </c>
      <c r="X669" s="89" t="e">
        <f>#REF!</f>
        <v>#REF!</v>
      </c>
      <c r="Y669" s="89" t="e">
        <f>#REF!</f>
        <v>#REF!</v>
      </c>
      <c r="Z669" s="89" t="e">
        <f>#REF!</f>
        <v>#REF!</v>
      </c>
      <c r="AA669" s="89" t="e">
        <f>#REF!</f>
        <v>#REF!</v>
      </c>
      <c r="AB669" s="89" t="e">
        <f>#REF!</f>
        <v>#REF!</v>
      </c>
      <c r="AC669" s="89" t="e">
        <f>#REF!</f>
        <v>#REF!</v>
      </c>
      <c r="AD669" s="89" t="e">
        <f>#REF!</f>
        <v>#REF!</v>
      </c>
      <c r="AE669" s="89" t="e">
        <f>#REF!</f>
        <v>#REF!</v>
      </c>
      <c r="AF669" s="89" t="e">
        <f>#REF!</f>
        <v>#REF!</v>
      </c>
      <c r="AG669" s="89" t="e">
        <f>#REF!</f>
        <v>#REF!</v>
      </c>
      <c r="AH669" s="89" t="e">
        <f>#REF!</f>
        <v>#REF!</v>
      </c>
      <c r="AI669" s="89" t="e">
        <f>#REF!</f>
        <v>#REF!</v>
      </c>
      <c r="AJ669" s="89" t="e">
        <f>#REF!</f>
        <v>#REF!</v>
      </c>
      <c r="AK669" s="89" t="e">
        <f>#REF!</f>
        <v>#REF!</v>
      </c>
      <c r="AL669" s="89" t="e">
        <f>#REF!</f>
        <v>#REF!</v>
      </c>
      <c r="AM669" s="89" t="e">
        <f>#REF!</f>
        <v>#REF!</v>
      </c>
      <c r="AN669" s="89" t="e">
        <f>#REF!</f>
        <v>#REF!</v>
      </c>
      <c r="AO669" s="89" t="e">
        <f>#REF!</f>
        <v>#REF!</v>
      </c>
      <c r="AP669" s="89" t="e">
        <f>#REF!</f>
        <v>#REF!</v>
      </c>
      <c r="AQ669" s="89" t="e">
        <f>#REF!</f>
        <v>#REF!</v>
      </c>
      <c r="AR669" s="89" t="e">
        <f>#REF!</f>
        <v>#REF!</v>
      </c>
      <c r="AS669" s="89" t="e">
        <f>#REF!</f>
        <v>#REF!</v>
      </c>
      <c r="AT669" s="89" t="e">
        <f>#REF!</f>
        <v>#REF!</v>
      </c>
      <c r="AU669" s="89" t="e">
        <f>#REF!</f>
        <v>#REF!</v>
      </c>
      <c r="AV669" s="89" t="e">
        <f>#REF!</f>
        <v>#REF!</v>
      </c>
      <c r="AW669" s="89" t="e">
        <f>#REF!</f>
        <v>#REF!</v>
      </c>
      <c r="AX669" s="89" t="e">
        <f>#REF!</f>
        <v>#REF!</v>
      </c>
      <c r="AY669" s="89" t="e">
        <f>#REF!</f>
        <v>#REF!</v>
      </c>
      <c r="AZ669" s="89" t="e">
        <f>#REF!</f>
        <v>#REF!</v>
      </c>
      <c r="BA669" s="89" t="e">
        <f>#REF!</f>
        <v>#REF!</v>
      </c>
      <c r="BB669" s="89" t="e">
        <f>#REF!</f>
        <v>#REF!</v>
      </c>
      <c r="BC669" s="89" t="e">
        <f>#REF!</f>
        <v>#REF!</v>
      </c>
      <c r="BD669" s="89" t="e">
        <f>#REF!</f>
        <v>#REF!</v>
      </c>
      <c r="BE669" s="89" t="e">
        <f>#REF!</f>
        <v>#REF!</v>
      </c>
      <c r="BF669" s="89" t="e">
        <f>#REF!</f>
        <v>#REF!</v>
      </c>
    </row>
    <row r="670" spans="9:58" x14ac:dyDescent="0.25">
      <c r="I670" s="89">
        <f>ABCD!J719</f>
        <v>166.5</v>
      </c>
      <c r="J670" s="89">
        <f>ABCD!K719</f>
        <v>546.12</v>
      </c>
      <c r="K670" s="89">
        <f>ABCD!L719</f>
        <v>-2.2929843761314208</v>
      </c>
      <c r="L670" s="89">
        <f>ABCD!M719</f>
        <v>-0.37428091844959344</v>
      </c>
      <c r="M670" s="89">
        <f>ABCD!N719</f>
        <v>2.3233302724964164</v>
      </c>
      <c r="N670" s="89" t="e">
        <v>#REF!</v>
      </c>
      <c r="O670" s="89" t="e">
        <v>#REF!</v>
      </c>
      <c r="P670" s="89" t="e">
        <v>#REF!</v>
      </c>
      <c r="Q670" s="89" t="e">
        <v>#REF!</v>
      </c>
      <c r="R670" s="89" t="e">
        <v>#REF!</v>
      </c>
      <c r="S670" s="89" t="e">
        <f>#REF!</f>
        <v>#REF!</v>
      </c>
      <c r="T670" s="89" t="e">
        <f>#REF!</f>
        <v>#REF!</v>
      </c>
      <c r="U670" s="89" t="e">
        <f>#REF!</f>
        <v>#REF!</v>
      </c>
      <c r="V670" s="89" t="e">
        <f>#REF!</f>
        <v>#REF!</v>
      </c>
      <c r="W670" s="89" t="e">
        <f>#REF!</f>
        <v>#REF!</v>
      </c>
      <c r="X670" s="89" t="e">
        <f>#REF!</f>
        <v>#REF!</v>
      </c>
      <c r="Y670" s="89" t="e">
        <f>#REF!</f>
        <v>#REF!</v>
      </c>
      <c r="Z670" s="89" t="e">
        <f>#REF!</f>
        <v>#REF!</v>
      </c>
      <c r="AA670" s="89" t="e">
        <f>#REF!</f>
        <v>#REF!</v>
      </c>
      <c r="AB670" s="89" t="e">
        <f>#REF!</f>
        <v>#REF!</v>
      </c>
      <c r="AC670" s="89" t="e">
        <f>#REF!</f>
        <v>#REF!</v>
      </c>
      <c r="AD670" s="89" t="e">
        <f>#REF!</f>
        <v>#REF!</v>
      </c>
      <c r="AE670" s="89" t="e">
        <f>#REF!</f>
        <v>#REF!</v>
      </c>
      <c r="AF670" s="89" t="e">
        <f>#REF!</f>
        <v>#REF!</v>
      </c>
      <c r="AG670" s="89" t="e">
        <f>#REF!</f>
        <v>#REF!</v>
      </c>
      <c r="AH670" s="89" t="e">
        <f>#REF!</f>
        <v>#REF!</v>
      </c>
      <c r="AI670" s="89" t="e">
        <f>#REF!</f>
        <v>#REF!</v>
      </c>
      <c r="AJ670" s="89" t="e">
        <f>#REF!</f>
        <v>#REF!</v>
      </c>
      <c r="AK670" s="89" t="e">
        <f>#REF!</f>
        <v>#REF!</v>
      </c>
      <c r="AL670" s="89" t="e">
        <f>#REF!</f>
        <v>#REF!</v>
      </c>
      <c r="AM670" s="89" t="e">
        <f>#REF!</f>
        <v>#REF!</v>
      </c>
      <c r="AN670" s="89" t="e">
        <f>#REF!</f>
        <v>#REF!</v>
      </c>
      <c r="AO670" s="89" t="e">
        <f>#REF!</f>
        <v>#REF!</v>
      </c>
      <c r="AP670" s="89" t="e">
        <f>#REF!</f>
        <v>#REF!</v>
      </c>
      <c r="AQ670" s="89" t="e">
        <f>#REF!</f>
        <v>#REF!</v>
      </c>
      <c r="AR670" s="89" t="e">
        <f>#REF!</f>
        <v>#REF!</v>
      </c>
      <c r="AS670" s="89" t="e">
        <f>#REF!</f>
        <v>#REF!</v>
      </c>
      <c r="AT670" s="89" t="e">
        <f>#REF!</f>
        <v>#REF!</v>
      </c>
      <c r="AU670" s="89" t="e">
        <f>#REF!</f>
        <v>#REF!</v>
      </c>
      <c r="AV670" s="89" t="e">
        <f>#REF!</f>
        <v>#REF!</v>
      </c>
      <c r="AW670" s="89" t="e">
        <f>#REF!</f>
        <v>#REF!</v>
      </c>
      <c r="AX670" s="89" t="e">
        <f>#REF!</f>
        <v>#REF!</v>
      </c>
      <c r="AY670" s="89" t="e">
        <f>#REF!</f>
        <v>#REF!</v>
      </c>
      <c r="AZ670" s="89" t="e">
        <f>#REF!</f>
        <v>#REF!</v>
      </c>
      <c r="BA670" s="89" t="e">
        <f>#REF!</f>
        <v>#REF!</v>
      </c>
      <c r="BB670" s="89" t="e">
        <f>#REF!</f>
        <v>#REF!</v>
      </c>
      <c r="BC670" s="89" t="e">
        <f>#REF!</f>
        <v>#REF!</v>
      </c>
      <c r="BD670" s="89" t="e">
        <f>#REF!</f>
        <v>#REF!</v>
      </c>
      <c r="BE670" s="89" t="e">
        <f>#REF!</f>
        <v>#REF!</v>
      </c>
      <c r="BF670" s="89" t="e">
        <f>#REF!</f>
        <v>#REF!</v>
      </c>
    </row>
    <row r="671" spans="9:58" x14ac:dyDescent="0.25">
      <c r="I671" s="89">
        <f>ABCD!J720</f>
        <v>166.75</v>
      </c>
      <c r="J671" s="89">
        <f>ABCD!K720</f>
        <v>546.93999999999994</v>
      </c>
      <c r="K671" s="89">
        <f>ABCD!L720</f>
        <v>-2.3627678163832218</v>
      </c>
      <c r="L671" s="89">
        <f>ABCD!M720</f>
        <v>-0.38732616012269538</v>
      </c>
      <c r="M671" s="89">
        <f>ABCD!N720</f>
        <v>2.3943043474988155</v>
      </c>
      <c r="N671" s="89" t="e">
        <v>#REF!</v>
      </c>
      <c r="O671" s="89" t="e">
        <v>#REF!</v>
      </c>
      <c r="P671" s="89" t="e">
        <v>#REF!</v>
      </c>
      <c r="Q671" s="89" t="e">
        <v>#REF!</v>
      </c>
      <c r="R671" s="89" t="e">
        <v>#REF!</v>
      </c>
      <c r="S671" s="89" t="e">
        <f>#REF!</f>
        <v>#REF!</v>
      </c>
      <c r="T671" s="89" t="e">
        <f>#REF!</f>
        <v>#REF!</v>
      </c>
      <c r="U671" s="89" t="e">
        <f>#REF!</f>
        <v>#REF!</v>
      </c>
      <c r="V671" s="89" t="e">
        <f>#REF!</f>
        <v>#REF!</v>
      </c>
      <c r="W671" s="89" t="e">
        <f>#REF!</f>
        <v>#REF!</v>
      </c>
      <c r="X671" s="89" t="e">
        <f>#REF!</f>
        <v>#REF!</v>
      </c>
      <c r="Y671" s="89" t="e">
        <f>#REF!</f>
        <v>#REF!</v>
      </c>
      <c r="Z671" s="89" t="e">
        <f>#REF!</f>
        <v>#REF!</v>
      </c>
      <c r="AA671" s="89" t="e">
        <f>#REF!</f>
        <v>#REF!</v>
      </c>
      <c r="AB671" s="89" t="e">
        <f>#REF!</f>
        <v>#REF!</v>
      </c>
      <c r="AC671" s="89" t="e">
        <f>#REF!</f>
        <v>#REF!</v>
      </c>
      <c r="AD671" s="89" t="e">
        <f>#REF!</f>
        <v>#REF!</v>
      </c>
      <c r="AE671" s="89" t="e">
        <f>#REF!</f>
        <v>#REF!</v>
      </c>
      <c r="AF671" s="89" t="e">
        <f>#REF!</f>
        <v>#REF!</v>
      </c>
      <c r="AG671" s="89" t="e">
        <f>#REF!</f>
        <v>#REF!</v>
      </c>
      <c r="AH671" s="89" t="e">
        <f>#REF!</f>
        <v>#REF!</v>
      </c>
      <c r="AI671" s="89" t="e">
        <f>#REF!</f>
        <v>#REF!</v>
      </c>
      <c r="AJ671" s="89" t="e">
        <f>#REF!</f>
        <v>#REF!</v>
      </c>
      <c r="AK671" s="89" t="e">
        <f>#REF!</f>
        <v>#REF!</v>
      </c>
      <c r="AL671" s="89" t="e">
        <f>#REF!</f>
        <v>#REF!</v>
      </c>
      <c r="AM671" s="89" t="e">
        <f>#REF!</f>
        <v>#REF!</v>
      </c>
      <c r="AN671" s="89" t="e">
        <f>#REF!</f>
        <v>#REF!</v>
      </c>
      <c r="AO671" s="89" t="e">
        <f>#REF!</f>
        <v>#REF!</v>
      </c>
      <c r="AP671" s="89" t="e">
        <f>#REF!</f>
        <v>#REF!</v>
      </c>
      <c r="AQ671" s="89" t="e">
        <f>#REF!</f>
        <v>#REF!</v>
      </c>
      <c r="AR671" s="89" t="e">
        <f>#REF!</f>
        <v>#REF!</v>
      </c>
      <c r="AS671" s="89" t="e">
        <f>#REF!</f>
        <v>#REF!</v>
      </c>
      <c r="AT671" s="89" t="e">
        <f>#REF!</f>
        <v>#REF!</v>
      </c>
      <c r="AU671" s="89" t="e">
        <f>#REF!</f>
        <v>#REF!</v>
      </c>
      <c r="AV671" s="89" t="e">
        <f>#REF!</f>
        <v>#REF!</v>
      </c>
      <c r="AW671" s="89" t="e">
        <f>#REF!</f>
        <v>#REF!</v>
      </c>
      <c r="AX671" s="89" t="e">
        <f>#REF!</f>
        <v>#REF!</v>
      </c>
      <c r="AY671" s="89" t="e">
        <f>#REF!</f>
        <v>#REF!</v>
      </c>
      <c r="AZ671" s="89" t="e">
        <f>#REF!</f>
        <v>#REF!</v>
      </c>
      <c r="BA671" s="89" t="e">
        <f>#REF!</f>
        <v>#REF!</v>
      </c>
      <c r="BB671" s="89" t="e">
        <f>#REF!</f>
        <v>#REF!</v>
      </c>
      <c r="BC671" s="89" t="e">
        <f>#REF!</f>
        <v>#REF!</v>
      </c>
      <c r="BD671" s="89" t="e">
        <f>#REF!</f>
        <v>#REF!</v>
      </c>
      <c r="BE671" s="89" t="e">
        <f>#REF!</f>
        <v>#REF!</v>
      </c>
      <c r="BF671" s="89" t="e">
        <f>#REF!</f>
        <v>#REF!</v>
      </c>
    </row>
    <row r="672" spans="9:58" x14ac:dyDescent="0.25">
      <c r="I672" s="89">
        <f>ABCD!J721</f>
        <v>167</v>
      </c>
      <c r="J672" s="89">
        <f>ABCD!K721</f>
        <v>547.76</v>
      </c>
      <c r="K672" s="89">
        <f>ABCD!L721</f>
        <v>-2.431943055928433</v>
      </c>
      <c r="L672" s="89">
        <f>ABCD!M721</f>
        <v>-0.40027025557260831</v>
      </c>
      <c r="M672" s="89">
        <f>ABCD!N721</f>
        <v>2.4646629190975968</v>
      </c>
      <c r="N672" s="89" t="e">
        <v>#REF!</v>
      </c>
      <c r="O672" s="89" t="e">
        <v>#REF!</v>
      </c>
      <c r="P672" s="89" t="e">
        <v>#REF!</v>
      </c>
      <c r="Q672" s="89" t="e">
        <v>#REF!</v>
      </c>
      <c r="R672" s="89" t="e">
        <v>#REF!</v>
      </c>
      <c r="S672" s="89" t="e">
        <f>#REF!</f>
        <v>#REF!</v>
      </c>
      <c r="T672" s="89" t="e">
        <f>#REF!</f>
        <v>#REF!</v>
      </c>
      <c r="U672" s="89" t="e">
        <f>#REF!</f>
        <v>#REF!</v>
      </c>
      <c r="V672" s="89" t="e">
        <f>#REF!</f>
        <v>#REF!</v>
      </c>
      <c r="W672" s="89" t="e">
        <f>#REF!</f>
        <v>#REF!</v>
      </c>
      <c r="X672" s="89" t="e">
        <f>#REF!</f>
        <v>#REF!</v>
      </c>
      <c r="Y672" s="89" t="e">
        <f>#REF!</f>
        <v>#REF!</v>
      </c>
      <c r="Z672" s="89" t="e">
        <f>#REF!</f>
        <v>#REF!</v>
      </c>
      <c r="AA672" s="89" t="e">
        <f>#REF!</f>
        <v>#REF!</v>
      </c>
      <c r="AB672" s="89" t="e">
        <f>#REF!</f>
        <v>#REF!</v>
      </c>
      <c r="AC672" s="89" t="e">
        <f>#REF!</f>
        <v>#REF!</v>
      </c>
      <c r="AD672" s="89" t="e">
        <f>#REF!</f>
        <v>#REF!</v>
      </c>
      <c r="AE672" s="89" t="e">
        <f>#REF!</f>
        <v>#REF!</v>
      </c>
      <c r="AF672" s="89" t="e">
        <f>#REF!</f>
        <v>#REF!</v>
      </c>
      <c r="AG672" s="89" t="e">
        <f>#REF!</f>
        <v>#REF!</v>
      </c>
      <c r="AH672" s="89" t="e">
        <f>#REF!</f>
        <v>#REF!</v>
      </c>
      <c r="AI672" s="89" t="e">
        <f>#REF!</f>
        <v>#REF!</v>
      </c>
      <c r="AJ672" s="89" t="e">
        <f>#REF!</f>
        <v>#REF!</v>
      </c>
      <c r="AK672" s="89" t="e">
        <f>#REF!</f>
        <v>#REF!</v>
      </c>
      <c r="AL672" s="89" t="e">
        <f>#REF!</f>
        <v>#REF!</v>
      </c>
      <c r="AM672" s="89" t="e">
        <f>#REF!</f>
        <v>#REF!</v>
      </c>
      <c r="AN672" s="89" t="e">
        <f>#REF!</f>
        <v>#REF!</v>
      </c>
      <c r="AO672" s="89" t="e">
        <f>#REF!</f>
        <v>#REF!</v>
      </c>
      <c r="AP672" s="89" t="e">
        <f>#REF!</f>
        <v>#REF!</v>
      </c>
      <c r="AQ672" s="89" t="e">
        <f>#REF!</f>
        <v>#REF!</v>
      </c>
      <c r="AR672" s="89" t="e">
        <f>#REF!</f>
        <v>#REF!</v>
      </c>
      <c r="AS672" s="89" t="e">
        <f>#REF!</f>
        <v>#REF!</v>
      </c>
      <c r="AT672" s="89" t="e">
        <f>#REF!</f>
        <v>#REF!</v>
      </c>
      <c r="AU672" s="89" t="e">
        <f>#REF!</f>
        <v>#REF!</v>
      </c>
      <c r="AV672" s="89" t="e">
        <f>#REF!</f>
        <v>#REF!</v>
      </c>
      <c r="AW672" s="89" t="e">
        <f>#REF!</f>
        <v>#REF!</v>
      </c>
      <c r="AX672" s="89" t="e">
        <f>#REF!</f>
        <v>#REF!</v>
      </c>
      <c r="AY672" s="89" t="e">
        <f>#REF!</f>
        <v>#REF!</v>
      </c>
      <c r="AZ672" s="89" t="e">
        <f>#REF!</f>
        <v>#REF!</v>
      </c>
      <c r="BA672" s="89" t="e">
        <f>#REF!</f>
        <v>#REF!</v>
      </c>
      <c r="BB672" s="89" t="e">
        <f>#REF!</f>
        <v>#REF!</v>
      </c>
      <c r="BC672" s="89" t="e">
        <f>#REF!</f>
        <v>#REF!</v>
      </c>
      <c r="BD672" s="89" t="e">
        <f>#REF!</f>
        <v>#REF!</v>
      </c>
      <c r="BE672" s="89" t="e">
        <f>#REF!</f>
        <v>#REF!</v>
      </c>
      <c r="BF672" s="89" t="e">
        <f>#REF!</f>
        <v>#REF!</v>
      </c>
    </row>
    <row r="673" spans="9:58" x14ac:dyDescent="0.25">
      <c r="I673" s="89">
        <f>ABCD!J722</f>
        <v>167.25</v>
      </c>
      <c r="J673" s="89">
        <f>ABCD!K722</f>
        <v>548.57999999999993</v>
      </c>
      <c r="K673" s="89">
        <f>ABCD!L722</f>
        <v>-2.5004946734147371</v>
      </c>
      <c r="L673" s="89">
        <f>ABCD!M722</f>
        <v>-0.41311030776106561</v>
      </c>
      <c r="M673" s="89">
        <f>ABCD!N722</f>
        <v>2.5343902103176448</v>
      </c>
      <c r="N673" s="89" t="e">
        <v>#REF!</v>
      </c>
      <c r="O673" s="89" t="e">
        <v>#REF!</v>
      </c>
      <c r="P673" s="89" t="e">
        <v>#REF!</v>
      </c>
      <c r="Q673" s="89" t="e">
        <v>#REF!</v>
      </c>
      <c r="R673" s="89" t="e">
        <v>#REF!</v>
      </c>
      <c r="S673" s="89" t="e">
        <f>#REF!</f>
        <v>#REF!</v>
      </c>
      <c r="T673" s="89" t="e">
        <f>#REF!</f>
        <v>#REF!</v>
      </c>
      <c r="U673" s="89" t="e">
        <f>#REF!</f>
        <v>#REF!</v>
      </c>
      <c r="V673" s="89" t="e">
        <f>#REF!</f>
        <v>#REF!</v>
      </c>
      <c r="W673" s="89" t="e">
        <f>#REF!</f>
        <v>#REF!</v>
      </c>
      <c r="X673" s="89" t="e">
        <f>#REF!</f>
        <v>#REF!</v>
      </c>
      <c r="Y673" s="89" t="e">
        <f>#REF!</f>
        <v>#REF!</v>
      </c>
      <c r="Z673" s="89" t="e">
        <f>#REF!</f>
        <v>#REF!</v>
      </c>
      <c r="AA673" s="89" t="e">
        <f>#REF!</f>
        <v>#REF!</v>
      </c>
      <c r="AB673" s="89" t="e">
        <f>#REF!</f>
        <v>#REF!</v>
      </c>
      <c r="AC673" s="89" t="e">
        <f>#REF!</f>
        <v>#REF!</v>
      </c>
      <c r="AD673" s="89" t="e">
        <f>#REF!</f>
        <v>#REF!</v>
      </c>
      <c r="AE673" s="89" t="e">
        <f>#REF!</f>
        <v>#REF!</v>
      </c>
      <c r="AF673" s="89" t="e">
        <f>#REF!</f>
        <v>#REF!</v>
      </c>
      <c r="AG673" s="89" t="e">
        <f>#REF!</f>
        <v>#REF!</v>
      </c>
      <c r="AH673" s="89" t="e">
        <f>#REF!</f>
        <v>#REF!</v>
      </c>
      <c r="AI673" s="89" t="e">
        <f>#REF!</f>
        <v>#REF!</v>
      </c>
      <c r="AJ673" s="89" t="e">
        <f>#REF!</f>
        <v>#REF!</v>
      </c>
      <c r="AK673" s="89" t="e">
        <f>#REF!</f>
        <v>#REF!</v>
      </c>
      <c r="AL673" s="89" t="e">
        <f>#REF!</f>
        <v>#REF!</v>
      </c>
      <c r="AM673" s="89" t="e">
        <f>#REF!</f>
        <v>#REF!</v>
      </c>
      <c r="AN673" s="89" t="e">
        <f>#REF!</f>
        <v>#REF!</v>
      </c>
      <c r="AO673" s="89" t="e">
        <f>#REF!</f>
        <v>#REF!</v>
      </c>
      <c r="AP673" s="89" t="e">
        <f>#REF!</f>
        <v>#REF!</v>
      </c>
      <c r="AQ673" s="89" t="e">
        <f>#REF!</f>
        <v>#REF!</v>
      </c>
      <c r="AR673" s="89" t="e">
        <f>#REF!</f>
        <v>#REF!</v>
      </c>
      <c r="AS673" s="89" t="e">
        <f>#REF!</f>
        <v>#REF!</v>
      </c>
      <c r="AT673" s="89" t="e">
        <f>#REF!</f>
        <v>#REF!</v>
      </c>
      <c r="AU673" s="89" t="e">
        <f>#REF!</f>
        <v>#REF!</v>
      </c>
      <c r="AV673" s="89" t="e">
        <f>#REF!</f>
        <v>#REF!</v>
      </c>
      <c r="AW673" s="89" t="e">
        <f>#REF!</f>
        <v>#REF!</v>
      </c>
      <c r="AX673" s="89" t="e">
        <f>#REF!</f>
        <v>#REF!</v>
      </c>
      <c r="AY673" s="89" t="e">
        <f>#REF!</f>
        <v>#REF!</v>
      </c>
      <c r="AZ673" s="89" t="e">
        <f>#REF!</f>
        <v>#REF!</v>
      </c>
      <c r="BA673" s="89" t="e">
        <f>#REF!</f>
        <v>#REF!</v>
      </c>
      <c r="BB673" s="89" t="e">
        <f>#REF!</f>
        <v>#REF!</v>
      </c>
      <c r="BC673" s="89" t="e">
        <f>#REF!</f>
        <v>#REF!</v>
      </c>
      <c r="BD673" s="89" t="e">
        <f>#REF!</f>
        <v>#REF!</v>
      </c>
      <c r="BE673" s="89" t="e">
        <f>#REF!</f>
        <v>#REF!</v>
      </c>
      <c r="BF673" s="89" t="e">
        <f>#REF!</f>
        <v>#REF!</v>
      </c>
    </row>
    <row r="674" spans="9:58" x14ac:dyDescent="0.25">
      <c r="I674" s="89">
        <f>ABCD!J723</f>
        <v>167.5</v>
      </c>
      <c r="J674" s="89">
        <f>ABCD!K723</f>
        <v>549.4</v>
      </c>
      <c r="K674" s="89">
        <f>ABCD!L723</f>
        <v>-2.5684074053203951</v>
      </c>
      <c r="L674" s="89">
        <f>ABCD!M723</f>
        <v>-0.42584344627342308</v>
      </c>
      <c r="M674" s="89">
        <f>ABCD!N723</f>
        <v>2.6034706144757367</v>
      </c>
      <c r="N674" s="89" t="e">
        <v>#REF!</v>
      </c>
      <c r="O674" s="89" t="e">
        <v>#REF!</v>
      </c>
      <c r="P674" s="89" t="e">
        <v>#REF!</v>
      </c>
      <c r="Q674" s="89" t="e">
        <v>#REF!</v>
      </c>
      <c r="R674" s="89" t="e">
        <v>#REF!</v>
      </c>
      <c r="S674" s="89" t="e">
        <f>#REF!</f>
        <v>#REF!</v>
      </c>
      <c r="T674" s="89" t="e">
        <f>#REF!</f>
        <v>#REF!</v>
      </c>
      <c r="U674" s="89" t="e">
        <f>#REF!</f>
        <v>#REF!</v>
      </c>
      <c r="V674" s="89" t="e">
        <f>#REF!</f>
        <v>#REF!</v>
      </c>
      <c r="W674" s="89" t="e">
        <f>#REF!</f>
        <v>#REF!</v>
      </c>
      <c r="X674" s="89" t="e">
        <f>#REF!</f>
        <v>#REF!</v>
      </c>
      <c r="Y674" s="89" t="e">
        <f>#REF!</f>
        <v>#REF!</v>
      </c>
      <c r="Z674" s="89" t="e">
        <f>#REF!</f>
        <v>#REF!</v>
      </c>
      <c r="AA674" s="89" t="e">
        <f>#REF!</f>
        <v>#REF!</v>
      </c>
      <c r="AB674" s="89" t="e">
        <f>#REF!</f>
        <v>#REF!</v>
      </c>
      <c r="AC674" s="89" t="e">
        <f>#REF!</f>
        <v>#REF!</v>
      </c>
      <c r="AD674" s="89" t="e">
        <f>#REF!</f>
        <v>#REF!</v>
      </c>
      <c r="AE674" s="89" t="e">
        <f>#REF!</f>
        <v>#REF!</v>
      </c>
      <c r="AF674" s="89" t="e">
        <f>#REF!</f>
        <v>#REF!</v>
      </c>
      <c r="AG674" s="89" t="e">
        <f>#REF!</f>
        <v>#REF!</v>
      </c>
      <c r="AH674" s="89" t="e">
        <f>#REF!</f>
        <v>#REF!</v>
      </c>
      <c r="AI674" s="89" t="e">
        <f>#REF!</f>
        <v>#REF!</v>
      </c>
      <c r="AJ674" s="89" t="e">
        <f>#REF!</f>
        <v>#REF!</v>
      </c>
      <c r="AK674" s="89" t="e">
        <f>#REF!</f>
        <v>#REF!</v>
      </c>
      <c r="AL674" s="89" t="e">
        <f>#REF!</f>
        <v>#REF!</v>
      </c>
      <c r="AM674" s="89" t="e">
        <f>#REF!</f>
        <v>#REF!</v>
      </c>
      <c r="AN674" s="89" t="e">
        <f>#REF!</f>
        <v>#REF!</v>
      </c>
      <c r="AO674" s="89" t="e">
        <f>#REF!</f>
        <v>#REF!</v>
      </c>
      <c r="AP674" s="89" t="e">
        <f>#REF!</f>
        <v>#REF!</v>
      </c>
      <c r="AQ674" s="89" t="e">
        <f>#REF!</f>
        <v>#REF!</v>
      </c>
      <c r="AR674" s="89" t="e">
        <f>#REF!</f>
        <v>#REF!</v>
      </c>
      <c r="AS674" s="89" t="e">
        <f>#REF!</f>
        <v>#REF!</v>
      </c>
      <c r="AT674" s="89" t="e">
        <f>#REF!</f>
        <v>#REF!</v>
      </c>
      <c r="AU674" s="89" t="e">
        <f>#REF!</f>
        <v>#REF!</v>
      </c>
      <c r="AV674" s="89" t="e">
        <f>#REF!</f>
        <v>#REF!</v>
      </c>
      <c r="AW674" s="89" t="e">
        <f>#REF!</f>
        <v>#REF!</v>
      </c>
      <c r="AX674" s="89" t="e">
        <f>#REF!</f>
        <v>#REF!</v>
      </c>
      <c r="AY674" s="89" t="e">
        <f>#REF!</f>
        <v>#REF!</v>
      </c>
      <c r="AZ674" s="89" t="e">
        <f>#REF!</f>
        <v>#REF!</v>
      </c>
      <c r="BA674" s="89" t="e">
        <f>#REF!</f>
        <v>#REF!</v>
      </c>
      <c r="BB674" s="89" t="e">
        <f>#REF!</f>
        <v>#REF!</v>
      </c>
      <c r="BC674" s="89" t="e">
        <f>#REF!</f>
        <v>#REF!</v>
      </c>
      <c r="BD674" s="89" t="e">
        <f>#REF!</f>
        <v>#REF!</v>
      </c>
      <c r="BE674" s="89" t="e">
        <f>#REF!</f>
        <v>#REF!</v>
      </c>
      <c r="BF674" s="89" t="e">
        <f>#REF!</f>
        <v>#REF!</v>
      </c>
    </row>
    <row r="675" spans="9:58" x14ac:dyDescent="0.25">
      <c r="I675" s="89">
        <f>ABCD!J724</f>
        <v>167.75</v>
      </c>
      <c r="J675" s="89">
        <f>ABCD!K724</f>
        <v>550.21999999999991</v>
      </c>
      <c r="K675" s="89">
        <f>ABCD!L724</f>
        <v>-2.6356661493356701</v>
      </c>
      <c r="L675" s="89">
        <f>ABCD!M724</f>
        <v>-0.43846682795730985</v>
      </c>
      <c r="M675" s="89">
        <f>ABCD!N724</f>
        <v>2.671888697152796</v>
      </c>
      <c r="N675" s="89" t="e">
        <v>#REF!</v>
      </c>
      <c r="O675" s="89" t="e">
        <v>#REF!</v>
      </c>
      <c r="P675" s="89" t="e">
        <v>#REF!</v>
      </c>
      <c r="Q675" s="89" t="e">
        <v>#REF!</v>
      </c>
      <c r="R675" s="89" t="e">
        <v>#REF!</v>
      </c>
      <c r="S675" s="89" t="e">
        <f>#REF!</f>
        <v>#REF!</v>
      </c>
      <c r="T675" s="89" t="e">
        <f>#REF!</f>
        <v>#REF!</v>
      </c>
      <c r="U675" s="89" t="e">
        <f>#REF!</f>
        <v>#REF!</v>
      </c>
      <c r="V675" s="89" t="e">
        <f>#REF!</f>
        <v>#REF!</v>
      </c>
      <c r="W675" s="89" t="e">
        <f>#REF!</f>
        <v>#REF!</v>
      </c>
      <c r="X675" s="89" t="e">
        <f>#REF!</f>
        <v>#REF!</v>
      </c>
      <c r="Y675" s="89" t="e">
        <f>#REF!</f>
        <v>#REF!</v>
      </c>
      <c r="Z675" s="89" t="e">
        <f>#REF!</f>
        <v>#REF!</v>
      </c>
      <c r="AA675" s="89" t="e">
        <f>#REF!</f>
        <v>#REF!</v>
      </c>
      <c r="AB675" s="89" t="e">
        <f>#REF!</f>
        <v>#REF!</v>
      </c>
      <c r="AC675" s="89" t="e">
        <f>#REF!</f>
        <v>#REF!</v>
      </c>
      <c r="AD675" s="89" t="e">
        <f>#REF!</f>
        <v>#REF!</v>
      </c>
      <c r="AE675" s="89" t="e">
        <f>#REF!</f>
        <v>#REF!</v>
      </c>
      <c r="AF675" s="89" t="e">
        <f>#REF!</f>
        <v>#REF!</v>
      </c>
      <c r="AG675" s="89" t="e">
        <f>#REF!</f>
        <v>#REF!</v>
      </c>
      <c r="AH675" s="89" t="e">
        <f>#REF!</f>
        <v>#REF!</v>
      </c>
      <c r="AI675" s="89" t="e">
        <f>#REF!</f>
        <v>#REF!</v>
      </c>
      <c r="AJ675" s="89" t="e">
        <f>#REF!</f>
        <v>#REF!</v>
      </c>
      <c r="AK675" s="89" t="e">
        <f>#REF!</f>
        <v>#REF!</v>
      </c>
      <c r="AL675" s="89" t="e">
        <f>#REF!</f>
        <v>#REF!</v>
      </c>
      <c r="AM675" s="89" t="e">
        <f>#REF!</f>
        <v>#REF!</v>
      </c>
      <c r="AN675" s="89" t="e">
        <f>#REF!</f>
        <v>#REF!</v>
      </c>
      <c r="AO675" s="89" t="e">
        <f>#REF!</f>
        <v>#REF!</v>
      </c>
      <c r="AP675" s="89" t="e">
        <f>#REF!</f>
        <v>#REF!</v>
      </c>
      <c r="AQ675" s="89" t="e">
        <f>#REF!</f>
        <v>#REF!</v>
      </c>
      <c r="AR675" s="89" t="e">
        <f>#REF!</f>
        <v>#REF!</v>
      </c>
      <c r="AS675" s="89" t="e">
        <f>#REF!</f>
        <v>#REF!</v>
      </c>
      <c r="AT675" s="89" t="e">
        <f>#REF!</f>
        <v>#REF!</v>
      </c>
      <c r="AU675" s="89" t="e">
        <f>#REF!</f>
        <v>#REF!</v>
      </c>
      <c r="AV675" s="89" t="e">
        <f>#REF!</f>
        <v>#REF!</v>
      </c>
      <c r="AW675" s="89" t="e">
        <f>#REF!</f>
        <v>#REF!</v>
      </c>
      <c r="AX675" s="89" t="e">
        <f>#REF!</f>
        <v>#REF!</v>
      </c>
      <c r="AY675" s="89" t="e">
        <f>#REF!</f>
        <v>#REF!</v>
      </c>
      <c r="AZ675" s="89" t="e">
        <f>#REF!</f>
        <v>#REF!</v>
      </c>
      <c r="BA675" s="89" t="e">
        <f>#REF!</f>
        <v>#REF!</v>
      </c>
      <c r="BB675" s="89" t="e">
        <f>#REF!</f>
        <v>#REF!</v>
      </c>
      <c r="BC675" s="89" t="e">
        <f>#REF!</f>
        <v>#REF!</v>
      </c>
      <c r="BD675" s="89" t="e">
        <f>#REF!</f>
        <v>#REF!</v>
      </c>
      <c r="BE675" s="89" t="e">
        <f>#REF!</f>
        <v>#REF!</v>
      </c>
      <c r="BF675" s="89" t="e">
        <f>#REF!</f>
        <v>#REF!</v>
      </c>
    </row>
    <row r="676" spans="9:58" x14ac:dyDescent="0.25">
      <c r="I676" s="89">
        <f>ABCD!J725</f>
        <v>168</v>
      </c>
      <c r="J676" s="89">
        <f>ABCD!K725</f>
        <v>551.04</v>
      </c>
      <c r="K676" s="89">
        <f>ABCD!L725</f>
        <v>-2.7022559677040663</v>
      </c>
      <c r="L676" s="89">
        <f>ABCD!M725</f>
        <v>-0.45097763755443099</v>
      </c>
      <c r="M676" s="89">
        <f>ABCD!N725</f>
        <v>2.7396291983709062</v>
      </c>
      <c r="N676" s="89" t="e">
        <v>#REF!</v>
      </c>
      <c r="O676" s="89" t="e">
        <v>#REF!</v>
      </c>
      <c r="P676" s="89" t="e">
        <v>#REF!</v>
      </c>
      <c r="Q676" s="89" t="e">
        <v>#REF!</v>
      </c>
      <c r="R676" s="89" t="e">
        <v>#REF!</v>
      </c>
      <c r="S676" s="89" t="e">
        <f>#REF!</f>
        <v>#REF!</v>
      </c>
      <c r="T676" s="89" t="e">
        <f>#REF!</f>
        <v>#REF!</v>
      </c>
      <c r="U676" s="89" t="e">
        <f>#REF!</f>
        <v>#REF!</v>
      </c>
      <c r="V676" s="89" t="e">
        <f>#REF!</f>
        <v>#REF!</v>
      </c>
      <c r="W676" s="89" t="e">
        <f>#REF!</f>
        <v>#REF!</v>
      </c>
      <c r="X676" s="89" t="e">
        <f>#REF!</f>
        <v>#REF!</v>
      </c>
      <c r="Y676" s="89" t="e">
        <f>#REF!</f>
        <v>#REF!</v>
      </c>
      <c r="Z676" s="89" t="e">
        <f>#REF!</f>
        <v>#REF!</v>
      </c>
      <c r="AA676" s="89" t="e">
        <f>#REF!</f>
        <v>#REF!</v>
      </c>
      <c r="AB676" s="89" t="e">
        <f>#REF!</f>
        <v>#REF!</v>
      </c>
      <c r="AC676" s="89" t="e">
        <f>#REF!</f>
        <v>#REF!</v>
      </c>
      <c r="AD676" s="89" t="e">
        <f>#REF!</f>
        <v>#REF!</v>
      </c>
      <c r="AE676" s="89" t="e">
        <f>#REF!</f>
        <v>#REF!</v>
      </c>
      <c r="AF676" s="89" t="e">
        <f>#REF!</f>
        <v>#REF!</v>
      </c>
      <c r="AG676" s="89" t="e">
        <f>#REF!</f>
        <v>#REF!</v>
      </c>
      <c r="AH676" s="89" t="e">
        <f>#REF!</f>
        <v>#REF!</v>
      </c>
      <c r="AI676" s="89" t="e">
        <f>#REF!</f>
        <v>#REF!</v>
      </c>
      <c r="AJ676" s="89" t="e">
        <f>#REF!</f>
        <v>#REF!</v>
      </c>
      <c r="AK676" s="89" t="e">
        <f>#REF!</f>
        <v>#REF!</v>
      </c>
      <c r="AL676" s="89" t="e">
        <f>#REF!</f>
        <v>#REF!</v>
      </c>
      <c r="AM676" s="89" t="e">
        <f>#REF!</f>
        <v>#REF!</v>
      </c>
      <c r="AN676" s="89" t="e">
        <f>#REF!</f>
        <v>#REF!</v>
      </c>
      <c r="AO676" s="89" t="e">
        <f>#REF!</f>
        <v>#REF!</v>
      </c>
      <c r="AP676" s="89" t="e">
        <f>#REF!</f>
        <v>#REF!</v>
      </c>
      <c r="AQ676" s="89" t="e">
        <f>#REF!</f>
        <v>#REF!</v>
      </c>
      <c r="AR676" s="89" t="e">
        <f>#REF!</f>
        <v>#REF!</v>
      </c>
      <c r="AS676" s="89" t="e">
        <f>#REF!</f>
        <v>#REF!</v>
      </c>
      <c r="AT676" s="89" t="e">
        <f>#REF!</f>
        <v>#REF!</v>
      </c>
      <c r="AU676" s="89" t="e">
        <f>#REF!</f>
        <v>#REF!</v>
      </c>
      <c r="AV676" s="89" t="e">
        <f>#REF!</f>
        <v>#REF!</v>
      </c>
      <c r="AW676" s="89" t="e">
        <f>#REF!</f>
        <v>#REF!</v>
      </c>
      <c r="AX676" s="89" t="e">
        <f>#REF!</f>
        <v>#REF!</v>
      </c>
      <c r="AY676" s="89" t="e">
        <f>#REF!</f>
        <v>#REF!</v>
      </c>
      <c r="AZ676" s="89" t="e">
        <f>#REF!</f>
        <v>#REF!</v>
      </c>
      <c r="BA676" s="89" t="e">
        <f>#REF!</f>
        <v>#REF!</v>
      </c>
      <c r="BB676" s="89" t="e">
        <f>#REF!</f>
        <v>#REF!</v>
      </c>
      <c r="BC676" s="89" t="e">
        <f>#REF!</f>
        <v>#REF!</v>
      </c>
      <c r="BD676" s="89" t="e">
        <f>#REF!</f>
        <v>#REF!</v>
      </c>
      <c r="BE676" s="89" t="e">
        <f>#REF!</f>
        <v>#REF!</v>
      </c>
      <c r="BF676" s="89" t="e">
        <f>#REF!</f>
        <v>#REF!</v>
      </c>
    </row>
    <row r="677" spans="9:58" x14ac:dyDescent="0.25">
      <c r="I677" s="89">
        <f>ABCD!J726</f>
        <v>168.25</v>
      </c>
      <c r="J677" s="89">
        <f>ABCD!K726</f>
        <v>551.86</v>
      </c>
      <c r="K677" s="89">
        <f>ABCD!L726</f>
        <v>-2.7681620905225293</v>
      </c>
      <c r="L677" s="89">
        <f>ABCD!M726</f>
        <v>-0.46337308832533619</v>
      </c>
      <c r="M677" s="89">
        <f>ABCD!N726</f>
        <v>2.8066770349276418</v>
      </c>
      <c r="N677" s="89" t="e">
        <v>#REF!</v>
      </c>
      <c r="O677" s="89" t="e">
        <v>#REF!</v>
      </c>
      <c r="P677" s="89" t="e">
        <v>#REF!</v>
      </c>
      <c r="Q677" s="89" t="e">
        <v>#REF!</v>
      </c>
      <c r="R677" s="89" t="e">
        <v>#REF!</v>
      </c>
      <c r="S677" s="89" t="e">
        <f>#REF!</f>
        <v>#REF!</v>
      </c>
      <c r="T677" s="89" t="e">
        <f>#REF!</f>
        <v>#REF!</v>
      </c>
      <c r="U677" s="89" t="e">
        <f>#REF!</f>
        <v>#REF!</v>
      </c>
      <c r="V677" s="89" t="e">
        <f>#REF!</f>
        <v>#REF!</v>
      </c>
      <c r="W677" s="89" t="e">
        <f>#REF!</f>
        <v>#REF!</v>
      </c>
      <c r="X677" s="89" t="e">
        <f>#REF!</f>
        <v>#REF!</v>
      </c>
      <c r="Y677" s="89" t="e">
        <f>#REF!</f>
        <v>#REF!</v>
      </c>
      <c r="Z677" s="89" t="e">
        <f>#REF!</f>
        <v>#REF!</v>
      </c>
      <c r="AA677" s="89" t="e">
        <f>#REF!</f>
        <v>#REF!</v>
      </c>
      <c r="AB677" s="89" t="e">
        <f>#REF!</f>
        <v>#REF!</v>
      </c>
      <c r="AC677" s="89" t="e">
        <f>#REF!</f>
        <v>#REF!</v>
      </c>
      <c r="AD677" s="89" t="e">
        <f>#REF!</f>
        <v>#REF!</v>
      </c>
      <c r="AE677" s="89" t="e">
        <f>#REF!</f>
        <v>#REF!</v>
      </c>
      <c r="AF677" s="89" t="e">
        <f>#REF!</f>
        <v>#REF!</v>
      </c>
      <c r="AG677" s="89" t="e">
        <f>#REF!</f>
        <v>#REF!</v>
      </c>
      <c r="AH677" s="89" t="e">
        <f>#REF!</f>
        <v>#REF!</v>
      </c>
      <c r="AI677" s="89" t="e">
        <f>#REF!</f>
        <v>#REF!</v>
      </c>
      <c r="AJ677" s="89" t="e">
        <f>#REF!</f>
        <v>#REF!</v>
      </c>
      <c r="AK677" s="89" t="e">
        <f>#REF!</f>
        <v>#REF!</v>
      </c>
      <c r="AL677" s="89" t="e">
        <f>#REF!</f>
        <v>#REF!</v>
      </c>
      <c r="AM677" s="89" t="e">
        <f>#REF!</f>
        <v>#REF!</v>
      </c>
      <c r="AN677" s="89" t="e">
        <f>#REF!</f>
        <v>#REF!</v>
      </c>
      <c r="AO677" s="89" t="e">
        <f>#REF!</f>
        <v>#REF!</v>
      </c>
      <c r="AP677" s="89" t="e">
        <f>#REF!</f>
        <v>#REF!</v>
      </c>
      <c r="AQ677" s="89" t="e">
        <f>#REF!</f>
        <v>#REF!</v>
      </c>
      <c r="AR677" s="89" t="e">
        <f>#REF!</f>
        <v>#REF!</v>
      </c>
      <c r="AS677" s="89" t="e">
        <f>#REF!</f>
        <v>#REF!</v>
      </c>
      <c r="AT677" s="89" t="e">
        <f>#REF!</f>
        <v>#REF!</v>
      </c>
      <c r="AU677" s="89" t="e">
        <f>#REF!</f>
        <v>#REF!</v>
      </c>
      <c r="AV677" s="89" t="e">
        <f>#REF!</f>
        <v>#REF!</v>
      </c>
      <c r="AW677" s="89" t="e">
        <f>#REF!</f>
        <v>#REF!</v>
      </c>
      <c r="AX677" s="89" t="e">
        <f>#REF!</f>
        <v>#REF!</v>
      </c>
      <c r="AY677" s="89" t="e">
        <f>#REF!</f>
        <v>#REF!</v>
      </c>
      <c r="AZ677" s="89" t="e">
        <f>#REF!</f>
        <v>#REF!</v>
      </c>
      <c r="BA677" s="89" t="e">
        <f>#REF!</f>
        <v>#REF!</v>
      </c>
      <c r="BB677" s="89" t="e">
        <f>#REF!</f>
        <v>#REF!</v>
      </c>
      <c r="BC677" s="89" t="e">
        <f>#REF!</f>
        <v>#REF!</v>
      </c>
      <c r="BD677" s="89" t="e">
        <f>#REF!</f>
        <v>#REF!</v>
      </c>
      <c r="BE677" s="89" t="e">
        <f>#REF!</f>
        <v>#REF!</v>
      </c>
      <c r="BF677" s="89" t="e">
        <f>#REF!</f>
        <v>#REF!</v>
      </c>
    </row>
    <row r="678" spans="9:58" x14ac:dyDescent="0.25">
      <c r="I678" s="89">
        <f>ABCD!J727</f>
        <v>168.5</v>
      </c>
      <c r="J678" s="89">
        <f>ABCD!K727</f>
        <v>552.67999999999995</v>
      </c>
      <c r="K678" s="89">
        <f>ABCD!L727</f>
        <v>-2.8333699189999617</v>
      </c>
      <c r="L678" s="89">
        <f>ABCD!M727</f>
        <v>-0.47565042266707569</v>
      </c>
      <c r="M678" s="89">
        <f>ABCD!N727</f>
        <v>2.8730173028503008</v>
      </c>
      <c r="N678" s="89" t="e">
        <v>#REF!</v>
      </c>
      <c r="O678" s="89" t="e">
        <v>#REF!</v>
      </c>
      <c r="P678" s="89" t="e">
        <v>#REF!</v>
      </c>
      <c r="Q678" s="89" t="e">
        <v>#REF!</v>
      </c>
      <c r="R678" s="89" t="e">
        <v>#REF!</v>
      </c>
      <c r="S678" s="89" t="e">
        <f>#REF!</f>
        <v>#REF!</v>
      </c>
      <c r="T678" s="89" t="e">
        <f>#REF!</f>
        <v>#REF!</v>
      </c>
      <c r="U678" s="89" t="e">
        <f>#REF!</f>
        <v>#REF!</v>
      </c>
      <c r="V678" s="89" t="e">
        <f>#REF!</f>
        <v>#REF!</v>
      </c>
      <c r="W678" s="89" t="e">
        <f>#REF!</f>
        <v>#REF!</v>
      </c>
      <c r="X678" s="89" t="e">
        <f>#REF!</f>
        <v>#REF!</v>
      </c>
      <c r="Y678" s="89" t="e">
        <f>#REF!</f>
        <v>#REF!</v>
      </c>
      <c r="Z678" s="89" t="e">
        <f>#REF!</f>
        <v>#REF!</v>
      </c>
      <c r="AA678" s="89" t="e">
        <f>#REF!</f>
        <v>#REF!</v>
      </c>
      <c r="AB678" s="89" t="e">
        <f>#REF!</f>
        <v>#REF!</v>
      </c>
      <c r="AC678" s="89" t="e">
        <f>#REF!</f>
        <v>#REF!</v>
      </c>
      <c r="AD678" s="89" t="e">
        <f>#REF!</f>
        <v>#REF!</v>
      </c>
      <c r="AE678" s="89" t="e">
        <f>#REF!</f>
        <v>#REF!</v>
      </c>
      <c r="AF678" s="89" t="e">
        <f>#REF!</f>
        <v>#REF!</v>
      </c>
      <c r="AG678" s="89" t="e">
        <f>#REF!</f>
        <v>#REF!</v>
      </c>
      <c r="AH678" s="89" t="e">
        <f>#REF!</f>
        <v>#REF!</v>
      </c>
      <c r="AI678" s="89" t="e">
        <f>#REF!</f>
        <v>#REF!</v>
      </c>
      <c r="AJ678" s="89" t="e">
        <f>#REF!</f>
        <v>#REF!</v>
      </c>
      <c r="AK678" s="89" t="e">
        <f>#REF!</f>
        <v>#REF!</v>
      </c>
      <c r="AL678" s="89" t="e">
        <f>#REF!</f>
        <v>#REF!</v>
      </c>
      <c r="AM678" s="89" t="e">
        <f>#REF!</f>
        <v>#REF!</v>
      </c>
      <c r="AN678" s="89" t="e">
        <f>#REF!</f>
        <v>#REF!</v>
      </c>
      <c r="AO678" s="89" t="e">
        <f>#REF!</f>
        <v>#REF!</v>
      </c>
      <c r="AP678" s="89" t="e">
        <f>#REF!</f>
        <v>#REF!</v>
      </c>
      <c r="AQ678" s="89" t="e">
        <f>#REF!</f>
        <v>#REF!</v>
      </c>
      <c r="AR678" s="89" t="e">
        <f>#REF!</f>
        <v>#REF!</v>
      </c>
      <c r="AS678" s="89" t="e">
        <f>#REF!</f>
        <v>#REF!</v>
      </c>
      <c r="AT678" s="89" t="e">
        <f>#REF!</f>
        <v>#REF!</v>
      </c>
      <c r="AU678" s="89" t="e">
        <f>#REF!</f>
        <v>#REF!</v>
      </c>
      <c r="AV678" s="89" t="e">
        <f>#REF!</f>
        <v>#REF!</v>
      </c>
      <c r="AW678" s="89" t="e">
        <f>#REF!</f>
        <v>#REF!</v>
      </c>
      <c r="AX678" s="89" t="e">
        <f>#REF!</f>
        <v>#REF!</v>
      </c>
      <c r="AY678" s="89" t="e">
        <f>#REF!</f>
        <v>#REF!</v>
      </c>
      <c r="AZ678" s="89" t="e">
        <f>#REF!</f>
        <v>#REF!</v>
      </c>
      <c r="BA678" s="89" t="e">
        <f>#REF!</f>
        <v>#REF!</v>
      </c>
      <c r="BB678" s="89" t="e">
        <f>#REF!</f>
        <v>#REF!</v>
      </c>
      <c r="BC678" s="89" t="e">
        <f>#REF!</f>
        <v>#REF!</v>
      </c>
      <c r="BD678" s="89" t="e">
        <f>#REF!</f>
        <v>#REF!</v>
      </c>
      <c r="BE678" s="89" t="e">
        <f>#REF!</f>
        <v>#REF!</v>
      </c>
      <c r="BF678" s="89" t="e">
        <f>#REF!</f>
        <v>#REF!</v>
      </c>
    </row>
    <row r="679" spans="9:58" x14ac:dyDescent="0.25">
      <c r="I679" s="89">
        <f>ABCD!J728</f>
        <v>168.75</v>
      </c>
      <c r="J679" s="89">
        <f>ABCD!K728</f>
        <v>553.5</v>
      </c>
      <c r="K679" s="89">
        <f>ABCD!L728</f>
        <v>-2.897865028673273</v>
      </c>
      <c r="L679" s="89">
        <f>ABCD!M728</f>
        <v>-0.4878069127235487</v>
      </c>
      <c r="M679" s="89">
        <f>ABCD!N728</f>
        <v>2.9386352799400659</v>
      </c>
      <c r="N679" s="89" t="e">
        <v>#REF!</v>
      </c>
      <c r="O679" s="89" t="e">
        <v>#REF!</v>
      </c>
      <c r="P679" s="89" t="e">
        <v>#REF!</v>
      </c>
      <c r="Q679" s="89" t="e">
        <v>#REF!</v>
      </c>
      <c r="R679" s="89" t="e">
        <v>#REF!</v>
      </c>
      <c r="S679" s="89" t="e">
        <f>#REF!</f>
        <v>#REF!</v>
      </c>
      <c r="T679" s="89" t="e">
        <f>#REF!</f>
        <v>#REF!</v>
      </c>
      <c r="U679" s="89" t="e">
        <f>#REF!</f>
        <v>#REF!</v>
      </c>
      <c r="V679" s="89" t="e">
        <f>#REF!</f>
        <v>#REF!</v>
      </c>
      <c r="W679" s="89" t="e">
        <f>#REF!</f>
        <v>#REF!</v>
      </c>
      <c r="X679" s="89" t="e">
        <f>#REF!</f>
        <v>#REF!</v>
      </c>
      <c r="Y679" s="89" t="e">
        <f>#REF!</f>
        <v>#REF!</v>
      </c>
      <c r="Z679" s="89" t="e">
        <f>#REF!</f>
        <v>#REF!</v>
      </c>
      <c r="AA679" s="89" t="e">
        <f>#REF!</f>
        <v>#REF!</v>
      </c>
      <c r="AB679" s="89" t="e">
        <f>#REF!</f>
        <v>#REF!</v>
      </c>
      <c r="AC679" s="89" t="e">
        <f>#REF!</f>
        <v>#REF!</v>
      </c>
      <c r="AD679" s="89" t="e">
        <f>#REF!</f>
        <v>#REF!</v>
      </c>
      <c r="AE679" s="89" t="e">
        <f>#REF!</f>
        <v>#REF!</v>
      </c>
      <c r="AF679" s="89" t="e">
        <f>#REF!</f>
        <v>#REF!</v>
      </c>
      <c r="AG679" s="89" t="e">
        <f>#REF!</f>
        <v>#REF!</v>
      </c>
      <c r="AH679" s="89" t="e">
        <f>#REF!</f>
        <v>#REF!</v>
      </c>
      <c r="AI679" s="89" t="e">
        <f>#REF!</f>
        <v>#REF!</v>
      </c>
      <c r="AJ679" s="89" t="e">
        <f>#REF!</f>
        <v>#REF!</v>
      </c>
      <c r="AK679" s="89" t="e">
        <f>#REF!</f>
        <v>#REF!</v>
      </c>
      <c r="AL679" s="89" t="e">
        <f>#REF!</f>
        <v>#REF!</v>
      </c>
      <c r="AM679" s="89" t="e">
        <f>#REF!</f>
        <v>#REF!</v>
      </c>
      <c r="AN679" s="89" t="e">
        <f>#REF!</f>
        <v>#REF!</v>
      </c>
      <c r="AO679" s="89" t="e">
        <f>#REF!</f>
        <v>#REF!</v>
      </c>
      <c r="AP679" s="89" t="e">
        <f>#REF!</f>
        <v>#REF!</v>
      </c>
      <c r="AQ679" s="89" t="e">
        <f>#REF!</f>
        <v>#REF!</v>
      </c>
      <c r="AR679" s="89" t="e">
        <f>#REF!</f>
        <v>#REF!</v>
      </c>
      <c r="AS679" s="89" t="e">
        <f>#REF!</f>
        <v>#REF!</v>
      </c>
      <c r="AT679" s="89" t="e">
        <f>#REF!</f>
        <v>#REF!</v>
      </c>
      <c r="AU679" s="89" t="e">
        <f>#REF!</f>
        <v>#REF!</v>
      </c>
      <c r="AV679" s="89" t="e">
        <f>#REF!</f>
        <v>#REF!</v>
      </c>
      <c r="AW679" s="89" t="e">
        <f>#REF!</f>
        <v>#REF!</v>
      </c>
      <c r="AX679" s="89" t="e">
        <f>#REF!</f>
        <v>#REF!</v>
      </c>
      <c r="AY679" s="89" t="e">
        <f>#REF!</f>
        <v>#REF!</v>
      </c>
      <c r="AZ679" s="89" t="e">
        <f>#REF!</f>
        <v>#REF!</v>
      </c>
      <c r="BA679" s="89" t="e">
        <f>#REF!</f>
        <v>#REF!</v>
      </c>
      <c r="BB679" s="89" t="e">
        <f>#REF!</f>
        <v>#REF!</v>
      </c>
      <c r="BC679" s="89" t="e">
        <f>#REF!</f>
        <v>#REF!</v>
      </c>
      <c r="BD679" s="89" t="e">
        <f>#REF!</f>
        <v>#REF!</v>
      </c>
      <c r="BE679" s="89" t="e">
        <f>#REF!</f>
        <v>#REF!</v>
      </c>
      <c r="BF679" s="89" t="e">
        <f>#REF!</f>
        <v>#REF!</v>
      </c>
    </row>
    <row r="680" spans="9:58" x14ac:dyDescent="0.25">
      <c r="I680" s="89">
        <f>ABCD!J729</f>
        <v>169</v>
      </c>
      <c r="J680" s="89">
        <f>ABCD!K729</f>
        <v>554.31999999999994</v>
      </c>
      <c r="K680" s="89">
        <f>ABCD!L729</f>
        <v>-2.96163317258035</v>
      </c>
      <c r="L680" s="89">
        <f>ABCD!M729</f>
        <v>-0.49983986098844557</v>
      </c>
      <c r="M680" s="89">
        <f>ABCD!N729</f>
        <v>3.0035164283821221</v>
      </c>
      <c r="N680" s="89" t="e">
        <v>#REF!</v>
      </c>
      <c r="O680" s="89" t="e">
        <v>#REF!</v>
      </c>
      <c r="P680" s="89" t="e">
        <v>#REF!</v>
      </c>
      <c r="Q680" s="89" t="e">
        <v>#REF!</v>
      </c>
      <c r="R680" s="89" t="e">
        <v>#REF!</v>
      </c>
      <c r="S680" s="89" t="e">
        <f>#REF!</f>
        <v>#REF!</v>
      </c>
      <c r="T680" s="89" t="e">
        <f>#REF!</f>
        <v>#REF!</v>
      </c>
      <c r="U680" s="89" t="e">
        <f>#REF!</f>
        <v>#REF!</v>
      </c>
      <c r="V680" s="89" t="e">
        <f>#REF!</f>
        <v>#REF!</v>
      </c>
      <c r="W680" s="89" t="e">
        <f>#REF!</f>
        <v>#REF!</v>
      </c>
      <c r="X680" s="89" t="e">
        <f>#REF!</f>
        <v>#REF!</v>
      </c>
      <c r="Y680" s="89" t="e">
        <f>#REF!</f>
        <v>#REF!</v>
      </c>
      <c r="Z680" s="89" t="e">
        <f>#REF!</f>
        <v>#REF!</v>
      </c>
      <c r="AA680" s="89" t="e">
        <f>#REF!</f>
        <v>#REF!</v>
      </c>
      <c r="AB680" s="89" t="e">
        <f>#REF!</f>
        <v>#REF!</v>
      </c>
      <c r="AC680" s="89" t="e">
        <f>#REF!</f>
        <v>#REF!</v>
      </c>
      <c r="AD680" s="89" t="e">
        <f>#REF!</f>
        <v>#REF!</v>
      </c>
      <c r="AE680" s="89" t="e">
        <f>#REF!</f>
        <v>#REF!</v>
      </c>
      <c r="AF680" s="89" t="e">
        <f>#REF!</f>
        <v>#REF!</v>
      </c>
      <c r="AG680" s="89" t="e">
        <f>#REF!</f>
        <v>#REF!</v>
      </c>
      <c r="AH680" s="89" t="e">
        <f>#REF!</f>
        <v>#REF!</v>
      </c>
      <c r="AI680" s="89" t="e">
        <f>#REF!</f>
        <v>#REF!</v>
      </c>
      <c r="AJ680" s="89" t="e">
        <f>#REF!</f>
        <v>#REF!</v>
      </c>
      <c r="AK680" s="89" t="e">
        <f>#REF!</f>
        <v>#REF!</v>
      </c>
      <c r="AL680" s="89" t="e">
        <f>#REF!</f>
        <v>#REF!</v>
      </c>
      <c r="AM680" s="89" t="e">
        <f>#REF!</f>
        <v>#REF!</v>
      </c>
      <c r="AN680" s="89" t="e">
        <f>#REF!</f>
        <v>#REF!</v>
      </c>
      <c r="AO680" s="89" t="e">
        <f>#REF!</f>
        <v>#REF!</v>
      </c>
      <c r="AP680" s="89" t="e">
        <f>#REF!</f>
        <v>#REF!</v>
      </c>
      <c r="AQ680" s="89" t="e">
        <f>#REF!</f>
        <v>#REF!</v>
      </c>
      <c r="AR680" s="89" t="e">
        <f>#REF!</f>
        <v>#REF!</v>
      </c>
      <c r="AS680" s="89" t="e">
        <f>#REF!</f>
        <v>#REF!</v>
      </c>
      <c r="AT680" s="89" t="e">
        <f>#REF!</f>
        <v>#REF!</v>
      </c>
      <c r="AU680" s="89" t="e">
        <f>#REF!</f>
        <v>#REF!</v>
      </c>
      <c r="AV680" s="89" t="e">
        <f>#REF!</f>
        <v>#REF!</v>
      </c>
      <c r="AW680" s="89" t="e">
        <f>#REF!</f>
        <v>#REF!</v>
      </c>
      <c r="AX680" s="89" t="e">
        <f>#REF!</f>
        <v>#REF!</v>
      </c>
      <c r="AY680" s="89" t="e">
        <f>#REF!</f>
        <v>#REF!</v>
      </c>
      <c r="AZ680" s="89" t="e">
        <f>#REF!</f>
        <v>#REF!</v>
      </c>
      <c r="BA680" s="89" t="e">
        <f>#REF!</f>
        <v>#REF!</v>
      </c>
      <c r="BB680" s="89" t="e">
        <f>#REF!</f>
        <v>#REF!</v>
      </c>
      <c r="BC680" s="89" t="e">
        <f>#REF!</f>
        <v>#REF!</v>
      </c>
      <c r="BD680" s="89" t="e">
        <f>#REF!</f>
        <v>#REF!</v>
      </c>
      <c r="BE680" s="89" t="e">
        <f>#REF!</f>
        <v>#REF!</v>
      </c>
      <c r="BF680" s="89" t="e">
        <f>#REF!</f>
        <v>#REF!</v>
      </c>
    </row>
    <row r="681" spans="9:58" x14ac:dyDescent="0.25">
      <c r="I681" s="89">
        <f>ABCD!J730</f>
        <v>169.25</v>
      </c>
      <c r="J681" s="89">
        <f>ABCD!K730</f>
        <v>555.14</v>
      </c>
      <c r="K681" s="89">
        <f>ABCD!L730</f>
        <v>-3.0246602843891148</v>
      </c>
      <c r="L681" s="89">
        <f>ABCD!M730</f>
        <v>-0.5117466009006415</v>
      </c>
      <c r="M681" s="89">
        <f>ABCD!N730</f>
        <v>3.0676463974021191</v>
      </c>
      <c r="N681" s="89" t="e">
        <v>#REF!</v>
      </c>
      <c r="O681" s="89" t="e">
        <v>#REF!</v>
      </c>
      <c r="P681" s="89" t="e">
        <v>#REF!</v>
      </c>
      <c r="Q681" s="89" t="e">
        <v>#REF!</v>
      </c>
      <c r="R681" s="89" t="e">
        <v>#REF!</v>
      </c>
      <c r="S681" s="89" t="e">
        <f>#REF!</f>
        <v>#REF!</v>
      </c>
      <c r="T681" s="89" t="e">
        <f>#REF!</f>
        <v>#REF!</v>
      </c>
      <c r="U681" s="89" t="e">
        <f>#REF!</f>
        <v>#REF!</v>
      </c>
      <c r="V681" s="89" t="e">
        <f>#REF!</f>
        <v>#REF!</v>
      </c>
      <c r="W681" s="89" t="e">
        <f>#REF!</f>
        <v>#REF!</v>
      </c>
      <c r="X681" s="89" t="e">
        <f>#REF!</f>
        <v>#REF!</v>
      </c>
      <c r="Y681" s="89" t="e">
        <f>#REF!</f>
        <v>#REF!</v>
      </c>
      <c r="Z681" s="89" t="e">
        <f>#REF!</f>
        <v>#REF!</v>
      </c>
      <c r="AA681" s="89" t="e">
        <f>#REF!</f>
        <v>#REF!</v>
      </c>
      <c r="AB681" s="89" t="e">
        <f>#REF!</f>
        <v>#REF!</v>
      </c>
      <c r="AC681" s="89" t="e">
        <f>#REF!</f>
        <v>#REF!</v>
      </c>
      <c r="AD681" s="89" t="e">
        <f>#REF!</f>
        <v>#REF!</v>
      </c>
      <c r="AE681" s="89" t="e">
        <f>#REF!</f>
        <v>#REF!</v>
      </c>
      <c r="AF681" s="89" t="e">
        <f>#REF!</f>
        <v>#REF!</v>
      </c>
      <c r="AG681" s="89" t="e">
        <f>#REF!</f>
        <v>#REF!</v>
      </c>
      <c r="AH681" s="89" t="e">
        <f>#REF!</f>
        <v>#REF!</v>
      </c>
      <c r="AI681" s="89" t="e">
        <f>#REF!</f>
        <v>#REF!</v>
      </c>
      <c r="AJ681" s="89" t="e">
        <f>#REF!</f>
        <v>#REF!</v>
      </c>
      <c r="AK681" s="89" t="e">
        <f>#REF!</f>
        <v>#REF!</v>
      </c>
      <c r="AL681" s="89" t="e">
        <f>#REF!</f>
        <v>#REF!</v>
      </c>
      <c r="AM681" s="89" t="e">
        <f>#REF!</f>
        <v>#REF!</v>
      </c>
      <c r="AN681" s="89" t="e">
        <f>#REF!</f>
        <v>#REF!</v>
      </c>
      <c r="AO681" s="89" t="e">
        <f>#REF!</f>
        <v>#REF!</v>
      </c>
      <c r="AP681" s="89" t="e">
        <f>#REF!</f>
        <v>#REF!</v>
      </c>
      <c r="AQ681" s="89" t="e">
        <f>#REF!</f>
        <v>#REF!</v>
      </c>
      <c r="AR681" s="89" t="e">
        <f>#REF!</f>
        <v>#REF!</v>
      </c>
      <c r="AS681" s="89" t="e">
        <f>#REF!</f>
        <v>#REF!</v>
      </c>
      <c r="AT681" s="89" t="e">
        <f>#REF!</f>
        <v>#REF!</v>
      </c>
      <c r="AU681" s="89" t="e">
        <f>#REF!</f>
        <v>#REF!</v>
      </c>
      <c r="AV681" s="89" t="e">
        <f>#REF!</f>
        <v>#REF!</v>
      </c>
      <c r="AW681" s="89" t="e">
        <f>#REF!</f>
        <v>#REF!</v>
      </c>
      <c r="AX681" s="89" t="e">
        <f>#REF!</f>
        <v>#REF!</v>
      </c>
      <c r="AY681" s="89" t="e">
        <f>#REF!</f>
        <v>#REF!</v>
      </c>
      <c r="AZ681" s="89" t="e">
        <f>#REF!</f>
        <v>#REF!</v>
      </c>
      <c r="BA681" s="89" t="e">
        <f>#REF!</f>
        <v>#REF!</v>
      </c>
      <c r="BB681" s="89" t="e">
        <f>#REF!</f>
        <v>#REF!</v>
      </c>
      <c r="BC681" s="89" t="e">
        <f>#REF!</f>
        <v>#REF!</v>
      </c>
      <c r="BD681" s="89" t="e">
        <f>#REF!</f>
        <v>#REF!</v>
      </c>
      <c r="BE681" s="89" t="e">
        <f>#REF!</f>
        <v>#REF!</v>
      </c>
      <c r="BF681" s="89" t="e">
        <f>#REF!</f>
        <v>#REF!</v>
      </c>
    </row>
    <row r="682" spans="9:58" x14ac:dyDescent="0.25">
      <c r="I682" s="89">
        <f>ABCD!J731</f>
        <v>169.5</v>
      </c>
      <c r="J682" s="89">
        <f>ABCD!K731</f>
        <v>555.95999999999992</v>
      </c>
      <c r="K682" s="89">
        <f>ABCD!L731</f>
        <v>-3.0869324814821377</v>
      </c>
      <c r="L682" s="89">
        <f>ABCD!M731</f>
        <v>-0.52352449743189911</v>
      </c>
      <c r="M682" s="89">
        <f>ABCD!N731</f>
        <v>3.1310110259532449</v>
      </c>
      <c r="N682" s="89" t="e">
        <v>#REF!</v>
      </c>
      <c r="O682" s="89" t="e">
        <v>#REF!</v>
      </c>
      <c r="P682" s="89" t="e">
        <v>#REF!</v>
      </c>
      <c r="Q682" s="89" t="e">
        <v>#REF!</v>
      </c>
      <c r="R682" s="89" t="e">
        <v>#REF!</v>
      </c>
      <c r="S682" s="89" t="e">
        <f>#REF!</f>
        <v>#REF!</v>
      </c>
      <c r="T682" s="89" t="e">
        <f>#REF!</f>
        <v>#REF!</v>
      </c>
      <c r="U682" s="89" t="e">
        <f>#REF!</f>
        <v>#REF!</v>
      </c>
      <c r="V682" s="89" t="e">
        <f>#REF!</f>
        <v>#REF!</v>
      </c>
      <c r="W682" s="89" t="e">
        <f>#REF!</f>
        <v>#REF!</v>
      </c>
      <c r="X682" s="89" t="e">
        <f>#REF!</f>
        <v>#REF!</v>
      </c>
      <c r="Y682" s="89" t="e">
        <f>#REF!</f>
        <v>#REF!</v>
      </c>
      <c r="Z682" s="89" t="e">
        <f>#REF!</f>
        <v>#REF!</v>
      </c>
      <c r="AA682" s="89" t="e">
        <f>#REF!</f>
        <v>#REF!</v>
      </c>
      <c r="AB682" s="89" t="e">
        <f>#REF!</f>
        <v>#REF!</v>
      </c>
      <c r="AC682" s="89" t="e">
        <f>#REF!</f>
        <v>#REF!</v>
      </c>
      <c r="AD682" s="89" t="e">
        <f>#REF!</f>
        <v>#REF!</v>
      </c>
      <c r="AE682" s="89" t="e">
        <f>#REF!</f>
        <v>#REF!</v>
      </c>
      <c r="AF682" s="89" t="e">
        <f>#REF!</f>
        <v>#REF!</v>
      </c>
      <c r="AG682" s="89" t="e">
        <f>#REF!</f>
        <v>#REF!</v>
      </c>
      <c r="AH682" s="89" t="e">
        <f>#REF!</f>
        <v>#REF!</v>
      </c>
      <c r="AI682" s="89" t="e">
        <f>#REF!</f>
        <v>#REF!</v>
      </c>
      <c r="AJ682" s="89" t="e">
        <f>#REF!</f>
        <v>#REF!</v>
      </c>
      <c r="AK682" s="89" t="e">
        <f>#REF!</f>
        <v>#REF!</v>
      </c>
      <c r="AL682" s="89" t="e">
        <f>#REF!</f>
        <v>#REF!</v>
      </c>
      <c r="AM682" s="89" t="e">
        <f>#REF!</f>
        <v>#REF!</v>
      </c>
      <c r="AN682" s="89" t="e">
        <f>#REF!</f>
        <v>#REF!</v>
      </c>
      <c r="AO682" s="89" t="e">
        <f>#REF!</f>
        <v>#REF!</v>
      </c>
      <c r="AP682" s="89" t="e">
        <f>#REF!</f>
        <v>#REF!</v>
      </c>
      <c r="AQ682" s="89" t="e">
        <f>#REF!</f>
        <v>#REF!</v>
      </c>
      <c r="AR682" s="89" t="e">
        <f>#REF!</f>
        <v>#REF!</v>
      </c>
      <c r="AS682" s="89" t="e">
        <f>#REF!</f>
        <v>#REF!</v>
      </c>
      <c r="AT682" s="89" t="e">
        <f>#REF!</f>
        <v>#REF!</v>
      </c>
      <c r="AU682" s="89" t="e">
        <f>#REF!</f>
        <v>#REF!</v>
      </c>
      <c r="AV682" s="89" t="e">
        <f>#REF!</f>
        <v>#REF!</v>
      </c>
      <c r="AW682" s="89" t="e">
        <f>#REF!</f>
        <v>#REF!</v>
      </c>
      <c r="AX682" s="89" t="e">
        <f>#REF!</f>
        <v>#REF!</v>
      </c>
      <c r="AY682" s="89" t="e">
        <f>#REF!</f>
        <v>#REF!</v>
      </c>
      <c r="AZ682" s="89" t="e">
        <f>#REF!</f>
        <v>#REF!</v>
      </c>
      <c r="BA682" s="89" t="e">
        <f>#REF!</f>
        <v>#REF!</v>
      </c>
      <c r="BB682" s="89" t="e">
        <f>#REF!</f>
        <v>#REF!</v>
      </c>
      <c r="BC682" s="89" t="e">
        <f>#REF!</f>
        <v>#REF!</v>
      </c>
      <c r="BD682" s="89" t="e">
        <f>#REF!</f>
        <v>#REF!</v>
      </c>
      <c r="BE682" s="89" t="e">
        <f>#REF!</f>
        <v>#REF!</v>
      </c>
      <c r="BF682" s="89" t="e">
        <f>#REF!</f>
        <v>#REF!</v>
      </c>
    </row>
    <row r="683" spans="9:58" x14ac:dyDescent="0.25">
      <c r="I683" s="89">
        <f>ABCD!J732</f>
        <v>169.75</v>
      </c>
      <c r="J683" s="89">
        <f>ABCD!K732</f>
        <v>556.78</v>
      </c>
      <c r="K683" s="89">
        <f>ABCD!L732</f>
        <v>-3.1484360679960592</v>
      </c>
      <c r="L683" s="89">
        <f>ABCD!M732</f>
        <v>-0.53517094766679496</v>
      </c>
      <c r="M683" s="89">
        <f>ABCD!N732</f>
        <v>3.1935963454207954</v>
      </c>
      <c r="N683" s="89" t="e">
        <v>#REF!</v>
      </c>
      <c r="O683" s="89" t="e">
        <v>#REF!</v>
      </c>
      <c r="P683" s="89" t="e">
        <v>#REF!</v>
      </c>
      <c r="Q683" s="89" t="e">
        <v>#REF!</v>
      </c>
      <c r="R683" s="89" t="e">
        <v>#REF!</v>
      </c>
      <c r="S683" s="89" t="e">
        <f>#REF!</f>
        <v>#REF!</v>
      </c>
      <c r="T683" s="89" t="e">
        <f>#REF!</f>
        <v>#REF!</v>
      </c>
      <c r="U683" s="89" t="e">
        <f>#REF!</f>
        <v>#REF!</v>
      </c>
      <c r="V683" s="89" t="e">
        <f>#REF!</f>
        <v>#REF!</v>
      </c>
      <c r="W683" s="89" t="e">
        <f>#REF!</f>
        <v>#REF!</v>
      </c>
      <c r="X683" s="89" t="e">
        <f>#REF!</f>
        <v>#REF!</v>
      </c>
      <c r="Y683" s="89" t="e">
        <f>#REF!</f>
        <v>#REF!</v>
      </c>
      <c r="Z683" s="89" t="e">
        <f>#REF!</f>
        <v>#REF!</v>
      </c>
      <c r="AA683" s="89" t="e">
        <f>#REF!</f>
        <v>#REF!</v>
      </c>
      <c r="AB683" s="89" t="e">
        <f>#REF!</f>
        <v>#REF!</v>
      </c>
      <c r="AC683" s="89" t="e">
        <f>#REF!</f>
        <v>#REF!</v>
      </c>
      <c r="AD683" s="89" t="e">
        <f>#REF!</f>
        <v>#REF!</v>
      </c>
      <c r="AE683" s="89" t="e">
        <f>#REF!</f>
        <v>#REF!</v>
      </c>
      <c r="AF683" s="89" t="e">
        <f>#REF!</f>
        <v>#REF!</v>
      </c>
      <c r="AG683" s="89" t="e">
        <f>#REF!</f>
        <v>#REF!</v>
      </c>
      <c r="AH683" s="89" t="e">
        <f>#REF!</f>
        <v>#REF!</v>
      </c>
      <c r="AI683" s="89" t="e">
        <f>#REF!</f>
        <v>#REF!</v>
      </c>
      <c r="AJ683" s="89" t="e">
        <f>#REF!</f>
        <v>#REF!</v>
      </c>
      <c r="AK683" s="89" t="e">
        <f>#REF!</f>
        <v>#REF!</v>
      </c>
      <c r="AL683" s="89" t="e">
        <f>#REF!</f>
        <v>#REF!</v>
      </c>
      <c r="AM683" s="89" t="e">
        <f>#REF!</f>
        <v>#REF!</v>
      </c>
      <c r="AN683" s="89" t="e">
        <f>#REF!</f>
        <v>#REF!</v>
      </c>
      <c r="AO683" s="89" t="e">
        <f>#REF!</f>
        <v>#REF!</v>
      </c>
      <c r="AP683" s="89" t="e">
        <f>#REF!</f>
        <v>#REF!</v>
      </c>
      <c r="AQ683" s="89" t="e">
        <f>#REF!</f>
        <v>#REF!</v>
      </c>
      <c r="AR683" s="89" t="e">
        <f>#REF!</f>
        <v>#REF!</v>
      </c>
      <c r="AS683" s="89" t="e">
        <f>#REF!</f>
        <v>#REF!</v>
      </c>
      <c r="AT683" s="89" t="e">
        <f>#REF!</f>
        <v>#REF!</v>
      </c>
      <c r="AU683" s="89" t="e">
        <f>#REF!</f>
        <v>#REF!</v>
      </c>
      <c r="AV683" s="89" t="e">
        <f>#REF!</f>
        <v>#REF!</v>
      </c>
      <c r="AW683" s="89" t="e">
        <f>#REF!</f>
        <v>#REF!</v>
      </c>
      <c r="AX683" s="89" t="e">
        <f>#REF!</f>
        <v>#REF!</v>
      </c>
      <c r="AY683" s="89" t="e">
        <f>#REF!</f>
        <v>#REF!</v>
      </c>
      <c r="AZ683" s="89" t="e">
        <f>#REF!</f>
        <v>#REF!</v>
      </c>
      <c r="BA683" s="89" t="e">
        <f>#REF!</f>
        <v>#REF!</v>
      </c>
      <c r="BB683" s="89" t="e">
        <f>#REF!</f>
        <v>#REF!</v>
      </c>
      <c r="BC683" s="89" t="e">
        <f>#REF!</f>
        <v>#REF!</v>
      </c>
      <c r="BD683" s="89" t="e">
        <f>#REF!</f>
        <v>#REF!</v>
      </c>
      <c r="BE683" s="89" t="e">
        <f>#REF!</f>
        <v>#REF!</v>
      </c>
      <c r="BF683" s="89" t="e">
        <f>#REF!</f>
        <v>#REF!</v>
      </c>
    </row>
    <row r="684" spans="9:58" x14ac:dyDescent="0.25">
      <c r="I684" s="89">
        <f>ABCD!J733</f>
        <v>170</v>
      </c>
      <c r="J684" s="89">
        <f>ABCD!K733</f>
        <v>557.6</v>
      </c>
      <c r="K684" s="89">
        <f>ABCD!L733</f>
        <v>-3.209157537815142</v>
      </c>
      <c r="L684" s="89">
        <f>ABCD!M733</f>
        <v>-0.54668338137467765</v>
      </c>
      <c r="M684" s="89">
        <f>ABCD!N733</f>
        <v>3.2553885823334512</v>
      </c>
      <c r="N684" s="89" t="e">
        <v>#REF!</v>
      </c>
      <c r="O684" s="89" t="e">
        <v>#REF!</v>
      </c>
      <c r="P684" s="89" t="e">
        <v>#REF!</v>
      </c>
      <c r="Q684" s="89" t="e">
        <v>#REF!</v>
      </c>
      <c r="R684" s="89" t="e">
        <v>#REF!</v>
      </c>
      <c r="S684" s="89" t="e">
        <f>#REF!</f>
        <v>#REF!</v>
      </c>
      <c r="T684" s="89" t="e">
        <f>#REF!</f>
        <v>#REF!</v>
      </c>
      <c r="U684" s="89" t="e">
        <f>#REF!</f>
        <v>#REF!</v>
      </c>
      <c r="V684" s="89" t="e">
        <f>#REF!</f>
        <v>#REF!</v>
      </c>
      <c r="W684" s="89" t="e">
        <f>#REF!</f>
        <v>#REF!</v>
      </c>
      <c r="X684" s="89" t="e">
        <f>#REF!</f>
        <v>#REF!</v>
      </c>
      <c r="Y684" s="89" t="e">
        <f>#REF!</f>
        <v>#REF!</v>
      </c>
      <c r="Z684" s="89" t="e">
        <f>#REF!</f>
        <v>#REF!</v>
      </c>
      <c r="AA684" s="89" t="e">
        <f>#REF!</f>
        <v>#REF!</v>
      </c>
      <c r="AB684" s="89" t="e">
        <f>#REF!</f>
        <v>#REF!</v>
      </c>
      <c r="AC684" s="89" t="e">
        <f>#REF!</f>
        <v>#REF!</v>
      </c>
      <c r="AD684" s="89" t="e">
        <f>#REF!</f>
        <v>#REF!</v>
      </c>
      <c r="AE684" s="89" t="e">
        <f>#REF!</f>
        <v>#REF!</v>
      </c>
      <c r="AF684" s="89" t="e">
        <f>#REF!</f>
        <v>#REF!</v>
      </c>
      <c r="AG684" s="89" t="e">
        <f>#REF!</f>
        <v>#REF!</v>
      </c>
      <c r="AH684" s="89" t="e">
        <f>#REF!</f>
        <v>#REF!</v>
      </c>
      <c r="AI684" s="89" t="e">
        <f>#REF!</f>
        <v>#REF!</v>
      </c>
      <c r="AJ684" s="89" t="e">
        <f>#REF!</f>
        <v>#REF!</v>
      </c>
      <c r="AK684" s="89" t="e">
        <f>#REF!</f>
        <v>#REF!</v>
      </c>
      <c r="AL684" s="89" t="e">
        <f>#REF!</f>
        <v>#REF!</v>
      </c>
      <c r="AM684" s="89" t="e">
        <f>#REF!</f>
        <v>#REF!</v>
      </c>
      <c r="AN684" s="89" t="e">
        <f>#REF!</f>
        <v>#REF!</v>
      </c>
      <c r="AO684" s="89" t="e">
        <f>#REF!</f>
        <v>#REF!</v>
      </c>
      <c r="AP684" s="89" t="e">
        <f>#REF!</f>
        <v>#REF!</v>
      </c>
      <c r="AQ684" s="89" t="e">
        <f>#REF!</f>
        <v>#REF!</v>
      </c>
      <c r="AR684" s="89" t="e">
        <f>#REF!</f>
        <v>#REF!</v>
      </c>
      <c r="AS684" s="89" t="e">
        <f>#REF!</f>
        <v>#REF!</v>
      </c>
      <c r="AT684" s="89" t="e">
        <f>#REF!</f>
        <v>#REF!</v>
      </c>
      <c r="AU684" s="89" t="e">
        <f>#REF!</f>
        <v>#REF!</v>
      </c>
      <c r="AV684" s="89" t="e">
        <f>#REF!</f>
        <v>#REF!</v>
      </c>
      <c r="AW684" s="89" t="e">
        <f>#REF!</f>
        <v>#REF!</v>
      </c>
      <c r="AX684" s="89" t="e">
        <f>#REF!</f>
        <v>#REF!</v>
      </c>
      <c r="AY684" s="89" t="e">
        <f>#REF!</f>
        <v>#REF!</v>
      </c>
      <c r="AZ684" s="89" t="e">
        <f>#REF!</f>
        <v>#REF!</v>
      </c>
      <c r="BA684" s="89" t="e">
        <f>#REF!</f>
        <v>#REF!</v>
      </c>
      <c r="BB684" s="89" t="e">
        <f>#REF!</f>
        <v>#REF!</v>
      </c>
      <c r="BC684" s="89" t="e">
        <f>#REF!</f>
        <v>#REF!</v>
      </c>
      <c r="BD684" s="89" t="e">
        <f>#REF!</f>
        <v>#REF!</v>
      </c>
      <c r="BE684" s="89" t="e">
        <f>#REF!</f>
        <v>#REF!</v>
      </c>
      <c r="BF684" s="89" t="e">
        <f>#REF!</f>
        <v>#REF!</v>
      </c>
    </row>
    <row r="685" spans="9:58" x14ac:dyDescent="0.25">
      <c r="I685" s="89">
        <f>ABCD!J734</f>
        <v>170.25</v>
      </c>
      <c r="J685" s="89">
        <f>ABCD!K734</f>
        <v>558.41999999999996</v>
      </c>
      <c r="K685" s="89">
        <f>ABCD!L734</f>
        <v>-3.2690835775183422</v>
      </c>
      <c r="L685" s="89">
        <f>ABCD!M734</f>
        <v>-0.55805926157357977</v>
      </c>
      <c r="M685" s="89">
        <f>ABCD!N734</f>
        <v>3.3163741610723259</v>
      </c>
      <c r="N685" s="89" t="e">
        <v>#REF!</v>
      </c>
      <c r="O685" s="89" t="e">
        <v>#REF!</v>
      </c>
      <c r="P685" s="89" t="e">
        <v>#REF!</v>
      </c>
      <c r="Q685" s="89" t="e">
        <v>#REF!</v>
      </c>
      <c r="R685" s="89" t="e">
        <v>#REF!</v>
      </c>
      <c r="S685" s="89" t="e">
        <f>#REF!</f>
        <v>#REF!</v>
      </c>
      <c r="T685" s="89" t="e">
        <f>#REF!</f>
        <v>#REF!</v>
      </c>
      <c r="U685" s="89" t="e">
        <f>#REF!</f>
        <v>#REF!</v>
      </c>
      <c r="V685" s="89" t="e">
        <f>#REF!</f>
        <v>#REF!</v>
      </c>
      <c r="W685" s="89" t="e">
        <f>#REF!</f>
        <v>#REF!</v>
      </c>
      <c r="X685" s="89" t="e">
        <f>#REF!</f>
        <v>#REF!</v>
      </c>
      <c r="Y685" s="89" t="e">
        <f>#REF!</f>
        <v>#REF!</v>
      </c>
      <c r="Z685" s="89" t="e">
        <f>#REF!</f>
        <v>#REF!</v>
      </c>
      <c r="AA685" s="89" t="e">
        <f>#REF!</f>
        <v>#REF!</v>
      </c>
      <c r="AB685" s="89" t="e">
        <f>#REF!</f>
        <v>#REF!</v>
      </c>
      <c r="AC685" s="89" t="e">
        <f>#REF!</f>
        <v>#REF!</v>
      </c>
      <c r="AD685" s="89" t="e">
        <f>#REF!</f>
        <v>#REF!</v>
      </c>
      <c r="AE685" s="89" t="e">
        <f>#REF!</f>
        <v>#REF!</v>
      </c>
      <c r="AF685" s="89" t="e">
        <f>#REF!</f>
        <v>#REF!</v>
      </c>
      <c r="AG685" s="89" t="e">
        <f>#REF!</f>
        <v>#REF!</v>
      </c>
      <c r="AH685" s="89" t="e">
        <f>#REF!</f>
        <v>#REF!</v>
      </c>
      <c r="AI685" s="89" t="e">
        <f>#REF!</f>
        <v>#REF!</v>
      </c>
      <c r="AJ685" s="89" t="e">
        <f>#REF!</f>
        <v>#REF!</v>
      </c>
      <c r="AK685" s="89" t="e">
        <f>#REF!</f>
        <v>#REF!</v>
      </c>
      <c r="AL685" s="89" t="e">
        <f>#REF!</f>
        <v>#REF!</v>
      </c>
      <c r="AM685" s="89" t="e">
        <f>#REF!</f>
        <v>#REF!</v>
      </c>
      <c r="AN685" s="89" t="e">
        <f>#REF!</f>
        <v>#REF!</v>
      </c>
      <c r="AO685" s="89" t="e">
        <f>#REF!</f>
        <v>#REF!</v>
      </c>
      <c r="AP685" s="89" t="e">
        <f>#REF!</f>
        <v>#REF!</v>
      </c>
      <c r="AQ685" s="89" t="e">
        <f>#REF!</f>
        <v>#REF!</v>
      </c>
      <c r="AR685" s="89" t="e">
        <f>#REF!</f>
        <v>#REF!</v>
      </c>
      <c r="AS685" s="89" t="e">
        <f>#REF!</f>
        <v>#REF!</v>
      </c>
      <c r="AT685" s="89" t="e">
        <f>#REF!</f>
        <v>#REF!</v>
      </c>
      <c r="AU685" s="89" t="e">
        <f>#REF!</f>
        <v>#REF!</v>
      </c>
      <c r="AV685" s="89" t="e">
        <f>#REF!</f>
        <v>#REF!</v>
      </c>
      <c r="AW685" s="89" t="e">
        <f>#REF!</f>
        <v>#REF!</v>
      </c>
      <c r="AX685" s="89" t="e">
        <f>#REF!</f>
        <v>#REF!</v>
      </c>
      <c r="AY685" s="89" t="e">
        <f>#REF!</f>
        <v>#REF!</v>
      </c>
      <c r="AZ685" s="89" t="e">
        <f>#REF!</f>
        <v>#REF!</v>
      </c>
      <c r="BA685" s="89" t="e">
        <f>#REF!</f>
        <v>#REF!</v>
      </c>
      <c r="BB685" s="89" t="e">
        <f>#REF!</f>
        <v>#REF!</v>
      </c>
      <c r="BC685" s="89" t="e">
        <f>#REF!</f>
        <v>#REF!</v>
      </c>
      <c r="BD685" s="89" t="e">
        <f>#REF!</f>
        <v>#REF!</v>
      </c>
      <c r="BE685" s="89" t="e">
        <f>#REF!</f>
        <v>#REF!</v>
      </c>
      <c r="BF685" s="89" t="e">
        <f>#REF!</f>
        <v>#REF!</v>
      </c>
    </row>
    <row r="686" spans="9:58" x14ac:dyDescent="0.25">
      <c r="I686" s="89">
        <f>ABCD!J735</f>
        <v>170.5</v>
      </c>
      <c r="J686" s="89">
        <f>ABCD!K735</f>
        <v>559.24</v>
      </c>
      <c r="K686" s="89">
        <f>ABCD!L735</f>
        <v>-3.3282010692792436</v>
      </c>
      <c r="L686" s="89">
        <f>ABCD!M735</f>
        <v>-0.56929608508595253</v>
      </c>
      <c r="M686" s="89">
        <f>ABCD!N735</f>
        <v>3.3765397065702771</v>
      </c>
      <c r="N686" s="89" t="e">
        <v>#REF!</v>
      </c>
      <c r="O686" s="89" t="e">
        <v>#REF!</v>
      </c>
      <c r="P686" s="89" t="e">
        <v>#REF!</v>
      </c>
      <c r="Q686" s="89" t="e">
        <v>#REF!</v>
      </c>
      <c r="R686" s="89" t="e">
        <v>#REF!</v>
      </c>
      <c r="S686" s="89" t="e">
        <f>#REF!</f>
        <v>#REF!</v>
      </c>
      <c r="T686" s="89" t="e">
        <f>#REF!</f>
        <v>#REF!</v>
      </c>
      <c r="U686" s="89" t="e">
        <f>#REF!</f>
        <v>#REF!</v>
      </c>
      <c r="V686" s="89" t="e">
        <f>#REF!</f>
        <v>#REF!</v>
      </c>
      <c r="W686" s="89" t="e">
        <f>#REF!</f>
        <v>#REF!</v>
      </c>
      <c r="X686" s="89" t="e">
        <f>#REF!</f>
        <v>#REF!</v>
      </c>
      <c r="Y686" s="89" t="e">
        <f>#REF!</f>
        <v>#REF!</v>
      </c>
      <c r="Z686" s="89" t="e">
        <f>#REF!</f>
        <v>#REF!</v>
      </c>
      <c r="AA686" s="89" t="e">
        <f>#REF!</f>
        <v>#REF!</v>
      </c>
      <c r="AB686" s="89" t="e">
        <f>#REF!</f>
        <v>#REF!</v>
      </c>
      <c r="AC686" s="89" t="e">
        <f>#REF!</f>
        <v>#REF!</v>
      </c>
      <c r="AD686" s="89" t="e">
        <f>#REF!</f>
        <v>#REF!</v>
      </c>
      <c r="AE686" s="89" t="e">
        <f>#REF!</f>
        <v>#REF!</v>
      </c>
      <c r="AF686" s="89" t="e">
        <f>#REF!</f>
        <v>#REF!</v>
      </c>
      <c r="AG686" s="89" t="e">
        <f>#REF!</f>
        <v>#REF!</v>
      </c>
      <c r="AH686" s="89" t="e">
        <f>#REF!</f>
        <v>#REF!</v>
      </c>
      <c r="AI686" s="89" t="e">
        <f>#REF!</f>
        <v>#REF!</v>
      </c>
      <c r="AJ686" s="89" t="e">
        <f>#REF!</f>
        <v>#REF!</v>
      </c>
      <c r="AK686" s="89" t="e">
        <f>#REF!</f>
        <v>#REF!</v>
      </c>
      <c r="AL686" s="89" t="e">
        <f>#REF!</f>
        <v>#REF!</v>
      </c>
      <c r="AM686" s="89" t="e">
        <f>#REF!</f>
        <v>#REF!</v>
      </c>
      <c r="AN686" s="89" t="e">
        <f>#REF!</f>
        <v>#REF!</v>
      </c>
      <c r="AO686" s="89" t="e">
        <f>#REF!</f>
        <v>#REF!</v>
      </c>
      <c r="AP686" s="89" t="e">
        <f>#REF!</f>
        <v>#REF!</v>
      </c>
      <c r="AQ686" s="89" t="e">
        <f>#REF!</f>
        <v>#REF!</v>
      </c>
      <c r="AR686" s="89" t="e">
        <f>#REF!</f>
        <v>#REF!</v>
      </c>
      <c r="AS686" s="89" t="e">
        <f>#REF!</f>
        <v>#REF!</v>
      </c>
      <c r="AT686" s="89" t="e">
        <f>#REF!</f>
        <v>#REF!</v>
      </c>
      <c r="AU686" s="89" t="e">
        <f>#REF!</f>
        <v>#REF!</v>
      </c>
      <c r="AV686" s="89" t="e">
        <f>#REF!</f>
        <v>#REF!</v>
      </c>
      <c r="AW686" s="89" t="e">
        <f>#REF!</f>
        <v>#REF!</v>
      </c>
      <c r="AX686" s="89" t="e">
        <f>#REF!</f>
        <v>#REF!</v>
      </c>
      <c r="AY686" s="89" t="e">
        <f>#REF!</f>
        <v>#REF!</v>
      </c>
      <c r="AZ686" s="89" t="e">
        <f>#REF!</f>
        <v>#REF!</v>
      </c>
      <c r="BA686" s="89" t="e">
        <f>#REF!</f>
        <v>#REF!</v>
      </c>
      <c r="BB686" s="89" t="e">
        <f>#REF!</f>
        <v>#REF!</v>
      </c>
      <c r="BC686" s="89" t="e">
        <f>#REF!</f>
        <v>#REF!</v>
      </c>
      <c r="BD686" s="89" t="e">
        <f>#REF!</f>
        <v>#REF!</v>
      </c>
      <c r="BE686" s="89" t="e">
        <f>#REF!</f>
        <v>#REF!</v>
      </c>
      <c r="BF686" s="89" t="e">
        <f>#REF!</f>
        <v>#REF!</v>
      </c>
    </row>
    <row r="687" spans="9:58" x14ac:dyDescent="0.25">
      <c r="I687" s="89">
        <f>ABCD!J736</f>
        <v>170.75</v>
      </c>
      <c r="J687" s="89">
        <f>ABCD!K736</f>
        <v>560.05999999999995</v>
      </c>
      <c r="K687" s="89">
        <f>ABCD!L736</f>
        <v>-3.3864970937182561</v>
      </c>
      <c r="L687" s="89">
        <f>ABCD!M736</f>
        <v>-0.58039138308608296</v>
      </c>
      <c r="M687" s="89">
        <f>ABCD!N736</f>
        <v>3.4358720469951689</v>
      </c>
      <c r="N687" s="89" t="e">
        <v>#REF!</v>
      </c>
      <c r="O687" s="89" t="e">
        <v>#REF!</v>
      </c>
      <c r="P687" s="89" t="e">
        <v>#REF!</v>
      </c>
      <c r="Q687" s="89" t="e">
        <v>#REF!</v>
      </c>
      <c r="R687" s="89" t="e">
        <v>#REF!</v>
      </c>
      <c r="S687" s="89" t="e">
        <f>#REF!</f>
        <v>#REF!</v>
      </c>
      <c r="T687" s="89" t="e">
        <f>#REF!</f>
        <v>#REF!</v>
      </c>
      <c r="U687" s="89" t="e">
        <f>#REF!</f>
        <v>#REF!</v>
      </c>
      <c r="V687" s="89" t="e">
        <f>#REF!</f>
        <v>#REF!</v>
      </c>
      <c r="W687" s="89" t="e">
        <f>#REF!</f>
        <v>#REF!</v>
      </c>
      <c r="X687" s="89" t="e">
        <f>#REF!</f>
        <v>#REF!</v>
      </c>
      <c r="Y687" s="89" t="e">
        <f>#REF!</f>
        <v>#REF!</v>
      </c>
      <c r="Z687" s="89" t="e">
        <f>#REF!</f>
        <v>#REF!</v>
      </c>
      <c r="AA687" s="89" t="e">
        <f>#REF!</f>
        <v>#REF!</v>
      </c>
      <c r="AB687" s="89" t="e">
        <f>#REF!</f>
        <v>#REF!</v>
      </c>
      <c r="AC687" s="89" t="e">
        <f>#REF!</f>
        <v>#REF!</v>
      </c>
      <c r="AD687" s="89" t="e">
        <f>#REF!</f>
        <v>#REF!</v>
      </c>
      <c r="AE687" s="89" t="e">
        <f>#REF!</f>
        <v>#REF!</v>
      </c>
      <c r="AF687" s="89" t="e">
        <f>#REF!</f>
        <v>#REF!</v>
      </c>
      <c r="AG687" s="89" t="e">
        <f>#REF!</f>
        <v>#REF!</v>
      </c>
      <c r="AH687" s="89" t="e">
        <f>#REF!</f>
        <v>#REF!</v>
      </c>
      <c r="AI687" s="89" t="e">
        <f>#REF!</f>
        <v>#REF!</v>
      </c>
      <c r="AJ687" s="89" t="e">
        <f>#REF!</f>
        <v>#REF!</v>
      </c>
      <c r="AK687" s="89" t="e">
        <f>#REF!</f>
        <v>#REF!</v>
      </c>
      <c r="AL687" s="89" t="e">
        <f>#REF!</f>
        <v>#REF!</v>
      </c>
      <c r="AM687" s="89" t="e">
        <f>#REF!</f>
        <v>#REF!</v>
      </c>
      <c r="AN687" s="89" t="e">
        <f>#REF!</f>
        <v>#REF!</v>
      </c>
      <c r="AO687" s="89" t="e">
        <f>#REF!</f>
        <v>#REF!</v>
      </c>
      <c r="AP687" s="89" t="e">
        <f>#REF!</f>
        <v>#REF!</v>
      </c>
      <c r="AQ687" s="89" t="e">
        <f>#REF!</f>
        <v>#REF!</v>
      </c>
      <c r="AR687" s="89" t="e">
        <f>#REF!</f>
        <v>#REF!</v>
      </c>
      <c r="AS687" s="89" t="e">
        <f>#REF!</f>
        <v>#REF!</v>
      </c>
      <c r="AT687" s="89" t="e">
        <f>#REF!</f>
        <v>#REF!</v>
      </c>
      <c r="AU687" s="89" t="e">
        <f>#REF!</f>
        <v>#REF!</v>
      </c>
      <c r="AV687" s="89" t="e">
        <f>#REF!</f>
        <v>#REF!</v>
      </c>
      <c r="AW687" s="89" t="e">
        <f>#REF!</f>
        <v>#REF!</v>
      </c>
      <c r="AX687" s="89" t="e">
        <f>#REF!</f>
        <v>#REF!</v>
      </c>
      <c r="AY687" s="89" t="e">
        <f>#REF!</f>
        <v>#REF!</v>
      </c>
      <c r="AZ687" s="89" t="e">
        <f>#REF!</f>
        <v>#REF!</v>
      </c>
      <c r="BA687" s="89" t="e">
        <f>#REF!</f>
        <v>#REF!</v>
      </c>
      <c r="BB687" s="89" t="e">
        <f>#REF!</f>
        <v>#REF!</v>
      </c>
      <c r="BC687" s="89" t="e">
        <f>#REF!</f>
        <v>#REF!</v>
      </c>
      <c r="BD687" s="89" t="e">
        <f>#REF!</f>
        <v>#REF!</v>
      </c>
      <c r="BE687" s="89" t="e">
        <f>#REF!</f>
        <v>#REF!</v>
      </c>
      <c r="BF687" s="89" t="e">
        <f>#REF!</f>
        <v>#REF!</v>
      </c>
    </row>
    <row r="688" spans="9:58" x14ac:dyDescent="0.25">
      <c r="I688" s="89">
        <f>ABCD!J737</f>
        <v>171</v>
      </c>
      <c r="J688" s="89">
        <f>ABCD!K737</f>
        <v>560.88</v>
      </c>
      <c r="K688" s="89">
        <f>ABCD!L737</f>
        <v>-3.4439589327063813</v>
      </c>
      <c r="L688" s="89">
        <f>ABCD!M737</f>
        <v>-0.59134272163910961</v>
      </c>
      <c r="M688" s="89">
        <f>ABCD!N737</f>
        <v>3.4943582164116531</v>
      </c>
      <c r="N688" s="89" t="e">
        <v>#REF!</v>
      </c>
      <c r="O688" s="89" t="e">
        <v>#REF!</v>
      </c>
      <c r="P688" s="89" t="e">
        <v>#REF!</v>
      </c>
      <c r="Q688" s="89" t="e">
        <v>#REF!</v>
      </c>
      <c r="R688" s="89" t="e">
        <v>#REF!</v>
      </c>
      <c r="S688" s="89" t="e">
        <f>#REF!</f>
        <v>#REF!</v>
      </c>
      <c r="T688" s="89" t="e">
        <f>#REF!</f>
        <v>#REF!</v>
      </c>
      <c r="U688" s="89" t="e">
        <f>#REF!</f>
        <v>#REF!</v>
      </c>
      <c r="V688" s="89" t="e">
        <f>#REF!</f>
        <v>#REF!</v>
      </c>
      <c r="W688" s="89" t="e">
        <f>#REF!</f>
        <v>#REF!</v>
      </c>
      <c r="X688" s="89" t="e">
        <f>#REF!</f>
        <v>#REF!</v>
      </c>
      <c r="Y688" s="89" t="e">
        <f>#REF!</f>
        <v>#REF!</v>
      </c>
      <c r="Z688" s="89" t="e">
        <f>#REF!</f>
        <v>#REF!</v>
      </c>
      <c r="AA688" s="89" t="e">
        <f>#REF!</f>
        <v>#REF!</v>
      </c>
      <c r="AB688" s="89" t="e">
        <f>#REF!</f>
        <v>#REF!</v>
      </c>
      <c r="AC688" s="89" t="e">
        <f>#REF!</f>
        <v>#REF!</v>
      </c>
      <c r="AD688" s="89" t="e">
        <f>#REF!</f>
        <v>#REF!</v>
      </c>
      <c r="AE688" s="89" t="e">
        <f>#REF!</f>
        <v>#REF!</v>
      </c>
      <c r="AF688" s="89" t="e">
        <f>#REF!</f>
        <v>#REF!</v>
      </c>
      <c r="AG688" s="89" t="e">
        <f>#REF!</f>
        <v>#REF!</v>
      </c>
      <c r="AH688" s="89" t="e">
        <f>#REF!</f>
        <v>#REF!</v>
      </c>
      <c r="AI688" s="89" t="e">
        <f>#REF!</f>
        <v>#REF!</v>
      </c>
      <c r="AJ688" s="89" t="e">
        <f>#REF!</f>
        <v>#REF!</v>
      </c>
      <c r="AK688" s="89" t="e">
        <f>#REF!</f>
        <v>#REF!</v>
      </c>
      <c r="AL688" s="89" t="e">
        <f>#REF!</f>
        <v>#REF!</v>
      </c>
      <c r="AM688" s="89" t="e">
        <f>#REF!</f>
        <v>#REF!</v>
      </c>
      <c r="AN688" s="89" t="e">
        <f>#REF!</f>
        <v>#REF!</v>
      </c>
      <c r="AO688" s="89" t="e">
        <f>#REF!</f>
        <v>#REF!</v>
      </c>
      <c r="AP688" s="89" t="e">
        <f>#REF!</f>
        <v>#REF!</v>
      </c>
      <c r="AQ688" s="89" t="e">
        <f>#REF!</f>
        <v>#REF!</v>
      </c>
      <c r="AR688" s="89" t="e">
        <f>#REF!</f>
        <v>#REF!</v>
      </c>
      <c r="AS688" s="89" t="e">
        <f>#REF!</f>
        <v>#REF!</v>
      </c>
      <c r="AT688" s="89" t="e">
        <f>#REF!</f>
        <v>#REF!</v>
      </c>
      <c r="AU688" s="89" t="e">
        <f>#REF!</f>
        <v>#REF!</v>
      </c>
      <c r="AV688" s="89" t="e">
        <f>#REF!</f>
        <v>#REF!</v>
      </c>
      <c r="AW688" s="89" t="e">
        <f>#REF!</f>
        <v>#REF!</v>
      </c>
      <c r="AX688" s="89" t="e">
        <f>#REF!</f>
        <v>#REF!</v>
      </c>
      <c r="AY688" s="89" t="e">
        <f>#REF!</f>
        <v>#REF!</v>
      </c>
      <c r="AZ688" s="89" t="e">
        <f>#REF!</f>
        <v>#REF!</v>
      </c>
      <c r="BA688" s="89" t="e">
        <f>#REF!</f>
        <v>#REF!</v>
      </c>
      <c r="BB688" s="89" t="e">
        <f>#REF!</f>
        <v>#REF!</v>
      </c>
      <c r="BC688" s="89" t="e">
        <f>#REF!</f>
        <v>#REF!</v>
      </c>
      <c r="BD688" s="89" t="e">
        <f>#REF!</f>
        <v>#REF!</v>
      </c>
      <c r="BE688" s="89" t="e">
        <f>#REF!</f>
        <v>#REF!</v>
      </c>
      <c r="BF688" s="89" t="e">
        <f>#REF!</f>
        <v>#REF!</v>
      </c>
    </row>
    <row r="689" spans="9:58" x14ac:dyDescent="0.25">
      <c r="I689" s="89">
        <f>ABCD!J738</f>
        <v>171.25</v>
      </c>
      <c r="J689" s="89">
        <f>ABCD!K738</f>
        <v>561.69999999999993</v>
      </c>
      <c r="K689" s="89">
        <f>ABCD!L738</f>
        <v>-3.5005740721200649</v>
      </c>
      <c r="L689" s="89">
        <f>ABCD!M738</f>
        <v>-0.60214770223147607</v>
      </c>
      <c r="M689" s="89">
        <f>ABCD!N738</f>
        <v>3.5519854574170067</v>
      </c>
      <c r="N689" s="89" t="e">
        <v>#REF!</v>
      </c>
      <c r="O689" s="89" t="e">
        <v>#REF!</v>
      </c>
      <c r="P689" s="89" t="e">
        <v>#REF!</v>
      </c>
      <c r="Q689" s="89" t="e">
        <v>#REF!</v>
      </c>
      <c r="R689" s="89" t="e">
        <v>#REF!</v>
      </c>
      <c r="S689" s="89" t="e">
        <f>#REF!</f>
        <v>#REF!</v>
      </c>
      <c r="T689" s="89" t="e">
        <f>#REF!</f>
        <v>#REF!</v>
      </c>
      <c r="U689" s="89" t="e">
        <f>#REF!</f>
        <v>#REF!</v>
      </c>
      <c r="V689" s="89" t="e">
        <f>#REF!</f>
        <v>#REF!</v>
      </c>
      <c r="W689" s="89" t="e">
        <f>#REF!</f>
        <v>#REF!</v>
      </c>
      <c r="X689" s="89" t="e">
        <f>#REF!</f>
        <v>#REF!</v>
      </c>
      <c r="Y689" s="89" t="e">
        <f>#REF!</f>
        <v>#REF!</v>
      </c>
      <c r="Z689" s="89" t="e">
        <f>#REF!</f>
        <v>#REF!</v>
      </c>
      <c r="AA689" s="89" t="e">
        <f>#REF!</f>
        <v>#REF!</v>
      </c>
      <c r="AB689" s="89" t="e">
        <f>#REF!</f>
        <v>#REF!</v>
      </c>
      <c r="AC689" s="89" t="e">
        <f>#REF!</f>
        <v>#REF!</v>
      </c>
      <c r="AD689" s="89" t="e">
        <f>#REF!</f>
        <v>#REF!</v>
      </c>
      <c r="AE689" s="89" t="e">
        <f>#REF!</f>
        <v>#REF!</v>
      </c>
      <c r="AF689" s="89" t="e">
        <f>#REF!</f>
        <v>#REF!</v>
      </c>
      <c r="AG689" s="89" t="e">
        <f>#REF!</f>
        <v>#REF!</v>
      </c>
      <c r="AH689" s="89" t="e">
        <f>#REF!</f>
        <v>#REF!</v>
      </c>
      <c r="AI689" s="89" t="e">
        <f>#REF!</f>
        <v>#REF!</v>
      </c>
      <c r="AJ689" s="89" t="e">
        <f>#REF!</f>
        <v>#REF!</v>
      </c>
      <c r="AK689" s="89" t="e">
        <f>#REF!</f>
        <v>#REF!</v>
      </c>
      <c r="AL689" s="89" t="e">
        <f>#REF!</f>
        <v>#REF!</v>
      </c>
      <c r="AM689" s="89" t="e">
        <f>#REF!</f>
        <v>#REF!</v>
      </c>
      <c r="AN689" s="89" t="e">
        <f>#REF!</f>
        <v>#REF!</v>
      </c>
      <c r="AO689" s="89" t="e">
        <f>#REF!</f>
        <v>#REF!</v>
      </c>
      <c r="AP689" s="89" t="e">
        <f>#REF!</f>
        <v>#REF!</v>
      </c>
      <c r="AQ689" s="89" t="e">
        <f>#REF!</f>
        <v>#REF!</v>
      </c>
      <c r="AR689" s="89" t="e">
        <f>#REF!</f>
        <v>#REF!</v>
      </c>
      <c r="AS689" s="89" t="e">
        <f>#REF!</f>
        <v>#REF!</v>
      </c>
      <c r="AT689" s="89" t="e">
        <f>#REF!</f>
        <v>#REF!</v>
      </c>
      <c r="AU689" s="89" t="e">
        <f>#REF!</f>
        <v>#REF!</v>
      </c>
      <c r="AV689" s="89" t="e">
        <f>#REF!</f>
        <v>#REF!</v>
      </c>
      <c r="AW689" s="89" t="e">
        <f>#REF!</f>
        <v>#REF!</v>
      </c>
      <c r="AX689" s="89" t="e">
        <f>#REF!</f>
        <v>#REF!</v>
      </c>
      <c r="AY689" s="89" t="e">
        <f>#REF!</f>
        <v>#REF!</v>
      </c>
      <c r="AZ689" s="89" t="e">
        <f>#REF!</f>
        <v>#REF!</v>
      </c>
      <c r="BA689" s="89" t="e">
        <f>#REF!</f>
        <v>#REF!</v>
      </c>
      <c r="BB689" s="89" t="e">
        <f>#REF!</f>
        <v>#REF!</v>
      </c>
      <c r="BC689" s="89" t="e">
        <f>#REF!</f>
        <v>#REF!</v>
      </c>
      <c r="BD689" s="89" t="e">
        <f>#REF!</f>
        <v>#REF!</v>
      </c>
      <c r="BE689" s="89" t="e">
        <f>#REF!</f>
        <v>#REF!</v>
      </c>
      <c r="BF689" s="89" t="e">
        <f>#REF!</f>
        <v>#REF!</v>
      </c>
    </row>
    <row r="690" spans="9:58" x14ac:dyDescent="0.25">
      <c r="I690" s="89">
        <f>ABCD!J739</f>
        <v>171.5</v>
      </c>
      <c r="J690" s="89">
        <f>ABCD!K739</f>
        <v>562.52</v>
      </c>
      <c r="K690" s="89">
        <f>ABCD!L739</f>
        <v>-3.5563302045464322</v>
      </c>
      <c r="L690" s="89">
        <f>ABCD!M739</f>
        <v>-0.61280396229274814</v>
      </c>
      <c r="M690" s="89">
        <f>ABCD!N739</f>
        <v>3.6087412237469949</v>
      </c>
      <c r="N690" s="89" t="e">
        <v>#REF!</v>
      </c>
      <c r="O690" s="89" t="e">
        <v>#REF!</v>
      </c>
      <c r="P690" s="89" t="e">
        <v>#REF!</v>
      </c>
      <c r="Q690" s="89" t="e">
        <v>#REF!</v>
      </c>
      <c r="R690" s="89" t="e">
        <v>#REF!</v>
      </c>
      <c r="S690" s="89" t="e">
        <f>#REF!</f>
        <v>#REF!</v>
      </c>
      <c r="T690" s="89" t="e">
        <f>#REF!</f>
        <v>#REF!</v>
      </c>
      <c r="U690" s="89" t="e">
        <f>#REF!</f>
        <v>#REF!</v>
      </c>
      <c r="V690" s="89" t="e">
        <f>#REF!</f>
        <v>#REF!</v>
      </c>
      <c r="W690" s="89" t="e">
        <f>#REF!</f>
        <v>#REF!</v>
      </c>
      <c r="X690" s="89" t="e">
        <f>#REF!</f>
        <v>#REF!</v>
      </c>
      <c r="Y690" s="89" t="e">
        <f>#REF!</f>
        <v>#REF!</v>
      </c>
      <c r="Z690" s="89" t="e">
        <f>#REF!</f>
        <v>#REF!</v>
      </c>
      <c r="AA690" s="89" t="e">
        <f>#REF!</f>
        <v>#REF!</v>
      </c>
      <c r="AB690" s="89" t="e">
        <f>#REF!</f>
        <v>#REF!</v>
      </c>
      <c r="AC690" s="89" t="e">
        <f>#REF!</f>
        <v>#REF!</v>
      </c>
      <c r="AD690" s="89" t="e">
        <f>#REF!</f>
        <v>#REF!</v>
      </c>
      <c r="AE690" s="89" t="e">
        <f>#REF!</f>
        <v>#REF!</v>
      </c>
      <c r="AF690" s="89" t="e">
        <f>#REF!</f>
        <v>#REF!</v>
      </c>
      <c r="AG690" s="89" t="e">
        <f>#REF!</f>
        <v>#REF!</v>
      </c>
      <c r="AH690" s="89" t="e">
        <f>#REF!</f>
        <v>#REF!</v>
      </c>
      <c r="AI690" s="89" t="e">
        <f>#REF!</f>
        <v>#REF!</v>
      </c>
      <c r="AJ690" s="89" t="e">
        <f>#REF!</f>
        <v>#REF!</v>
      </c>
      <c r="AK690" s="89" t="e">
        <f>#REF!</f>
        <v>#REF!</v>
      </c>
      <c r="AL690" s="89" t="e">
        <f>#REF!</f>
        <v>#REF!</v>
      </c>
      <c r="AM690" s="89" t="e">
        <f>#REF!</f>
        <v>#REF!</v>
      </c>
      <c r="AN690" s="89" t="e">
        <f>#REF!</f>
        <v>#REF!</v>
      </c>
      <c r="AO690" s="89" t="e">
        <f>#REF!</f>
        <v>#REF!</v>
      </c>
      <c r="AP690" s="89" t="e">
        <f>#REF!</f>
        <v>#REF!</v>
      </c>
      <c r="AQ690" s="89" t="e">
        <f>#REF!</f>
        <v>#REF!</v>
      </c>
      <c r="AR690" s="89" t="e">
        <f>#REF!</f>
        <v>#REF!</v>
      </c>
      <c r="AS690" s="89" t="e">
        <f>#REF!</f>
        <v>#REF!</v>
      </c>
      <c r="AT690" s="89" t="e">
        <f>#REF!</f>
        <v>#REF!</v>
      </c>
      <c r="AU690" s="89" t="e">
        <f>#REF!</f>
        <v>#REF!</v>
      </c>
      <c r="AV690" s="89" t="e">
        <f>#REF!</f>
        <v>#REF!</v>
      </c>
      <c r="AW690" s="89" t="e">
        <f>#REF!</f>
        <v>#REF!</v>
      </c>
      <c r="AX690" s="89" t="e">
        <f>#REF!</f>
        <v>#REF!</v>
      </c>
      <c r="AY690" s="89" t="e">
        <f>#REF!</f>
        <v>#REF!</v>
      </c>
      <c r="AZ690" s="89" t="e">
        <f>#REF!</f>
        <v>#REF!</v>
      </c>
      <c r="BA690" s="89" t="e">
        <f>#REF!</f>
        <v>#REF!</v>
      </c>
      <c r="BB690" s="89" t="e">
        <f>#REF!</f>
        <v>#REF!</v>
      </c>
      <c r="BC690" s="89" t="e">
        <f>#REF!</f>
        <v>#REF!</v>
      </c>
      <c r="BD690" s="89" t="e">
        <f>#REF!</f>
        <v>#REF!</v>
      </c>
      <c r="BE690" s="89" t="e">
        <f>#REF!</f>
        <v>#REF!</v>
      </c>
      <c r="BF690" s="89" t="e">
        <f>#REF!</f>
        <v>#REF!</v>
      </c>
    </row>
    <row r="691" spans="9:58" x14ac:dyDescent="0.25">
      <c r="I691" s="89">
        <f>ABCD!J740</f>
        <v>171.75</v>
      </c>
      <c r="J691" s="89">
        <f>ABCD!K740</f>
        <v>563.33999999999992</v>
      </c>
      <c r="K691" s="89">
        <f>ABCD!L740</f>
        <v>-3.6112152319384005</v>
      </c>
      <c r="L691" s="89">
        <f>ABCD!M740</f>
        <v>-0.62330917570866062</v>
      </c>
      <c r="M691" s="89">
        <f>ABCD!N740</f>
        <v>3.6646131828484338</v>
      </c>
      <c r="N691" s="89" t="e">
        <v>#REF!</v>
      </c>
      <c r="O691" s="89" t="e">
        <v>#REF!</v>
      </c>
      <c r="P691" s="89" t="e">
        <v>#REF!</v>
      </c>
      <c r="Q691" s="89" t="e">
        <v>#REF!</v>
      </c>
      <c r="R691" s="89" t="e">
        <v>#REF!</v>
      </c>
      <c r="S691" s="89" t="e">
        <f>#REF!</f>
        <v>#REF!</v>
      </c>
      <c r="T691" s="89" t="e">
        <f>#REF!</f>
        <v>#REF!</v>
      </c>
      <c r="U691" s="89" t="e">
        <f>#REF!</f>
        <v>#REF!</v>
      </c>
      <c r="V691" s="89" t="e">
        <f>#REF!</f>
        <v>#REF!</v>
      </c>
      <c r="W691" s="89" t="e">
        <f>#REF!</f>
        <v>#REF!</v>
      </c>
      <c r="X691" s="89" t="e">
        <f>#REF!</f>
        <v>#REF!</v>
      </c>
      <c r="Y691" s="89" t="e">
        <f>#REF!</f>
        <v>#REF!</v>
      </c>
      <c r="Z691" s="89" t="e">
        <f>#REF!</f>
        <v>#REF!</v>
      </c>
      <c r="AA691" s="89" t="e">
        <f>#REF!</f>
        <v>#REF!</v>
      </c>
      <c r="AB691" s="89" t="e">
        <f>#REF!</f>
        <v>#REF!</v>
      </c>
      <c r="AC691" s="89" t="e">
        <f>#REF!</f>
        <v>#REF!</v>
      </c>
      <c r="AD691" s="89" t="e">
        <f>#REF!</f>
        <v>#REF!</v>
      </c>
      <c r="AE691" s="89" t="e">
        <f>#REF!</f>
        <v>#REF!</v>
      </c>
      <c r="AF691" s="89" t="e">
        <f>#REF!</f>
        <v>#REF!</v>
      </c>
      <c r="AG691" s="89" t="e">
        <f>#REF!</f>
        <v>#REF!</v>
      </c>
      <c r="AH691" s="89" t="e">
        <f>#REF!</f>
        <v>#REF!</v>
      </c>
      <c r="AI691" s="89" t="e">
        <f>#REF!</f>
        <v>#REF!</v>
      </c>
      <c r="AJ691" s="89" t="e">
        <f>#REF!</f>
        <v>#REF!</v>
      </c>
      <c r="AK691" s="89" t="e">
        <f>#REF!</f>
        <v>#REF!</v>
      </c>
      <c r="AL691" s="89" t="e">
        <f>#REF!</f>
        <v>#REF!</v>
      </c>
      <c r="AM691" s="89" t="e">
        <f>#REF!</f>
        <v>#REF!</v>
      </c>
      <c r="AN691" s="89" t="e">
        <f>#REF!</f>
        <v>#REF!</v>
      </c>
      <c r="AO691" s="89" t="e">
        <f>#REF!</f>
        <v>#REF!</v>
      </c>
      <c r="AP691" s="89" t="e">
        <f>#REF!</f>
        <v>#REF!</v>
      </c>
      <c r="AQ691" s="89" t="e">
        <f>#REF!</f>
        <v>#REF!</v>
      </c>
      <c r="AR691" s="89" t="e">
        <f>#REF!</f>
        <v>#REF!</v>
      </c>
      <c r="AS691" s="89" t="e">
        <f>#REF!</f>
        <v>#REF!</v>
      </c>
      <c r="AT691" s="89" t="e">
        <f>#REF!</f>
        <v>#REF!</v>
      </c>
      <c r="AU691" s="89" t="e">
        <f>#REF!</f>
        <v>#REF!</v>
      </c>
      <c r="AV691" s="89" t="e">
        <f>#REF!</f>
        <v>#REF!</v>
      </c>
      <c r="AW691" s="89" t="e">
        <f>#REF!</f>
        <v>#REF!</v>
      </c>
      <c r="AX691" s="89" t="e">
        <f>#REF!</f>
        <v>#REF!</v>
      </c>
      <c r="AY691" s="89" t="e">
        <f>#REF!</f>
        <v>#REF!</v>
      </c>
      <c r="AZ691" s="89" t="e">
        <f>#REF!</f>
        <v>#REF!</v>
      </c>
      <c r="BA691" s="89" t="e">
        <f>#REF!</f>
        <v>#REF!</v>
      </c>
      <c r="BB691" s="89" t="e">
        <f>#REF!</f>
        <v>#REF!</v>
      </c>
      <c r="BC691" s="89" t="e">
        <f>#REF!</f>
        <v>#REF!</v>
      </c>
      <c r="BD691" s="89" t="e">
        <f>#REF!</f>
        <v>#REF!</v>
      </c>
      <c r="BE691" s="89" t="e">
        <f>#REF!</f>
        <v>#REF!</v>
      </c>
      <c r="BF691" s="89" t="e">
        <f>#REF!</f>
        <v>#REF!</v>
      </c>
    </row>
    <row r="692" spans="9:58" x14ac:dyDescent="0.25">
      <c r="I692" s="89">
        <f>ABCD!J741</f>
        <v>172</v>
      </c>
      <c r="J692" s="89">
        <f>ABCD!K741</f>
        <v>564.16</v>
      </c>
      <c r="K692" s="89">
        <f>ABCD!L741</f>
        <v>-3.6652172682190454</v>
      </c>
      <c r="L692" s="89">
        <f>ABCD!M741</f>
        <v>-0.6336610533252649</v>
      </c>
      <c r="M692" s="89">
        <f>ABCD!N741</f>
        <v>3.7195892184154378</v>
      </c>
      <c r="N692" s="89" t="e">
        <v>#REF!</v>
      </c>
      <c r="O692" s="89" t="e">
        <v>#REF!</v>
      </c>
      <c r="P692" s="89" t="e">
        <v>#REF!</v>
      </c>
      <c r="Q692" s="89" t="e">
        <v>#REF!</v>
      </c>
      <c r="R692" s="89" t="e">
        <v>#REF!</v>
      </c>
      <c r="S692" s="89" t="e">
        <f>#REF!</f>
        <v>#REF!</v>
      </c>
      <c r="T692" s="89" t="e">
        <f>#REF!</f>
        <v>#REF!</v>
      </c>
      <c r="U692" s="89" t="e">
        <f>#REF!</f>
        <v>#REF!</v>
      </c>
      <c r="V692" s="89" t="e">
        <f>#REF!</f>
        <v>#REF!</v>
      </c>
      <c r="W692" s="89" t="e">
        <f>#REF!</f>
        <v>#REF!</v>
      </c>
      <c r="X692" s="89" t="e">
        <f>#REF!</f>
        <v>#REF!</v>
      </c>
      <c r="Y692" s="89" t="e">
        <f>#REF!</f>
        <v>#REF!</v>
      </c>
      <c r="Z692" s="89" t="e">
        <f>#REF!</f>
        <v>#REF!</v>
      </c>
      <c r="AA692" s="89" t="e">
        <f>#REF!</f>
        <v>#REF!</v>
      </c>
      <c r="AB692" s="89" t="e">
        <f>#REF!</f>
        <v>#REF!</v>
      </c>
      <c r="AC692" s="89" t="e">
        <f>#REF!</f>
        <v>#REF!</v>
      </c>
      <c r="AD692" s="89" t="e">
        <f>#REF!</f>
        <v>#REF!</v>
      </c>
      <c r="AE692" s="89" t="e">
        <f>#REF!</f>
        <v>#REF!</v>
      </c>
      <c r="AF692" s="89" t="e">
        <f>#REF!</f>
        <v>#REF!</v>
      </c>
      <c r="AG692" s="89" t="e">
        <f>#REF!</f>
        <v>#REF!</v>
      </c>
      <c r="AH692" s="89" t="e">
        <f>#REF!</f>
        <v>#REF!</v>
      </c>
      <c r="AI692" s="89" t="e">
        <f>#REF!</f>
        <v>#REF!</v>
      </c>
      <c r="AJ692" s="89" t="e">
        <f>#REF!</f>
        <v>#REF!</v>
      </c>
      <c r="AK692" s="89" t="e">
        <f>#REF!</f>
        <v>#REF!</v>
      </c>
      <c r="AL692" s="89" t="e">
        <f>#REF!</f>
        <v>#REF!</v>
      </c>
      <c r="AM692" s="89" t="e">
        <f>#REF!</f>
        <v>#REF!</v>
      </c>
      <c r="AN692" s="89" t="e">
        <f>#REF!</f>
        <v>#REF!</v>
      </c>
      <c r="AO692" s="89" t="e">
        <f>#REF!</f>
        <v>#REF!</v>
      </c>
      <c r="AP692" s="89" t="e">
        <f>#REF!</f>
        <v>#REF!</v>
      </c>
      <c r="AQ692" s="89" t="e">
        <f>#REF!</f>
        <v>#REF!</v>
      </c>
      <c r="AR692" s="89" t="e">
        <f>#REF!</f>
        <v>#REF!</v>
      </c>
      <c r="AS692" s="89" t="e">
        <f>#REF!</f>
        <v>#REF!</v>
      </c>
      <c r="AT692" s="89" t="e">
        <f>#REF!</f>
        <v>#REF!</v>
      </c>
      <c r="AU692" s="89" t="e">
        <f>#REF!</f>
        <v>#REF!</v>
      </c>
      <c r="AV692" s="89" t="e">
        <f>#REF!</f>
        <v>#REF!</v>
      </c>
      <c r="AW692" s="89" t="e">
        <f>#REF!</f>
        <v>#REF!</v>
      </c>
      <c r="AX692" s="89" t="e">
        <f>#REF!</f>
        <v>#REF!</v>
      </c>
      <c r="AY692" s="89" t="e">
        <f>#REF!</f>
        <v>#REF!</v>
      </c>
      <c r="AZ692" s="89" t="e">
        <f>#REF!</f>
        <v>#REF!</v>
      </c>
      <c r="BA692" s="89" t="e">
        <f>#REF!</f>
        <v>#REF!</v>
      </c>
      <c r="BB692" s="89" t="e">
        <f>#REF!</f>
        <v>#REF!</v>
      </c>
      <c r="BC692" s="89" t="e">
        <f>#REF!</f>
        <v>#REF!</v>
      </c>
      <c r="BD692" s="89" t="e">
        <f>#REF!</f>
        <v>#REF!</v>
      </c>
      <c r="BE692" s="89" t="e">
        <f>#REF!</f>
        <v>#REF!</v>
      </c>
      <c r="BF692" s="89" t="e">
        <f>#REF!</f>
        <v>#REF!</v>
      </c>
    </row>
    <row r="693" spans="9:58" x14ac:dyDescent="0.25">
      <c r="I693" s="89">
        <f>ABCD!J742</f>
        <v>172.25</v>
      </c>
      <c r="J693" s="89">
        <f>ABCD!K742</f>
        <v>564.98</v>
      </c>
      <c r="K693" s="89">
        <f>ABCD!L742</f>
        <v>-3.7183246418347169</v>
      </c>
      <c r="L693" s="89">
        <f>ABCD!M742</f>
        <v>-0.64385734344413814</v>
      </c>
      <c r="M693" s="89">
        <f>ABCD!N742</f>
        <v>3.7736574328868562</v>
      </c>
      <c r="N693" s="89" t="e">
        <v>#REF!</v>
      </c>
      <c r="O693" s="89" t="e">
        <v>#REF!</v>
      </c>
      <c r="P693" s="89" t="e">
        <v>#REF!</v>
      </c>
      <c r="Q693" s="89" t="e">
        <v>#REF!</v>
      </c>
      <c r="R693" s="89" t="e">
        <v>#REF!</v>
      </c>
      <c r="S693" s="89" t="e">
        <f>#REF!</f>
        <v>#REF!</v>
      </c>
      <c r="T693" s="89" t="e">
        <f>#REF!</f>
        <v>#REF!</v>
      </c>
      <c r="U693" s="89" t="e">
        <f>#REF!</f>
        <v>#REF!</v>
      </c>
      <c r="V693" s="89" t="e">
        <f>#REF!</f>
        <v>#REF!</v>
      </c>
      <c r="W693" s="89" t="e">
        <f>#REF!</f>
        <v>#REF!</v>
      </c>
      <c r="X693" s="89" t="e">
        <f>#REF!</f>
        <v>#REF!</v>
      </c>
      <c r="Y693" s="89" t="e">
        <f>#REF!</f>
        <v>#REF!</v>
      </c>
      <c r="Z693" s="89" t="e">
        <f>#REF!</f>
        <v>#REF!</v>
      </c>
      <c r="AA693" s="89" t="e">
        <f>#REF!</f>
        <v>#REF!</v>
      </c>
      <c r="AB693" s="89" t="e">
        <f>#REF!</f>
        <v>#REF!</v>
      </c>
      <c r="AC693" s="89" t="e">
        <f>#REF!</f>
        <v>#REF!</v>
      </c>
      <c r="AD693" s="89" t="e">
        <f>#REF!</f>
        <v>#REF!</v>
      </c>
      <c r="AE693" s="89" t="e">
        <f>#REF!</f>
        <v>#REF!</v>
      </c>
      <c r="AF693" s="89" t="e">
        <f>#REF!</f>
        <v>#REF!</v>
      </c>
      <c r="AG693" s="89" t="e">
        <f>#REF!</f>
        <v>#REF!</v>
      </c>
      <c r="AH693" s="89" t="e">
        <f>#REF!</f>
        <v>#REF!</v>
      </c>
      <c r="AI693" s="89" t="e">
        <f>#REF!</f>
        <v>#REF!</v>
      </c>
      <c r="AJ693" s="89" t="e">
        <f>#REF!</f>
        <v>#REF!</v>
      </c>
      <c r="AK693" s="89" t="e">
        <f>#REF!</f>
        <v>#REF!</v>
      </c>
      <c r="AL693" s="89" t="e">
        <f>#REF!</f>
        <v>#REF!</v>
      </c>
      <c r="AM693" s="89" t="e">
        <f>#REF!</f>
        <v>#REF!</v>
      </c>
      <c r="AN693" s="89" t="e">
        <f>#REF!</f>
        <v>#REF!</v>
      </c>
      <c r="AO693" s="89" t="e">
        <f>#REF!</f>
        <v>#REF!</v>
      </c>
      <c r="AP693" s="89" t="e">
        <f>#REF!</f>
        <v>#REF!</v>
      </c>
      <c r="AQ693" s="89" t="e">
        <f>#REF!</f>
        <v>#REF!</v>
      </c>
      <c r="AR693" s="89" t="e">
        <f>#REF!</f>
        <v>#REF!</v>
      </c>
      <c r="AS693" s="89" t="e">
        <f>#REF!</f>
        <v>#REF!</v>
      </c>
      <c r="AT693" s="89" t="e">
        <f>#REF!</f>
        <v>#REF!</v>
      </c>
      <c r="AU693" s="89" t="e">
        <f>#REF!</f>
        <v>#REF!</v>
      </c>
      <c r="AV693" s="89" t="e">
        <f>#REF!</f>
        <v>#REF!</v>
      </c>
      <c r="AW693" s="89" t="e">
        <f>#REF!</f>
        <v>#REF!</v>
      </c>
      <c r="AX693" s="89" t="e">
        <f>#REF!</f>
        <v>#REF!</v>
      </c>
      <c r="AY693" s="89" t="e">
        <f>#REF!</f>
        <v>#REF!</v>
      </c>
      <c r="AZ693" s="89" t="e">
        <f>#REF!</f>
        <v>#REF!</v>
      </c>
      <c r="BA693" s="89" t="e">
        <f>#REF!</f>
        <v>#REF!</v>
      </c>
      <c r="BB693" s="89" t="e">
        <f>#REF!</f>
        <v>#REF!</v>
      </c>
      <c r="BC693" s="89" t="e">
        <f>#REF!</f>
        <v>#REF!</v>
      </c>
      <c r="BD693" s="89" t="e">
        <f>#REF!</f>
        <v>#REF!</v>
      </c>
      <c r="BE693" s="89" t="e">
        <f>#REF!</f>
        <v>#REF!</v>
      </c>
      <c r="BF693" s="89" t="e">
        <f>#REF!</f>
        <v>#REF!</v>
      </c>
    </row>
    <row r="694" spans="9:58" x14ac:dyDescent="0.25">
      <c r="I694" s="89">
        <f>ABCD!J743</f>
        <v>172.5</v>
      </c>
      <c r="J694" s="89">
        <f>ABCD!K743</f>
        <v>565.79999999999995</v>
      </c>
      <c r="K694" s="89">
        <f>ABCD!L743</f>
        <v>-3.7705258982563499</v>
      </c>
      <c r="L694" s="89">
        <f>ABCD!M743</f>
        <v>-0.65389583230845783</v>
      </c>
      <c r="M694" s="89">
        <f>ABCD!N743</f>
        <v>3.8268061499025823</v>
      </c>
      <c r="N694" s="89" t="e">
        <v>#REF!</v>
      </c>
      <c r="O694" s="89" t="e">
        <v>#REF!</v>
      </c>
      <c r="P694" s="89" t="e">
        <v>#REF!</v>
      </c>
      <c r="Q694" s="89" t="e">
        <v>#REF!</v>
      </c>
      <c r="R694" s="89" t="e">
        <v>#REF!</v>
      </c>
      <c r="S694" s="89" t="e">
        <f>#REF!</f>
        <v>#REF!</v>
      </c>
      <c r="T694" s="89" t="e">
        <f>#REF!</f>
        <v>#REF!</v>
      </c>
      <c r="U694" s="89" t="e">
        <f>#REF!</f>
        <v>#REF!</v>
      </c>
      <c r="V694" s="89" t="e">
        <f>#REF!</f>
        <v>#REF!</v>
      </c>
      <c r="W694" s="89" t="e">
        <f>#REF!</f>
        <v>#REF!</v>
      </c>
      <c r="X694" s="89" t="e">
        <f>#REF!</f>
        <v>#REF!</v>
      </c>
      <c r="Y694" s="89" t="e">
        <f>#REF!</f>
        <v>#REF!</v>
      </c>
      <c r="Z694" s="89" t="e">
        <f>#REF!</f>
        <v>#REF!</v>
      </c>
      <c r="AA694" s="89" t="e">
        <f>#REF!</f>
        <v>#REF!</v>
      </c>
      <c r="AB694" s="89" t="e">
        <f>#REF!</f>
        <v>#REF!</v>
      </c>
      <c r="AC694" s="89" t="e">
        <f>#REF!</f>
        <v>#REF!</v>
      </c>
      <c r="AD694" s="89" t="e">
        <f>#REF!</f>
        <v>#REF!</v>
      </c>
      <c r="AE694" s="89" t="e">
        <f>#REF!</f>
        <v>#REF!</v>
      </c>
      <c r="AF694" s="89" t="e">
        <f>#REF!</f>
        <v>#REF!</v>
      </c>
      <c r="AG694" s="89" t="e">
        <f>#REF!</f>
        <v>#REF!</v>
      </c>
      <c r="AH694" s="89" t="e">
        <f>#REF!</f>
        <v>#REF!</v>
      </c>
      <c r="AI694" s="89" t="e">
        <f>#REF!</f>
        <v>#REF!</v>
      </c>
      <c r="AJ694" s="89" t="e">
        <f>#REF!</f>
        <v>#REF!</v>
      </c>
      <c r="AK694" s="89" t="e">
        <f>#REF!</f>
        <v>#REF!</v>
      </c>
      <c r="AL694" s="89" t="e">
        <f>#REF!</f>
        <v>#REF!</v>
      </c>
      <c r="AM694" s="89" t="e">
        <f>#REF!</f>
        <v>#REF!</v>
      </c>
      <c r="AN694" s="89" t="e">
        <f>#REF!</f>
        <v>#REF!</v>
      </c>
      <c r="AO694" s="89" t="e">
        <f>#REF!</f>
        <v>#REF!</v>
      </c>
      <c r="AP694" s="89" t="e">
        <f>#REF!</f>
        <v>#REF!</v>
      </c>
      <c r="AQ694" s="89" t="e">
        <f>#REF!</f>
        <v>#REF!</v>
      </c>
      <c r="AR694" s="89" t="e">
        <f>#REF!</f>
        <v>#REF!</v>
      </c>
      <c r="AS694" s="89" t="e">
        <f>#REF!</f>
        <v>#REF!</v>
      </c>
      <c r="AT694" s="89" t="e">
        <f>#REF!</f>
        <v>#REF!</v>
      </c>
      <c r="AU694" s="89" t="e">
        <f>#REF!</f>
        <v>#REF!</v>
      </c>
      <c r="AV694" s="89" t="e">
        <f>#REF!</f>
        <v>#REF!</v>
      </c>
      <c r="AW694" s="89" t="e">
        <f>#REF!</f>
        <v>#REF!</v>
      </c>
      <c r="AX694" s="89" t="e">
        <f>#REF!</f>
        <v>#REF!</v>
      </c>
      <c r="AY694" s="89" t="e">
        <f>#REF!</f>
        <v>#REF!</v>
      </c>
      <c r="AZ694" s="89" t="e">
        <f>#REF!</f>
        <v>#REF!</v>
      </c>
      <c r="BA694" s="89" t="e">
        <f>#REF!</f>
        <v>#REF!</v>
      </c>
      <c r="BB694" s="89" t="e">
        <f>#REF!</f>
        <v>#REF!</v>
      </c>
      <c r="BC694" s="89" t="e">
        <f>#REF!</f>
        <v>#REF!</v>
      </c>
      <c r="BD694" s="89" t="e">
        <f>#REF!</f>
        <v>#REF!</v>
      </c>
      <c r="BE694" s="89" t="e">
        <f>#REF!</f>
        <v>#REF!</v>
      </c>
      <c r="BF694" s="89" t="e">
        <f>#REF!</f>
        <v>#REF!</v>
      </c>
    </row>
    <row r="695" spans="9:58" x14ac:dyDescent="0.25">
      <c r="I695" s="89">
        <f>ABCD!J744</f>
        <v>172.75</v>
      </c>
      <c r="J695" s="89">
        <f>ABCD!K744</f>
        <v>566.62</v>
      </c>
      <c r="K695" s="89">
        <f>ABCD!L744</f>
        <v>-3.8218098024283638</v>
      </c>
      <c r="L695" s="89">
        <f>ABCD!M744</f>
        <v>-0.66377434457989426</v>
      </c>
      <c r="M695" s="89">
        <f>ABCD!N744</f>
        <v>3.8790239167166778</v>
      </c>
      <c r="N695" s="89" t="e">
        <v>#REF!</v>
      </c>
      <c r="O695" s="89" t="e">
        <v>#REF!</v>
      </c>
      <c r="P695" s="89" t="e">
        <v>#REF!</v>
      </c>
      <c r="Q695" s="89" t="e">
        <v>#REF!</v>
      </c>
      <c r="R695" s="89" t="e">
        <v>#REF!</v>
      </c>
      <c r="S695" s="89" t="e">
        <f>#REF!</f>
        <v>#REF!</v>
      </c>
      <c r="T695" s="89" t="e">
        <f>#REF!</f>
        <v>#REF!</v>
      </c>
      <c r="U695" s="89" t="e">
        <f>#REF!</f>
        <v>#REF!</v>
      </c>
      <c r="V695" s="89" t="e">
        <f>#REF!</f>
        <v>#REF!</v>
      </c>
      <c r="W695" s="89" t="e">
        <f>#REF!</f>
        <v>#REF!</v>
      </c>
      <c r="X695" s="89" t="e">
        <f>#REF!</f>
        <v>#REF!</v>
      </c>
      <c r="Y695" s="89" t="e">
        <f>#REF!</f>
        <v>#REF!</v>
      </c>
      <c r="Z695" s="89" t="e">
        <f>#REF!</f>
        <v>#REF!</v>
      </c>
      <c r="AA695" s="89" t="e">
        <f>#REF!</f>
        <v>#REF!</v>
      </c>
      <c r="AB695" s="89" t="e">
        <f>#REF!</f>
        <v>#REF!</v>
      </c>
      <c r="AC695" s="89" t="e">
        <f>#REF!</f>
        <v>#REF!</v>
      </c>
      <c r="AD695" s="89" t="e">
        <f>#REF!</f>
        <v>#REF!</v>
      </c>
      <c r="AE695" s="89" t="e">
        <f>#REF!</f>
        <v>#REF!</v>
      </c>
      <c r="AF695" s="89" t="e">
        <f>#REF!</f>
        <v>#REF!</v>
      </c>
      <c r="AG695" s="89" t="e">
        <f>#REF!</f>
        <v>#REF!</v>
      </c>
      <c r="AH695" s="89" t="e">
        <f>#REF!</f>
        <v>#REF!</v>
      </c>
      <c r="AI695" s="89" t="e">
        <f>#REF!</f>
        <v>#REF!</v>
      </c>
      <c r="AJ695" s="89" t="e">
        <f>#REF!</f>
        <v>#REF!</v>
      </c>
      <c r="AK695" s="89" t="e">
        <f>#REF!</f>
        <v>#REF!</v>
      </c>
      <c r="AL695" s="89" t="e">
        <f>#REF!</f>
        <v>#REF!</v>
      </c>
      <c r="AM695" s="89" t="e">
        <f>#REF!</f>
        <v>#REF!</v>
      </c>
      <c r="AN695" s="89" t="e">
        <f>#REF!</f>
        <v>#REF!</v>
      </c>
      <c r="AO695" s="89" t="e">
        <f>#REF!</f>
        <v>#REF!</v>
      </c>
      <c r="AP695" s="89" t="e">
        <f>#REF!</f>
        <v>#REF!</v>
      </c>
      <c r="AQ695" s="89" t="e">
        <f>#REF!</f>
        <v>#REF!</v>
      </c>
      <c r="AR695" s="89" t="e">
        <f>#REF!</f>
        <v>#REF!</v>
      </c>
      <c r="AS695" s="89" t="e">
        <f>#REF!</f>
        <v>#REF!</v>
      </c>
      <c r="AT695" s="89" t="e">
        <f>#REF!</f>
        <v>#REF!</v>
      </c>
      <c r="AU695" s="89" t="e">
        <f>#REF!</f>
        <v>#REF!</v>
      </c>
      <c r="AV695" s="89" t="e">
        <f>#REF!</f>
        <v>#REF!</v>
      </c>
      <c r="AW695" s="89" t="e">
        <f>#REF!</f>
        <v>#REF!</v>
      </c>
      <c r="AX695" s="89" t="e">
        <f>#REF!</f>
        <v>#REF!</v>
      </c>
      <c r="AY695" s="89" t="e">
        <f>#REF!</f>
        <v>#REF!</v>
      </c>
      <c r="AZ695" s="89" t="e">
        <f>#REF!</f>
        <v>#REF!</v>
      </c>
      <c r="BA695" s="89" t="e">
        <f>#REF!</f>
        <v>#REF!</v>
      </c>
      <c r="BB695" s="89" t="e">
        <f>#REF!</f>
        <v>#REF!</v>
      </c>
      <c r="BC695" s="89" t="e">
        <f>#REF!</f>
        <v>#REF!</v>
      </c>
      <c r="BD695" s="89" t="e">
        <f>#REF!</f>
        <v>#REF!</v>
      </c>
      <c r="BE695" s="89" t="e">
        <f>#REF!</f>
        <v>#REF!</v>
      </c>
      <c r="BF695" s="89" t="e">
        <f>#REF!</f>
        <v>#REF!</v>
      </c>
    </row>
    <row r="696" spans="9:58" x14ac:dyDescent="0.25">
      <c r="I696" s="89">
        <f>ABCD!J745</f>
        <v>173</v>
      </c>
      <c r="J696" s="89">
        <f>ABCD!K745</f>
        <v>567.43999999999994</v>
      </c>
      <c r="K696" s="89">
        <f>ABCD!L745</f>
        <v>-3.8721653411647665</v>
      </c>
      <c r="L696" s="89">
        <f>ABCD!M745</f>
        <v>-0.67349074380621543</v>
      </c>
      <c r="M696" s="89">
        <f>ABCD!N745</f>
        <v>3.9302995065656638</v>
      </c>
      <c r="N696" s="89" t="e">
        <v>#REF!</v>
      </c>
      <c r="O696" s="89" t="e">
        <v>#REF!</v>
      </c>
      <c r="P696" s="89" t="e">
        <v>#REF!</v>
      </c>
      <c r="Q696" s="89" t="e">
        <v>#REF!</v>
      </c>
      <c r="R696" s="89" t="e">
        <v>#REF!</v>
      </c>
      <c r="S696" s="89" t="e">
        <f>#REF!</f>
        <v>#REF!</v>
      </c>
      <c r="T696" s="89" t="e">
        <f>#REF!</f>
        <v>#REF!</v>
      </c>
      <c r="U696" s="89" t="e">
        <f>#REF!</f>
        <v>#REF!</v>
      </c>
      <c r="V696" s="89" t="e">
        <f>#REF!</f>
        <v>#REF!</v>
      </c>
      <c r="W696" s="89" t="e">
        <f>#REF!</f>
        <v>#REF!</v>
      </c>
      <c r="X696" s="89" t="e">
        <f>#REF!</f>
        <v>#REF!</v>
      </c>
      <c r="Y696" s="89" t="e">
        <f>#REF!</f>
        <v>#REF!</v>
      </c>
      <c r="Z696" s="89" t="e">
        <f>#REF!</f>
        <v>#REF!</v>
      </c>
      <c r="AA696" s="89" t="e">
        <f>#REF!</f>
        <v>#REF!</v>
      </c>
      <c r="AB696" s="89" t="e">
        <f>#REF!</f>
        <v>#REF!</v>
      </c>
      <c r="AC696" s="89" t="e">
        <f>#REF!</f>
        <v>#REF!</v>
      </c>
      <c r="AD696" s="89" t="e">
        <f>#REF!</f>
        <v>#REF!</v>
      </c>
      <c r="AE696" s="89" t="e">
        <f>#REF!</f>
        <v>#REF!</v>
      </c>
      <c r="AF696" s="89" t="e">
        <f>#REF!</f>
        <v>#REF!</v>
      </c>
      <c r="AG696" s="89" t="e">
        <f>#REF!</f>
        <v>#REF!</v>
      </c>
      <c r="AH696" s="89" t="e">
        <f>#REF!</f>
        <v>#REF!</v>
      </c>
      <c r="AI696" s="89" t="e">
        <f>#REF!</f>
        <v>#REF!</v>
      </c>
      <c r="AJ696" s="89" t="e">
        <f>#REF!</f>
        <v>#REF!</v>
      </c>
      <c r="AK696" s="89" t="e">
        <f>#REF!</f>
        <v>#REF!</v>
      </c>
      <c r="AL696" s="89" t="e">
        <f>#REF!</f>
        <v>#REF!</v>
      </c>
      <c r="AM696" s="89" t="e">
        <f>#REF!</f>
        <v>#REF!</v>
      </c>
      <c r="AN696" s="89" t="e">
        <f>#REF!</f>
        <v>#REF!</v>
      </c>
      <c r="AO696" s="89" t="e">
        <f>#REF!</f>
        <v>#REF!</v>
      </c>
      <c r="AP696" s="89" t="e">
        <f>#REF!</f>
        <v>#REF!</v>
      </c>
      <c r="AQ696" s="89" t="e">
        <f>#REF!</f>
        <v>#REF!</v>
      </c>
      <c r="AR696" s="89" t="e">
        <f>#REF!</f>
        <v>#REF!</v>
      </c>
      <c r="AS696" s="89" t="e">
        <f>#REF!</f>
        <v>#REF!</v>
      </c>
      <c r="AT696" s="89" t="e">
        <f>#REF!</f>
        <v>#REF!</v>
      </c>
      <c r="AU696" s="89" t="e">
        <f>#REF!</f>
        <v>#REF!</v>
      </c>
      <c r="AV696" s="89" t="e">
        <f>#REF!</f>
        <v>#REF!</v>
      </c>
      <c r="AW696" s="89" t="e">
        <f>#REF!</f>
        <v>#REF!</v>
      </c>
      <c r="AX696" s="89" t="e">
        <f>#REF!</f>
        <v>#REF!</v>
      </c>
      <c r="AY696" s="89" t="e">
        <f>#REF!</f>
        <v>#REF!</v>
      </c>
      <c r="AZ696" s="89" t="e">
        <f>#REF!</f>
        <v>#REF!</v>
      </c>
      <c r="BA696" s="89" t="e">
        <f>#REF!</f>
        <v>#REF!</v>
      </c>
      <c r="BB696" s="89" t="e">
        <f>#REF!</f>
        <v>#REF!</v>
      </c>
      <c r="BC696" s="89" t="e">
        <f>#REF!</f>
        <v>#REF!</v>
      </c>
      <c r="BD696" s="89" t="e">
        <f>#REF!</f>
        <v>#REF!</v>
      </c>
      <c r="BE696" s="89" t="e">
        <f>#REF!</f>
        <v>#REF!</v>
      </c>
      <c r="BF696" s="89" t="e">
        <f>#REF!</f>
        <v>#REF!</v>
      </c>
    </row>
    <row r="697" spans="9:58" x14ac:dyDescent="0.25">
      <c r="I697" s="89">
        <f>ABCD!J746</f>
        <v>173.25</v>
      </c>
      <c r="J697" s="89">
        <f>ABCD!K746</f>
        <v>568.26</v>
      </c>
      <c r="K697" s="89">
        <f>ABCD!L746</f>
        <v>-3.9215817254918472</v>
      </c>
      <c r="L697" s="89">
        <f>ABCD!M746</f>
        <v>-0.68304293287947004</v>
      </c>
      <c r="M697" s="89">
        <f>ABCD!N746</f>
        <v>3.980621920990262</v>
      </c>
      <c r="N697" s="89" t="e">
        <v>#REF!</v>
      </c>
      <c r="O697" s="89" t="e">
        <v>#REF!</v>
      </c>
      <c r="P697" s="89" t="e">
        <v>#REF!</v>
      </c>
      <c r="Q697" s="89" t="e">
        <v>#REF!</v>
      </c>
      <c r="R697" s="89" t="e">
        <v>#REF!</v>
      </c>
      <c r="S697" s="89" t="e">
        <f>#REF!</f>
        <v>#REF!</v>
      </c>
      <c r="T697" s="89" t="e">
        <f>#REF!</f>
        <v>#REF!</v>
      </c>
      <c r="U697" s="89" t="e">
        <f>#REF!</f>
        <v>#REF!</v>
      </c>
      <c r="V697" s="89" t="e">
        <f>#REF!</f>
        <v>#REF!</v>
      </c>
      <c r="W697" s="89" t="e">
        <f>#REF!</f>
        <v>#REF!</v>
      </c>
      <c r="X697" s="89" t="e">
        <f>#REF!</f>
        <v>#REF!</v>
      </c>
      <c r="Y697" s="89" t="e">
        <f>#REF!</f>
        <v>#REF!</v>
      </c>
      <c r="Z697" s="89" t="e">
        <f>#REF!</f>
        <v>#REF!</v>
      </c>
      <c r="AA697" s="89" t="e">
        <f>#REF!</f>
        <v>#REF!</v>
      </c>
      <c r="AB697" s="89" t="e">
        <f>#REF!</f>
        <v>#REF!</v>
      </c>
      <c r="AC697" s="89" t="e">
        <f>#REF!</f>
        <v>#REF!</v>
      </c>
      <c r="AD697" s="89" t="e">
        <f>#REF!</f>
        <v>#REF!</v>
      </c>
      <c r="AE697" s="89" t="e">
        <f>#REF!</f>
        <v>#REF!</v>
      </c>
      <c r="AF697" s="89" t="e">
        <f>#REF!</f>
        <v>#REF!</v>
      </c>
      <c r="AG697" s="89" t="e">
        <f>#REF!</f>
        <v>#REF!</v>
      </c>
      <c r="AH697" s="89" t="e">
        <f>#REF!</f>
        <v>#REF!</v>
      </c>
      <c r="AI697" s="89" t="e">
        <f>#REF!</f>
        <v>#REF!</v>
      </c>
      <c r="AJ697" s="89" t="e">
        <f>#REF!</f>
        <v>#REF!</v>
      </c>
      <c r="AK697" s="89" t="e">
        <f>#REF!</f>
        <v>#REF!</v>
      </c>
      <c r="AL697" s="89" t="e">
        <f>#REF!</f>
        <v>#REF!</v>
      </c>
      <c r="AM697" s="89" t="e">
        <f>#REF!</f>
        <v>#REF!</v>
      </c>
      <c r="AN697" s="89" t="e">
        <f>#REF!</f>
        <v>#REF!</v>
      </c>
      <c r="AO697" s="89" t="e">
        <f>#REF!</f>
        <v>#REF!</v>
      </c>
      <c r="AP697" s="89" t="e">
        <f>#REF!</f>
        <v>#REF!</v>
      </c>
      <c r="AQ697" s="89" t="e">
        <f>#REF!</f>
        <v>#REF!</v>
      </c>
      <c r="AR697" s="89" t="e">
        <f>#REF!</f>
        <v>#REF!</v>
      </c>
      <c r="AS697" s="89" t="e">
        <f>#REF!</f>
        <v>#REF!</v>
      </c>
      <c r="AT697" s="89" t="e">
        <f>#REF!</f>
        <v>#REF!</v>
      </c>
      <c r="AU697" s="89" t="e">
        <f>#REF!</f>
        <v>#REF!</v>
      </c>
      <c r="AV697" s="89" t="e">
        <f>#REF!</f>
        <v>#REF!</v>
      </c>
      <c r="AW697" s="89" t="e">
        <f>#REF!</f>
        <v>#REF!</v>
      </c>
      <c r="AX697" s="89" t="e">
        <f>#REF!</f>
        <v>#REF!</v>
      </c>
      <c r="AY697" s="89" t="e">
        <f>#REF!</f>
        <v>#REF!</v>
      </c>
      <c r="AZ697" s="89" t="e">
        <f>#REF!</f>
        <v>#REF!</v>
      </c>
      <c r="BA697" s="89" t="e">
        <f>#REF!</f>
        <v>#REF!</v>
      </c>
      <c r="BB697" s="89" t="e">
        <f>#REF!</f>
        <v>#REF!</v>
      </c>
      <c r="BC697" s="89" t="e">
        <f>#REF!</f>
        <v>#REF!</v>
      </c>
      <c r="BD697" s="89" t="e">
        <f>#REF!</f>
        <v>#REF!</v>
      </c>
      <c r="BE697" s="89" t="e">
        <f>#REF!</f>
        <v>#REF!</v>
      </c>
      <c r="BF697" s="89" t="e">
        <f>#REF!</f>
        <v>#REF!</v>
      </c>
    </row>
    <row r="698" spans="9:58" x14ac:dyDescent="0.25">
      <c r="I698" s="89">
        <f>ABCD!J747</f>
        <v>173.5</v>
      </c>
      <c r="J698" s="89">
        <f>ABCD!K747</f>
        <v>569.07999999999993</v>
      </c>
      <c r="K698" s="89">
        <f>ABCD!L747</f>
        <v>-3.9700483929370201</v>
      </c>
      <c r="L698" s="89">
        <f>ABCD!M747</f>
        <v>-0.69242885448471414</v>
      </c>
      <c r="M698" s="89">
        <f>ABCD!N747</f>
        <v>4.0299803921092252</v>
      </c>
      <c r="N698" s="89" t="e">
        <v>#REF!</v>
      </c>
      <c r="O698" s="89" t="e">
        <v>#REF!</v>
      </c>
      <c r="P698" s="89" t="e">
        <v>#REF!</v>
      </c>
      <c r="Q698" s="89" t="e">
        <v>#REF!</v>
      </c>
      <c r="R698" s="89" t="e">
        <v>#REF!</v>
      </c>
      <c r="S698" s="89" t="e">
        <f>#REF!</f>
        <v>#REF!</v>
      </c>
      <c r="T698" s="89" t="e">
        <f>#REF!</f>
        <v>#REF!</v>
      </c>
      <c r="U698" s="89" t="e">
        <f>#REF!</f>
        <v>#REF!</v>
      </c>
      <c r="V698" s="89" t="e">
        <f>#REF!</f>
        <v>#REF!</v>
      </c>
      <c r="W698" s="89" t="e">
        <f>#REF!</f>
        <v>#REF!</v>
      </c>
      <c r="X698" s="89" t="e">
        <f>#REF!</f>
        <v>#REF!</v>
      </c>
      <c r="Y698" s="89" t="e">
        <f>#REF!</f>
        <v>#REF!</v>
      </c>
      <c r="Z698" s="89" t="e">
        <f>#REF!</f>
        <v>#REF!</v>
      </c>
      <c r="AA698" s="89" t="e">
        <f>#REF!</f>
        <v>#REF!</v>
      </c>
      <c r="AB698" s="89" t="e">
        <f>#REF!</f>
        <v>#REF!</v>
      </c>
      <c r="AC698" s="89" t="e">
        <f>#REF!</f>
        <v>#REF!</v>
      </c>
      <c r="AD698" s="89" t="e">
        <f>#REF!</f>
        <v>#REF!</v>
      </c>
      <c r="AE698" s="89" t="e">
        <f>#REF!</f>
        <v>#REF!</v>
      </c>
      <c r="AF698" s="89" t="e">
        <f>#REF!</f>
        <v>#REF!</v>
      </c>
      <c r="AG698" s="89" t="e">
        <f>#REF!</f>
        <v>#REF!</v>
      </c>
      <c r="AH698" s="89" t="e">
        <f>#REF!</f>
        <v>#REF!</v>
      </c>
      <c r="AI698" s="89" t="e">
        <f>#REF!</f>
        <v>#REF!</v>
      </c>
      <c r="AJ698" s="89" t="e">
        <f>#REF!</f>
        <v>#REF!</v>
      </c>
      <c r="AK698" s="89" t="e">
        <f>#REF!</f>
        <v>#REF!</v>
      </c>
      <c r="AL698" s="89" t="e">
        <f>#REF!</f>
        <v>#REF!</v>
      </c>
      <c r="AM698" s="89" t="e">
        <f>#REF!</f>
        <v>#REF!</v>
      </c>
      <c r="AN698" s="89" t="e">
        <f>#REF!</f>
        <v>#REF!</v>
      </c>
      <c r="AO698" s="89" t="e">
        <f>#REF!</f>
        <v>#REF!</v>
      </c>
      <c r="AP698" s="89" t="e">
        <f>#REF!</f>
        <v>#REF!</v>
      </c>
      <c r="AQ698" s="89" t="e">
        <f>#REF!</f>
        <v>#REF!</v>
      </c>
      <c r="AR698" s="89" t="e">
        <f>#REF!</f>
        <v>#REF!</v>
      </c>
      <c r="AS698" s="89" t="e">
        <f>#REF!</f>
        <v>#REF!</v>
      </c>
      <c r="AT698" s="89" t="e">
        <f>#REF!</f>
        <v>#REF!</v>
      </c>
      <c r="AU698" s="89" t="e">
        <f>#REF!</f>
        <v>#REF!</v>
      </c>
      <c r="AV698" s="89" t="e">
        <f>#REF!</f>
        <v>#REF!</v>
      </c>
      <c r="AW698" s="89" t="e">
        <f>#REF!</f>
        <v>#REF!</v>
      </c>
      <c r="AX698" s="89" t="e">
        <f>#REF!</f>
        <v>#REF!</v>
      </c>
      <c r="AY698" s="89" t="e">
        <f>#REF!</f>
        <v>#REF!</v>
      </c>
      <c r="AZ698" s="89" t="e">
        <f>#REF!</f>
        <v>#REF!</v>
      </c>
      <c r="BA698" s="89" t="e">
        <f>#REF!</f>
        <v>#REF!</v>
      </c>
      <c r="BB698" s="89" t="e">
        <f>#REF!</f>
        <v>#REF!</v>
      </c>
      <c r="BC698" s="89" t="e">
        <f>#REF!</f>
        <v>#REF!</v>
      </c>
      <c r="BD698" s="89" t="e">
        <f>#REF!</f>
        <v>#REF!</v>
      </c>
      <c r="BE698" s="89" t="e">
        <f>#REF!</f>
        <v>#REF!</v>
      </c>
      <c r="BF698" s="89" t="e">
        <f>#REF!</f>
        <v>#REF!</v>
      </c>
    </row>
    <row r="699" spans="9:58" x14ac:dyDescent="0.25">
      <c r="I699" s="89">
        <f>ABCD!J748</f>
        <v>173.75</v>
      </c>
      <c r="J699" s="89">
        <f>ABCD!K748</f>
        <v>569.9</v>
      </c>
      <c r="K699" s="89">
        <f>ABCD!L748</f>
        <v>-4.0175550097633081</v>
      </c>
      <c r="L699" s="89">
        <f>ABCD!M748</f>
        <v>-0.70164649153911118</v>
      </c>
      <c r="M699" s="89">
        <f>ABCD!N748</f>
        <v>4.0783643848439288</v>
      </c>
      <c r="N699" s="89" t="e">
        <v>#REF!</v>
      </c>
      <c r="O699" s="89" t="e">
        <v>#REF!</v>
      </c>
      <c r="P699" s="89" t="e">
        <v>#REF!</v>
      </c>
      <c r="Q699" s="89" t="e">
        <v>#REF!</v>
      </c>
      <c r="R699" s="89" t="e">
        <v>#REF!</v>
      </c>
      <c r="S699" s="89" t="e">
        <f>#REF!</f>
        <v>#REF!</v>
      </c>
      <c r="T699" s="89" t="e">
        <f>#REF!</f>
        <v>#REF!</v>
      </c>
      <c r="U699" s="89" t="e">
        <f>#REF!</f>
        <v>#REF!</v>
      </c>
      <c r="V699" s="89" t="e">
        <f>#REF!</f>
        <v>#REF!</v>
      </c>
      <c r="W699" s="89" t="e">
        <f>#REF!</f>
        <v>#REF!</v>
      </c>
      <c r="X699" s="89" t="e">
        <f>#REF!</f>
        <v>#REF!</v>
      </c>
      <c r="Y699" s="89" t="e">
        <f>#REF!</f>
        <v>#REF!</v>
      </c>
      <c r="Z699" s="89" t="e">
        <f>#REF!</f>
        <v>#REF!</v>
      </c>
      <c r="AA699" s="89" t="e">
        <f>#REF!</f>
        <v>#REF!</v>
      </c>
      <c r="AB699" s="89" t="e">
        <f>#REF!</f>
        <v>#REF!</v>
      </c>
      <c r="AC699" s="89" t="e">
        <f>#REF!</f>
        <v>#REF!</v>
      </c>
      <c r="AD699" s="89" t="e">
        <f>#REF!</f>
        <v>#REF!</v>
      </c>
      <c r="AE699" s="89" t="e">
        <f>#REF!</f>
        <v>#REF!</v>
      </c>
      <c r="AF699" s="89" t="e">
        <f>#REF!</f>
        <v>#REF!</v>
      </c>
      <c r="AG699" s="89" t="e">
        <f>#REF!</f>
        <v>#REF!</v>
      </c>
      <c r="AH699" s="89" t="e">
        <f>#REF!</f>
        <v>#REF!</v>
      </c>
      <c r="AI699" s="89" t="e">
        <f>#REF!</f>
        <v>#REF!</v>
      </c>
      <c r="AJ699" s="89" t="e">
        <f>#REF!</f>
        <v>#REF!</v>
      </c>
      <c r="AK699" s="89" t="e">
        <f>#REF!</f>
        <v>#REF!</v>
      </c>
      <c r="AL699" s="89" t="e">
        <f>#REF!</f>
        <v>#REF!</v>
      </c>
      <c r="AM699" s="89" t="e">
        <f>#REF!</f>
        <v>#REF!</v>
      </c>
      <c r="AN699" s="89" t="e">
        <f>#REF!</f>
        <v>#REF!</v>
      </c>
      <c r="AO699" s="89" t="e">
        <f>#REF!</f>
        <v>#REF!</v>
      </c>
      <c r="AP699" s="89" t="e">
        <f>#REF!</f>
        <v>#REF!</v>
      </c>
      <c r="AQ699" s="89" t="e">
        <f>#REF!</f>
        <v>#REF!</v>
      </c>
      <c r="AR699" s="89" t="e">
        <f>#REF!</f>
        <v>#REF!</v>
      </c>
      <c r="AS699" s="89" t="e">
        <f>#REF!</f>
        <v>#REF!</v>
      </c>
      <c r="AT699" s="89" t="e">
        <f>#REF!</f>
        <v>#REF!</v>
      </c>
      <c r="AU699" s="89" t="e">
        <f>#REF!</f>
        <v>#REF!</v>
      </c>
      <c r="AV699" s="89" t="e">
        <f>#REF!</f>
        <v>#REF!</v>
      </c>
      <c r="AW699" s="89" t="e">
        <f>#REF!</f>
        <v>#REF!</v>
      </c>
      <c r="AX699" s="89" t="e">
        <f>#REF!</f>
        <v>#REF!</v>
      </c>
      <c r="AY699" s="89" t="e">
        <f>#REF!</f>
        <v>#REF!</v>
      </c>
      <c r="AZ699" s="89" t="e">
        <f>#REF!</f>
        <v>#REF!</v>
      </c>
      <c r="BA699" s="89" t="e">
        <f>#REF!</f>
        <v>#REF!</v>
      </c>
      <c r="BB699" s="89" t="e">
        <f>#REF!</f>
        <v>#REF!</v>
      </c>
      <c r="BC699" s="89" t="e">
        <f>#REF!</f>
        <v>#REF!</v>
      </c>
      <c r="BD699" s="89" t="e">
        <f>#REF!</f>
        <v>#REF!</v>
      </c>
      <c r="BE699" s="89" t="e">
        <f>#REF!</f>
        <v>#REF!</v>
      </c>
      <c r="BF699" s="89" t="e">
        <f>#REF!</f>
        <v>#REF!</v>
      </c>
    </row>
    <row r="700" spans="9:58" x14ac:dyDescent="0.25">
      <c r="I700" s="89">
        <f>ABCD!J749</f>
        <v>174</v>
      </c>
      <c r="J700" s="89">
        <f>ABCD!K749</f>
        <v>570.71999999999991</v>
      </c>
      <c r="K700" s="89">
        <f>ABCD!L749</f>
        <v>-4.0640914731490492</v>
      </c>
      <c r="L700" s="89">
        <f>ABCD!M749</f>
        <v>-0.71069386762137077</v>
      </c>
      <c r="M700" s="89">
        <f>ABCD!N749</f>
        <v>4.1257635990925889</v>
      </c>
      <c r="N700" s="89" t="e">
        <v>#REF!</v>
      </c>
      <c r="O700" s="89" t="e">
        <v>#REF!</v>
      </c>
      <c r="P700" s="89" t="e">
        <v>#REF!</v>
      </c>
      <c r="Q700" s="89" t="e">
        <v>#REF!</v>
      </c>
      <c r="R700" s="89" t="e">
        <v>#REF!</v>
      </c>
      <c r="S700" s="89" t="e">
        <f>#REF!</f>
        <v>#REF!</v>
      </c>
      <c r="T700" s="89" t="e">
        <f>#REF!</f>
        <v>#REF!</v>
      </c>
      <c r="U700" s="89" t="e">
        <f>#REF!</f>
        <v>#REF!</v>
      </c>
      <c r="V700" s="89" t="e">
        <f>#REF!</f>
        <v>#REF!</v>
      </c>
      <c r="W700" s="89" t="e">
        <f>#REF!</f>
        <v>#REF!</v>
      </c>
      <c r="X700" s="89" t="e">
        <f>#REF!</f>
        <v>#REF!</v>
      </c>
      <c r="Y700" s="89" t="e">
        <f>#REF!</f>
        <v>#REF!</v>
      </c>
      <c r="Z700" s="89" t="e">
        <f>#REF!</f>
        <v>#REF!</v>
      </c>
      <c r="AA700" s="89" t="e">
        <f>#REF!</f>
        <v>#REF!</v>
      </c>
      <c r="AB700" s="89" t="e">
        <f>#REF!</f>
        <v>#REF!</v>
      </c>
      <c r="AC700" s="89" t="e">
        <f>#REF!</f>
        <v>#REF!</v>
      </c>
      <c r="AD700" s="89" t="e">
        <f>#REF!</f>
        <v>#REF!</v>
      </c>
      <c r="AE700" s="89" t="e">
        <f>#REF!</f>
        <v>#REF!</v>
      </c>
      <c r="AF700" s="89" t="e">
        <f>#REF!</f>
        <v>#REF!</v>
      </c>
      <c r="AG700" s="89" t="e">
        <f>#REF!</f>
        <v>#REF!</v>
      </c>
      <c r="AH700" s="89" t="e">
        <f>#REF!</f>
        <v>#REF!</v>
      </c>
      <c r="AI700" s="89" t="e">
        <f>#REF!</f>
        <v>#REF!</v>
      </c>
      <c r="AJ700" s="89" t="e">
        <f>#REF!</f>
        <v>#REF!</v>
      </c>
      <c r="AK700" s="89" t="e">
        <f>#REF!</f>
        <v>#REF!</v>
      </c>
      <c r="AL700" s="89" t="e">
        <f>#REF!</f>
        <v>#REF!</v>
      </c>
      <c r="AM700" s="89" t="e">
        <f>#REF!</f>
        <v>#REF!</v>
      </c>
      <c r="AN700" s="89" t="e">
        <f>#REF!</f>
        <v>#REF!</v>
      </c>
      <c r="AO700" s="89" t="e">
        <f>#REF!</f>
        <v>#REF!</v>
      </c>
      <c r="AP700" s="89" t="e">
        <f>#REF!</f>
        <v>#REF!</v>
      </c>
      <c r="AQ700" s="89" t="e">
        <f>#REF!</f>
        <v>#REF!</v>
      </c>
      <c r="AR700" s="89" t="e">
        <f>#REF!</f>
        <v>#REF!</v>
      </c>
      <c r="AS700" s="89" t="e">
        <f>#REF!</f>
        <v>#REF!</v>
      </c>
      <c r="AT700" s="89" t="e">
        <f>#REF!</f>
        <v>#REF!</v>
      </c>
      <c r="AU700" s="89" t="e">
        <f>#REF!</f>
        <v>#REF!</v>
      </c>
      <c r="AV700" s="89" t="e">
        <f>#REF!</f>
        <v>#REF!</v>
      </c>
      <c r="AW700" s="89" t="e">
        <f>#REF!</f>
        <v>#REF!</v>
      </c>
      <c r="AX700" s="89" t="e">
        <f>#REF!</f>
        <v>#REF!</v>
      </c>
      <c r="AY700" s="89" t="e">
        <f>#REF!</f>
        <v>#REF!</v>
      </c>
      <c r="AZ700" s="89" t="e">
        <f>#REF!</f>
        <v>#REF!</v>
      </c>
      <c r="BA700" s="89" t="e">
        <f>#REF!</f>
        <v>#REF!</v>
      </c>
      <c r="BB700" s="89" t="e">
        <f>#REF!</f>
        <v>#REF!</v>
      </c>
      <c r="BC700" s="89" t="e">
        <f>#REF!</f>
        <v>#REF!</v>
      </c>
      <c r="BD700" s="89" t="e">
        <f>#REF!</f>
        <v>#REF!</v>
      </c>
      <c r="BE700" s="89" t="e">
        <f>#REF!</f>
        <v>#REF!</v>
      </c>
      <c r="BF700" s="89" t="e">
        <f>#REF!</f>
        <v>#REF!</v>
      </c>
    </row>
    <row r="701" spans="9:58" x14ac:dyDescent="0.25">
      <c r="I701" s="89">
        <f>ABCD!J750</f>
        <v>174.25</v>
      </c>
      <c r="J701" s="89">
        <f>ABCD!K750</f>
        <v>571.54</v>
      </c>
      <c r="K701" s="89">
        <f>ABCD!L750</f>
        <v>-4.1096479133122799</v>
      </c>
      <c r="L701" s="89">
        <f>ABCD!M750</f>
        <v>-0.7195690473914107</v>
      </c>
      <c r="M701" s="89">
        <f>ABCD!N750</f>
        <v>4.1721679718529741</v>
      </c>
      <c r="N701" s="89" t="e">
        <v>#REF!</v>
      </c>
      <c r="O701" s="89" t="e">
        <v>#REF!</v>
      </c>
      <c r="P701" s="89" t="e">
        <v>#REF!</v>
      </c>
      <c r="Q701" s="89" t="e">
        <v>#REF!</v>
      </c>
      <c r="R701" s="89" t="e">
        <v>#REF!</v>
      </c>
      <c r="S701" s="89" t="e">
        <f>#REF!</f>
        <v>#REF!</v>
      </c>
      <c r="T701" s="89" t="e">
        <f>#REF!</f>
        <v>#REF!</v>
      </c>
      <c r="U701" s="89" t="e">
        <f>#REF!</f>
        <v>#REF!</v>
      </c>
      <c r="V701" s="89" t="e">
        <f>#REF!</f>
        <v>#REF!</v>
      </c>
      <c r="W701" s="89" t="e">
        <f>#REF!</f>
        <v>#REF!</v>
      </c>
      <c r="X701" s="89" t="e">
        <f>#REF!</f>
        <v>#REF!</v>
      </c>
      <c r="Y701" s="89" t="e">
        <f>#REF!</f>
        <v>#REF!</v>
      </c>
      <c r="Z701" s="89" t="e">
        <f>#REF!</f>
        <v>#REF!</v>
      </c>
      <c r="AA701" s="89" t="e">
        <f>#REF!</f>
        <v>#REF!</v>
      </c>
      <c r="AB701" s="89" t="e">
        <f>#REF!</f>
        <v>#REF!</v>
      </c>
      <c r="AC701" s="89" t="e">
        <f>#REF!</f>
        <v>#REF!</v>
      </c>
      <c r="AD701" s="89" t="e">
        <f>#REF!</f>
        <v>#REF!</v>
      </c>
      <c r="AE701" s="89" t="e">
        <f>#REF!</f>
        <v>#REF!</v>
      </c>
      <c r="AF701" s="89" t="e">
        <f>#REF!</f>
        <v>#REF!</v>
      </c>
      <c r="AG701" s="89" t="e">
        <f>#REF!</f>
        <v>#REF!</v>
      </c>
      <c r="AH701" s="89" t="e">
        <f>#REF!</f>
        <v>#REF!</v>
      </c>
      <c r="AI701" s="89" t="e">
        <f>#REF!</f>
        <v>#REF!</v>
      </c>
      <c r="AJ701" s="89" t="e">
        <f>#REF!</f>
        <v>#REF!</v>
      </c>
      <c r="AK701" s="89" t="e">
        <f>#REF!</f>
        <v>#REF!</v>
      </c>
      <c r="AL701" s="89" t="e">
        <f>#REF!</f>
        <v>#REF!</v>
      </c>
      <c r="AM701" s="89" t="e">
        <f>#REF!</f>
        <v>#REF!</v>
      </c>
      <c r="AN701" s="89" t="e">
        <f>#REF!</f>
        <v>#REF!</v>
      </c>
      <c r="AO701" s="89" t="e">
        <f>#REF!</f>
        <v>#REF!</v>
      </c>
      <c r="AP701" s="89" t="e">
        <f>#REF!</f>
        <v>#REF!</v>
      </c>
      <c r="AQ701" s="89" t="e">
        <f>#REF!</f>
        <v>#REF!</v>
      </c>
      <c r="AR701" s="89" t="e">
        <f>#REF!</f>
        <v>#REF!</v>
      </c>
      <c r="AS701" s="89" t="e">
        <f>#REF!</f>
        <v>#REF!</v>
      </c>
      <c r="AT701" s="89" t="e">
        <f>#REF!</f>
        <v>#REF!</v>
      </c>
      <c r="AU701" s="89" t="e">
        <f>#REF!</f>
        <v>#REF!</v>
      </c>
      <c r="AV701" s="89" t="e">
        <f>#REF!</f>
        <v>#REF!</v>
      </c>
      <c r="AW701" s="89" t="e">
        <f>#REF!</f>
        <v>#REF!</v>
      </c>
      <c r="AX701" s="89" t="e">
        <f>#REF!</f>
        <v>#REF!</v>
      </c>
      <c r="AY701" s="89" t="e">
        <f>#REF!</f>
        <v>#REF!</v>
      </c>
      <c r="AZ701" s="89" t="e">
        <f>#REF!</f>
        <v>#REF!</v>
      </c>
      <c r="BA701" s="89" t="e">
        <f>#REF!</f>
        <v>#REF!</v>
      </c>
      <c r="BB701" s="89" t="e">
        <f>#REF!</f>
        <v>#REF!</v>
      </c>
      <c r="BC701" s="89" t="e">
        <f>#REF!</f>
        <v>#REF!</v>
      </c>
      <c r="BD701" s="89" t="e">
        <f>#REF!</f>
        <v>#REF!</v>
      </c>
      <c r="BE701" s="89" t="e">
        <f>#REF!</f>
        <v>#REF!</v>
      </c>
      <c r="BF701" s="89" t="e">
        <f>#REF!</f>
        <v>#REF!</v>
      </c>
    </row>
    <row r="702" spans="9:58" x14ac:dyDescent="0.25">
      <c r="I702" s="89">
        <f>ABCD!J751</f>
        <v>174.5</v>
      </c>
      <c r="J702" s="89">
        <f>ABCD!K751</f>
        <v>572.36</v>
      </c>
      <c r="K702" s="89">
        <f>ABCD!L751</f>
        <v>-4.1542146955794559</v>
      </c>
      <c r="L702" s="89">
        <f>ABCD!M751</f>
        <v>-0.72827013700013943</v>
      </c>
      <c r="M702" s="89">
        <f>ABCD!N751</f>
        <v>4.2175676792927117</v>
      </c>
      <c r="N702" s="89" t="e">
        <v>#REF!</v>
      </c>
      <c r="O702" s="89" t="e">
        <v>#REF!</v>
      </c>
      <c r="P702" s="89" t="e">
        <v>#REF!</v>
      </c>
      <c r="Q702" s="89" t="e">
        <v>#REF!</v>
      </c>
      <c r="R702" s="89" t="e">
        <v>#REF!</v>
      </c>
      <c r="S702" s="89" t="e">
        <f>#REF!</f>
        <v>#REF!</v>
      </c>
      <c r="T702" s="89" t="e">
        <f>#REF!</f>
        <v>#REF!</v>
      </c>
      <c r="U702" s="89" t="e">
        <f>#REF!</f>
        <v>#REF!</v>
      </c>
      <c r="V702" s="89" t="e">
        <f>#REF!</f>
        <v>#REF!</v>
      </c>
      <c r="W702" s="89" t="e">
        <f>#REF!</f>
        <v>#REF!</v>
      </c>
      <c r="X702" s="89" t="e">
        <f>#REF!</f>
        <v>#REF!</v>
      </c>
      <c r="Y702" s="89" t="e">
        <f>#REF!</f>
        <v>#REF!</v>
      </c>
      <c r="Z702" s="89" t="e">
        <f>#REF!</f>
        <v>#REF!</v>
      </c>
      <c r="AA702" s="89" t="e">
        <f>#REF!</f>
        <v>#REF!</v>
      </c>
      <c r="AB702" s="89" t="e">
        <f>#REF!</f>
        <v>#REF!</v>
      </c>
      <c r="AC702" s="89" t="e">
        <f>#REF!</f>
        <v>#REF!</v>
      </c>
      <c r="AD702" s="89" t="e">
        <f>#REF!</f>
        <v>#REF!</v>
      </c>
      <c r="AE702" s="89" t="e">
        <f>#REF!</f>
        <v>#REF!</v>
      </c>
      <c r="AF702" s="89" t="e">
        <f>#REF!</f>
        <v>#REF!</v>
      </c>
      <c r="AG702" s="89" t="e">
        <f>#REF!</f>
        <v>#REF!</v>
      </c>
      <c r="AH702" s="89" t="e">
        <f>#REF!</f>
        <v>#REF!</v>
      </c>
      <c r="AI702" s="89" t="e">
        <f>#REF!</f>
        <v>#REF!</v>
      </c>
      <c r="AJ702" s="89" t="e">
        <f>#REF!</f>
        <v>#REF!</v>
      </c>
      <c r="AK702" s="89" t="e">
        <f>#REF!</f>
        <v>#REF!</v>
      </c>
      <c r="AL702" s="89" t="e">
        <f>#REF!</f>
        <v>#REF!</v>
      </c>
      <c r="AM702" s="89" t="e">
        <f>#REF!</f>
        <v>#REF!</v>
      </c>
      <c r="AN702" s="89" t="e">
        <f>#REF!</f>
        <v>#REF!</v>
      </c>
      <c r="AO702" s="89" t="e">
        <f>#REF!</f>
        <v>#REF!</v>
      </c>
      <c r="AP702" s="89" t="e">
        <f>#REF!</f>
        <v>#REF!</v>
      </c>
      <c r="AQ702" s="89" t="e">
        <f>#REF!</f>
        <v>#REF!</v>
      </c>
      <c r="AR702" s="89" t="e">
        <f>#REF!</f>
        <v>#REF!</v>
      </c>
      <c r="AS702" s="89" t="e">
        <f>#REF!</f>
        <v>#REF!</v>
      </c>
      <c r="AT702" s="89" t="e">
        <f>#REF!</f>
        <v>#REF!</v>
      </c>
      <c r="AU702" s="89" t="e">
        <f>#REF!</f>
        <v>#REF!</v>
      </c>
      <c r="AV702" s="89" t="e">
        <f>#REF!</f>
        <v>#REF!</v>
      </c>
      <c r="AW702" s="89" t="e">
        <f>#REF!</f>
        <v>#REF!</v>
      </c>
      <c r="AX702" s="89" t="e">
        <f>#REF!</f>
        <v>#REF!</v>
      </c>
      <c r="AY702" s="89" t="e">
        <f>#REF!</f>
        <v>#REF!</v>
      </c>
      <c r="AZ702" s="89" t="e">
        <f>#REF!</f>
        <v>#REF!</v>
      </c>
      <c r="BA702" s="89" t="e">
        <f>#REF!</f>
        <v>#REF!</v>
      </c>
      <c r="BB702" s="89" t="e">
        <f>#REF!</f>
        <v>#REF!</v>
      </c>
      <c r="BC702" s="89" t="e">
        <f>#REF!</f>
        <v>#REF!</v>
      </c>
      <c r="BD702" s="89" t="e">
        <f>#REF!</f>
        <v>#REF!</v>
      </c>
      <c r="BE702" s="89" t="e">
        <f>#REF!</f>
        <v>#REF!</v>
      </c>
      <c r="BF702" s="89" t="e">
        <f>#REF!</f>
        <v>#REF!</v>
      </c>
    </row>
    <row r="703" spans="9:58" x14ac:dyDescent="0.25">
      <c r="I703" s="89">
        <f>ABCD!J752</f>
        <v>174.75</v>
      </c>
      <c r="J703" s="89">
        <f>ABCD!K752</f>
        <v>573.17999999999995</v>
      </c>
      <c r="K703" s="89">
        <f>ABCD!L752</f>
        <v>-4.1977824223980376</v>
      </c>
      <c r="L703" s="89">
        <f>ABCD!M752</f>
        <v>-0.73679528448933884</v>
      </c>
      <c r="M703" s="89">
        <f>ABCD!N752</f>
        <v>4.2619531387662706</v>
      </c>
      <c r="N703" s="89" t="e">
        <v>#REF!</v>
      </c>
      <c r="O703" s="89" t="e">
        <v>#REF!</v>
      </c>
      <c r="P703" s="89" t="e">
        <v>#REF!</v>
      </c>
      <c r="Q703" s="89" t="e">
        <v>#REF!</v>
      </c>
      <c r="R703" s="89" t="e">
        <v>#REF!</v>
      </c>
      <c r="S703" s="89" t="e">
        <f>#REF!</f>
        <v>#REF!</v>
      </c>
      <c r="T703" s="89" t="e">
        <f>#REF!</f>
        <v>#REF!</v>
      </c>
      <c r="U703" s="89" t="e">
        <f>#REF!</f>
        <v>#REF!</v>
      </c>
      <c r="V703" s="89" t="e">
        <f>#REF!</f>
        <v>#REF!</v>
      </c>
      <c r="W703" s="89" t="e">
        <f>#REF!</f>
        <v>#REF!</v>
      </c>
      <c r="X703" s="89" t="e">
        <f>#REF!</f>
        <v>#REF!</v>
      </c>
      <c r="Y703" s="89" t="e">
        <f>#REF!</f>
        <v>#REF!</v>
      </c>
      <c r="Z703" s="89" t="e">
        <f>#REF!</f>
        <v>#REF!</v>
      </c>
      <c r="AA703" s="89" t="e">
        <f>#REF!</f>
        <v>#REF!</v>
      </c>
      <c r="AB703" s="89" t="e">
        <f>#REF!</f>
        <v>#REF!</v>
      </c>
      <c r="AC703" s="89" t="e">
        <f>#REF!</f>
        <v>#REF!</v>
      </c>
      <c r="AD703" s="89" t="e">
        <f>#REF!</f>
        <v>#REF!</v>
      </c>
      <c r="AE703" s="89" t="e">
        <f>#REF!</f>
        <v>#REF!</v>
      </c>
      <c r="AF703" s="89" t="e">
        <f>#REF!</f>
        <v>#REF!</v>
      </c>
      <c r="AG703" s="89" t="e">
        <f>#REF!</f>
        <v>#REF!</v>
      </c>
      <c r="AH703" s="89" t="e">
        <f>#REF!</f>
        <v>#REF!</v>
      </c>
      <c r="AI703" s="89" t="e">
        <f>#REF!</f>
        <v>#REF!</v>
      </c>
      <c r="AJ703" s="89" t="e">
        <f>#REF!</f>
        <v>#REF!</v>
      </c>
      <c r="AK703" s="89" t="e">
        <f>#REF!</f>
        <v>#REF!</v>
      </c>
      <c r="AL703" s="89" t="e">
        <f>#REF!</f>
        <v>#REF!</v>
      </c>
      <c r="AM703" s="89" t="e">
        <f>#REF!</f>
        <v>#REF!</v>
      </c>
      <c r="AN703" s="89" t="e">
        <f>#REF!</f>
        <v>#REF!</v>
      </c>
      <c r="AO703" s="89" t="e">
        <f>#REF!</f>
        <v>#REF!</v>
      </c>
      <c r="AP703" s="89" t="e">
        <f>#REF!</f>
        <v>#REF!</v>
      </c>
      <c r="AQ703" s="89" t="e">
        <f>#REF!</f>
        <v>#REF!</v>
      </c>
      <c r="AR703" s="89" t="e">
        <f>#REF!</f>
        <v>#REF!</v>
      </c>
      <c r="AS703" s="89" t="e">
        <f>#REF!</f>
        <v>#REF!</v>
      </c>
      <c r="AT703" s="89" t="e">
        <f>#REF!</f>
        <v>#REF!</v>
      </c>
      <c r="AU703" s="89" t="e">
        <f>#REF!</f>
        <v>#REF!</v>
      </c>
      <c r="AV703" s="89" t="e">
        <f>#REF!</f>
        <v>#REF!</v>
      </c>
      <c r="AW703" s="89" t="e">
        <f>#REF!</f>
        <v>#REF!</v>
      </c>
      <c r="AX703" s="89" t="e">
        <f>#REF!</f>
        <v>#REF!</v>
      </c>
      <c r="AY703" s="89" t="e">
        <f>#REF!</f>
        <v>#REF!</v>
      </c>
      <c r="AZ703" s="89" t="e">
        <f>#REF!</f>
        <v>#REF!</v>
      </c>
      <c r="BA703" s="89" t="e">
        <f>#REF!</f>
        <v>#REF!</v>
      </c>
      <c r="BB703" s="89" t="e">
        <f>#REF!</f>
        <v>#REF!</v>
      </c>
      <c r="BC703" s="89" t="e">
        <f>#REF!</f>
        <v>#REF!</v>
      </c>
      <c r="BD703" s="89" t="e">
        <f>#REF!</f>
        <v>#REF!</v>
      </c>
      <c r="BE703" s="89" t="e">
        <f>#REF!</f>
        <v>#REF!</v>
      </c>
      <c r="BF703" s="89" t="e">
        <f>#REF!</f>
        <v>#REF!</v>
      </c>
    </row>
    <row r="704" spans="9:58" x14ac:dyDescent="0.25">
      <c r="I704" s="89">
        <f>ABCD!J753</f>
        <v>175</v>
      </c>
      <c r="J704" s="89">
        <f>ABCD!K753</f>
        <v>574</v>
      </c>
      <c r="K704" s="89">
        <f>ABCD!L753</f>
        <v>-4.2403419352925136</v>
      </c>
      <c r="L704" s="89">
        <f>ABCD!M753</f>
        <v>-0.74514268018146246</v>
      </c>
      <c r="M704" s="89">
        <f>ABCD!N753</f>
        <v>4.3053150107777567</v>
      </c>
      <c r="N704" s="89" t="e">
        <v>#REF!</v>
      </c>
      <c r="O704" s="89" t="e">
        <v>#REF!</v>
      </c>
      <c r="P704" s="89" t="e">
        <v>#REF!</v>
      </c>
      <c r="Q704" s="89" t="e">
        <v>#REF!</v>
      </c>
      <c r="R704" s="89" t="e">
        <v>#REF!</v>
      </c>
      <c r="S704" s="89" t="e">
        <f>#REF!</f>
        <v>#REF!</v>
      </c>
      <c r="T704" s="89" t="e">
        <f>#REF!</f>
        <v>#REF!</v>
      </c>
      <c r="U704" s="89" t="e">
        <f>#REF!</f>
        <v>#REF!</v>
      </c>
      <c r="V704" s="89" t="e">
        <f>#REF!</f>
        <v>#REF!</v>
      </c>
      <c r="W704" s="89" t="e">
        <f>#REF!</f>
        <v>#REF!</v>
      </c>
      <c r="X704" s="89" t="e">
        <f>#REF!</f>
        <v>#REF!</v>
      </c>
      <c r="Y704" s="89" t="e">
        <f>#REF!</f>
        <v>#REF!</v>
      </c>
      <c r="Z704" s="89" t="e">
        <f>#REF!</f>
        <v>#REF!</v>
      </c>
      <c r="AA704" s="89" t="e">
        <f>#REF!</f>
        <v>#REF!</v>
      </c>
      <c r="AB704" s="89" t="e">
        <f>#REF!</f>
        <v>#REF!</v>
      </c>
      <c r="AC704" s="89" t="e">
        <f>#REF!</f>
        <v>#REF!</v>
      </c>
      <c r="AD704" s="89" t="e">
        <f>#REF!</f>
        <v>#REF!</v>
      </c>
      <c r="AE704" s="89" t="e">
        <f>#REF!</f>
        <v>#REF!</v>
      </c>
      <c r="AF704" s="89" t="e">
        <f>#REF!</f>
        <v>#REF!</v>
      </c>
      <c r="AG704" s="89" t="e">
        <f>#REF!</f>
        <v>#REF!</v>
      </c>
      <c r="AH704" s="89" t="e">
        <f>#REF!</f>
        <v>#REF!</v>
      </c>
      <c r="AI704" s="89" t="e">
        <f>#REF!</f>
        <v>#REF!</v>
      </c>
      <c r="AJ704" s="89" t="e">
        <f>#REF!</f>
        <v>#REF!</v>
      </c>
      <c r="AK704" s="89" t="e">
        <f>#REF!</f>
        <v>#REF!</v>
      </c>
      <c r="AL704" s="89" t="e">
        <f>#REF!</f>
        <v>#REF!</v>
      </c>
      <c r="AM704" s="89" t="e">
        <f>#REF!</f>
        <v>#REF!</v>
      </c>
      <c r="AN704" s="89" t="e">
        <f>#REF!</f>
        <v>#REF!</v>
      </c>
      <c r="AO704" s="89" t="e">
        <f>#REF!</f>
        <v>#REF!</v>
      </c>
      <c r="AP704" s="89" t="e">
        <f>#REF!</f>
        <v>#REF!</v>
      </c>
      <c r="AQ704" s="89" t="e">
        <f>#REF!</f>
        <v>#REF!</v>
      </c>
      <c r="AR704" s="89" t="e">
        <f>#REF!</f>
        <v>#REF!</v>
      </c>
      <c r="AS704" s="89" t="e">
        <f>#REF!</f>
        <v>#REF!</v>
      </c>
      <c r="AT704" s="89" t="e">
        <f>#REF!</f>
        <v>#REF!</v>
      </c>
      <c r="AU704" s="89" t="e">
        <f>#REF!</f>
        <v>#REF!</v>
      </c>
      <c r="AV704" s="89" t="e">
        <f>#REF!</f>
        <v>#REF!</v>
      </c>
      <c r="AW704" s="89" t="e">
        <f>#REF!</f>
        <v>#REF!</v>
      </c>
      <c r="AX704" s="89" t="e">
        <f>#REF!</f>
        <v>#REF!</v>
      </c>
      <c r="AY704" s="89" t="e">
        <f>#REF!</f>
        <v>#REF!</v>
      </c>
      <c r="AZ704" s="89" t="e">
        <f>#REF!</f>
        <v>#REF!</v>
      </c>
      <c r="BA704" s="89" t="e">
        <f>#REF!</f>
        <v>#REF!</v>
      </c>
      <c r="BB704" s="89" t="e">
        <f>#REF!</f>
        <v>#REF!</v>
      </c>
      <c r="BC704" s="89" t="e">
        <f>#REF!</f>
        <v>#REF!</v>
      </c>
      <c r="BD704" s="89" t="e">
        <f>#REF!</f>
        <v>#REF!</v>
      </c>
      <c r="BE704" s="89" t="e">
        <f>#REF!</f>
        <v>#REF!</v>
      </c>
      <c r="BF704" s="89" t="e">
        <f>#REF!</f>
        <v>#REF!</v>
      </c>
    </row>
    <row r="705" spans="9:58" x14ac:dyDescent="0.25">
      <c r="I705" s="89">
        <f>ABCD!J754</f>
        <v>175.25</v>
      </c>
      <c r="J705" s="89">
        <f>ABCD!K754</f>
        <v>574.81999999999994</v>
      </c>
      <c r="K705" s="89">
        <f>ABCD!L754</f>
        <v>-4.2818843167634775</v>
      </c>
      <c r="L705" s="89">
        <f>ABCD!M754</f>
        <v>-0.753310557059365</v>
      </c>
      <c r="M705" s="89">
        <f>ABCD!N754</f>
        <v>4.347644200888813</v>
      </c>
      <c r="N705" s="89" t="e">
        <v>#REF!</v>
      </c>
      <c r="O705" s="89" t="e">
        <v>#REF!</v>
      </c>
      <c r="P705" s="89" t="e">
        <v>#REF!</v>
      </c>
      <c r="Q705" s="89" t="e">
        <v>#REF!</v>
      </c>
      <c r="R705" s="89" t="e">
        <v>#REF!</v>
      </c>
      <c r="S705" s="89" t="e">
        <f>#REF!</f>
        <v>#REF!</v>
      </c>
      <c r="T705" s="89" t="e">
        <f>#REF!</f>
        <v>#REF!</v>
      </c>
      <c r="U705" s="89" t="e">
        <f>#REF!</f>
        <v>#REF!</v>
      </c>
      <c r="V705" s="89" t="e">
        <f>#REF!</f>
        <v>#REF!</v>
      </c>
      <c r="W705" s="89" t="e">
        <f>#REF!</f>
        <v>#REF!</v>
      </c>
      <c r="X705" s="89" t="e">
        <f>#REF!</f>
        <v>#REF!</v>
      </c>
      <c r="Y705" s="89" t="e">
        <f>#REF!</f>
        <v>#REF!</v>
      </c>
      <c r="Z705" s="89" t="e">
        <f>#REF!</f>
        <v>#REF!</v>
      </c>
      <c r="AA705" s="89" t="e">
        <f>#REF!</f>
        <v>#REF!</v>
      </c>
      <c r="AB705" s="89" t="e">
        <f>#REF!</f>
        <v>#REF!</v>
      </c>
      <c r="AC705" s="89" t="e">
        <f>#REF!</f>
        <v>#REF!</v>
      </c>
      <c r="AD705" s="89" t="e">
        <f>#REF!</f>
        <v>#REF!</v>
      </c>
      <c r="AE705" s="89" t="e">
        <f>#REF!</f>
        <v>#REF!</v>
      </c>
      <c r="AF705" s="89" t="e">
        <f>#REF!</f>
        <v>#REF!</v>
      </c>
      <c r="AG705" s="89" t="e">
        <f>#REF!</f>
        <v>#REF!</v>
      </c>
      <c r="AH705" s="89" t="e">
        <f>#REF!</f>
        <v>#REF!</v>
      </c>
      <c r="AI705" s="89" t="e">
        <f>#REF!</f>
        <v>#REF!</v>
      </c>
      <c r="AJ705" s="89" t="e">
        <f>#REF!</f>
        <v>#REF!</v>
      </c>
      <c r="AK705" s="89" t="e">
        <f>#REF!</f>
        <v>#REF!</v>
      </c>
      <c r="AL705" s="89" t="e">
        <f>#REF!</f>
        <v>#REF!</v>
      </c>
      <c r="AM705" s="89" t="e">
        <f>#REF!</f>
        <v>#REF!</v>
      </c>
      <c r="AN705" s="89" t="e">
        <f>#REF!</f>
        <v>#REF!</v>
      </c>
      <c r="AO705" s="89" t="e">
        <f>#REF!</f>
        <v>#REF!</v>
      </c>
      <c r="AP705" s="89" t="e">
        <f>#REF!</f>
        <v>#REF!</v>
      </c>
      <c r="AQ705" s="89" t="e">
        <f>#REF!</f>
        <v>#REF!</v>
      </c>
      <c r="AR705" s="89" t="e">
        <f>#REF!</f>
        <v>#REF!</v>
      </c>
      <c r="AS705" s="89" t="e">
        <f>#REF!</f>
        <v>#REF!</v>
      </c>
      <c r="AT705" s="89" t="e">
        <f>#REF!</f>
        <v>#REF!</v>
      </c>
      <c r="AU705" s="89" t="e">
        <f>#REF!</f>
        <v>#REF!</v>
      </c>
      <c r="AV705" s="89" t="e">
        <f>#REF!</f>
        <v>#REF!</v>
      </c>
      <c r="AW705" s="89" t="e">
        <f>#REF!</f>
        <v>#REF!</v>
      </c>
      <c r="AX705" s="89" t="e">
        <f>#REF!</f>
        <v>#REF!</v>
      </c>
      <c r="AY705" s="89" t="e">
        <f>#REF!</f>
        <v>#REF!</v>
      </c>
      <c r="AZ705" s="89" t="e">
        <f>#REF!</f>
        <v>#REF!</v>
      </c>
      <c r="BA705" s="89" t="e">
        <f>#REF!</f>
        <v>#REF!</v>
      </c>
      <c r="BB705" s="89" t="e">
        <f>#REF!</f>
        <v>#REF!</v>
      </c>
      <c r="BC705" s="89" t="e">
        <f>#REF!</f>
        <v>#REF!</v>
      </c>
      <c r="BD705" s="89" t="e">
        <f>#REF!</f>
        <v>#REF!</v>
      </c>
      <c r="BE705" s="89" t="e">
        <f>#REF!</f>
        <v>#REF!</v>
      </c>
      <c r="BF705" s="89" t="e">
        <f>#REF!</f>
        <v>#REF!</v>
      </c>
    </row>
    <row r="706" spans="9:58" x14ac:dyDescent="0.25">
      <c r="I706" s="89">
        <f>ABCD!J755</f>
        <v>175.5</v>
      </c>
      <c r="J706" s="89">
        <f>ABCD!K755</f>
        <v>575.64</v>
      </c>
      <c r="K706" s="89">
        <f>ABCD!L755</f>
        <v>-4.3224008921293668</v>
      </c>
      <c r="L706" s="89">
        <f>ABCD!M755</f>
        <v>-0.76129719113580219</v>
      </c>
      <c r="M706" s="89">
        <f>ABCD!N755</f>
        <v>4.3889318615708772</v>
      </c>
      <c r="N706" s="89" t="e">
        <v>#REF!</v>
      </c>
      <c r="O706" s="89" t="e">
        <v>#REF!</v>
      </c>
      <c r="P706" s="89" t="e">
        <v>#REF!</v>
      </c>
      <c r="Q706" s="89" t="e">
        <v>#REF!</v>
      </c>
      <c r="R706" s="89" t="e">
        <v>#REF!</v>
      </c>
      <c r="S706" s="89" t="e">
        <f>#REF!</f>
        <v>#REF!</v>
      </c>
      <c r="T706" s="89" t="e">
        <f>#REF!</f>
        <v>#REF!</v>
      </c>
      <c r="U706" s="89" t="e">
        <f>#REF!</f>
        <v>#REF!</v>
      </c>
      <c r="V706" s="89" t="e">
        <f>#REF!</f>
        <v>#REF!</v>
      </c>
      <c r="W706" s="89" t="e">
        <f>#REF!</f>
        <v>#REF!</v>
      </c>
      <c r="X706" s="89" t="e">
        <f>#REF!</f>
        <v>#REF!</v>
      </c>
      <c r="Y706" s="89" t="e">
        <f>#REF!</f>
        <v>#REF!</v>
      </c>
      <c r="Z706" s="89" t="e">
        <f>#REF!</f>
        <v>#REF!</v>
      </c>
      <c r="AA706" s="89" t="e">
        <f>#REF!</f>
        <v>#REF!</v>
      </c>
      <c r="AB706" s="89" t="e">
        <f>#REF!</f>
        <v>#REF!</v>
      </c>
      <c r="AC706" s="89" t="e">
        <f>#REF!</f>
        <v>#REF!</v>
      </c>
      <c r="AD706" s="89" t="e">
        <f>#REF!</f>
        <v>#REF!</v>
      </c>
      <c r="AE706" s="89" t="e">
        <f>#REF!</f>
        <v>#REF!</v>
      </c>
      <c r="AF706" s="89" t="e">
        <f>#REF!</f>
        <v>#REF!</v>
      </c>
      <c r="AG706" s="89" t="e">
        <f>#REF!</f>
        <v>#REF!</v>
      </c>
      <c r="AH706" s="89" t="e">
        <f>#REF!</f>
        <v>#REF!</v>
      </c>
      <c r="AI706" s="89" t="e">
        <f>#REF!</f>
        <v>#REF!</v>
      </c>
      <c r="AJ706" s="89" t="e">
        <f>#REF!</f>
        <v>#REF!</v>
      </c>
      <c r="AK706" s="89" t="e">
        <f>#REF!</f>
        <v>#REF!</v>
      </c>
      <c r="AL706" s="89" t="e">
        <f>#REF!</f>
        <v>#REF!</v>
      </c>
      <c r="AM706" s="89" t="e">
        <f>#REF!</f>
        <v>#REF!</v>
      </c>
      <c r="AN706" s="89" t="e">
        <f>#REF!</f>
        <v>#REF!</v>
      </c>
      <c r="AO706" s="89" t="e">
        <f>#REF!</f>
        <v>#REF!</v>
      </c>
      <c r="AP706" s="89" t="e">
        <f>#REF!</f>
        <v>#REF!</v>
      </c>
      <c r="AQ706" s="89" t="e">
        <f>#REF!</f>
        <v>#REF!</v>
      </c>
      <c r="AR706" s="89" t="e">
        <f>#REF!</f>
        <v>#REF!</v>
      </c>
      <c r="AS706" s="89" t="e">
        <f>#REF!</f>
        <v>#REF!</v>
      </c>
      <c r="AT706" s="89" t="e">
        <f>#REF!</f>
        <v>#REF!</v>
      </c>
      <c r="AU706" s="89" t="e">
        <f>#REF!</f>
        <v>#REF!</v>
      </c>
      <c r="AV706" s="89" t="e">
        <f>#REF!</f>
        <v>#REF!</v>
      </c>
      <c r="AW706" s="89" t="e">
        <f>#REF!</f>
        <v>#REF!</v>
      </c>
      <c r="AX706" s="89" t="e">
        <f>#REF!</f>
        <v>#REF!</v>
      </c>
      <c r="AY706" s="89" t="e">
        <f>#REF!</f>
        <v>#REF!</v>
      </c>
      <c r="AZ706" s="89" t="e">
        <f>#REF!</f>
        <v>#REF!</v>
      </c>
      <c r="BA706" s="89" t="e">
        <f>#REF!</f>
        <v>#REF!</v>
      </c>
      <c r="BB706" s="89" t="e">
        <f>#REF!</f>
        <v>#REF!</v>
      </c>
      <c r="BC706" s="89" t="e">
        <f>#REF!</f>
        <v>#REF!</v>
      </c>
      <c r="BD706" s="89" t="e">
        <f>#REF!</f>
        <v>#REF!</v>
      </c>
      <c r="BE706" s="89" t="e">
        <f>#REF!</f>
        <v>#REF!</v>
      </c>
      <c r="BF706" s="89" t="e">
        <f>#REF!</f>
        <v>#REF!</v>
      </c>
    </row>
    <row r="707" spans="9:58" x14ac:dyDescent="0.25">
      <c r="I707" s="89">
        <f>ABCD!J756</f>
        <v>175.75</v>
      </c>
      <c r="J707" s="89">
        <f>ABCD!K756</f>
        <v>576.45999999999992</v>
      </c>
      <c r="K707" s="89">
        <f>ABCD!L756</f>
        <v>-4.3618832313105198</v>
      </c>
      <c r="L707" s="89">
        <f>ABCD!M756</f>
        <v>-0.76910090181272039</v>
      </c>
      <c r="M707" s="89">
        <f>ABCD!N756</f>
        <v>4.4291693940012093</v>
      </c>
      <c r="N707" s="89" t="e">
        <v>#REF!</v>
      </c>
      <c r="O707" s="89" t="e">
        <v>#REF!</v>
      </c>
      <c r="P707" s="89" t="e">
        <v>#REF!</v>
      </c>
      <c r="Q707" s="89" t="e">
        <v>#REF!</v>
      </c>
      <c r="R707" s="89" t="e">
        <v>#REF!</v>
      </c>
      <c r="S707" s="89" t="e">
        <f>#REF!</f>
        <v>#REF!</v>
      </c>
      <c r="T707" s="89" t="e">
        <f>#REF!</f>
        <v>#REF!</v>
      </c>
      <c r="U707" s="89" t="e">
        <f>#REF!</f>
        <v>#REF!</v>
      </c>
      <c r="V707" s="89" t="e">
        <f>#REF!</f>
        <v>#REF!</v>
      </c>
      <c r="W707" s="89" t="e">
        <f>#REF!</f>
        <v>#REF!</v>
      </c>
      <c r="X707" s="89" t="e">
        <f>#REF!</f>
        <v>#REF!</v>
      </c>
      <c r="Y707" s="89" t="e">
        <f>#REF!</f>
        <v>#REF!</v>
      </c>
      <c r="Z707" s="89" t="e">
        <f>#REF!</f>
        <v>#REF!</v>
      </c>
      <c r="AA707" s="89" t="e">
        <f>#REF!</f>
        <v>#REF!</v>
      </c>
      <c r="AB707" s="89" t="e">
        <f>#REF!</f>
        <v>#REF!</v>
      </c>
      <c r="AC707" s="89" t="e">
        <f>#REF!</f>
        <v>#REF!</v>
      </c>
      <c r="AD707" s="89" t="e">
        <f>#REF!</f>
        <v>#REF!</v>
      </c>
      <c r="AE707" s="89" t="e">
        <f>#REF!</f>
        <v>#REF!</v>
      </c>
      <c r="AF707" s="89" t="e">
        <f>#REF!</f>
        <v>#REF!</v>
      </c>
      <c r="AG707" s="89" t="e">
        <f>#REF!</f>
        <v>#REF!</v>
      </c>
      <c r="AH707" s="89" t="e">
        <f>#REF!</f>
        <v>#REF!</v>
      </c>
      <c r="AI707" s="89" t="e">
        <f>#REF!</f>
        <v>#REF!</v>
      </c>
      <c r="AJ707" s="89" t="e">
        <f>#REF!</f>
        <v>#REF!</v>
      </c>
      <c r="AK707" s="89" t="e">
        <f>#REF!</f>
        <v>#REF!</v>
      </c>
      <c r="AL707" s="89" t="e">
        <f>#REF!</f>
        <v>#REF!</v>
      </c>
      <c r="AM707" s="89" t="e">
        <f>#REF!</f>
        <v>#REF!</v>
      </c>
      <c r="AN707" s="89" t="e">
        <f>#REF!</f>
        <v>#REF!</v>
      </c>
      <c r="AO707" s="89" t="e">
        <f>#REF!</f>
        <v>#REF!</v>
      </c>
      <c r="AP707" s="89" t="e">
        <f>#REF!</f>
        <v>#REF!</v>
      </c>
      <c r="AQ707" s="89" t="e">
        <f>#REF!</f>
        <v>#REF!</v>
      </c>
      <c r="AR707" s="89" t="e">
        <f>#REF!</f>
        <v>#REF!</v>
      </c>
      <c r="AS707" s="89" t="e">
        <f>#REF!</f>
        <v>#REF!</v>
      </c>
      <c r="AT707" s="89" t="e">
        <f>#REF!</f>
        <v>#REF!</v>
      </c>
      <c r="AU707" s="89" t="e">
        <f>#REF!</f>
        <v>#REF!</v>
      </c>
      <c r="AV707" s="89" t="e">
        <f>#REF!</f>
        <v>#REF!</v>
      </c>
      <c r="AW707" s="89" t="e">
        <f>#REF!</f>
        <v>#REF!</v>
      </c>
      <c r="AX707" s="89" t="e">
        <f>#REF!</f>
        <v>#REF!</v>
      </c>
      <c r="AY707" s="89" t="e">
        <f>#REF!</f>
        <v>#REF!</v>
      </c>
      <c r="AZ707" s="89" t="e">
        <f>#REF!</f>
        <v>#REF!</v>
      </c>
      <c r="BA707" s="89" t="e">
        <f>#REF!</f>
        <v>#REF!</v>
      </c>
      <c r="BB707" s="89" t="e">
        <f>#REF!</f>
        <v>#REF!</v>
      </c>
      <c r="BC707" s="89" t="e">
        <f>#REF!</f>
        <v>#REF!</v>
      </c>
      <c r="BD707" s="89" t="e">
        <f>#REF!</f>
        <v>#REF!</v>
      </c>
      <c r="BE707" s="89" t="e">
        <f>#REF!</f>
        <v>#REF!</v>
      </c>
      <c r="BF707" s="89" t="e">
        <f>#REF!</f>
        <v>#REF!</v>
      </c>
    </row>
    <row r="708" spans="9:58" x14ac:dyDescent="0.25">
      <c r="I708" s="89">
        <f>ABCD!J757</f>
        <v>176</v>
      </c>
      <c r="J708" s="89">
        <f>ABCD!K757</f>
        <v>577.28</v>
      </c>
      <c r="K708" s="89">
        <f>ABCD!L757</f>
        <v>-4.4003231505551152</v>
      </c>
      <c r="L708" s="89">
        <f>ABCD!M757</f>
        <v>-0.77672005223014851</v>
      </c>
      <c r="M708" s="89">
        <f>ABCD!N757</f>
        <v>4.4683484498019732</v>
      </c>
      <c r="N708" s="89" t="e">
        <v>#REF!</v>
      </c>
      <c r="O708" s="89" t="e">
        <v>#REF!</v>
      </c>
      <c r="P708" s="89" t="e">
        <v>#REF!</v>
      </c>
      <c r="Q708" s="89" t="e">
        <v>#REF!</v>
      </c>
      <c r="R708" s="89" t="e">
        <v>#REF!</v>
      </c>
      <c r="S708" s="89" t="e">
        <f>#REF!</f>
        <v>#REF!</v>
      </c>
      <c r="T708" s="89" t="e">
        <f>#REF!</f>
        <v>#REF!</v>
      </c>
      <c r="U708" s="89" t="e">
        <f>#REF!</f>
        <v>#REF!</v>
      </c>
      <c r="V708" s="89" t="e">
        <f>#REF!</f>
        <v>#REF!</v>
      </c>
      <c r="W708" s="89" t="e">
        <f>#REF!</f>
        <v>#REF!</v>
      </c>
      <c r="X708" s="89" t="e">
        <f>#REF!</f>
        <v>#REF!</v>
      </c>
      <c r="Y708" s="89" t="e">
        <f>#REF!</f>
        <v>#REF!</v>
      </c>
      <c r="Z708" s="89" t="e">
        <f>#REF!</f>
        <v>#REF!</v>
      </c>
      <c r="AA708" s="89" t="e">
        <f>#REF!</f>
        <v>#REF!</v>
      </c>
      <c r="AB708" s="89" t="e">
        <f>#REF!</f>
        <v>#REF!</v>
      </c>
      <c r="AC708" s="89" t="e">
        <f>#REF!</f>
        <v>#REF!</v>
      </c>
      <c r="AD708" s="89" t="e">
        <f>#REF!</f>
        <v>#REF!</v>
      </c>
      <c r="AE708" s="89" t="e">
        <f>#REF!</f>
        <v>#REF!</v>
      </c>
      <c r="AF708" s="89" t="e">
        <f>#REF!</f>
        <v>#REF!</v>
      </c>
      <c r="AG708" s="89" t="e">
        <f>#REF!</f>
        <v>#REF!</v>
      </c>
      <c r="AH708" s="89" t="e">
        <f>#REF!</f>
        <v>#REF!</v>
      </c>
      <c r="AI708" s="89" t="e">
        <f>#REF!</f>
        <v>#REF!</v>
      </c>
      <c r="AJ708" s="89" t="e">
        <f>#REF!</f>
        <v>#REF!</v>
      </c>
      <c r="AK708" s="89" t="e">
        <f>#REF!</f>
        <v>#REF!</v>
      </c>
      <c r="AL708" s="89" t="e">
        <f>#REF!</f>
        <v>#REF!</v>
      </c>
      <c r="AM708" s="89" t="e">
        <f>#REF!</f>
        <v>#REF!</v>
      </c>
      <c r="AN708" s="89" t="e">
        <f>#REF!</f>
        <v>#REF!</v>
      </c>
      <c r="AO708" s="89" t="e">
        <f>#REF!</f>
        <v>#REF!</v>
      </c>
      <c r="AP708" s="89" t="e">
        <f>#REF!</f>
        <v>#REF!</v>
      </c>
      <c r="AQ708" s="89" t="e">
        <f>#REF!</f>
        <v>#REF!</v>
      </c>
      <c r="AR708" s="89" t="e">
        <f>#REF!</f>
        <v>#REF!</v>
      </c>
      <c r="AS708" s="89" t="e">
        <f>#REF!</f>
        <v>#REF!</v>
      </c>
      <c r="AT708" s="89" t="e">
        <f>#REF!</f>
        <v>#REF!</v>
      </c>
      <c r="AU708" s="89" t="e">
        <f>#REF!</f>
        <v>#REF!</v>
      </c>
      <c r="AV708" s="89" t="e">
        <f>#REF!</f>
        <v>#REF!</v>
      </c>
      <c r="AW708" s="89" t="e">
        <f>#REF!</f>
        <v>#REF!</v>
      </c>
      <c r="AX708" s="89" t="e">
        <f>#REF!</f>
        <v>#REF!</v>
      </c>
      <c r="AY708" s="89" t="e">
        <f>#REF!</f>
        <v>#REF!</v>
      </c>
      <c r="AZ708" s="89" t="e">
        <f>#REF!</f>
        <v>#REF!</v>
      </c>
      <c r="BA708" s="89" t="e">
        <f>#REF!</f>
        <v>#REF!</v>
      </c>
      <c r="BB708" s="89" t="e">
        <f>#REF!</f>
        <v>#REF!</v>
      </c>
      <c r="BC708" s="89" t="e">
        <f>#REF!</f>
        <v>#REF!</v>
      </c>
      <c r="BD708" s="89" t="e">
        <f>#REF!</f>
        <v>#REF!</v>
      </c>
      <c r="BE708" s="89" t="e">
        <f>#REF!</f>
        <v>#REF!</v>
      </c>
      <c r="BF708" s="89" t="e">
        <f>#REF!</f>
        <v>#REF!</v>
      </c>
    </row>
    <row r="709" spans="9:58" x14ac:dyDescent="0.25">
      <c r="I709" s="89">
        <f>ABCD!J758</f>
        <v>176.25</v>
      </c>
      <c r="J709" s="89">
        <f>ABCD!K758</f>
        <v>578.09999999999991</v>
      </c>
      <c r="K709" s="89">
        <f>ABCD!L758</f>
        <v>-4.4377127141067376</v>
      </c>
      <c r="L709" s="89">
        <f>ABCD!M758</f>
        <v>-0.78415304960471854</v>
      </c>
      <c r="M709" s="89">
        <f>ABCD!N758</f>
        <v>4.5064609327219252</v>
      </c>
      <c r="N709" s="89" t="e">
        <v>#REF!</v>
      </c>
      <c r="O709" s="89" t="e">
        <v>#REF!</v>
      </c>
      <c r="P709" s="89" t="e">
        <v>#REF!</v>
      </c>
      <c r="Q709" s="89" t="e">
        <v>#REF!</v>
      </c>
      <c r="R709" s="89" t="e">
        <v>#REF!</v>
      </c>
      <c r="S709" s="89" t="e">
        <f>#REF!</f>
        <v>#REF!</v>
      </c>
      <c r="T709" s="89" t="e">
        <f>#REF!</f>
        <v>#REF!</v>
      </c>
      <c r="U709" s="89" t="e">
        <f>#REF!</f>
        <v>#REF!</v>
      </c>
      <c r="V709" s="89" t="e">
        <f>#REF!</f>
        <v>#REF!</v>
      </c>
      <c r="W709" s="89" t="e">
        <f>#REF!</f>
        <v>#REF!</v>
      </c>
      <c r="X709" s="89" t="e">
        <f>#REF!</f>
        <v>#REF!</v>
      </c>
      <c r="Y709" s="89" t="e">
        <f>#REF!</f>
        <v>#REF!</v>
      </c>
      <c r="Z709" s="89" t="e">
        <f>#REF!</f>
        <v>#REF!</v>
      </c>
      <c r="AA709" s="89" t="e">
        <f>#REF!</f>
        <v>#REF!</v>
      </c>
      <c r="AB709" s="89" t="e">
        <f>#REF!</f>
        <v>#REF!</v>
      </c>
      <c r="AC709" s="89" t="e">
        <f>#REF!</f>
        <v>#REF!</v>
      </c>
      <c r="AD709" s="89" t="e">
        <f>#REF!</f>
        <v>#REF!</v>
      </c>
      <c r="AE709" s="89" t="e">
        <f>#REF!</f>
        <v>#REF!</v>
      </c>
      <c r="AF709" s="89" t="e">
        <f>#REF!</f>
        <v>#REF!</v>
      </c>
      <c r="AG709" s="89" t="e">
        <f>#REF!</f>
        <v>#REF!</v>
      </c>
      <c r="AH709" s="89" t="e">
        <f>#REF!</f>
        <v>#REF!</v>
      </c>
      <c r="AI709" s="89" t="e">
        <f>#REF!</f>
        <v>#REF!</v>
      </c>
      <c r="AJ709" s="89" t="e">
        <f>#REF!</f>
        <v>#REF!</v>
      </c>
      <c r="AK709" s="89" t="e">
        <f>#REF!</f>
        <v>#REF!</v>
      </c>
      <c r="AL709" s="89" t="e">
        <f>#REF!</f>
        <v>#REF!</v>
      </c>
      <c r="AM709" s="89" t="e">
        <f>#REF!</f>
        <v>#REF!</v>
      </c>
      <c r="AN709" s="89" t="e">
        <f>#REF!</f>
        <v>#REF!</v>
      </c>
      <c r="AO709" s="89" t="e">
        <f>#REF!</f>
        <v>#REF!</v>
      </c>
      <c r="AP709" s="89" t="e">
        <f>#REF!</f>
        <v>#REF!</v>
      </c>
      <c r="AQ709" s="89" t="e">
        <f>#REF!</f>
        <v>#REF!</v>
      </c>
      <c r="AR709" s="89" t="e">
        <f>#REF!</f>
        <v>#REF!</v>
      </c>
      <c r="AS709" s="89" t="e">
        <f>#REF!</f>
        <v>#REF!</v>
      </c>
      <c r="AT709" s="89" t="e">
        <f>#REF!</f>
        <v>#REF!</v>
      </c>
      <c r="AU709" s="89" t="e">
        <f>#REF!</f>
        <v>#REF!</v>
      </c>
      <c r="AV709" s="89" t="e">
        <f>#REF!</f>
        <v>#REF!</v>
      </c>
      <c r="AW709" s="89" t="e">
        <f>#REF!</f>
        <v>#REF!</v>
      </c>
      <c r="AX709" s="89" t="e">
        <f>#REF!</f>
        <v>#REF!</v>
      </c>
      <c r="AY709" s="89" t="e">
        <f>#REF!</f>
        <v>#REF!</v>
      </c>
      <c r="AZ709" s="89" t="e">
        <f>#REF!</f>
        <v>#REF!</v>
      </c>
      <c r="BA709" s="89" t="e">
        <f>#REF!</f>
        <v>#REF!</v>
      </c>
      <c r="BB709" s="89" t="e">
        <f>#REF!</f>
        <v>#REF!</v>
      </c>
      <c r="BC709" s="89" t="e">
        <f>#REF!</f>
        <v>#REF!</v>
      </c>
      <c r="BD709" s="89" t="e">
        <f>#REF!</f>
        <v>#REF!</v>
      </c>
      <c r="BE709" s="89" t="e">
        <f>#REF!</f>
        <v>#REF!</v>
      </c>
      <c r="BF709" s="89" t="e">
        <f>#REF!</f>
        <v>#REF!</v>
      </c>
    </row>
    <row r="710" spans="9:58" x14ac:dyDescent="0.25">
      <c r="I710" s="89">
        <f>ABCD!J759</f>
        <v>176.5</v>
      </c>
      <c r="J710" s="89">
        <f>ABCD!K759</f>
        <v>578.91999999999996</v>
      </c>
      <c r="K710" s="89">
        <f>ABCD!L759</f>
        <v>-4.4740442358131762</v>
      </c>
      <c r="L710" s="89">
        <f>ABCD!M759</f>
        <v>-0.79139834555769084</v>
      </c>
      <c r="M710" s="89">
        <f>ABCD!N759</f>
        <v>4.5434990002601037</v>
      </c>
      <c r="N710" s="89" t="e">
        <v>#REF!</v>
      </c>
      <c r="O710" s="89" t="e">
        <v>#REF!</v>
      </c>
      <c r="P710" s="89" t="e">
        <v>#REF!</v>
      </c>
      <c r="Q710" s="89" t="e">
        <v>#REF!</v>
      </c>
      <c r="R710" s="89" t="e">
        <v>#REF!</v>
      </c>
      <c r="S710" s="89" t="e">
        <f>#REF!</f>
        <v>#REF!</v>
      </c>
      <c r="T710" s="89" t="e">
        <f>#REF!</f>
        <v>#REF!</v>
      </c>
      <c r="U710" s="89" t="e">
        <f>#REF!</f>
        <v>#REF!</v>
      </c>
      <c r="V710" s="89" t="e">
        <f>#REF!</f>
        <v>#REF!</v>
      </c>
      <c r="W710" s="89" t="e">
        <f>#REF!</f>
        <v>#REF!</v>
      </c>
      <c r="X710" s="89" t="e">
        <f>#REF!</f>
        <v>#REF!</v>
      </c>
      <c r="Y710" s="89" t="e">
        <f>#REF!</f>
        <v>#REF!</v>
      </c>
      <c r="Z710" s="89" t="e">
        <f>#REF!</f>
        <v>#REF!</v>
      </c>
      <c r="AA710" s="89" t="e">
        <f>#REF!</f>
        <v>#REF!</v>
      </c>
      <c r="AB710" s="89" t="e">
        <f>#REF!</f>
        <v>#REF!</v>
      </c>
      <c r="AC710" s="89" t="e">
        <f>#REF!</f>
        <v>#REF!</v>
      </c>
      <c r="AD710" s="89" t="e">
        <f>#REF!</f>
        <v>#REF!</v>
      </c>
      <c r="AE710" s="89" t="e">
        <f>#REF!</f>
        <v>#REF!</v>
      </c>
      <c r="AF710" s="89" t="e">
        <f>#REF!</f>
        <v>#REF!</v>
      </c>
      <c r="AG710" s="89" t="e">
        <f>#REF!</f>
        <v>#REF!</v>
      </c>
      <c r="AH710" s="89" t="e">
        <f>#REF!</f>
        <v>#REF!</v>
      </c>
      <c r="AI710" s="89" t="e">
        <f>#REF!</f>
        <v>#REF!</v>
      </c>
      <c r="AJ710" s="89" t="e">
        <f>#REF!</f>
        <v>#REF!</v>
      </c>
      <c r="AK710" s="89" t="e">
        <f>#REF!</f>
        <v>#REF!</v>
      </c>
      <c r="AL710" s="89" t="e">
        <f>#REF!</f>
        <v>#REF!</v>
      </c>
      <c r="AM710" s="89" t="e">
        <f>#REF!</f>
        <v>#REF!</v>
      </c>
      <c r="AN710" s="89" t="e">
        <f>#REF!</f>
        <v>#REF!</v>
      </c>
      <c r="AO710" s="89" t="e">
        <f>#REF!</f>
        <v>#REF!</v>
      </c>
      <c r="AP710" s="89" t="e">
        <f>#REF!</f>
        <v>#REF!</v>
      </c>
      <c r="AQ710" s="89" t="e">
        <f>#REF!</f>
        <v>#REF!</v>
      </c>
      <c r="AR710" s="89" t="e">
        <f>#REF!</f>
        <v>#REF!</v>
      </c>
      <c r="AS710" s="89" t="e">
        <f>#REF!</f>
        <v>#REF!</v>
      </c>
      <c r="AT710" s="89" t="e">
        <f>#REF!</f>
        <v>#REF!</v>
      </c>
      <c r="AU710" s="89" t="e">
        <f>#REF!</f>
        <v>#REF!</v>
      </c>
      <c r="AV710" s="89" t="e">
        <f>#REF!</f>
        <v>#REF!</v>
      </c>
      <c r="AW710" s="89" t="e">
        <f>#REF!</f>
        <v>#REF!</v>
      </c>
      <c r="AX710" s="89" t="e">
        <f>#REF!</f>
        <v>#REF!</v>
      </c>
      <c r="AY710" s="89" t="e">
        <f>#REF!</f>
        <v>#REF!</v>
      </c>
      <c r="AZ710" s="89" t="e">
        <f>#REF!</f>
        <v>#REF!</v>
      </c>
      <c r="BA710" s="89" t="e">
        <f>#REF!</f>
        <v>#REF!</v>
      </c>
      <c r="BB710" s="89" t="e">
        <f>#REF!</f>
        <v>#REF!</v>
      </c>
      <c r="BC710" s="89" t="e">
        <f>#REF!</f>
        <v>#REF!</v>
      </c>
      <c r="BD710" s="89" t="e">
        <f>#REF!</f>
        <v>#REF!</v>
      </c>
      <c r="BE710" s="89" t="e">
        <f>#REF!</f>
        <v>#REF!</v>
      </c>
      <c r="BF710" s="89" t="e">
        <f>#REF!</f>
        <v>#REF!</v>
      </c>
    </row>
    <row r="711" spans="9:58" x14ac:dyDescent="0.25">
      <c r="I711" s="89">
        <f>ABCD!J760</f>
        <v>176.75</v>
      </c>
      <c r="J711" s="89">
        <f>ABCD!K760</f>
        <v>579.74</v>
      </c>
      <c r="K711" s="89">
        <f>ABCD!L760</f>
        <v>-4.5093102806761642</v>
      </c>
      <c r="L711" s="89">
        <f>ABCD!M760</f>
        <v>-0.79845443643244152</v>
      </c>
      <c r="M711" s="89">
        <f>ABCD!N760</f>
        <v>4.5794550652310582</v>
      </c>
      <c r="N711" s="89" t="e">
        <v>#REF!</v>
      </c>
      <c r="O711" s="89" t="e">
        <v>#REF!</v>
      </c>
      <c r="P711" s="89" t="e">
        <v>#REF!</v>
      </c>
      <c r="Q711" s="89" t="e">
        <v>#REF!</v>
      </c>
      <c r="R711" s="89" t="e">
        <v>#REF!</v>
      </c>
      <c r="S711" s="89" t="e">
        <f>#REF!</f>
        <v>#REF!</v>
      </c>
      <c r="T711" s="89" t="e">
        <f>#REF!</f>
        <v>#REF!</v>
      </c>
      <c r="U711" s="89" t="e">
        <f>#REF!</f>
        <v>#REF!</v>
      </c>
      <c r="V711" s="89" t="e">
        <f>#REF!</f>
        <v>#REF!</v>
      </c>
      <c r="W711" s="89" t="e">
        <f>#REF!</f>
        <v>#REF!</v>
      </c>
      <c r="X711" s="89" t="e">
        <f>#REF!</f>
        <v>#REF!</v>
      </c>
      <c r="Y711" s="89" t="e">
        <f>#REF!</f>
        <v>#REF!</v>
      </c>
      <c r="Z711" s="89" t="e">
        <f>#REF!</f>
        <v>#REF!</v>
      </c>
      <c r="AA711" s="89" t="e">
        <f>#REF!</f>
        <v>#REF!</v>
      </c>
      <c r="AB711" s="89" t="e">
        <f>#REF!</f>
        <v>#REF!</v>
      </c>
      <c r="AC711" s="89" t="e">
        <f>#REF!</f>
        <v>#REF!</v>
      </c>
      <c r="AD711" s="89" t="e">
        <f>#REF!</f>
        <v>#REF!</v>
      </c>
      <c r="AE711" s="89" t="e">
        <f>#REF!</f>
        <v>#REF!</v>
      </c>
      <c r="AF711" s="89" t="e">
        <f>#REF!</f>
        <v>#REF!</v>
      </c>
      <c r="AG711" s="89" t="e">
        <f>#REF!</f>
        <v>#REF!</v>
      </c>
      <c r="AH711" s="89" t="e">
        <f>#REF!</f>
        <v>#REF!</v>
      </c>
      <c r="AI711" s="89" t="e">
        <f>#REF!</f>
        <v>#REF!</v>
      </c>
      <c r="AJ711" s="89" t="e">
        <f>#REF!</f>
        <v>#REF!</v>
      </c>
      <c r="AK711" s="89" t="e">
        <f>#REF!</f>
        <v>#REF!</v>
      </c>
      <c r="AL711" s="89" t="e">
        <f>#REF!</f>
        <v>#REF!</v>
      </c>
      <c r="AM711" s="89" t="e">
        <f>#REF!</f>
        <v>#REF!</v>
      </c>
      <c r="AN711" s="89" t="e">
        <f>#REF!</f>
        <v>#REF!</v>
      </c>
      <c r="AO711" s="89" t="e">
        <f>#REF!</f>
        <v>#REF!</v>
      </c>
      <c r="AP711" s="89" t="e">
        <f>#REF!</f>
        <v>#REF!</v>
      </c>
      <c r="AQ711" s="89" t="e">
        <f>#REF!</f>
        <v>#REF!</v>
      </c>
      <c r="AR711" s="89" t="e">
        <f>#REF!</f>
        <v>#REF!</v>
      </c>
      <c r="AS711" s="89" t="e">
        <f>#REF!</f>
        <v>#REF!</v>
      </c>
      <c r="AT711" s="89" t="e">
        <f>#REF!</f>
        <v>#REF!</v>
      </c>
      <c r="AU711" s="89" t="e">
        <f>#REF!</f>
        <v>#REF!</v>
      </c>
      <c r="AV711" s="89" t="e">
        <f>#REF!</f>
        <v>#REF!</v>
      </c>
      <c r="AW711" s="89" t="e">
        <f>#REF!</f>
        <v>#REF!</v>
      </c>
      <c r="AX711" s="89" t="e">
        <f>#REF!</f>
        <v>#REF!</v>
      </c>
      <c r="AY711" s="89" t="e">
        <f>#REF!</f>
        <v>#REF!</v>
      </c>
      <c r="AZ711" s="89" t="e">
        <f>#REF!</f>
        <v>#REF!</v>
      </c>
      <c r="BA711" s="89" t="e">
        <f>#REF!</f>
        <v>#REF!</v>
      </c>
      <c r="BB711" s="89" t="e">
        <f>#REF!</f>
        <v>#REF!</v>
      </c>
      <c r="BC711" s="89" t="e">
        <f>#REF!</f>
        <v>#REF!</v>
      </c>
      <c r="BD711" s="89" t="e">
        <f>#REF!</f>
        <v>#REF!</v>
      </c>
      <c r="BE711" s="89" t="e">
        <f>#REF!</f>
        <v>#REF!</v>
      </c>
      <c r="BF711" s="89" t="e">
        <f>#REF!</f>
        <v>#REF!</v>
      </c>
    </row>
    <row r="712" spans="9:58" x14ac:dyDescent="0.25">
      <c r="I712" s="89">
        <f>ABCD!J761</f>
        <v>177</v>
      </c>
      <c r="J712" s="89">
        <f>ABCD!K761</f>
        <v>580.55999999999995</v>
      </c>
      <c r="K712" s="89">
        <f>ABCD!L761</f>
        <v>-4.5435036663417421</v>
      </c>
      <c r="L712" s="89">
        <f>ABCD!M761</f>
        <v>-0.80531986360132102</v>
      </c>
      <c r="M712" s="89">
        <f>ABCD!N761</f>
        <v>4.6143217972711552</v>
      </c>
      <c r="N712" s="89" t="e">
        <v>#REF!</v>
      </c>
      <c r="O712" s="89" t="e">
        <v>#REF!</v>
      </c>
      <c r="P712" s="89" t="e">
        <v>#REF!</v>
      </c>
      <c r="Q712" s="89" t="e">
        <v>#REF!</v>
      </c>
      <c r="R712" s="89" t="e">
        <v>#REF!</v>
      </c>
      <c r="S712" s="89" t="e">
        <f>#REF!</f>
        <v>#REF!</v>
      </c>
      <c r="T712" s="89" t="e">
        <f>#REF!</f>
        <v>#REF!</v>
      </c>
      <c r="U712" s="89" t="e">
        <f>#REF!</f>
        <v>#REF!</v>
      </c>
      <c r="V712" s="89" t="e">
        <f>#REF!</f>
        <v>#REF!</v>
      </c>
      <c r="W712" s="89" t="e">
        <f>#REF!</f>
        <v>#REF!</v>
      </c>
      <c r="X712" s="89" t="e">
        <f>#REF!</f>
        <v>#REF!</v>
      </c>
      <c r="Y712" s="89" t="e">
        <f>#REF!</f>
        <v>#REF!</v>
      </c>
      <c r="Z712" s="89" t="e">
        <f>#REF!</f>
        <v>#REF!</v>
      </c>
      <c r="AA712" s="89" t="e">
        <f>#REF!</f>
        <v>#REF!</v>
      </c>
      <c r="AB712" s="89" t="e">
        <f>#REF!</f>
        <v>#REF!</v>
      </c>
      <c r="AC712" s="89" t="e">
        <f>#REF!</f>
        <v>#REF!</v>
      </c>
      <c r="AD712" s="89" t="e">
        <f>#REF!</f>
        <v>#REF!</v>
      </c>
      <c r="AE712" s="89" t="e">
        <f>#REF!</f>
        <v>#REF!</v>
      </c>
      <c r="AF712" s="89" t="e">
        <f>#REF!</f>
        <v>#REF!</v>
      </c>
      <c r="AG712" s="89" t="e">
        <f>#REF!</f>
        <v>#REF!</v>
      </c>
      <c r="AH712" s="89" t="e">
        <f>#REF!</f>
        <v>#REF!</v>
      </c>
      <c r="AI712" s="89" t="e">
        <f>#REF!</f>
        <v>#REF!</v>
      </c>
      <c r="AJ712" s="89" t="e">
        <f>#REF!</f>
        <v>#REF!</v>
      </c>
      <c r="AK712" s="89" t="e">
        <f>#REF!</f>
        <v>#REF!</v>
      </c>
      <c r="AL712" s="89" t="e">
        <f>#REF!</f>
        <v>#REF!</v>
      </c>
      <c r="AM712" s="89" t="e">
        <f>#REF!</f>
        <v>#REF!</v>
      </c>
      <c r="AN712" s="89" t="e">
        <f>#REF!</f>
        <v>#REF!</v>
      </c>
      <c r="AO712" s="89" t="e">
        <f>#REF!</f>
        <v>#REF!</v>
      </c>
      <c r="AP712" s="89" t="e">
        <f>#REF!</f>
        <v>#REF!</v>
      </c>
      <c r="AQ712" s="89" t="e">
        <f>#REF!</f>
        <v>#REF!</v>
      </c>
      <c r="AR712" s="89" t="e">
        <f>#REF!</f>
        <v>#REF!</v>
      </c>
      <c r="AS712" s="89" t="e">
        <f>#REF!</f>
        <v>#REF!</v>
      </c>
      <c r="AT712" s="89" t="e">
        <f>#REF!</f>
        <v>#REF!</v>
      </c>
      <c r="AU712" s="89" t="e">
        <f>#REF!</f>
        <v>#REF!</v>
      </c>
      <c r="AV712" s="89" t="e">
        <f>#REF!</f>
        <v>#REF!</v>
      </c>
      <c r="AW712" s="89" t="e">
        <f>#REF!</f>
        <v>#REF!</v>
      </c>
      <c r="AX712" s="89" t="e">
        <f>#REF!</f>
        <v>#REF!</v>
      </c>
      <c r="AY712" s="89" t="e">
        <f>#REF!</f>
        <v>#REF!</v>
      </c>
      <c r="AZ712" s="89" t="e">
        <f>#REF!</f>
        <v>#REF!</v>
      </c>
      <c r="BA712" s="89" t="e">
        <f>#REF!</f>
        <v>#REF!</v>
      </c>
      <c r="BB712" s="89" t="e">
        <f>#REF!</f>
        <v>#REF!</v>
      </c>
      <c r="BC712" s="89" t="e">
        <f>#REF!</f>
        <v>#REF!</v>
      </c>
      <c r="BD712" s="89" t="e">
        <f>#REF!</f>
        <v>#REF!</v>
      </c>
      <c r="BE712" s="89" t="e">
        <f>#REF!</f>
        <v>#REF!</v>
      </c>
      <c r="BF712" s="89" t="e">
        <f>#REF!</f>
        <v>#REF!</v>
      </c>
    </row>
    <row r="713" spans="9:58" x14ac:dyDescent="0.25">
      <c r="I713" s="89">
        <f>ABCD!J762</f>
        <v>177.25</v>
      </c>
      <c r="J713" s="89">
        <f>ABCD!K762</f>
        <v>581.38</v>
      </c>
      <c r="K713" s="89">
        <f>ABCD!L762</f>
        <v>-4.5766174645309601</v>
      </c>
      <c r="L713" s="89">
        <f>ABCD!M762</f>
        <v>-0.81199321376187983</v>
      </c>
      <c r="M713" s="89">
        <f>ABCD!N762</f>
        <v>4.648092124285526</v>
      </c>
      <c r="N713" s="89" t="e">
        <v>#REF!</v>
      </c>
      <c r="O713" s="89" t="e">
        <v>#REF!</v>
      </c>
      <c r="P713" s="89" t="e">
        <v>#REF!</v>
      </c>
      <c r="Q713" s="89" t="e">
        <v>#REF!</v>
      </c>
      <c r="R713" s="89" t="e">
        <v>#REF!</v>
      </c>
      <c r="S713" s="89" t="e">
        <f>#REF!</f>
        <v>#REF!</v>
      </c>
      <c r="T713" s="89" t="e">
        <f>#REF!</f>
        <v>#REF!</v>
      </c>
      <c r="U713" s="89" t="e">
        <f>#REF!</f>
        <v>#REF!</v>
      </c>
      <c r="V713" s="89" t="e">
        <f>#REF!</f>
        <v>#REF!</v>
      </c>
      <c r="W713" s="89" t="e">
        <f>#REF!</f>
        <v>#REF!</v>
      </c>
      <c r="X713" s="89" t="e">
        <f>#REF!</f>
        <v>#REF!</v>
      </c>
      <c r="Y713" s="89" t="e">
        <f>#REF!</f>
        <v>#REF!</v>
      </c>
      <c r="Z713" s="89" t="e">
        <f>#REF!</f>
        <v>#REF!</v>
      </c>
      <c r="AA713" s="89" t="e">
        <f>#REF!</f>
        <v>#REF!</v>
      </c>
      <c r="AB713" s="89" t="e">
        <f>#REF!</f>
        <v>#REF!</v>
      </c>
      <c r="AC713" s="89" t="e">
        <f>#REF!</f>
        <v>#REF!</v>
      </c>
      <c r="AD713" s="89" t="e">
        <f>#REF!</f>
        <v>#REF!</v>
      </c>
      <c r="AE713" s="89" t="e">
        <f>#REF!</f>
        <v>#REF!</v>
      </c>
      <c r="AF713" s="89" t="e">
        <f>#REF!</f>
        <v>#REF!</v>
      </c>
      <c r="AG713" s="89" t="e">
        <f>#REF!</f>
        <v>#REF!</v>
      </c>
      <c r="AH713" s="89" t="e">
        <f>#REF!</f>
        <v>#REF!</v>
      </c>
      <c r="AI713" s="89" t="e">
        <f>#REF!</f>
        <v>#REF!</v>
      </c>
      <c r="AJ713" s="89" t="e">
        <f>#REF!</f>
        <v>#REF!</v>
      </c>
      <c r="AK713" s="89" t="e">
        <f>#REF!</f>
        <v>#REF!</v>
      </c>
      <c r="AL713" s="89" t="e">
        <f>#REF!</f>
        <v>#REF!</v>
      </c>
      <c r="AM713" s="89" t="e">
        <f>#REF!</f>
        <v>#REF!</v>
      </c>
      <c r="AN713" s="89" t="e">
        <f>#REF!</f>
        <v>#REF!</v>
      </c>
      <c r="AO713" s="89" t="e">
        <f>#REF!</f>
        <v>#REF!</v>
      </c>
      <c r="AP713" s="89" t="e">
        <f>#REF!</f>
        <v>#REF!</v>
      </c>
      <c r="AQ713" s="89" t="e">
        <f>#REF!</f>
        <v>#REF!</v>
      </c>
      <c r="AR713" s="89" t="e">
        <f>#REF!</f>
        <v>#REF!</v>
      </c>
      <c r="AS713" s="89" t="e">
        <f>#REF!</f>
        <v>#REF!</v>
      </c>
      <c r="AT713" s="89" t="e">
        <f>#REF!</f>
        <v>#REF!</v>
      </c>
      <c r="AU713" s="89" t="e">
        <f>#REF!</f>
        <v>#REF!</v>
      </c>
      <c r="AV713" s="89" t="e">
        <f>#REF!</f>
        <v>#REF!</v>
      </c>
      <c r="AW713" s="89" t="e">
        <f>#REF!</f>
        <v>#REF!</v>
      </c>
      <c r="AX713" s="89" t="e">
        <f>#REF!</f>
        <v>#REF!</v>
      </c>
      <c r="AY713" s="89" t="e">
        <f>#REF!</f>
        <v>#REF!</v>
      </c>
      <c r="AZ713" s="89" t="e">
        <f>#REF!</f>
        <v>#REF!</v>
      </c>
      <c r="BA713" s="89" t="e">
        <f>#REF!</f>
        <v>#REF!</v>
      </c>
      <c r="BB713" s="89" t="e">
        <f>#REF!</f>
        <v>#REF!</v>
      </c>
      <c r="BC713" s="89" t="e">
        <f>#REF!</f>
        <v>#REF!</v>
      </c>
      <c r="BD713" s="89" t="e">
        <f>#REF!</f>
        <v>#REF!</v>
      </c>
      <c r="BE713" s="89" t="e">
        <f>#REF!</f>
        <v>#REF!</v>
      </c>
      <c r="BF713" s="89" t="e">
        <f>#REF!</f>
        <v>#REF!</v>
      </c>
    </row>
    <row r="714" spans="9:58" x14ac:dyDescent="0.25">
      <c r="I714" s="89">
        <f>ABCD!J763</f>
        <v>177.5</v>
      </c>
      <c r="J714" s="89">
        <f>ABCD!K763</f>
        <v>582.19999999999993</v>
      </c>
      <c r="K714" s="89">
        <f>ABCD!L763</f>
        <v>-4.6086450024106629</v>
      </c>
      <c r="L714" s="89">
        <f>ABCD!M763</f>
        <v>-0.81847311922232868</v>
      </c>
      <c r="M714" s="89">
        <f>ABCD!N763</f>
        <v>4.6807592338352872</v>
      </c>
      <c r="N714" s="89" t="e">
        <v>#REF!</v>
      </c>
      <c r="O714" s="89" t="e">
        <v>#REF!</v>
      </c>
      <c r="P714" s="89" t="e">
        <v>#REF!</v>
      </c>
      <c r="Q714" s="89" t="e">
        <v>#REF!</v>
      </c>
      <c r="R714" s="89" t="e">
        <v>#REF!</v>
      </c>
      <c r="S714" s="89" t="e">
        <f>#REF!</f>
        <v>#REF!</v>
      </c>
      <c r="T714" s="89" t="e">
        <f>#REF!</f>
        <v>#REF!</v>
      </c>
      <c r="U714" s="89" t="e">
        <f>#REF!</f>
        <v>#REF!</v>
      </c>
      <c r="V714" s="89" t="e">
        <f>#REF!</f>
        <v>#REF!</v>
      </c>
      <c r="W714" s="89" t="e">
        <f>#REF!</f>
        <v>#REF!</v>
      </c>
      <c r="X714" s="89" t="e">
        <f>#REF!</f>
        <v>#REF!</v>
      </c>
      <c r="Y714" s="89" t="e">
        <f>#REF!</f>
        <v>#REF!</v>
      </c>
      <c r="Z714" s="89" t="e">
        <f>#REF!</f>
        <v>#REF!</v>
      </c>
      <c r="AA714" s="89" t="e">
        <f>#REF!</f>
        <v>#REF!</v>
      </c>
      <c r="AB714" s="89" t="e">
        <f>#REF!</f>
        <v>#REF!</v>
      </c>
      <c r="AC714" s="89" t="e">
        <f>#REF!</f>
        <v>#REF!</v>
      </c>
      <c r="AD714" s="89" t="e">
        <f>#REF!</f>
        <v>#REF!</v>
      </c>
      <c r="AE714" s="89" t="e">
        <f>#REF!</f>
        <v>#REF!</v>
      </c>
      <c r="AF714" s="89" t="e">
        <f>#REF!</f>
        <v>#REF!</v>
      </c>
      <c r="AG714" s="89" t="e">
        <f>#REF!</f>
        <v>#REF!</v>
      </c>
      <c r="AH714" s="89" t="e">
        <f>#REF!</f>
        <v>#REF!</v>
      </c>
      <c r="AI714" s="89" t="e">
        <f>#REF!</f>
        <v>#REF!</v>
      </c>
      <c r="AJ714" s="89" t="e">
        <f>#REF!</f>
        <v>#REF!</v>
      </c>
      <c r="AK714" s="89" t="e">
        <f>#REF!</f>
        <v>#REF!</v>
      </c>
      <c r="AL714" s="89" t="e">
        <f>#REF!</f>
        <v>#REF!</v>
      </c>
      <c r="AM714" s="89" t="e">
        <f>#REF!</f>
        <v>#REF!</v>
      </c>
      <c r="AN714" s="89" t="e">
        <f>#REF!</f>
        <v>#REF!</v>
      </c>
      <c r="AO714" s="89" t="e">
        <f>#REF!</f>
        <v>#REF!</v>
      </c>
      <c r="AP714" s="89" t="e">
        <f>#REF!</f>
        <v>#REF!</v>
      </c>
      <c r="AQ714" s="89" t="e">
        <f>#REF!</f>
        <v>#REF!</v>
      </c>
      <c r="AR714" s="89" t="e">
        <f>#REF!</f>
        <v>#REF!</v>
      </c>
      <c r="AS714" s="89" t="e">
        <f>#REF!</f>
        <v>#REF!</v>
      </c>
      <c r="AT714" s="89" t="e">
        <f>#REF!</f>
        <v>#REF!</v>
      </c>
      <c r="AU714" s="89" t="e">
        <f>#REF!</f>
        <v>#REF!</v>
      </c>
      <c r="AV714" s="89" t="e">
        <f>#REF!</f>
        <v>#REF!</v>
      </c>
      <c r="AW714" s="89" t="e">
        <f>#REF!</f>
        <v>#REF!</v>
      </c>
      <c r="AX714" s="89" t="e">
        <f>#REF!</f>
        <v>#REF!</v>
      </c>
      <c r="AY714" s="89" t="e">
        <f>#REF!</f>
        <v>#REF!</v>
      </c>
      <c r="AZ714" s="89" t="e">
        <f>#REF!</f>
        <v>#REF!</v>
      </c>
      <c r="BA714" s="89" t="e">
        <f>#REF!</f>
        <v>#REF!</v>
      </c>
      <c r="BB714" s="89" t="e">
        <f>#REF!</f>
        <v>#REF!</v>
      </c>
      <c r="BC714" s="89" t="e">
        <f>#REF!</f>
        <v>#REF!</v>
      </c>
      <c r="BD714" s="89" t="e">
        <f>#REF!</f>
        <v>#REF!</v>
      </c>
      <c r="BE714" s="89" t="e">
        <f>#REF!</f>
        <v>#REF!</v>
      </c>
      <c r="BF714" s="89" t="e">
        <f>#REF!</f>
        <v>#REF!</v>
      </c>
    </row>
    <row r="715" spans="9:58" x14ac:dyDescent="0.25">
      <c r="I715" s="89">
        <f>ABCD!J764</f>
        <v>177.75</v>
      </c>
      <c r="J715" s="89">
        <f>ABCD!K764</f>
        <v>583.02</v>
      </c>
      <c r="K715" s="89">
        <f>ABCD!L764</f>
        <v>-4.6395798639040269</v>
      </c>
      <c r="L715" s="89">
        <f>ABCD!M764</f>
        <v>-0.82475825817623072</v>
      </c>
      <c r="M715" s="89">
        <f>ABCD!N764</f>
        <v>4.7123165744645812</v>
      </c>
      <c r="N715" s="89" t="e">
        <v>#REF!</v>
      </c>
      <c r="O715" s="89" t="e">
        <v>#REF!</v>
      </c>
      <c r="P715" s="89" t="e">
        <v>#REF!</v>
      </c>
      <c r="Q715" s="89" t="e">
        <v>#REF!</v>
      </c>
      <c r="R715" s="89" t="e">
        <v>#REF!</v>
      </c>
      <c r="S715" s="89" t="e">
        <f>#REF!</f>
        <v>#REF!</v>
      </c>
      <c r="T715" s="89" t="e">
        <f>#REF!</f>
        <v>#REF!</v>
      </c>
      <c r="U715" s="89" t="e">
        <f>#REF!</f>
        <v>#REF!</v>
      </c>
      <c r="V715" s="89" t="e">
        <f>#REF!</f>
        <v>#REF!</v>
      </c>
      <c r="W715" s="89" t="e">
        <f>#REF!</f>
        <v>#REF!</v>
      </c>
      <c r="X715" s="89" t="e">
        <f>#REF!</f>
        <v>#REF!</v>
      </c>
      <c r="Y715" s="89" t="e">
        <f>#REF!</f>
        <v>#REF!</v>
      </c>
      <c r="Z715" s="89" t="e">
        <f>#REF!</f>
        <v>#REF!</v>
      </c>
      <c r="AA715" s="89" t="e">
        <f>#REF!</f>
        <v>#REF!</v>
      </c>
      <c r="AB715" s="89" t="e">
        <f>#REF!</f>
        <v>#REF!</v>
      </c>
      <c r="AC715" s="89" t="e">
        <f>#REF!</f>
        <v>#REF!</v>
      </c>
      <c r="AD715" s="89" t="e">
        <f>#REF!</f>
        <v>#REF!</v>
      </c>
      <c r="AE715" s="89" t="e">
        <f>#REF!</f>
        <v>#REF!</v>
      </c>
      <c r="AF715" s="89" t="e">
        <f>#REF!</f>
        <v>#REF!</v>
      </c>
      <c r="AG715" s="89" t="e">
        <f>#REF!</f>
        <v>#REF!</v>
      </c>
      <c r="AH715" s="89" t="e">
        <f>#REF!</f>
        <v>#REF!</v>
      </c>
      <c r="AI715" s="89" t="e">
        <f>#REF!</f>
        <v>#REF!</v>
      </c>
      <c r="AJ715" s="89" t="e">
        <f>#REF!</f>
        <v>#REF!</v>
      </c>
      <c r="AK715" s="89" t="e">
        <f>#REF!</f>
        <v>#REF!</v>
      </c>
      <c r="AL715" s="89" t="e">
        <f>#REF!</f>
        <v>#REF!</v>
      </c>
      <c r="AM715" s="89" t="e">
        <f>#REF!</f>
        <v>#REF!</v>
      </c>
      <c r="AN715" s="89" t="e">
        <f>#REF!</f>
        <v>#REF!</v>
      </c>
      <c r="AO715" s="89" t="e">
        <f>#REF!</f>
        <v>#REF!</v>
      </c>
      <c r="AP715" s="89" t="e">
        <f>#REF!</f>
        <v>#REF!</v>
      </c>
      <c r="AQ715" s="89" t="e">
        <f>#REF!</f>
        <v>#REF!</v>
      </c>
      <c r="AR715" s="89" t="e">
        <f>#REF!</f>
        <v>#REF!</v>
      </c>
      <c r="AS715" s="89" t="e">
        <f>#REF!</f>
        <v>#REF!</v>
      </c>
      <c r="AT715" s="89" t="e">
        <f>#REF!</f>
        <v>#REF!</v>
      </c>
      <c r="AU715" s="89" t="e">
        <f>#REF!</f>
        <v>#REF!</v>
      </c>
      <c r="AV715" s="89" t="e">
        <f>#REF!</f>
        <v>#REF!</v>
      </c>
      <c r="AW715" s="89" t="e">
        <f>#REF!</f>
        <v>#REF!</v>
      </c>
      <c r="AX715" s="89" t="e">
        <f>#REF!</f>
        <v>#REF!</v>
      </c>
      <c r="AY715" s="89" t="e">
        <f>#REF!</f>
        <v>#REF!</v>
      </c>
      <c r="AZ715" s="89" t="e">
        <f>#REF!</f>
        <v>#REF!</v>
      </c>
      <c r="BA715" s="89" t="e">
        <f>#REF!</f>
        <v>#REF!</v>
      </c>
      <c r="BB715" s="89" t="e">
        <f>#REF!</f>
        <v>#REF!</v>
      </c>
      <c r="BC715" s="89" t="e">
        <f>#REF!</f>
        <v>#REF!</v>
      </c>
      <c r="BD715" s="89" t="e">
        <f>#REF!</f>
        <v>#REF!</v>
      </c>
      <c r="BE715" s="89" t="e">
        <f>#REF!</f>
        <v>#REF!</v>
      </c>
      <c r="BF715" s="89" t="e">
        <f>#REF!</f>
        <v>#REF!</v>
      </c>
    </row>
    <row r="716" spans="9:58" x14ac:dyDescent="0.25">
      <c r="I716" s="89">
        <f>ABCD!J765</f>
        <v>178</v>
      </c>
      <c r="J716" s="89">
        <f>ABCD!K765</f>
        <v>583.83999999999992</v>
      </c>
      <c r="K716" s="89">
        <f>ABCD!L765</f>
        <v>-4.669415890940698</v>
      </c>
      <c r="L716" s="89">
        <f>ABCD!M765</f>
        <v>-0.83084735496635209</v>
      </c>
      <c r="M716" s="89">
        <f>ABCD!N765</f>
        <v>4.7427578569671986</v>
      </c>
      <c r="N716" s="89" t="e">
        <v>#REF!</v>
      </c>
      <c r="O716" s="89" t="e">
        <v>#REF!</v>
      </c>
      <c r="P716" s="89" t="e">
        <v>#REF!</v>
      </c>
      <c r="Q716" s="89" t="e">
        <v>#REF!</v>
      </c>
      <c r="R716" s="89" t="e">
        <v>#REF!</v>
      </c>
      <c r="S716" s="89" t="e">
        <f>#REF!</f>
        <v>#REF!</v>
      </c>
      <c r="T716" s="89" t="e">
        <f>#REF!</f>
        <v>#REF!</v>
      </c>
      <c r="U716" s="89" t="e">
        <f>#REF!</f>
        <v>#REF!</v>
      </c>
      <c r="V716" s="89" t="e">
        <f>#REF!</f>
        <v>#REF!</v>
      </c>
      <c r="W716" s="89" t="e">
        <f>#REF!</f>
        <v>#REF!</v>
      </c>
      <c r="X716" s="89" t="e">
        <f>#REF!</f>
        <v>#REF!</v>
      </c>
      <c r="Y716" s="89" t="e">
        <f>#REF!</f>
        <v>#REF!</v>
      </c>
      <c r="Z716" s="89" t="e">
        <f>#REF!</f>
        <v>#REF!</v>
      </c>
      <c r="AA716" s="89" t="e">
        <f>#REF!</f>
        <v>#REF!</v>
      </c>
      <c r="AB716" s="89" t="e">
        <f>#REF!</f>
        <v>#REF!</v>
      </c>
      <c r="AC716" s="89" t="e">
        <f>#REF!</f>
        <v>#REF!</v>
      </c>
      <c r="AD716" s="89" t="e">
        <f>#REF!</f>
        <v>#REF!</v>
      </c>
      <c r="AE716" s="89" t="e">
        <f>#REF!</f>
        <v>#REF!</v>
      </c>
      <c r="AF716" s="89" t="e">
        <f>#REF!</f>
        <v>#REF!</v>
      </c>
      <c r="AG716" s="89" t="e">
        <f>#REF!</f>
        <v>#REF!</v>
      </c>
      <c r="AH716" s="89" t="e">
        <f>#REF!</f>
        <v>#REF!</v>
      </c>
      <c r="AI716" s="89" t="e">
        <f>#REF!</f>
        <v>#REF!</v>
      </c>
      <c r="AJ716" s="89" t="e">
        <f>#REF!</f>
        <v>#REF!</v>
      </c>
      <c r="AK716" s="89" t="e">
        <f>#REF!</f>
        <v>#REF!</v>
      </c>
      <c r="AL716" s="89" t="e">
        <f>#REF!</f>
        <v>#REF!</v>
      </c>
      <c r="AM716" s="89" t="e">
        <f>#REF!</f>
        <v>#REF!</v>
      </c>
      <c r="AN716" s="89" t="e">
        <f>#REF!</f>
        <v>#REF!</v>
      </c>
      <c r="AO716" s="89" t="e">
        <f>#REF!</f>
        <v>#REF!</v>
      </c>
      <c r="AP716" s="89" t="e">
        <f>#REF!</f>
        <v>#REF!</v>
      </c>
      <c r="AQ716" s="89" t="e">
        <f>#REF!</f>
        <v>#REF!</v>
      </c>
      <c r="AR716" s="89" t="e">
        <f>#REF!</f>
        <v>#REF!</v>
      </c>
      <c r="AS716" s="89" t="e">
        <f>#REF!</f>
        <v>#REF!</v>
      </c>
      <c r="AT716" s="89" t="e">
        <f>#REF!</f>
        <v>#REF!</v>
      </c>
      <c r="AU716" s="89" t="e">
        <f>#REF!</f>
        <v>#REF!</v>
      </c>
      <c r="AV716" s="89" t="e">
        <f>#REF!</f>
        <v>#REF!</v>
      </c>
      <c r="AW716" s="89" t="e">
        <f>#REF!</f>
        <v>#REF!</v>
      </c>
      <c r="AX716" s="89" t="e">
        <f>#REF!</f>
        <v>#REF!</v>
      </c>
      <c r="AY716" s="89" t="e">
        <f>#REF!</f>
        <v>#REF!</v>
      </c>
      <c r="AZ716" s="89" t="e">
        <f>#REF!</f>
        <v>#REF!</v>
      </c>
      <c r="BA716" s="89" t="e">
        <f>#REF!</f>
        <v>#REF!</v>
      </c>
      <c r="BB716" s="89" t="e">
        <f>#REF!</f>
        <v>#REF!</v>
      </c>
      <c r="BC716" s="89" t="e">
        <f>#REF!</f>
        <v>#REF!</v>
      </c>
      <c r="BD716" s="89" t="e">
        <f>#REF!</f>
        <v>#REF!</v>
      </c>
      <c r="BE716" s="89" t="e">
        <f>#REF!</f>
        <v>#REF!</v>
      </c>
      <c r="BF716" s="89" t="e">
        <f>#REF!</f>
        <v>#REF!</v>
      </c>
    </row>
    <row r="717" spans="9:58" x14ac:dyDescent="0.25">
      <c r="I717" s="89">
        <f>ABCD!J766</f>
        <v>178.25</v>
      </c>
      <c r="J717" s="89">
        <f>ABCD!K766</f>
        <v>584.66</v>
      </c>
      <c r="K717" s="89">
        <f>ABCD!L766</f>
        <v>-4.6981471846462197</v>
      </c>
      <c r="L717" s="89">
        <f>ABCD!M766</f>
        <v>-0.83673918033760564</v>
      </c>
      <c r="M717" s="89">
        <f>ABCD!N766</f>
        <v>4.7720770555923808</v>
      </c>
      <c r="N717" s="89" t="e">
        <v>#REF!</v>
      </c>
      <c r="O717" s="89" t="e">
        <v>#REF!</v>
      </c>
      <c r="P717" s="89" t="e">
        <v>#REF!</v>
      </c>
      <c r="Q717" s="89" t="e">
        <v>#REF!</v>
      </c>
      <c r="R717" s="89" t="e">
        <v>#REF!</v>
      </c>
      <c r="S717" s="89" t="e">
        <f>#REF!</f>
        <v>#REF!</v>
      </c>
      <c r="T717" s="89" t="e">
        <f>#REF!</f>
        <v>#REF!</v>
      </c>
      <c r="U717" s="89" t="e">
        <f>#REF!</f>
        <v>#REF!</v>
      </c>
      <c r="V717" s="89" t="e">
        <f>#REF!</f>
        <v>#REF!</v>
      </c>
      <c r="W717" s="89" t="e">
        <f>#REF!</f>
        <v>#REF!</v>
      </c>
      <c r="X717" s="89" t="e">
        <f>#REF!</f>
        <v>#REF!</v>
      </c>
      <c r="Y717" s="89" t="e">
        <f>#REF!</f>
        <v>#REF!</v>
      </c>
      <c r="Z717" s="89" t="e">
        <f>#REF!</f>
        <v>#REF!</v>
      </c>
      <c r="AA717" s="89" t="e">
        <f>#REF!</f>
        <v>#REF!</v>
      </c>
      <c r="AB717" s="89" t="e">
        <f>#REF!</f>
        <v>#REF!</v>
      </c>
      <c r="AC717" s="89" t="e">
        <f>#REF!</f>
        <v>#REF!</v>
      </c>
      <c r="AD717" s="89" t="e">
        <f>#REF!</f>
        <v>#REF!</v>
      </c>
      <c r="AE717" s="89" t="e">
        <f>#REF!</f>
        <v>#REF!</v>
      </c>
      <c r="AF717" s="89" t="e">
        <f>#REF!</f>
        <v>#REF!</v>
      </c>
      <c r="AG717" s="89" t="e">
        <f>#REF!</f>
        <v>#REF!</v>
      </c>
      <c r="AH717" s="89" t="e">
        <f>#REF!</f>
        <v>#REF!</v>
      </c>
      <c r="AI717" s="89" t="e">
        <f>#REF!</f>
        <v>#REF!</v>
      </c>
      <c r="AJ717" s="89" t="e">
        <f>#REF!</f>
        <v>#REF!</v>
      </c>
      <c r="AK717" s="89" t="e">
        <f>#REF!</f>
        <v>#REF!</v>
      </c>
      <c r="AL717" s="89" t="e">
        <f>#REF!</f>
        <v>#REF!</v>
      </c>
      <c r="AM717" s="89" t="e">
        <f>#REF!</f>
        <v>#REF!</v>
      </c>
      <c r="AN717" s="89" t="e">
        <f>#REF!</f>
        <v>#REF!</v>
      </c>
      <c r="AO717" s="89" t="e">
        <f>#REF!</f>
        <v>#REF!</v>
      </c>
      <c r="AP717" s="89" t="e">
        <f>#REF!</f>
        <v>#REF!</v>
      </c>
      <c r="AQ717" s="89" t="e">
        <f>#REF!</f>
        <v>#REF!</v>
      </c>
      <c r="AR717" s="89" t="e">
        <f>#REF!</f>
        <v>#REF!</v>
      </c>
      <c r="AS717" s="89" t="e">
        <f>#REF!</f>
        <v>#REF!</v>
      </c>
      <c r="AT717" s="89" t="e">
        <f>#REF!</f>
        <v>#REF!</v>
      </c>
      <c r="AU717" s="89" t="e">
        <f>#REF!</f>
        <v>#REF!</v>
      </c>
      <c r="AV717" s="89" t="e">
        <f>#REF!</f>
        <v>#REF!</v>
      </c>
      <c r="AW717" s="89" t="e">
        <f>#REF!</f>
        <v>#REF!</v>
      </c>
      <c r="AX717" s="89" t="e">
        <f>#REF!</f>
        <v>#REF!</v>
      </c>
      <c r="AY717" s="89" t="e">
        <f>#REF!</f>
        <v>#REF!</v>
      </c>
      <c r="AZ717" s="89" t="e">
        <f>#REF!</f>
        <v>#REF!</v>
      </c>
      <c r="BA717" s="89" t="e">
        <f>#REF!</f>
        <v>#REF!</v>
      </c>
      <c r="BB717" s="89" t="e">
        <f>#REF!</f>
        <v>#REF!</v>
      </c>
      <c r="BC717" s="89" t="e">
        <f>#REF!</f>
        <v>#REF!</v>
      </c>
      <c r="BD717" s="89" t="e">
        <f>#REF!</f>
        <v>#REF!</v>
      </c>
      <c r="BE717" s="89" t="e">
        <f>#REF!</f>
        <v>#REF!</v>
      </c>
      <c r="BF717" s="89" t="e">
        <f>#REF!</f>
        <v>#REF!</v>
      </c>
    </row>
    <row r="718" spans="9:58" x14ac:dyDescent="0.25">
      <c r="I718" s="89">
        <f>ABCD!J767</f>
        <v>178.5</v>
      </c>
      <c r="J718" s="89">
        <f>ABCD!K767</f>
        <v>585.48</v>
      </c>
      <c r="K718" s="89">
        <f>ABCD!L767</f>
        <v>-4.7257681064705626</v>
      </c>
      <c r="L718" s="89">
        <f>ABCD!M767</f>
        <v>-0.8424325516790957</v>
      </c>
      <c r="M718" s="89">
        <f>ABCD!N767</f>
        <v>4.8002684091895231</v>
      </c>
      <c r="N718" s="89" t="e">
        <v>#REF!</v>
      </c>
      <c r="O718" s="89" t="e">
        <v>#REF!</v>
      </c>
      <c r="P718" s="89" t="e">
        <v>#REF!</v>
      </c>
      <c r="Q718" s="89" t="e">
        <v>#REF!</v>
      </c>
      <c r="R718" s="89" t="e">
        <v>#REF!</v>
      </c>
      <c r="S718" s="89" t="e">
        <f>#REF!</f>
        <v>#REF!</v>
      </c>
      <c r="T718" s="89" t="e">
        <f>#REF!</f>
        <v>#REF!</v>
      </c>
      <c r="U718" s="89" t="e">
        <f>#REF!</f>
        <v>#REF!</v>
      </c>
      <c r="V718" s="89" t="e">
        <f>#REF!</f>
        <v>#REF!</v>
      </c>
      <c r="W718" s="89" t="e">
        <f>#REF!</f>
        <v>#REF!</v>
      </c>
      <c r="X718" s="89" t="e">
        <f>#REF!</f>
        <v>#REF!</v>
      </c>
      <c r="Y718" s="89" t="e">
        <f>#REF!</f>
        <v>#REF!</v>
      </c>
      <c r="Z718" s="89" t="e">
        <f>#REF!</f>
        <v>#REF!</v>
      </c>
      <c r="AA718" s="89" t="e">
        <f>#REF!</f>
        <v>#REF!</v>
      </c>
      <c r="AB718" s="89" t="e">
        <f>#REF!</f>
        <v>#REF!</v>
      </c>
      <c r="AC718" s="89" t="e">
        <f>#REF!</f>
        <v>#REF!</v>
      </c>
      <c r="AD718" s="89" t="e">
        <f>#REF!</f>
        <v>#REF!</v>
      </c>
      <c r="AE718" s="89" t="e">
        <f>#REF!</f>
        <v>#REF!</v>
      </c>
      <c r="AF718" s="89" t="e">
        <f>#REF!</f>
        <v>#REF!</v>
      </c>
      <c r="AG718" s="89" t="e">
        <f>#REF!</f>
        <v>#REF!</v>
      </c>
      <c r="AH718" s="89" t="e">
        <f>#REF!</f>
        <v>#REF!</v>
      </c>
      <c r="AI718" s="89" t="e">
        <f>#REF!</f>
        <v>#REF!</v>
      </c>
      <c r="AJ718" s="89" t="e">
        <f>#REF!</f>
        <v>#REF!</v>
      </c>
      <c r="AK718" s="89" t="e">
        <f>#REF!</f>
        <v>#REF!</v>
      </c>
      <c r="AL718" s="89" t="e">
        <f>#REF!</f>
        <v>#REF!</v>
      </c>
      <c r="AM718" s="89" t="e">
        <f>#REF!</f>
        <v>#REF!</v>
      </c>
      <c r="AN718" s="89" t="e">
        <f>#REF!</f>
        <v>#REF!</v>
      </c>
      <c r="AO718" s="89" t="e">
        <f>#REF!</f>
        <v>#REF!</v>
      </c>
      <c r="AP718" s="89" t="e">
        <f>#REF!</f>
        <v>#REF!</v>
      </c>
      <c r="AQ718" s="89" t="e">
        <f>#REF!</f>
        <v>#REF!</v>
      </c>
      <c r="AR718" s="89" t="e">
        <f>#REF!</f>
        <v>#REF!</v>
      </c>
      <c r="AS718" s="89" t="e">
        <f>#REF!</f>
        <v>#REF!</v>
      </c>
      <c r="AT718" s="89" t="e">
        <f>#REF!</f>
        <v>#REF!</v>
      </c>
      <c r="AU718" s="89" t="e">
        <f>#REF!</f>
        <v>#REF!</v>
      </c>
      <c r="AV718" s="89" t="e">
        <f>#REF!</f>
        <v>#REF!</v>
      </c>
      <c r="AW718" s="89" t="e">
        <f>#REF!</f>
        <v>#REF!</v>
      </c>
      <c r="AX718" s="89" t="e">
        <f>#REF!</f>
        <v>#REF!</v>
      </c>
      <c r="AY718" s="89" t="e">
        <f>#REF!</f>
        <v>#REF!</v>
      </c>
      <c r="AZ718" s="89" t="e">
        <f>#REF!</f>
        <v>#REF!</v>
      </c>
      <c r="BA718" s="89" t="e">
        <f>#REF!</f>
        <v>#REF!</v>
      </c>
      <c r="BB718" s="89" t="e">
        <f>#REF!</f>
        <v>#REF!</v>
      </c>
      <c r="BC718" s="89" t="e">
        <f>#REF!</f>
        <v>#REF!</v>
      </c>
      <c r="BD718" s="89" t="e">
        <f>#REF!</f>
        <v>#REF!</v>
      </c>
      <c r="BE718" s="89" t="e">
        <f>#REF!</f>
        <v>#REF!</v>
      </c>
      <c r="BF718" s="89" t="e">
        <f>#REF!</f>
        <v>#REF!</v>
      </c>
    </row>
    <row r="719" spans="9:58" x14ac:dyDescent="0.25">
      <c r="I719" s="89">
        <f>ABCD!J768</f>
        <v>178.75</v>
      </c>
      <c r="J719" s="89">
        <f>ABCD!K768</f>
        <v>586.29999999999995</v>
      </c>
      <c r="K719" s="89">
        <f>ABCD!L768</f>
        <v>-4.7522732792555482</v>
      </c>
      <c r="L719" s="89">
        <f>ABCD!M768</f>
        <v>-0.84792633325513522</v>
      </c>
      <c r="M719" s="89">
        <f>ABCD!N768</f>
        <v>4.8273264222915131</v>
      </c>
      <c r="N719" s="89" t="e">
        <v>#REF!</v>
      </c>
      <c r="O719" s="89" t="e">
        <v>#REF!</v>
      </c>
      <c r="P719" s="89" t="e">
        <v>#REF!</v>
      </c>
      <c r="Q719" s="89" t="e">
        <v>#REF!</v>
      </c>
      <c r="R719" s="89" t="e">
        <v>#REF!</v>
      </c>
      <c r="S719" s="89" t="e">
        <f>#REF!</f>
        <v>#REF!</v>
      </c>
      <c r="T719" s="89" t="e">
        <f>#REF!</f>
        <v>#REF!</v>
      </c>
      <c r="U719" s="89" t="e">
        <f>#REF!</f>
        <v>#REF!</v>
      </c>
      <c r="V719" s="89" t="e">
        <f>#REF!</f>
        <v>#REF!</v>
      </c>
      <c r="W719" s="89" t="e">
        <f>#REF!</f>
        <v>#REF!</v>
      </c>
      <c r="X719" s="89" t="e">
        <f>#REF!</f>
        <v>#REF!</v>
      </c>
      <c r="Y719" s="89" t="e">
        <f>#REF!</f>
        <v>#REF!</v>
      </c>
      <c r="Z719" s="89" t="e">
        <f>#REF!</f>
        <v>#REF!</v>
      </c>
      <c r="AA719" s="89" t="e">
        <f>#REF!</f>
        <v>#REF!</v>
      </c>
      <c r="AB719" s="89" t="e">
        <f>#REF!</f>
        <v>#REF!</v>
      </c>
      <c r="AC719" s="89" t="e">
        <f>#REF!</f>
        <v>#REF!</v>
      </c>
      <c r="AD719" s="89" t="e">
        <f>#REF!</f>
        <v>#REF!</v>
      </c>
      <c r="AE719" s="89" t="e">
        <f>#REF!</f>
        <v>#REF!</v>
      </c>
      <c r="AF719" s="89" t="e">
        <f>#REF!</f>
        <v>#REF!</v>
      </c>
      <c r="AG719" s="89" t="e">
        <f>#REF!</f>
        <v>#REF!</v>
      </c>
      <c r="AH719" s="89" t="e">
        <f>#REF!</f>
        <v>#REF!</v>
      </c>
      <c r="AI719" s="89" t="e">
        <f>#REF!</f>
        <v>#REF!</v>
      </c>
      <c r="AJ719" s="89" t="e">
        <f>#REF!</f>
        <v>#REF!</v>
      </c>
      <c r="AK719" s="89" t="e">
        <f>#REF!</f>
        <v>#REF!</v>
      </c>
      <c r="AL719" s="89" t="e">
        <f>#REF!</f>
        <v>#REF!</v>
      </c>
      <c r="AM719" s="89" t="e">
        <f>#REF!</f>
        <v>#REF!</v>
      </c>
      <c r="AN719" s="89" t="e">
        <f>#REF!</f>
        <v>#REF!</v>
      </c>
      <c r="AO719" s="89" t="e">
        <f>#REF!</f>
        <v>#REF!</v>
      </c>
      <c r="AP719" s="89" t="e">
        <f>#REF!</f>
        <v>#REF!</v>
      </c>
      <c r="AQ719" s="89" t="e">
        <f>#REF!</f>
        <v>#REF!</v>
      </c>
      <c r="AR719" s="89" t="e">
        <f>#REF!</f>
        <v>#REF!</v>
      </c>
      <c r="AS719" s="89" t="e">
        <f>#REF!</f>
        <v>#REF!</v>
      </c>
      <c r="AT719" s="89" t="e">
        <f>#REF!</f>
        <v>#REF!</v>
      </c>
      <c r="AU719" s="89" t="e">
        <f>#REF!</f>
        <v>#REF!</v>
      </c>
      <c r="AV719" s="89" t="e">
        <f>#REF!</f>
        <v>#REF!</v>
      </c>
      <c r="AW719" s="89" t="e">
        <f>#REF!</f>
        <v>#REF!</v>
      </c>
      <c r="AX719" s="89" t="e">
        <f>#REF!</f>
        <v>#REF!</v>
      </c>
      <c r="AY719" s="89" t="e">
        <f>#REF!</f>
        <v>#REF!</v>
      </c>
      <c r="AZ719" s="89" t="e">
        <f>#REF!</f>
        <v>#REF!</v>
      </c>
      <c r="BA719" s="89" t="e">
        <f>#REF!</f>
        <v>#REF!</v>
      </c>
      <c r="BB719" s="89" t="e">
        <f>#REF!</f>
        <v>#REF!</v>
      </c>
      <c r="BC719" s="89" t="e">
        <f>#REF!</f>
        <v>#REF!</v>
      </c>
      <c r="BD719" s="89" t="e">
        <f>#REF!</f>
        <v>#REF!</v>
      </c>
      <c r="BE719" s="89" t="e">
        <f>#REF!</f>
        <v>#REF!</v>
      </c>
      <c r="BF719" s="89" t="e">
        <f>#REF!</f>
        <v>#REF!</v>
      </c>
    </row>
    <row r="720" spans="9:58" x14ac:dyDescent="0.25">
      <c r="I720" s="89">
        <f>ABCD!J769</f>
        <v>179</v>
      </c>
      <c r="J720" s="89">
        <f>ABCD!K769</f>
        <v>587.12</v>
      </c>
      <c r="K720" s="89">
        <f>ABCD!L769</f>
        <v>-4.7776575882409809</v>
      </c>
      <c r="L720" s="89">
        <f>ABCD!M769</f>
        <v>-0.85321943642525477</v>
      </c>
      <c r="M720" s="89">
        <f>ABCD!N769</f>
        <v>4.853245866136441</v>
      </c>
      <c r="N720" s="89" t="e">
        <v>#REF!</v>
      </c>
      <c r="O720" s="89" t="e">
        <v>#REF!</v>
      </c>
      <c r="P720" s="89" t="e">
        <v>#REF!</v>
      </c>
      <c r="Q720" s="89" t="e">
        <v>#REF!</v>
      </c>
      <c r="R720" s="89" t="e">
        <v>#REF!</v>
      </c>
      <c r="S720" s="89" t="e">
        <f>#REF!</f>
        <v>#REF!</v>
      </c>
      <c r="T720" s="89" t="e">
        <f>#REF!</f>
        <v>#REF!</v>
      </c>
      <c r="U720" s="89" t="e">
        <f>#REF!</f>
        <v>#REF!</v>
      </c>
      <c r="V720" s="89" t="e">
        <f>#REF!</f>
        <v>#REF!</v>
      </c>
      <c r="W720" s="89" t="e">
        <f>#REF!</f>
        <v>#REF!</v>
      </c>
      <c r="X720" s="89" t="e">
        <f>#REF!</f>
        <v>#REF!</v>
      </c>
      <c r="Y720" s="89" t="e">
        <f>#REF!</f>
        <v>#REF!</v>
      </c>
      <c r="Z720" s="89" t="e">
        <f>#REF!</f>
        <v>#REF!</v>
      </c>
      <c r="AA720" s="89" t="e">
        <f>#REF!</f>
        <v>#REF!</v>
      </c>
      <c r="AB720" s="89" t="e">
        <f>#REF!</f>
        <v>#REF!</v>
      </c>
      <c r="AC720" s="89" t="e">
        <f>#REF!</f>
        <v>#REF!</v>
      </c>
      <c r="AD720" s="89" t="e">
        <f>#REF!</f>
        <v>#REF!</v>
      </c>
      <c r="AE720" s="89" t="e">
        <f>#REF!</f>
        <v>#REF!</v>
      </c>
      <c r="AF720" s="89" t="e">
        <f>#REF!</f>
        <v>#REF!</v>
      </c>
      <c r="AG720" s="89" t="e">
        <f>#REF!</f>
        <v>#REF!</v>
      </c>
      <c r="AH720" s="89" t="e">
        <f>#REF!</f>
        <v>#REF!</v>
      </c>
      <c r="AI720" s="89" t="e">
        <f>#REF!</f>
        <v>#REF!</v>
      </c>
      <c r="AJ720" s="89" t="e">
        <f>#REF!</f>
        <v>#REF!</v>
      </c>
      <c r="AK720" s="89" t="e">
        <f>#REF!</f>
        <v>#REF!</v>
      </c>
      <c r="AL720" s="89" t="e">
        <f>#REF!</f>
        <v>#REF!</v>
      </c>
      <c r="AM720" s="89" t="e">
        <f>#REF!</f>
        <v>#REF!</v>
      </c>
      <c r="AN720" s="89" t="e">
        <f>#REF!</f>
        <v>#REF!</v>
      </c>
      <c r="AO720" s="89" t="e">
        <f>#REF!</f>
        <v>#REF!</v>
      </c>
      <c r="AP720" s="89" t="e">
        <f>#REF!</f>
        <v>#REF!</v>
      </c>
      <c r="AQ720" s="89" t="e">
        <f>#REF!</f>
        <v>#REF!</v>
      </c>
      <c r="AR720" s="89" t="e">
        <f>#REF!</f>
        <v>#REF!</v>
      </c>
      <c r="AS720" s="89" t="e">
        <f>#REF!</f>
        <v>#REF!</v>
      </c>
      <c r="AT720" s="89" t="e">
        <f>#REF!</f>
        <v>#REF!</v>
      </c>
      <c r="AU720" s="89" t="e">
        <f>#REF!</f>
        <v>#REF!</v>
      </c>
      <c r="AV720" s="89" t="e">
        <f>#REF!</f>
        <v>#REF!</v>
      </c>
      <c r="AW720" s="89" t="e">
        <f>#REF!</f>
        <v>#REF!</v>
      </c>
      <c r="AX720" s="89" t="e">
        <f>#REF!</f>
        <v>#REF!</v>
      </c>
      <c r="AY720" s="89" t="e">
        <f>#REF!</f>
        <v>#REF!</v>
      </c>
      <c r="AZ720" s="89" t="e">
        <f>#REF!</f>
        <v>#REF!</v>
      </c>
      <c r="BA720" s="89" t="e">
        <f>#REF!</f>
        <v>#REF!</v>
      </c>
      <c r="BB720" s="89" t="e">
        <f>#REF!</f>
        <v>#REF!</v>
      </c>
      <c r="BC720" s="89" t="e">
        <f>#REF!</f>
        <v>#REF!</v>
      </c>
      <c r="BD720" s="89" t="e">
        <f>#REF!</f>
        <v>#REF!</v>
      </c>
      <c r="BE720" s="89" t="e">
        <f>#REF!</f>
        <v>#REF!</v>
      </c>
      <c r="BF720" s="89" t="e">
        <f>#REF!</f>
        <v>#REF!</v>
      </c>
    </row>
    <row r="721" spans="9:58" x14ac:dyDescent="0.25">
      <c r="I721" s="89">
        <f>ABCD!J770</f>
        <v>179.25</v>
      </c>
      <c r="J721" s="89">
        <f>ABCD!K770</f>
        <v>587.93999999999994</v>
      </c>
      <c r="K721" s="89">
        <f>ABCD!L770</f>
        <v>-4.8019161820092737</v>
      </c>
      <c r="L721" s="89">
        <f>ABCD!M770</f>
        <v>-0.85831081985314484</v>
      </c>
      <c r="M721" s="89">
        <f>ABCD!N770</f>
        <v>4.8780217796274243</v>
      </c>
      <c r="N721" s="89" t="e">
        <v>#REF!</v>
      </c>
      <c r="O721" s="89" t="e">
        <v>#REF!</v>
      </c>
      <c r="P721" s="89" t="e">
        <v>#REF!</v>
      </c>
      <c r="Q721" s="89" t="e">
        <v>#REF!</v>
      </c>
      <c r="R721" s="89" t="e">
        <v>#REF!</v>
      </c>
      <c r="S721" s="89" t="e">
        <f>#REF!</f>
        <v>#REF!</v>
      </c>
      <c r="T721" s="89" t="e">
        <f>#REF!</f>
        <v>#REF!</v>
      </c>
      <c r="U721" s="89" t="e">
        <f>#REF!</f>
        <v>#REF!</v>
      </c>
      <c r="V721" s="89" t="e">
        <f>#REF!</f>
        <v>#REF!</v>
      </c>
      <c r="W721" s="89" t="e">
        <f>#REF!</f>
        <v>#REF!</v>
      </c>
      <c r="X721" s="89" t="e">
        <f>#REF!</f>
        <v>#REF!</v>
      </c>
      <c r="Y721" s="89" t="e">
        <f>#REF!</f>
        <v>#REF!</v>
      </c>
      <c r="Z721" s="89" t="e">
        <f>#REF!</f>
        <v>#REF!</v>
      </c>
      <c r="AA721" s="89" t="e">
        <f>#REF!</f>
        <v>#REF!</v>
      </c>
      <c r="AB721" s="89" t="e">
        <f>#REF!</f>
        <v>#REF!</v>
      </c>
      <c r="AC721" s="89" t="e">
        <f>#REF!</f>
        <v>#REF!</v>
      </c>
      <c r="AD721" s="89" t="e">
        <f>#REF!</f>
        <v>#REF!</v>
      </c>
      <c r="AE721" s="89" t="e">
        <f>#REF!</f>
        <v>#REF!</v>
      </c>
      <c r="AF721" s="89" t="e">
        <f>#REF!</f>
        <v>#REF!</v>
      </c>
      <c r="AG721" s="89" t="e">
        <f>#REF!</f>
        <v>#REF!</v>
      </c>
      <c r="AH721" s="89" t="e">
        <f>#REF!</f>
        <v>#REF!</v>
      </c>
      <c r="AI721" s="89" t="e">
        <f>#REF!</f>
        <v>#REF!</v>
      </c>
      <c r="AJ721" s="89" t="e">
        <f>#REF!</f>
        <v>#REF!</v>
      </c>
      <c r="AK721" s="89" t="e">
        <f>#REF!</f>
        <v>#REF!</v>
      </c>
      <c r="AL721" s="89" t="e">
        <f>#REF!</f>
        <v>#REF!</v>
      </c>
      <c r="AM721" s="89" t="e">
        <f>#REF!</f>
        <v>#REF!</v>
      </c>
      <c r="AN721" s="89" t="e">
        <f>#REF!</f>
        <v>#REF!</v>
      </c>
      <c r="AO721" s="89" t="e">
        <f>#REF!</f>
        <v>#REF!</v>
      </c>
      <c r="AP721" s="89" t="e">
        <f>#REF!</f>
        <v>#REF!</v>
      </c>
      <c r="AQ721" s="89" t="e">
        <f>#REF!</f>
        <v>#REF!</v>
      </c>
      <c r="AR721" s="89" t="e">
        <f>#REF!</f>
        <v>#REF!</v>
      </c>
      <c r="AS721" s="89" t="e">
        <f>#REF!</f>
        <v>#REF!</v>
      </c>
      <c r="AT721" s="89" t="e">
        <f>#REF!</f>
        <v>#REF!</v>
      </c>
      <c r="AU721" s="89" t="e">
        <f>#REF!</f>
        <v>#REF!</v>
      </c>
      <c r="AV721" s="89" t="e">
        <f>#REF!</f>
        <v>#REF!</v>
      </c>
      <c r="AW721" s="89" t="e">
        <f>#REF!</f>
        <v>#REF!</v>
      </c>
      <c r="AX721" s="89" t="e">
        <f>#REF!</f>
        <v>#REF!</v>
      </c>
      <c r="AY721" s="89" t="e">
        <f>#REF!</f>
        <v>#REF!</v>
      </c>
      <c r="AZ721" s="89" t="e">
        <f>#REF!</f>
        <v>#REF!</v>
      </c>
      <c r="BA721" s="89" t="e">
        <f>#REF!</f>
        <v>#REF!</v>
      </c>
      <c r="BB721" s="89" t="e">
        <f>#REF!</f>
        <v>#REF!</v>
      </c>
      <c r="BC721" s="89" t="e">
        <f>#REF!</f>
        <v>#REF!</v>
      </c>
      <c r="BD721" s="89" t="e">
        <f>#REF!</f>
        <v>#REF!</v>
      </c>
      <c r="BE721" s="89" t="e">
        <f>#REF!</f>
        <v>#REF!</v>
      </c>
      <c r="BF721" s="89" t="e">
        <f>#REF!</f>
        <v>#REF!</v>
      </c>
    </row>
    <row r="722" spans="9:58" x14ac:dyDescent="0.25">
      <c r="I722" s="89">
        <f>ABCD!J771</f>
        <v>179.5</v>
      </c>
      <c r="J722" s="89">
        <f>ABCD!K771</f>
        <v>588.76</v>
      </c>
      <c r="K722" s="89">
        <f>ABCD!L771</f>
        <v>-4.8250444733684636</v>
      </c>
      <c r="L722" s="89">
        <f>ABCD!M771</f>
        <v>-0.86319948970446558</v>
      </c>
      <c r="M722" s="89">
        <f>ABCD!N771</f>
        <v>4.9016494702303639</v>
      </c>
      <c r="N722" s="89" t="e">
        <v>#REF!</v>
      </c>
      <c r="O722" s="89" t="e">
        <v>#REF!</v>
      </c>
      <c r="P722" s="89" t="e">
        <v>#REF!</v>
      </c>
      <c r="Q722" s="89" t="e">
        <v>#REF!</v>
      </c>
      <c r="R722" s="89" t="e">
        <v>#REF!</v>
      </c>
      <c r="S722" s="89" t="e">
        <f>#REF!</f>
        <v>#REF!</v>
      </c>
      <c r="T722" s="89" t="e">
        <f>#REF!</f>
        <v>#REF!</v>
      </c>
      <c r="U722" s="89" t="e">
        <f>#REF!</f>
        <v>#REF!</v>
      </c>
      <c r="V722" s="89" t="e">
        <f>#REF!</f>
        <v>#REF!</v>
      </c>
      <c r="W722" s="89" t="e">
        <f>#REF!</f>
        <v>#REF!</v>
      </c>
      <c r="X722" s="89" t="e">
        <f>#REF!</f>
        <v>#REF!</v>
      </c>
      <c r="Y722" s="89" t="e">
        <f>#REF!</f>
        <v>#REF!</v>
      </c>
      <c r="Z722" s="89" t="e">
        <f>#REF!</f>
        <v>#REF!</v>
      </c>
      <c r="AA722" s="89" t="e">
        <f>#REF!</f>
        <v>#REF!</v>
      </c>
      <c r="AB722" s="89" t="e">
        <f>#REF!</f>
        <v>#REF!</v>
      </c>
      <c r="AC722" s="89" t="e">
        <f>#REF!</f>
        <v>#REF!</v>
      </c>
      <c r="AD722" s="89" t="e">
        <f>#REF!</f>
        <v>#REF!</v>
      </c>
      <c r="AE722" s="89" t="e">
        <f>#REF!</f>
        <v>#REF!</v>
      </c>
      <c r="AF722" s="89" t="e">
        <f>#REF!</f>
        <v>#REF!</v>
      </c>
      <c r="AG722" s="89" t="e">
        <f>#REF!</f>
        <v>#REF!</v>
      </c>
      <c r="AH722" s="89" t="e">
        <f>#REF!</f>
        <v>#REF!</v>
      </c>
      <c r="AI722" s="89" t="e">
        <f>#REF!</f>
        <v>#REF!</v>
      </c>
      <c r="AJ722" s="89" t="e">
        <f>#REF!</f>
        <v>#REF!</v>
      </c>
      <c r="AK722" s="89" t="e">
        <f>#REF!</f>
        <v>#REF!</v>
      </c>
      <c r="AL722" s="89" t="e">
        <f>#REF!</f>
        <v>#REF!</v>
      </c>
      <c r="AM722" s="89" t="e">
        <f>#REF!</f>
        <v>#REF!</v>
      </c>
      <c r="AN722" s="89" t="e">
        <f>#REF!</f>
        <v>#REF!</v>
      </c>
      <c r="AO722" s="89" t="e">
        <f>#REF!</f>
        <v>#REF!</v>
      </c>
      <c r="AP722" s="89" t="e">
        <f>#REF!</f>
        <v>#REF!</v>
      </c>
      <c r="AQ722" s="89" t="e">
        <f>#REF!</f>
        <v>#REF!</v>
      </c>
      <c r="AR722" s="89" t="e">
        <f>#REF!</f>
        <v>#REF!</v>
      </c>
      <c r="AS722" s="89" t="e">
        <f>#REF!</f>
        <v>#REF!</v>
      </c>
      <c r="AT722" s="89" t="e">
        <f>#REF!</f>
        <v>#REF!</v>
      </c>
      <c r="AU722" s="89" t="e">
        <f>#REF!</f>
        <v>#REF!</v>
      </c>
      <c r="AV722" s="89" t="e">
        <f>#REF!</f>
        <v>#REF!</v>
      </c>
      <c r="AW722" s="89" t="e">
        <f>#REF!</f>
        <v>#REF!</v>
      </c>
      <c r="AX722" s="89" t="e">
        <f>#REF!</f>
        <v>#REF!</v>
      </c>
      <c r="AY722" s="89" t="e">
        <f>#REF!</f>
        <v>#REF!</v>
      </c>
      <c r="AZ722" s="89" t="e">
        <f>#REF!</f>
        <v>#REF!</v>
      </c>
      <c r="BA722" s="89" t="e">
        <f>#REF!</f>
        <v>#REF!</v>
      </c>
      <c r="BB722" s="89" t="e">
        <f>#REF!</f>
        <v>#REF!</v>
      </c>
      <c r="BC722" s="89" t="e">
        <f>#REF!</f>
        <v>#REF!</v>
      </c>
      <c r="BD722" s="89" t="e">
        <f>#REF!</f>
        <v>#REF!</v>
      </c>
      <c r="BE722" s="89" t="e">
        <f>#REF!</f>
        <v>#REF!</v>
      </c>
      <c r="BF722" s="89" t="e">
        <f>#REF!</f>
        <v>#REF!</v>
      </c>
    </row>
    <row r="723" spans="9:58" x14ac:dyDescent="0.25">
      <c r="I723" s="89">
        <f>ABCD!J772</f>
        <v>179.75</v>
      </c>
      <c r="J723" s="89">
        <f>ABCD!K772</f>
        <v>589.57999999999993</v>
      </c>
      <c r="K723" s="89">
        <f>ABCD!L772</f>
        <v>-4.8470381401734297</v>
      </c>
      <c r="L723" s="89">
        <f>ABCD!M772</f>
        <v>-0.86788449983355931</v>
      </c>
      <c r="M723" s="89">
        <f>ABCD!N772</f>
        <v>4.924124514809435</v>
      </c>
      <c r="N723" s="89" t="e">
        <v>#REF!</v>
      </c>
      <c r="O723" s="89" t="e">
        <v>#REF!</v>
      </c>
      <c r="P723" s="89" t="e">
        <v>#REF!</v>
      </c>
      <c r="Q723" s="89" t="e">
        <v>#REF!</v>
      </c>
      <c r="R723" s="89" t="e">
        <v>#REF!</v>
      </c>
      <c r="S723" s="89" t="e">
        <f>#REF!</f>
        <v>#REF!</v>
      </c>
      <c r="T723" s="89" t="e">
        <f>#REF!</f>
        <v>#REF!</v>
      </c>
      <c r="U723" s="89" t="e">
        <f>#REF!</f>
        <v>#REF!</v>
      </c>
      <c r="V723" s="89" t="e">
        <f>#REF!</f>
        <v>#REF!</v>
      </c>
      <c r="W723" s="89" t="e">
        <f>#REF!</f>
        <v>#REF!</v>
      </c>
      <c r="X723" s="89" t="e">
        <f>#REF!</f>
        <v>#REF!</v>
      </c>
      <c r="Y723" s="89" t="e">
        <f>#REF!</f>
        <v>#REF!</v>
      </c>
      <c r="Z723" s="89" t="e">
        <f>#REF!</f>
        <v>#REF!</v>
      </c>
      <c r="AA723" s="89" t="e">
        <f>#REF!</f>
        <v>#REF!</v>
      </c>
      <c r="AB723" s="89" t="e">
        <f>#REF!</f>
        <v>#REF!</v>
      </c>
      <c r="AC723" s="89" t="e">
        <f>#REF!</f>
        <v>#REF!</v>
      </c>
      <c r="AD723" s="89" t="e">
        <f>#REF!</f>
        <v>#REF!</v>
      </c>
      <c r="AE723" s="89" t="e">
        <f>#REF!</f>
        <v>#REF!</v>
      </c>
      <c r="AF723" s="89" t="e">
        <f>#REF!</f>
        <v>#REF!</v>
      </c>
      <c r="AG723" s="89" t="e">
        <f>#REF!</f>
        <v>#REF!</v>
      </c>
      <c r="AH723" s="89" t="e">
        <f>#REF!</f>
        <v>#REF!</v>
      </c>
      <c r="AI723" s="89" t="e">
        <f>#REF!</f>
        <v>#REF!</v>
      </c>
      <c r="AJ723" s="89" t="e">
        <f>#REF!</f>
        <v>#REF!</v>
      </c>
      <c r="AK723" s="89" t="e">
        <f>#REF!</f>
        <v>#REF!</v>
      </c>
      <c r="AL723" s="89" t="e">
        <f>#REF!</f>
        <v>#REF!</v>
      </c>
      <c r="AM723" s="89" t="e">
        <f>#REF!</f>
        <v>#REF!</v>
      </c>
      <c r="AN723" s="89" t="e">
        <f>#REF!</f>
        <v>#REF!</v>
      </c>
      <c r="AO723" s="89" t="e">
        <f>#REF!</f>
        <v>#REF!</v>
      </c>
      <c r="AP723" s="89" t="e">
        <f>#REF!</f>
        <v>#REF!</v>
      </c>
      <c r="AQ723" s="89" t="e">
        <f>#REF!</f>
        <v>#REF!</v>
      </c>
      <c r="AR723" s="89" t="e">
        <f>#REF!</f>
        <v>#REF!</v>
      </c>
      <c r="AS723" s="89" t="e">
        <f>#REF!</f>
        <v>#REF!</v>
      </c>
      <c r="AT723" s="89" t="e">
        <f>#REF!</f>
        <v>#REF!</v>
      </c>
      <c r="AU723" s="89" t="e">
        <f>#REF!</f>
        <v>#REF!</v>
      </c>
      <c r="AV723" s="89" t="e">
        <f>#REF!</f>
        <v>#REF!</v>
      </c>
      <c r="AW723" s="89" t="e">
        <f>#REF!</f>
        <v>#REF!</v>
      </c>
      <c r="AX723" s="89" t="e">
        <f>#REF!</f>
        <v>#REF!</v>
      </c>
      <c r="AY723" s="89" t="e">
        <f>#REF!</f>
        <v>#REF!</v>
      </c>
      <c r="AZ723" s="89" t="e">
        <f>#REF!</f>
        <v>#REF!</v>
      </c>
      <c r="BA723" s="89" t="e">
        <f>#REF!</f>
        <v>#REF!</v>
      </c>
      <c r="BB723" s="89" t="e">
        <f>#REF!</f>
        <v>#REF!</v>
      </c>
      <c r="BC723" s="89" t="e">
        <f>#REF!</f>
        <v>#REF!</v>
      </c>
      <c r="BD723" s="89" t="e">
        <f>#REF!</f>
        <v>#REF!</v>
      </c>
      <c r="BE723" s="89" t="e">
        <f>#REF!</f>
        <v>#REF!</v>
      </c>
      <c r="BF723" s="89" t="e">
        <f>#REF!</f>
        <v>#REF!</v>
      </c>
    </row>
    <row r="724" spans="9:58" x14ac:dyDescent="0.25">
      <c r="I724" s="89">
        <f>ABCD!J773</f>
        <v>180</v>
      </c>
      <c r="J724" s="89">
        <f>ABCD!K773</f>
        <v>590.4</v>
      </c>
      <c r="K724" s="89">
        <f>ABCD!L773</f>
        <v>-4.8678931260851837</v>
      </c>
      <c r="L724" s="89">
        <f>ABCD!M773</f>
        <v>-0.8723649519589417</v>
      </c>
      <c r="M724" s="89">
        <f>ABCD!N773</f>
        <v>4.9454427604000948</v>
      </c>
      <c r="N724" s="89" t="e">
        <v>#REF!</v>
      </c>
      <c r="O724" s="89" t="e">
        <v>#REF!</v>
      </c>
      <c r="P724" s="89" t="e">
        <v>#REF!</v>
      </c>
      <c r="Q724" s="89" t="e">
        <v>#REF!</v>
      </c>
      <c r="R724" s="89" t="e">
        <v>#REF!</v>
      </c>
      <c r="S724" s="89" t="e">
        <f>#REF!</f>
        <v>#REF!</v>
      </c>
      <c r="T724" s="89" t="e">
        <f>#REF!</f>
        <v>#REF!</v>
      </c>
      <c r="U724" s="89" t="e">
        <f>#REF!</f>
        <v>#REF!</v>
      </c>
      <c r="V724" s="89" t="e">
        <f>#REF!</f>
        <v>#REF!</v>
      </c>
      <c r="W724" s="89" t="e">
        <f>#REF!</f>
        <v>#REF!</v>
      </c>
      <c r="X724" s="89" t="e">
        <f>#REF!</f>
        <v>#REF!</v>
      </c>
      <c r="Y724" s="89" t="e">
        <f>#REF!</f>
        <v>#REF!</v>
      </c>
      <c r="Z724" s="89" t="e">
        <f>#REF!</f>
        <v>#REF!</v>
      </c>
      <c r="AA724" s="89" t="e">
        <f>#REF!</f>
        <v>#REF!</v>
      </c>
      <c r="AB724" s="89" t="e">
        <f>#REF!</f>
        <v>#REF!</v>
      </c>
      <c r="AC724" s="89" t="e">
        <f>#REF!</f>
        <v>#REF!</v>
      </c>
      <c r="AD724" s="89" t="e">
        <f>#REF!</f>
        <v>#REF!</v>
      </c>
      <c r="AE724" s="89" t="e">
        <f>#REF!</f>
        <v>#REF!</v>
      </c>
      <c r="AF724" s="89" t="e">
        <f>#REF!</f>
        <v>#REF!</v>
      </c>
      <c r="AG724" s="89" t="e">
        <f>#REF!</f>
        <v>#REF!</v>
      </c>
      <c r="AH724" s="89" t="e">
        <f>#REF!</f>
        <v>#REF!</v>
      </c>
      <c r="AI724" s="89" t="e">
        <f>#REF!</f>
        <v>#REF!</v>
      </c>
      <c r="AJ724" s="89" t="e">
        <f>#REF!</f>
        <v>#REF!</v>
      </c>
      <c r="AK724" s="89" t="e">
        <f>#REF!</f>
        <v>#REF!</v>
      </c>
      <c r="AL724" s="89" t="e">
        <f>#REF!</f>
        <v>#REF!</v>
      </c>
      <c r="AM724" s="89" t="e">
        <f>#REF!</f>
        <v>#REF!</v>
      </c>
      <c r="AN724" s="89" t="e">
        <f>#REF!</f>
        <v>#REF!</v>
      </c>
      <c r="AO724" s="89" t="e">
        <f>#REF!</f>
        <v>#REF!</v>
      </c>
      <c r="AP724" s="89" t="e">
        <f>#REF!</f>
        <v>#REF!</v>
      </c>
      <c r="AQ724" s="89" t="e">
        <f>#REF!</f>
        <v>#REF!</v>
      </c>
      <c r="AR724" s="89" t="e">
        <f>#REF!</f>
        <v>#REF!</v>
      </c>
      <c r="AS724" s="89" t="e">
        <f>#REF!</f>
        <v>#REF!</v>
      </c>
      <c r="AT724" s="89" t="e">
        <f>#REF!</f>
        <v>#REF!</v>
      </c>
      <c r="AU724" s="89" t="e">
        <f>#REF!</f>
        <v>#REF!</v>
      </c>
      <c r="AV724" s="89" t="e">
        <f>#REF!</f>
        <v>#REF!</v>
      </c>
      <c r="AW724" s="89" t="e">
        <f>#REF!</f>
        <v>#REF!</v>
      </c>
      <c r="AX724" s="89" t="e">
        <f>#REF!</f>
        <v>#REF!</v>
      </c>
      <c r="AY724" s="89" t="e">
        <f>#REF!</f>
        <v>#REF!</v>
      </c>
      <c r="AZ724" s="89" t="e">
        <f>#REF!</f>
        <v>#REF!</v>
      </c>
      <c r="BA724" s="89" t="e">
        <f>#REF!</f>
        <v>#REF!</v>
      </c>
      <c r="BB724" s="89" t="e">
        <f>#REF!</f>
        <v>#REF!</v>
      </c>
      <c r="BC724" s="89" t="e">
        <f>#REF!</f>
        <v>#REF!</v>
      </c>
      <c r="BD724" s="89" t="e">
        <f>#REF!</f>
        <v>#REF!</v>
      </c>
      <c r="BE724" s="89" t="e">
        <f>#REF!</f>
        <v>#REF!</v>
      </c>
      <c r="BF724" s="89" t="e">
        <f>#REF!</f>
        <v>#REF!</v>
      </c>
    </row>
    <row r="725" spans="9:58" x14ac:dyDescent="0.25">
      <c r="I725" s="89">
        <f>ABCD!J774</f>
        <v>180.25</v>
      </c>
      <c r="J725" s="89">
        <f>ABCD!K774</f>
        <v>591.21999999999991</v>
      </c>
      <c r="K725" s="89">
        <f>ABCD!L774</f>
        <v>-4.8876056412681246</v>
      </c>
      <c r="L725" s="89">
        <f>ABCD!M774</f>
        <v>-0.87663999582761043</v>
      </c>
      <c r="M725" s="89">
        <f>ABCD!N774</f>
        <v>4.9656003249194987</v>
      </c>
      <c r="N725" s="89" t="e">
        <v>#REF!</v>
      </c>
      <c r="O725" s="89" t="e">
        <v>#REF!</v>
      </c>
      <c r="P725" s="89" t="e">
        <v>#REF!</v>
      </c>
      <c r="Q725" s="89" t="e">
        <v>#REF!</v>
      </c>
      <c r="R725" s="89" t="e">
        <v>#REF!</v>
      </c>
      <c r="S725" s="89" t="e">
        <f>#REF!</f>
        <v>#REF!</v>
      </c>
      <c r="T725" s="89" t="e">
        <f>#REF!</f>
        <v>#REF!</v>
      </c>
      <c r="U725" s="89" t="e">
        <f>#REF!</f>
        <v>#REF!</v>
      </c>
      <c r="V725" s="89" t="e">
        <f>#REF!</f>
        <v>#REF!</v>
      </c>
      <c r="W725" s="89" t="e">
        <f>#REF!</f>
        <v>#REF!</v>
      </c>
      <c r="X725" s="89" t="e">
        <f>#REF!</f>
        <v>#REF!</v>
      </c>
      <c r="Y725" s="89" t="e">
        <f>#REF!</f>
        <v>#REF!</v>
      </c>
      <c r="Z725" s="89" t="e">
        <f>#REF!</f>
        <v>#REF!</v>
      </c>
      <c r="AA725" s="89" t="e">
        <f>#REF!</f>
        <v>#REF!</v>
      </c>
      <c r="AB725" s="89" t="e">
        <f>#REF!</f>
        <v>#REF!</v>
      </c>
      <c r="AC725" s="89" t="e">
        <f>#REF!</f>
        <v>#REF!</v>
      </c>
      <c r="AD725" s="89" t="e">
        <f>#REF!</f>
        <v>#REF!</v>
      </c>
      <c r="AE725" s="89" t="e">
        <f>#REF!</f>
        <v>#REF!</v>
      </c>
      <c r="AF725" s="89" t="e">
        <f>#REF!</f>
        <v>#REF!</v>
      </c>
      <c r="AG725" s="89" t="e">
        <f>#REF!</f>
        <v>#REF!</v>
      </c>
      <c r="AH725" s="89" t="e">
        <f>#REF!</f>
        <v>#REF!</v>
      </c>
      <c r="AI725" s="89" t="e">
        <f>#REF!</f>
        <v>#REF!</v>
      </c>
      <c r="AJ725" s="89" t="e">
        <f>#REF!</f>
        <v>#REF!</v>
      </c>
      <c r="AK725" s="89" t="e">
        <f>#REF!</f>
        <v>#REF!</v>
      </c>
      <c r="AL725" s="89" t="e">
        <f>#REF!</f>
        <v>#REF!</v>
      </c>
      <c r="AM725" s="89" t="e">
        <f>#REF!</f>
        <v>#REF!</v>
      </c>
      <c r="AN725" s="89" t="e">
        <f>#REF!</f>
        <v>#REF!</v>
      </c>
      <c r="AO725" s="89" t="e">
        <f>#REF!</f>
        <v>#REF!</v>
      </c>
      <c r="AP725" s="89" t="e">
        <f>#REF!</f>
        <v>#REF!</v>
      </c>
      <c r="AQ725" s="89" t="e">
        <f>#REF!</f>
        <v>#REF!</v>
      </c>
      <c r="AR725" s="89" t="e">
        <f>#REF!</f>
        <v>#REF!</v>
      </c>
      <c r="AS725" s="89" t="e">
        <f>#REF!</f>
        <v>#REF!</v>
      </c>
      <c r="AT725" s="89" t="e">
        <f>#REF!</f>
        <v>#REF!</v>
      </c>
      <c r="AU725" s="89" t="e">
        <f>#REF!</f>
        <v>#REF!</v>
      </c>
      <c r="AV725" s="89" t="e">
        <f>#REF!</f>
        <v>#REF!</v>
      </c>
      <c r="AW725" s="89" t="e">
        <f>#REF!</f>
        <v>#REF!</v>
      </c>
      <c r="AX725" s="89" t="e">
        <f>#REF!</f>
        <v>#REF!</v>
      </c>
      <c r="AY725" s="89" t="e">
        <f>#REF!</f>
        <v>#REF!</v>
      </c>
      <c r="AZ725" s="89" t="e">
        <f>#REF!</f>
        <v>#REF!</v>
      </c>
      <c r="BA725" s="89" t="e">
        <f>#REF!</f>
        <v>#REF!</v>
      </c>
      <c r="BB725" s="89" t="e">
        <f>#REF!</f>
        <v>#REF!</v>
      </c>
      <c r="BC725" s="89" t="e">
        <f>#REF!</f>
        <v>#REF!</v>
      </c>
      <c r="BD725" s="89" t="e">
        <f>#REF!</f>
        <v>#REF!</v>
      </c>
      <c r="BE725" s="89" t="e">
        <f>#REF!</f>
        <v>#REF!</v>
      </c>
      <c r="BF725" s="89" t="e">
        <f>#REF!</f>
        <v>#REF!</v>
      </c>
    </row>
    <row r="726" spans="9:58" x14ac:dyDescent="0.25">
      <c r="I726" s="89">
        <f>ABCD!J775</f>
        <v>180.5</v>
      </c>
      <c r="J726" s="89">
        <f>ABCD!K775</f>
        <v>592.04</v>
      </c>
      <c r="K726" s="89">
        <f>ABCD!L775</f>
        <v>-4.9061721630251327</v>
      </c>
      <c r="L726" s="89">
        <f>ABCD!M775</f>
        <v>-0.88070882936809702</v>
      </c>
      <c r="M726" s="89">
        <f>ABCD!N775</f>
        <v>4.9845935978141318</v>
      </c>
      <c r="N726" s="89" t="e">
        <v>#REF!</v>
      </c>
      <c r="O726" s="89" t="e">
        <v>#REF!</v>
      </c>
      <c r="P726" s="89" t="e">
        <v>#REF!</v>
      </c>
      <c r="Q726" s="89" t="e">
        <v>#REF!</v>
      </c>
      <c r="R726" s="89" t="e">
        <v>#REF!</v>
      </c>
      <c r="S726" s="89" t="e">
        <f>#REF!</f>
        <v>#REF!</v>
      </c>
      <c r="T726" s="89" t="e">
        <f>#REF!</f>
        <v>#REF!</v>
      </c>
      <c r="U726" s="89" t="e">
        <f>#REF!</f>
        <v>#REF!</v>
      </c>
      <c r="V726" s="89" t="e">
        <f>#REF!</f>
        <v>#REF!</v>
      </c>
      <c r="W726" s="89" t="e">
        <f>#REF!</f>
        <v>#REF!</v>
      </c>
      <c r="X726" s="89" t="e">
        <f>#REF!</f>
        <v>#REF!</v>
      </c>
      <c r="Y726" s="89" t="e">
        <f>#REF!</f>
        <v>#REF!</v>
      </c>
      <c r="Z726" s="89" t="e">
        <f>#REF!</f>
        <v>#REF!</v>
      </c>
      <c r="AA726" s="89" t="e">
        <f>#REF!</f>
        <v>#REF!</v>
      </c>
      <c r="AB726" s="89" t="e">
        <f>#REF!</f>
        <v>#REF!</v>
      </c>
      <c r="AC726" s="89" t="e">
        <f>#REF!</f>
        <v>#REF!</v>
      </c>
      <c r="AD726" s="89" t="e">
        <f>#REF!</f>
        <v>#REF!</v>
      </c>
      <c r="AE726" s="89" t="e">
        <f>#REF!</f>
        <v>#REF!</v>
      </c>
      <c r="AF726" s="89" t="e">
        <f>#REF!</f>
        <v>#REF!</v>
      </c>
      <c r="AG726" s="89" t="e">
        <f>#REF!</f>
        <v>#REF!</v>
      </c>
      <c r="AH726" s="89" t="e">
        <f>#REF!</f>
        <v>#REF!</v>
      </c>
      <c r="AI726" s="89" t="e">
        <f>#REF!</f>
        <v>#REF!</v>
      </c>
      <c r="AJ726" s="89" t="e">
        <f>#REF!</f>
        <v>#REF!</v>
      </c>
      <c r="AK726" s="89" t="e">
        <f>#REF!</f>
        <v>#REF!</v>
      </c>
      <c r="AL726" s="89" t="e">
        <f>#REF!</f>
        <v>#REF!</v>
      </c>
      <c r="AM726" s="89" t="e">
        <f>#REF!</f>
        <v>#REF!</v>
      </c>
      <c r="AN726" s="89" t="e">
        <f>#REF!</f>
        <v>#REF!</v>
      </c>
      <c r="AO726" s="89" t="e">
        <f>#REF!</f>
        <v>#REF!</v>
      </c>
      <c r="AP726" s="89" t="e">
        <f>#REF!</f>
        <v>#REF!</v>
      </c>
      <c r="AQ726" s="89" t="e">
        <f>#REF!</f>
        <v>#REF!</v>
      </c>
      <c r="AR726" s="89" t="e">
        <f>#REF!</f>
        <v>#REF!</v>
      </c>
      <c r="AS726" s="89" t="e">
        <f>#REF!</f>
        <v>#REF!</v>
      </c>
      <c r="AT726" s="89" t="e">
        <f>#REF!</f>
        <v>#REF!</v>
      </c>
      <c r="AU726" s="89" t="e">
        <f>#REF!</f>
        <v>#REF!</v>
      </c>
      <c r="AV726" s="89" t="e">
        <f>#REF!</f>
        <v>#REF!</v>
      </c>
      <c r="AW726" s="89" t="e">
        <f>#REF!</f>
        <v>#REF!</v>
      </c>
      <c r="AX726" s="89" t="e">
        <f>#REF!</f>
        <v>#REF!</v>
      </c>
      <c r="AY726" s="89" t="e">
        <f>#REF!</f>
        <v>#REF!</v>
      </c>
      <c r="AZ726" s="89" t="e">
        <f>#REF!</f>
        <v>#REF!</v>
      </c>
      <c r="BA726" s="89" t="e">
        <f>#REF!</f>
        <v>#REF!</v>
      </c>
      <c r="BB726" s="89" t="e">
        <f>#REF!</f>
        <v>#REF!</v>
      </c>
      <c r="BC726" s="89" t="e">
        <f>#REF!</f>
        <v>#REF!</v>
      </c>
      <c r="BD726" s="89" t="e">
        <f>#REF!</f>
        <v>#REF!</v>
      </c>
      <c r="BE726" s="89" t="e">
        <f>#REF!</f>
        <v>#REF!</v>
      </c>
      <c r="BF726" s="89" t="e">
        <f>#REF!</f>
        <v>#REF!</v>
      </c>
    </row>
    <row r="727" spans="9:58" x14ac:dyDescent="0.25">
      <c r="I727" s="89">
        <f>ABCD!J776</f>
        <v>180.75</v>
      </c>
      <c r="J727" s="89">
        <f>ABCD!K776</f>
        <v>592.86</v>
      </c>
      <c r="K727" s="89">
        <f>ABCD!L776</f>
        <v>-4.923589436370456</v>
      </c>
      <c r="L727" s="89">
        <f>ABCD!M776</f>
        <v>-0.88457069883230077</v>
      </c>
      <c r="M727" s="89">
        <f>ABCD!N776</f>
        <v>5.0024192406446115</v>
      </c>
      <c r="N727" s="89" t="e">
        <v>#REF!</v>
      </c>
      <c r="O727" s="89" t="e">
        <v>#REF!</v>
      </c>
      <c r="P727" s="89" t="e">
        <v>#REF!</v>
      </c>
      <c r="Q727" s="89" t="e">
        <v>#REF!</v>
      </c>
      <c r="R727" s="89" t="e">
        <v>#REF!</v>
      </c>
      <c r="S727" s="89" t="e">
        <f>#REF!</f>
        <v>#REF!</v>
      </c>
      <c r="T727" s="89" t="e">
        <f>#REF!</f>
        <v>#REF!</v>
      </c>
      <c r="U727" s="89" t="e">
        <f>#REF!</f>
        <v>#REF!</v>
      </c>
      <c r="V727" s="89" t="e">
        <f>#REF!</f>
        <v>#REF!</v>
      </c>
      <c r="W727" s="89" t="e">
        <f>#REF!</f>
        <v>#REF!</v>
      </c>
      <c r="X727" s="89" t="e">
        <f>#REF!</f>
        <v>#REF!</v>
      </c>
      <c r="Y727" s="89" t="e">
        <f>#REF!</f>
        <v>#REF!</v>
      </c>
      <c r="Z727" s="89" t="e">
        <f>#REF!</f>
        <v>#REF!</v>
      </c>
      <c r="AA727" s="89" t="e">
        <f>#REF!</f>
        <v>#REF!</v>
      </c>
      <c r="AB727" s="89" t="e">
        <f>#REF!</f>
        <v>#REF!</v>
      </c>
      <c r="AC727" s="89" t="e">
        <f>#REF!</f>
        <v>#REF!</v>
      </c>
      <c r="AD727" s="89" t="e">
        <f>#REF!</f>
        <v>#REF!</v>
      </c>
      <c r="AE727" s="89" t="e">
        <f>#REF!</f>
        <v>#REF!</v>
      </c>
      <c r="AF727" s="89" t="e">
        <f>#REF!</f>
        <v>#REF!</v>
      </c>
      <c r="AG727" s="89" t="e">
        <f>#REF!</f>
        <v>#REF!</v>
      </c>
      <c r="AH727" s="89" t="e">
        <f>#REF!</f>
        <v>#REF!</v>
      </c>
      <c r="AI727" s="89" t="e">
        <f>#REF!</f>
        <v>#REF!</v>
      </c>
      <c r="AJ727" s="89" t="e">
        <f>#REF!</f>
        <v>#REF!</v>
      </c>
      <c r="AK727" s="89" t="e">
        <f>#REF!</f>
        <v>#REF!</v>
      </c>
      <c r="AL727" s="89" t="e">
        <f>#REF!</f>
        <v>#REF!</v>
      </c>
      <c r="AM727" s="89" t="e">
        <f>#REF!</f>
        <v>#REF!</v>
      </c>
      <c r="AN727" s="89" t="e">
        <f>#REF!</f>
        <v>#REF!</v>
      </c>
      <c r="AO727" s="89" t="e">
        <f>#REF!</f>
        <v>#REF!</v>
      </c>
      <c r="AP727" s="89" t="e">
        <f>#REF!</f>
        <v>#REF!</v>
      </c>
      <c r="AQ727" s="89" t="e">
        <f>#REF!</f>
        <v>#REF!</v>
      </c>
      <c r="AR727" s="89" t="e">
        <f>#REF!</f>
        <v>#REF!</v>
      </c>
      <c r="AS727" s="89" t="e">
        <f>#REF!</f>
        <v>#REF!</v>
      </c>
      <c r="AT727" s="89" t="e">
        <f>#REF!</f>
        <v>#REF!</v>
      </c>
      <c r="AU727" s="89" t="e">
        <f>#REF!</f>
        <v>#REF!</v>
      </c>
      <c r="AV727" s="89" t="e">
        <f>#REF!</f>
        <v>#REF!</v>
      </c>
      <c r="AW727" s="89" t="e">
        <f>#REF!</f>
        <v>#REF!</v>
      </c>
      <c r="AX727" s="89" t="e">
        <f>#REF!</f>
        <v>#REF!</v>
      </c>
      <c r="AY727" s="89" t="e">
        <f>#REF!</f>
        <v>#REF!</v>
      </c>
      <c r="AZ727" s="89" t="e">
        <f>#REF!</f>
        <v>#REF!</v>
      </c>
      <c r="BA727" s="89" t="e">
        <f>#REF!</f>
        <v>#REF!</v>
      </c>
      <c r="BB727" s="89" t="e">
        <f>#REF!</f>
        <v>#REF!</v>
      </c>
      <c r="BC727" s="89" t="e">
        <f>#REF!</f>
        <v>#REF!</v>
      </c>
      <c r="BD727" s="89" t="e">
        <f>#REF!</f>
        <v>#REF!</v>
      </c>
      <c r="BE727" s="89" t="e">
        <f>#REF!</f>
        <v>#REF!</v>
      </c>
      <c r="BF727" s="89" t="e">
        <f>#REF!</f>
        <v>#REF!</v>
      </c>
    </row>
    <row r="728" spans="9:58" x14ac:dyDescent="0.25">
      <c r="I728" s="89">
        <f>ABCD!J777</f>
        <v>181</v>
      </c>
      <c r="J728" s="89">
        <f>ABCD!K777</f>
        <v>593.67999999999995</v>
      </c>
      <c r="K728" s="89">
        <f>ABCD!L777</f>
        <v>-4.9398544745402422</v>
      </c>
      <c r="L728" s="89">
        <f>ABCD!M777</f>
        <v>-0.88822489892599543</v>
      </c>
      <c r="M728" s="89">
        <f>ABCD!N777</f>
        <v>5.0190741876074458</v>
      </c>
      <c r="N728" s="89" t="e">
        <v>#REF!</v>
      </c>
      <c r="O728" s="89" t="e">
        <v>#REF!</v>
      </c>
      <c r="P728" s="89" t="e">
        <v>#REF!</v>
      </c>
      <c r="Q728" s="89" t="e">
        <v>#REF!</v>
      </c>
      <c r="R728" s="89" t="e">
        <v>#REF!</v>
      </c>
      <c r="S728" s="89" t="e">
        <f>#REF!</f>
        <v>#REF!</v>
      </c>
      <c r="T728" s="89" t="e">
        <f>#REF!</f>
        <v>#REF!</v>
      </c>
      <c r="U728" s="89" t="e">
        <f>#REF!</f>
        <v>#REF!</v>
      </c>
      <c r="V728" s="89" t="e">
        <f>#REF!</f>
        <v>#REF!</v>
      </c>
      <c r="W728" s="89" t="e">
        <f>#REF!</f>
        <v>#REF!</v>
      </c>
      <c r="X728" s="89" t="e">
        <f>#REF!</f>
        <v>#REF!</v>
      </c>
      <c r="Y728" s="89" t="e">
        <f>#REF!</f>
        <v>#REF!</v>
      </c>
      <c r="Z728" s="89" t="e">
        <f>#REF!</f>
        <v>#REF!</v>
      </c>
      <c r="AA728" s="89" t="e">
        <f>#REF!</f>
        <v>#REF!</v>
      </c>
      <c r="AB728" s="89" t="e">
        <f>#REF!</f>
        <v>#REF!</v>
      </c>
      <c r="AC728" s="89" t="e">
        <f>#REF!</f>
        <v>#REF!</v>
      </c>
      <c r="AD728" s="89" t="e">
        <f>#REF!</f>
        <v>#REF!</v>
      </c>
      <c r="AE728" s="89" t="e">
        <f>#REF!</f>
        <v>#REF!</v>
      </c>
      <c r="AF728" s="89" t="e">
        <f>#REF!</f>
        <v>#REF!</v>
      </c>
      <c r="AG728" s="89" t="e">
        <f>#REF!</f>
        <v>#REF!</v>
      </c>
      <c r="AH728" s="89" t="e">
        <f>#REF!</f>
        <v>#REF!</v>
      </c>
      <c r="AI728" s="89" t="e">
        <f>#REF!</f>
        <v>#REF!</v>
      </c>
      <c r="AJ728" s="89" t="e">
        <f>#REF!</f>
        <v>#REF!</v>
      </c>
      <c r="AK728" s="89" t="e">
        <f>#REF!</f>
        <v>#REF!</v>
      </c>
      <c r="AL728" s="89" t="e">
        <f>#REF!</f>
        <v>#REF!</v>
      </c>
      <c r="AM728" s="89" t="e">
        <f>#REF!</f>
        <v>#REF!</v>
      </c>
      <c r="AN728" s="89" t="e">
        <f>#REF!</f>
        <v>#REF!</v>
      </c>
      <c r="AO728" s="89" t="e">
        <f>#REF!</f>
        <v>#REF!</v>
      </c>
      <c r="AP728" s="89" t="e">
        <f>#REF!</f>
        <v>#REF!</v>
      </c>
      <c r="AQ728" s="89" t="e">
        <f>#REF!</f>
        <v>#REF!</v>
      </c>
      <c r="AR728" s="89" t="e">
        <f>#REF!</f>
        <v>#REF!</v>
      </c>
      <c r="AS728" s="89" t="e">
        <f>#REF!</f>
        <v>#REF!</v>
      </c>
      <c r="AT728" s="89" t="e">
        <f>#REF!</f>
        <v>#REF!</v>
      </c>
      <c r="AU728" s="89" t="e">
        <f>#REF!</f>
        <v>#REF!</v>
      </c>
      <c r="AV728" s="89" t="e">
        <f>#REF!</f>
        <v>#REF!</v>
      </c>
      <c r="AW728" s="89" t="e">
        <f>#REF!</f>
        <v>#REF!</v>
      </c>
      <c r="AX728" s="89" t="e">
        <f>#REF!</f>
        <v>#REF!</v>
      </c>
      <c r="AY728" s="89" t="e">
        <f>#REF!</f>
        <v>#REF!</v>
      </c>
      <c r="AZ728" s="89" t="e">
        <f>#REF!</f>
        <v>#REF!</v>
      </c>
      <c r="BA728" s="89" t="e">
        <f>#REF!</f>
        <v>#REF!</v>
      </c>
      <c r="BB728" s="89" t="e">
        <f>#REF!</f>
        <v>#REF!</v>
      </c>
      <c r="BC728" s="89" t="e">
        <f>#REF!</f>
        <v>#REF!</v>
      </c>
      <c r="BD728" s="89" t="e">
        <f>#REF!</f>
        <v>#REF!</v>
      </c>
      <c r="BE728" s="89" t="e">
        <f>#REF!</f>
        <v>#REF!</v>
      </c>
      <c r="BF728" s="89" t="e">
        <f>#REF!</f>
        <v>#REF!</v>
      </c>
    </row>
    <row r="729" spans="9:58" x14ac:dyDescent="0.25">
      <c r="I729" s="89">
        <f>ABCD!J778</f>
        <v>181.25</v>
      </c>
      <c r="J729" s="89">
        <f>ABCD!K778</f>
        <v>594.5</v>
      </c>
      <c r="K729" s="89">
        <f>ABCD!L778</f>
        <v>-4.9549645594407323</v>
      </c>
      <c r="L729" s="89">
        <f>ABCD!M778</f>
        <v>-0.89167077292805086</v>
      </c>
      <c r="M729" s="89">
        <f>ABCD!N778</f>
        <v>5.034555645993775</v>
      </c>
      <c r="N729" s="89" t="e">
        <v>#REF!</v>
      </c>
      <c r="O729" s="89" t="e">
        <v>#REF!</v>
      </c>
      <c r="P729" s="89" t="e">
        <v>#REF!</v>
      </c>
      <c r="Q729" s="89" t="e">
        <v>#REF!</v>
      </c>
      <c r="R729" s="89" t="e">
        <v>#REF!</v>
      </c>
      <c r="S729" s="89" t="e">
        <f>#REF!</f>
        <v>#REF!</v>
      </c>
      <c r="T729" s="89" t="e">
        <f>#REF!</f>
        <v>#REF!</v>
      </c>
      <c r="U729" s="89" t="e">
        <f>#REF!</f>
        <v>#REF!</v>
      </c>
      <c r="V729" s="89" t="e">
        <f>#REF!</f>
        <v>#REF!</v>
      </c>
      <c r="W729" s="89" t="e">
        <f>#REF!</f>
        <v>#REF!</v>
      </c>
      <c r="X729" s="89" t="e">
        <f>#REF!</f>
        <v>#REF!</v>
      </c>
      <c r="Y729" s="89" t="e">
        <f>#REF!</f>
        <v>#REF!</v>
      </c>
      <c r="Z729" s="89" t="e">
        <f>#REF!</f>
        <v>#REF!</v>
      </c>
      <c r="AA729" s="89" t="e">
        <f>#REF!</f>
        <v>#REF!</v>
      </c>
      <c r="AB729" s="89" t="e">
        <f>#REF!</f>
        <v>#REF!</v>
      </c>
      <c r="AC729" s="89" t="e">
        <f>#REF!</f>
        <v>#REF!</v>
      </c>
      <c r="AD729" s="89" t="e">
        <f>#REF!</f>
        <v>#REF!</v>
      </c>
      <c r="AE729" s="89" t="e">
        <f>#REF!</f>
        <v>#REF!</v>
      </c>
      <c r="AF729" s="89" t="e">
        <f>#REF!</f>
        <v>#REF!</v>
      </c>
      <c r="AG729" s="89" t="e">
        <f>#REF!</f>
        <v>#REF!</v>
      </c>
      <c r="AH729" s="89" t="e">
        <f>#REF!</f>
        <v>#REF!</v>
      </c>
      <c r="AI729" s="89" t="e">
        <f>#REF!</f>
        <v>#REF!</v>
      </c>
      <c r="AJ729" s="89" t="e">
        <f>#REF!</f>
        <v>#REF!</v>
      </c>
      <c r="AK729" s="89" t="e">
        <f>#REF!</f>
        <v>#REF!</v>
      </c>
      <c r="AL729" s="89" t="e">
        <f>#REF!</f>
        <v>#REF!</v>
      </c>
      <c r="AM729" s="89" t="e">
        <f>#REF!</f>
        <v>#REF!</v>
      </c>
      <c r="AN729" s="89" t="e">
        <f>#REF!</f>
        <v>#REF!</v>
      </c>
      <c r="AO729" s="89" t="e">
        <f>#REF!</f>
        <v>#REF!</v>
      </c>
      <c r="AP729" s="89" t="e">
        <f>#REF!</f>
        <v>#REF!</v>
      </c>
      <c r="AQ729" s="89" t="e">
        <f>#REF!</f>
        <v>#REF!</v>
      </c>
      <c r="AR729" s="89" t="e">
        <f>#REF!</f>
        <v>#REF!</v>
      </c>
      <c r="AS729" s="89" t="e">
        <f>#REF!</f>
        <v>#REF!</v>
      </c>
      <c r="AT729" s="89" t="e">
        <f>#REF!</f>
        <v>#REF!</v>
      </c>
      <c r="AU729" s="89" t="e">
        <f>#REF!</f>
        <v>#REF!</v>
      </c>
      <c r="AV729" s="89" t="e">
        <f>#REF!</f>
        <v>#REF!</v>
      </c>
      <c r="AW729" s="89" t="e">
        <f>#REF!</f>
        <v>#REF!</v>
      </c>
      <c r="AX729" s="89" t="e">
        <f>#REF!</f>
        <v>#REF!</v>
      </c>
      <c r="AY729" s="89" t="e">
        <f>#REF!</f>
        <v>#REF!</v>
      </c>
      <c r="AZ729" s="89" t="e">
        <f>#REF!</f>
        <v>#REF!</v>
      </c>
      <c r="BA729" s="89" t="e">
        <f>#REF!</f>
        <v>#REF!</v>
      </c>
      <c r="BB729" s="89" t="e">
        <f>#REF!</f>
        <v>#REF!</v>
      </c>
      <c r="BC729" s="89" t="e">
        <f>#REF!</f>
        <v>#REF!</v>
      </c>
      <c r="BD729" s="89" t="e">
        <f>#REF!</f>
        <v>#REF!</v>
      </c>
      <c r="BE729" s="89" t="e">
        <f>#REF!</f>
        <v>#REF!</v>
      </c>
      <c r="BF729" s="89" t="e">
        <f>#REF!</f>
        <v>#REF!</v>
      </c>
    </row>
    <row r="730" spans="9:58" x14ac:dyDescent="0.25">
      <c r="I730" s="89">
        <f>ABCD!J779</f>
        <v>181.5</v>
      </c>
      <c r="J730" s="89">
        <f>ABCD!K779</f>
        <v>595.31999999999994</v>
      </c>
      <c r="K730" s="89">
        <f>ABCD!L779</f>
        <v>-4.9689172420339975</v>
      </c>
      <c r="L730" s="89">
        <f>ABCD!M779</f>
        <v>-0.89490771279834769</v>
      </c>
      <c r="M730" s="89">
        <f>ABCD!N779</f>
        <v>5.0488610965849237</v>
      </c>
      <c r="N730" s="89" t="e">
        <v>#REF!</v>
      </c>
      <c r="O730" s="89" t="e">
        <v>#REF!</v>
      </c>
      <c r="P730" s="89" t="e">
        <v>#REF!</v>
      </c>
      <c r="Q730" s="89" t="e">
        <v>#REF!</v>
      </c>
      <c r="R730" s="89" t="e">
        <v>#REF!</v>
      </c>
      <c r="S730" s="89" t="e">
        <f>#REF!</f>
        <v>#REF!</v>
      </c>
      <c r="T730" s="89" t="e">
        <f>#REF!</f>
        <v>#REF!</v>
      </c>
      <c r="U730" s="89" t="e">
        <f>#REF!</f>
        <v>#REF!</v>
      </c>
      <c r="V730" s="89" t="e">
        <f>#REF!</f>
        <v>#REF!</v>
      </c>
      <c r="W730" s="89" t="e">
        <f>#REF!</f>
        <v>#REF!</v>
      </c>
      <c r="X730" s="89" t="e">
        <f>#REF!</f>
        <v>#REF!</v>
      </c>
      <c r="Y730" s="89" t="e">
        <f>#REF!</f>
        <v>#REF!</v>
      </c>
      <c r="Z730" s="89" t="e">
        <f>#REF!</f>
        <v>#REF!</v>
      </c>
      <c r="AA730" s="89" t="e">
        <f>#REF!</f>
        <v>#REF!</v>
      </c>
      <c r="AB730" s="89" t="e">
        <f>#REF!</f>
        <v>#REF!</v>
      </c>
      <c r="AC730" s="89" t="e">
        <f>#REF!</f>
        <v>#REF!</v>
      </c>
      <c r="AD730" s="89" t="e">
        <f>#REF!</f>
        <v>#REF!</v>
      </c>
      <c r="AE730" s="89" t="e">
        <f>#REF!</f>
        <v>#REF!</v>
      </c>
      <c r="AF730" s="89" t="e">
        <f>#REF!</f>
        <v>#REF!</v>
      </c>
      <c r="AG730" s="89" t="e">
        <f>#REF!</f>
        <v>#REF!</v>
      </c>
      <c r="AH730" s="89" t="e">
        <f>#REF!</f>
        <v>#REF!</v>
      </c>
      <c r="AI730" s="89" t="e">
        <f>#REF!</f>
        <v>#REF!</v>
      </c>
      <c r="AJ730" s="89" t="e">
        <f>#REF!</f>
        <v>#REF!</v>
      </c>
      <c r="AK730" s="89" t="e">
        <f>#REF!</f>
        <v>#REF!</v>
      </c>
      <c r="AL730" s="89" t="e">
        <f>#REF!</f>
        <v>#REF!</v>
      </c>
      <c r="AM730" s="89" t="e">
        <f>#REF!</f>
        <v>#REF!</v>
      </c>
      <c r="AN730" s="89" t="e">
        <f>#REF!</f>
        <v>#REF!</v>
      </c>
      <c r="AO730" s="89" t="e">
        <f>#REF!</f>
        <v>#REF!</v>
      </c>
      <c r="AP730" s="89" t="e">
        <f>#REF!</f>
        <v>#REF!</v>
      </c>
      <c r="AQ730" s="89" t="e">
        <f>#REF!</f>
        <v>#REF!</v>
      </c>
      <c r="AR730" s="89" t="e">
        <f>#REF!</f>
        <v>#REF!</v>
      </c>
      <c r="AS730" s="89" t="e">
        <f>#REF!</f>
        <v>#REF!</v>
      </c>
      <c r="AT730" s="89" t="e">
        <f>#REF!</f>
        <v>#REF!</v>
      </c>
      <c r="AU730" s="89" t="e">
        <f>#REF!</f>
        <v>#REF!</v>
      </c>
      <c r="AV730" s="89" t="e">
        <f>#REF!</f>
        <v>#REF!</v>
      </c>
      <c r="AW730" s="89" t="e">
        <f>#REF!</f>
        <v>#REF!</v>
      </c>
      <c r="AX730" s="89" t="e">
        <f>#REF!</f>
        <v>#REF!</v>
      </c>
      <c r="AY730" s="89" t="e">
        <f>#REF!</f>
        <v>#REF!</v>
      </c>
      <c r="AZ730" s="89" t="e">
        <f>#REF!</f>
        <v>#REF!</v>
      </c>
      <c r="BA730" s="89" t="e">
        <f>#REF!</f>
        <v>#REF!</v>
      </c>
      <c r="BB730" s="89" t="e">
        <f>#REF!</f>
        <v>#REF!</v>
      </c>
      <c r="BC730" s="89" t="e">
        <f>#REF!</f>
        <v>#REF!</v>
      </c>
      <c r="BD730" s="89" t="e">
        <f>#REF!</f>
        <v>#REF!</v>
      </c>
      <c r="BE730" s="89" t="e">
        <f>#REF!</f>
        <v>#REF!</v>
      </c>
      <c r="BF730" s="89" t="e">
        <f>#REF!</f>
        <v>#REF!</v>
      </c>
    </row>
    <row r="731" spans="9:58" x14ac:dyDescent="0.25">
      <c r="I731" s="89">
        <f>ABCD!J780</f>
        <v>181.75</v>
      </c>
      <c r="J731" s="89">
        <f>ABCD!K780</f>
        <v>596.14</v>
      </c>
      <c r="K731" s="89">
        <f>ABCD!L780</f>
        <v>-4.9817103426612492</v>
      </c>
      <c r="L731" s="89">
        <f>ABCD!M780</f>
        <v>-0.89793515927432055</v>
      </c>
      <c r="M731" s="89">
        <f>ABCD!N780</f>
        <v>5.0619882939847916</v>
      </c>
      <c r="N731" s="89" t="e">
        <v>#REF!</v>
      </c>
      <c r="O731" s="89" t="e">
        <v>#REF!</v>
      </c>
      <c r="P731" s="89" t="e">
        <v>#REF!</v>
      </c>
      <c r="Q731" s="89" t="e">
        <v>#REF!</v>
      </c>
      <c r="R731" s="89" t="e">
        <v>#REF!</v>
      </c>
      <c r="S731" s="89" t="e">
        <f>#REF!</f>
        <v>#REF!</v>
      </c>
      <c r="T731" s="89" t="e">
        <f>#REF!</f>
        <v>#REF!</v>
      </c>
      <c r="U731" s="89" t="e">
        <f>#REF!</f>
        <v>#REF!</v>
      </c>
      <c r="V731" s="89" t="e">
        <f>#REF!</f>
        <v>#REF!</v>
      </c>
      <c r="W731" s="89" t="e">
        <f>#REF!</f>
        <v>#REF!</v>
      </c>
      <c r="X731" s="89" t="e">
        <f>#REF!</f>
        <v>#REF!</v>
      </c>
      <c r="Y731" s="89" t="e">
        <f>#REF!</f>
        <v>#REF!</v>
      </c>
      <c r="Z731" s="89" t="e">
        <f>#REF!</f>
        <v>#REF!</v>
      </c>
      <c r="AA731" s="89" t="e">
        <f>#REF!</f>
        <v>#REF!</v>
      </c>
      <c r="AB731" s="89" t="e">
        <f>#REF!</f>
        <v>#REF!</v>
      </c>
      <c r="AC731" s="89" t="e">
        <f>#REF!</f>
        <v>#REF!</v>
      </c>
      <c r="AD731" s="89" t="e">
        <f>#REF!</f>
        <v>#REF!</v>
      </c>
      <c r="AE731" s="89" t="e">
        <f>#REF!</f>
        <v>#REF!</v>
      </c>
      <c r="AF731" s="89" t="e">
        <f>#REF!</f>
        <v>#REF!</v>
      </c>
      <c r="AG731" s="89" t="e">
        <f>#REF!</f>
        <v>#REF!</v>
      </c>
      <c r="AH731" s="89" t="e">
        <f>#REF!</f>
        <v>#REF!</v>
      </c>
      <c r="AI731" s="89" t="e">
        <f>#REF!</f>
        <v>#REF!</v>
      </c>
      <c r="AJ731" s="89" t="e">
        <f>#REF!</f>
        <v>#REF!</v>
      </c>
      <c r="AK731" s="89" t="e">
        <f>#REF!</f>
        <v>#REF!</v>
      </c>
      <c r="AL731" s="89" t="e">
        <f>#REF!</f>
        <v>#REF!</v>
      </c>
      <c r="AM731" s="89" t="e">
        <f>#REF!</f>
        <v>#REF!</v>
      </c>
      <c r="AN731" s="89" t="e">
        <f>#REF!</f>
        <v>#REF!</v>
      </c>
      <c r="AO731" s="89" t="e">
        <f>#REF!</f>
        <v>#REF!</v>
      </c>
      <c r="AP731" s="89" t="e">
        <f>#REF!</f>
        <v>#REF!</v>
      </c>
      <c r="AQ731" s="89" t="e">
        <f>#REF!</f>
        <v>#REF!</v>
      </c>
      <c r="AR731" s="89" t="e">
        <f>#REF!</f>
        <v>#REF!</v>
      </c>
      <c r="AS731" s="89" t="e">
        <f>#REF!</f>
        <v>#REF!</v>
      </c>
      <c r="AT731" s="89" t="e">
        <f>#REF!</f>
        <v>#REF!</v>
      </c>
      <c r="AU731" s="89" t="e">
        <f>#REF!</f>
        <v>#REF!</v>
      </c>
      <c r="AV731" s="89" t="e">
        <f>#REF!</f>
        <v>#REF!</v>
      </c>
      <c r="AW731" s="89" t="e">
        <f>#REF!</f>
        <v>#REF!</v>
      </c>
      <c r="AX731" s="89" t="e">
        <f>#REF!</f>
        <v>#REF!</v>
      </c>
      <c r="AY731" s="89" t="e">
        <f>#REF!</f>
        <v>#REF!</v>
      </c>
      <c r="AZ731" s="89" t="e">
        <f>#REF!</f>
        <v>#REF!</v>
      </c>
      <c r="BA731" s="89" t="e">
        <f>#REF!</f>
        <v>#REF!</v>
      </c>
      <c r="BB731" s="89" t="e">
        <f>#REF!</f>
        <v>#REF!</v>
      </c>
      <c r="BC731" s="89" t="e">
        <f>#REF!</f>
        <v>#REF!</v>
      </c>
      <c r="BD731" s="89" t="e">
        <f>#REF!</f>
        <v>#REF!</v>
      </c>
      <c r="BE731" s="89" t="e">
        <f>#REF!</f>
        <v>#REF!</v>
      </c>
      <c r="BF731" s="89" t="e">
        <f>#REF!</f>
        <v>#REF!</v>
      </c>
    </row>
    <row r="732" spans="9:58" x14ac:dyDescent="0.25">
      <c r="I732" s="89">
        <f>ABCD!J781</f>
        <v>182</v>
      </c>
      <c r="J732" s="89">
        <f>ABCD!K781</f>
        <v>596.95999999999992</v>
      </c>
      <c r="K732" s="89">
        <f>ABCD!L781</f>
        <v>-4.993341951303659</v>
      </c>
      <c r="L732" s="89">
        <f>ABCD!M781</f>
        <v>-0.90075260195620854</v>
      </c>
      <c r="M732" s="89">
        <f>ABCD!N781</f>
        <v>5.0739352668889968</v>
      </c>
      <c r="N732" s="89" t="e">
        <v>#REF!</v>
      </c>
      <c r="O732" s="89" t="e">
        <v>#REF!</v>
      </c>
      <c r="P732" s="89" t="e">
        <v>#REF!</v>
      </c>
      <c r="Q732" s="89" t="e">
        <v>#REF!</v>
      </c>
      <c r="R732" s="89" t="e">
        <v>#REF!</v>
      </c>
      <c r="S732" s="89" t="e">
        <f>#REF!</f>
        <v>#REF!</v>
      </c>
      <c r="T732" s="89" t="e">
        <f>#REF!</f>
        <v>#REF!</v>
      </c>
      <c r="U732" s="89" t="e">
        <f>#REF!</f>
        <v>#REF!</v>
      </c>
      <c r="V732" s="89" t="e">
        <f>#REF!</f>
        <v>#REF!</v>
      </c>
      <c r="W732" s="89" t="e">
        <f>#REF!</f>
        <v>#REF!</v>
      </c>
      <c r="X732" s="89" t="e">
        <f>#REF!</f>
        <v>#REF!</v>
      </c>
      <c r="Y732" s="89" t="e">
        <f>#REF!</f>
        <v>#REF!</v>
      </c>
      <c r="Z732" s="89" t="e">
        <f>#REF!</f>
        <v>#REF!</v>
      </c>
      <c r="AA732" s="89" t="e">
        <f>#REF!</f>
        <v>#REF!</v>
      </c>
      <c r="AB732" s="89" t="e">
        <f>#REF!</f>
        <v>#REF!</v>
      </c>
      <c r="AC732" s="89" t="e">
        <f>#REF!</f>
        <v>#REF!</v>
      </c>
      <c r="AD732" s="89" t="e">
        <f>#REF!</f>
        <v>#REF!</v>
      </c>
      <c r="AE732" s="89" t="e">
        <f>#REF!</f>
        <v>#REF!</v>
      </c>
      <c r="AF732" s="89" t="e">
        <f>#REF!</f>
        <v>#REF!</v>
      </c>
      <c r="AG732" s="89" t="e">
        <f>#REF!</f>
        <v>#REF!</v>
      </c>
      <c r="AH732" s="89" t="e">
        <f>#REF!</f>
        <v>#REF!</v>
      </c>
      <c r="AI732" s="89" t="e">
        <f>#REF!</f>
        <v>#REF!</v>
      </c>
      <c r="AJ732" s="89" t="e">
        <f>#REF!</f>
        <v>#REF!</v>
      </c>
      <c r="AK732" s="89" t="e">
        <f>#REF!</f>
        <v>#REF!</v>
      </c>
      <c r="AL732" s="89" t="e">
        <f>#REF!</f>
        <v>#REF!</v>
      </c>
      <c r="AM732" s="89" t="e">
        <f>#REF!</f>
        <v>#REF!</v>
      </c>
      <c r="AN732" s="89" t="e">
        <f>#REF!</f>
        <v>#REF!</v>
      </c>
      <c r="AO732" s="89" t="e">
        <f>#REF!</f>
        <v>#REF!</v>
      </c>
      <c r="AP732" s="89" t="e">
        <f>#REF!</f>
        <v>#REF!</v>
      </c>
      <c r="AQ732" s="89" t="e">
        <f>#REF!</f>
        <v>#REF!</v>
      </c>
      <c r="AR732" s="89" t="e">
        <f>#REF!</f>
        <v>#REF!</v>
      </c>
      <c r="AS732" s="89" t="e">
        <f>#REF!</f>
        <v>#REF!</v>
      </c>
      <c r="AT732" s="89" t="e">
        <f>#REF!</f>
        <v>#REF!</v>
      </c>
      <c r="AU732" s="89" t="e">
        <f>#REF!</f>
        <v>#REF!</v>
      </c>
      <c r="AV732" s="89" t="e">
        <f>#REF!</f>
        <v>#REF!</v>
      </c>
      <c r="AW732" s="89" t="e">
        <f>#REF!</f>
        <v>#REF!</v>
      </c>
      <c r="AX732" s="89" t="e">
        <f>#REF!</f>
        <v>#REF!</v>
      </c>
      <c r="AY732" s="89" t="e">
        <f>#REF!</f>
        <v>#REF!</v>
      </c>
      <c r="AZ732" s="89" t="e">
        <f>#REF!</f>
        <v>#REF!</v>
      </c>
      <c r="BA732" s="89" t="e">
        <f>#REF!</f>
        <v>#REF!</v>
      </c>
      <c r="BB732" s="89" t="e">
        <f>#REF!</f>
        <v>#REF!</v>
      </c>
      <c r="BC732" s="89" t="e">
        <f>#REF!</f>
        <v>#REF!</v>
      </c>
      <c r="BD732" s="89" t="e">
        <f>#REF!</f>
        <v>#REF!</v>
      </c>
      <c r="BE732" s="89" t="e">
        <f>#REF!</f>
        <v>#REF!</v>
      </c>
      <c r="BF732" s="89" t="e">
        <f>#REF!</f>
        <v>#REF!</v>
      </c>
    </row>
    <row r="733" spans="9:58" x14ac:dyDescent="0.25">
      <c r="I733" s="89">
        <f>ABCD!J782</f>
        <v>182.25</v>
      </c>
      <c r="J733" s="89">
        <f>ABCD!K782</f>
        <v>597.78</v>
      </c>
      <c r="K733" s="89">
        <f>ABCD!L782</f>
        <v>-5.0038104277806985</v>
      </c>
      <c r="L733" s="89">
        <f>ABCD!M782</f>
        <v>-0.9033595793809025</v>
      </c>
      <c r="M733" s="89">
        <f>ABCD!N782</f>
        <v>5.0847003182907544</v>
      </c>
      <c r="N733" s="89" t="e">
        <v>#REF!</v>
      </c>
      <c r="O733" s="89" t="e">
        <v>#REF!</v>
      </c>
      <c r="P733" s="89" t="e">
        <v>#REF!</v>
      </c>
      <c r="Q733" s="89" t="e">
        <v>#REF!</v>
      </c>
      <c r="R733" s="89" t="e">
        <v>#REF!</v>
      </c>
      <c r="S733" s="89" t="e">
        <f>#REF!</f>
        <v>#REF!</v>
      </c>
      <c r="T733" s="89" t="e">
        <f>#REF!</f>
        <v>#REF!</v>
      </c>
      <c r="U733" s="89" t="e">
        <f>#REF!</f>
        <v>#REF!</v>
      </c>
      <c r="V733" s="89" t="e">
        <f>#REF!</f>
        <v>#REF!</v>
      </c>
      <c r="W733" s="89" t="e">
        <f>#REF!</f>
        <v>#REF!</v>
      </c>
      <c r="X733" s="89" t="e">
        <f>#REF!</f>
        <v>#REF!</v>
      </c>
      <c r="Y733" s="89" t="e">
        <f>#REF!</f>
        <v>#REF!</v>
      </c>
      <c r="Z733" s="89" t="e">
        <f>#REF!</f>
        <v>#REF!</v>
      </c>
      <c r="AA733" s="89" t="e">
        <f>#REF!</f>
        <v>#REF!</v>
      </c>
      <c r="AB733" s="89" t="e">
        <f>#REF!</f>
        <v>#REF!</v>
      </c>
      <c r="AC733" s="89" t="e">
        <f>#REF!</f>
        <v>#REF!</v>
      </c>
      <c r="AD733" s="89" t="e">
        <f>#REF!</f>
        <v>#REF!</v>
      </c>
      <c r="AE733" s="89" t="e">
        <f>#REF!</f>
        <v>#REF!</v>
      </c>
      <c r="AF733" s="89" t="e">
        <f>#REF!</f>
        <v>#REF!</v>
      </c>
      <c r="AG733" s="89" t="e">
        <f>#REF!</f>
        <v>#REF!</v>
      </c>
      <c r="AH733" s="89" t="e">
        <f>#REF!</f>
        <v>#REF!</v>
      </c>
      <c r="AI733" s="89" t="e">
        <f>#REF!</f>
        <v>#REF!</v>
      </c>
      <c r="AJ733" s="89" t="e">
        <f>#REF!</f>
        <v>#REF!</v>
      </c>
      <c r="AK733" s="89" t="e">
        <f>#REF!</f>
        <v>#REF!</v>
      </c>
      <c r="AL733" s="89" t="e">
        <f>#REF!</f>
        <v>#REF!</v>
      </c>
      <c r="AM733" s="89" t="e">
        <f>#REF!</f>
        <v>#REF!</v>
      </c>
      <c r="AN733" s="89" t="e">
        <f>#REF!</f>
        <v>#REF!</v>
      </c>
      <c r="AO733" s="89" t="e">
        <f>#REF!</f>
        <v>#REF!</v>
      </c>
      <c r="AP733" s="89" t="e">
        <f>#REF!</f>
        <v>#REF!</v>
      </c>
      <c r="AQ733" s="89" t="e">
        <f>#REF!</f>
        <v>#REF!</v>
      </c>
      <c r="AR733" s="89" t="e">
        <f>#REF!</f>
        <v>#REF!</v>
      </c>
      <c r="AS733" s="89" t="e">
        <f>#REF!</f>
        <v>#REF!</v>
      </c>
      <c r="AT733" s="89" t="e">
        <f>#REF!</f>
        <v>#REF!</v>
      </c>
      <c r="AU733" s="89" t="e">
        <f>#REF!</f>
        <v>#REF!</v>
      </c>
      <c r="AV733" s="89" t="e">
        <f>#REF!</f>
        <v>#REF!</v>
      </c>
      <c r="AW733" s="89" t="e">
        <f>#REF!</f>
        <v>#REF!</v>
      </c>
      <c r="AX733" s="89" t="e">
        <f>#REF!</f>
        <v>#REF!</v>
      </c>
      <c r="AY733" s="89" t="e">
        <f>#REF!</f>
        <v>#REF!</v>
      </c>
      <c r="AZ733" s="89" t="e">
        <f>#REF!</f>
        <v>#REF!</v>
      </c>
      <c r="BA733" s="89" t="e">
        <f>#REF!</f>
        <v>#REF!</v>
      </c>
      <c r="BB733" s="89" t="e">
        <f>#REF!</f>
        <v>#REF!</v>
      </c>
      <c r="BC733" s="89" t="e">
        <f>#REF!</f>
        <v>#REF!</v>
      </c>
      <c r="BD733" s="89" t="e">
        <f>#REF!</f>
        <v>#REF!</v>
      </c>
      <c r="BE733" s="89" t="e">
        <f>#REF!</f>
        <v>#REF!</v>
      </c>
      <c r="BF733" s="89" t="e">
        <f>#REF!</f>
        <v>#REF!</v>
      </c>
    </row>
    <row r="734" spans="9:58" x14ac:dyDescent="0.25">
      <c r="I734" s="89">
        <f>ABCD!J783</f>
        <v>182.5</v>
      </c>
      <c r="J734" s="89">
        <f>ABCD!K783</f>
        <v>598.59999999999991</v>
      </c>
      <c r="K734" s="89">
        <f>ABCD!L783</f>
        <v>-5.013114401886023</v>
      </c>
      <c r="L734" s="89">
        <f>ABCD!M783</f>
        <v>-0.90575567908444643</v>
      </c>
      <c r="M734" s="89">
        <f>ABCD!N783</f>
        <v>5.0942820256235111</v>
      </c>
      <c r="N734" s="89" t="e">
        <v>#REF!</v>
      </c>
      <c r="O734" s="89" t="e">
        <v>#REF!</v>
      </c>
      <c r="P734" s="89" t="e">
        <v>#REF!</v>
      </c>
      <c r="Q734" s="89" t="e">
        <v>#REF!</v>
      </c>
      <c r="R734" s="89" t="e">
        <v>#REF!</v>
      </c>
      <c r="S734" s="89" t="e">
        <f>#REF!</f>
        <v>#REF!</v>
      </c>
      <c r="T734" s="89" t="e">
        <f>#REF!</f>
        <v>#REF!</v>
      </c>
      <c r="U734" s="89" t="e">
        <f>#REF!</f>
        <v>#REF!</v>
      </c>
      <c r="V734" s="89" t="e">
        <f>#REF!</f>
        <v>#REF!</v>
      </c>
      <c r="W734" s="89" t="e">
        <f>#REF!</f>
        <v>#REF!</v>
      </c>
      <c r="X734" s="89" t="e">
        <f>#REF!</f>
        <v>#REF!</v>
      </c>
      <c r="Y734" s="89" t="e">
        <f>#REF!</f>
        <v>#REF!</v>
      </c>
      <c r="Z734" s="89" t="e">
        <f>#REF!</f>
        <v>#REF!</v>
      </c>
      <c r="AA734" s="89" t="e">
        <f>#REF!</f>
        <v>#REF!</v>
      </c>
      <c r="AB734" s="89" t="e">
        <f>#REF!</f>
        <v>#REF!</v>
      </c>
      <c r="AC734" s="89" t="e">
        <f>#REF!</f>
        <v>#REF!</v>
      </c>
      <c r="AD734" s="89" t="e">
        <f>#REF!</f>
        <v>#REF!</v>
      </c>
      <c r="AE734" s="89" t="e">
        <f>#REF!</f>
        <v>#REF!</v>
      </c>
      <c r="AF734" s="89" t="e">
        <f>#REF!</f>
        <v>#REF!</v>
      </c>
      <c r="AG734" s="89" t="e">
        <f>#REF!</f>
        <v>#REF!</v>
      </c>
      <c r="AH734" s="89" t="e">
        <f>#REF!</f>
        <v>#REF!</v>
      </c>
      <c r="AI734" s="89" t="e">
        <f>#REF!</f>
        <v>#REF!</v>
      </c>
      <c r="AJ734" s="89" t="e">
        <f>#REF!</f>
        <v>#REF!</v>
      </c>
      <c r="AK734" s="89" t="e">
        <f>#REF!</f>
        <v>#REF!</v>
      </c>
      <c r="AL734" s="89" t="e">
        <f>#REF!</f>
        <v>#REF!</v>
      </c>
      <c r="AM734" s="89" t="e">
        <f>#REF!</f>
        <v>#REF!</v>
      </c>
      <c r="AN734" s="89" t="e">
        <f>#REF!</f>
        <v>#REF!</v>
      </c>
      <c r="AO734" s="89" t="e">
        <f>#REF!</f>
        <v>#REF!</v>
      </c>
      <c r="AP734" s="89" t="e">
        <f>#REF!</f>
        <v>#REF!</v>
      </c>
      <c r="AQ734" s="89" t="e">
        <f>#REF!</f>
        <v>#REF!</v>
      </c>
      <c r="AR734" s="89" t="e">
        <f>#REF!</f>
        <v>#REF!</v>
      </c>
      <c r="AS734" s="89" t="e">
        <f>#REF!</f>
        <v>#REF!</v>
      </c>
      <c r="AT734" s="89" t="e">
        <f>#REF!</f>
        <v>#REF!</v>
      </c>
      <c r="AU734" s="89" t="e">
        <f>#REF!</f>
        <v>#REF!</v>
      </c>
      <c r="AV734" s="89" t="e">
        <f>#REF!</f>
        <v>#REF!</v>
      </c>
      <c r="AW734" s="89" t="e">
        <f>#REF!</f>
        <v>#REF!</v>
      </c>
      <c r="AX734" s="89" t="e">
        <f>#REF!</f>
        <v>#REF!</v>
      </c>
      <c r="AY734" s="89" t="e">
        <f>#REF!</f>
        <v>#REF!</v>
      </c>
      <c r="AZ734" s="89" t="e">
        <f>#REF!</f>
        <v>#REF!</v>
      </c>
      <c r="BA734" s="89" t="e">
        <f>#REF!</f>
        <v>#REF!</v>
      </c>
      <c r="BB734" s="89" t="e">
        <f>#REF!</f>
        <v>#REF!</v>
      </c>
      <c r="BC734" s="89" t="e">
        <f>#REF!</f>
        <v>#REF!</v>
      </c>
      <c r="BD734" s="89" t="e">
        <f>#REF!</f>
        <v>#REF!</v>
      </c>
      <c r="BE734" s="89" t="e">
        <f>#REF!</f>
        <v>#REF!</v>
      </c>
      <c r="BF734" s="89" t="e">
        <f>#REF!</f>
        <v>#REF!</v>
      </c>
    </row>
    <row r="735" spans="9:58" x14ac:dyDescent="0.25">
      <c r="I735" s="89">
        <f>ABCD!J784</f>
        <v>182.75</v>
      </c>
      <c r="J735" s="89">
        <f>ABCD!K784</f>
        <v>599.41999999999996</v>
      </c>
      <c r="K735" s="89">
        <f>ABCD!L784</f>
        <v>-5.0212527734608923</v>
      </c>
      <c r="L735" s="89">
        <f>ABCD!M784</f>
        <v>-0.90794053765317728</v>
      </c>
      <c r="M735" s="89">
        <f>ABCD!N784</f>
        <v>5.1026792408403105</v>
      </c>
      <c r="N735" s="89" t="e">
        <v>#REF!</v>
      </c>
      <c r="O735" s="89" t="e">
        <v>#REF!</v>
      </c>
      <c r="P735" s="89" t="e">
        <v>#REF!</v>
      </c>
      <c r="Q735" s="89" t="e">
        <v>#REF!</v>
      </c>
      <c r="R735" s="89" t="e">
        <v>#REF!</v>
      </c>
      <c r="S735" s="89" t="e">
        <f>#REF!</f>
        <v>#REF!</v>
      </c>
      <c r="T735" s="89" t="e">
        <f>#REF!</f>
        <v>#REF!</v>
      </c>
      <c r="U735" s="89" t="e">
        <f>#REF!</f>
        <v>#REF!</v>
      </c>
      <c r="V735" s="89" t="e">
        <f>#REF!</f>
        <v>#REF!</v>
      </c>
      <c r="W735" s="89" t="e">
        <f>#REF!</f>
        <v>#REF!</v>
      </c>
      <c r="X735" s="89" t="e">
        <f>#REF!</f>
        <v>#REF!</v>
      </c>
      <c r="Y735" s="89" t="e">
        <f>#REF!</f>
        <v>#REF!</v>
      </c>
      <c r="Z735" s="89" t="e">
        <f>#REF!</f>
        <v>#REF!</v>
      </c>
      <c r="AA735" s="89" t="e">
        <f>#REF!</f>
        <v>#REF!</v>
      </c>
      <c r="AB735" s="89" t="e">
        <f>#REF!</f>
        <v>#REF!</v>
      </c>
      <c r="AC735" s="89" t="e">
        <f>#REF!</f>
        <v>#REF!</v>
      </c>
      <c r="AD735" s="89" t="e">
        <f>#REF!</f>
        <v>#REF!</v>
      </c>
      <c r="AE735" s="89" t="e">
        <f>#REF!</f>
        <v>#REF!</v>
      </c>
      <c r="AF735" s="89" t="e">
        <f>#REF!</f>
        <v>#REF!</v>
      </c>
      <c r="AG735" s="89" t="e">
        <f>#REF!</f>
        <v>#REF!</v>
      </c>
      <c r="AH735" s="89" t="e">
        <f>#REF!</f>
        <v>#REF!</v>
      </c>
      <c r="AI735" s="89" t="e">
        <f>#REF!</f>
        <v>#REF!</v>
      </c>
      <c r="AJ735" s="89" t="e">
        <f>#REF!</f>
        <v>#REF!</v>
      </c>
      <c r="AK735" s="89" t="e">
        <f>#REF!</f>
        <v>#REF!</v>
      </c>
      <c r="AL735" s="89" t="e">
        <f>#REF!</f>
        <v>#REF!</v>
      </c>
      <c r="AM735" s="89" t="e">
        <f>#REF!</f>
        <v>#REF!</v>
      </c>
      <c r="AN735" s="89" t="e">
        <f>#REF!</f>
        <v>#REF!</v>
      </c>
      <c r="AO735" s="89" t="e">
        <f>#REF!</f>
        <v>#REF!</v>
      </c>
      <c r="AP735" s="89" t="e">
        <f>#REF!</f>
        <v>#REF!</v>
      </c>
      <c r="AQ735" s="89" t="e">
        <f>#REF!</f>
        <v>#REF!</v>
      </c>
      <c r="AR735" s="89" t="e">
        <f>#REF!</f>
        <v>#REF!</v>
      </c>
      <c r="AS735" s="89" t="e">
        <f>#REF!</f>
        <v>#REF!</v>
      </c>
      <c r="AT735" s="89" t="e">
        <f>#REF!</f>
        <v>#REF!</v>
      </c>
      <c r="AU735" s="89" t="e">
        <f>#REF!</f>
        <v>#REF!</v>
      </c>
      <c r="AV735" s="89" t="e">
        <f>#REF!</f>
        <v>#REF!</v>
      </c>
      <c r="AW735" s="89" t="e">
        <f>#REF!</f>
        <v>#REF!</v>
      </c>
      <c r="AX735" s="89" t="e">
        <f>#REF!</f>
        <v>#REF!</v>
      </c>
      <c r="AY735" s="89" t="e">
        <f>#REF!</f>
        <v>#REF!</v>
      </c>
      <c r="AZ735" s="89" t="e">
        <f>#REF!</f>
        <v>#REF!</v>
      </c>
      <c r="BA735" s="89" t="e">
        <f>#REF!</f>
        <v>#REF!</v>
      </c>
      <c r="BB735" s="89" t="e">
        <f>#REF!</f>
        <v>#REF!</v>
      </c>
      <c r="BC735" s="89" t="e">
        <f>#REF!</f>
        <v>#REF!</v>
      </c>
      <c r="BD735" s="89" t="e">
        <f>#REF!</f>
        <v>#REF!</v>
      </c>
      <c r="BE735" s="89" t="e">
        <f>#REF!</f>
        <v>#REF!</v>
      </c>
      <c r="BF735" s="89" t="e">
        <f>#REF!</f>
        <v>#REF!</v>
      </c>
    </row>
    <row r="736" spans="9:58" x14ac:dyDescent="0.25">
      <c r="I736" s="89">
        <f>ABCD!J785</f>
        <v>183</v>
      </c>
      <c r="J736" s="89">
        <f>ABCD!K785</f>
        <v>600.24</v>
      </c>
      <c r="K736" s="89">
        <f>ABCD!L785</f>
        <v>-5.0282247124052084</v>
      </c>
      <c r="L736" s="89">
        <f>ABCD!M785</f>
        <v>-0.90991384076349213</v>
      </c>
      <c r="M736" s="89">
        <f>ABCD!N785</f>
        <v>5.1098910904299526</v>
      </c>
      <c r="N736" s="89" t="e">
        <v>#REF!</v>
      </c>
      <c r="O736" s="89" t="e">
        <v>#REF!</v>
      </c>
      <c r="P736" s="89" t="e">
        <v>#REF!</v>
      </c>
      <c r="Q736" s="89" t="e">
        <v>#REF!</v>
      </c>
      <c r="R736" s="89" t="e">
        <v>#REF!</v>
      </c>
      <c r="S736" s="89" t="e">
        <f>#REF!</f>
        <v>#REF!</v>
      </c>
      <c r="T736" s="89" t="e">
        <f>#REF!</f>
        <v>#REF!</v>
      </c>
      <c r="U736" s="89" t="e">
        <f>#REF!</f>
        <v>#REF!</v>
      </c>
      <c r="V736" s="89" t="e">
        <f>#REF!</f>
        <v>#REF!</v>
      </c>
      <c r="W736" s="89" t="e">
        <f>#REF!</f>
        <v>#REF!</v>
      </c>
      <c r="X736" s="89" t="e">
        <f>#REF!</f>
        <v>#REF!</v>
      </c>
      <c r="Y736" s="89" t="e">
        <f>#REF!</f>
        <v>#REF!</v>
      </c>
      <c r="Z736" s="89" t="e">
        <f>#REF!</f>
        <v>#REF!</v>
      </c>
      <c r="AA736" s="89" t="e">
        <f>#REF!</f>
        <v>#REF!</v>
      </c>
      <c r="AB736" s="89" t="e">
        <f>#REF!</f>
        <v>#REF!</v>
      </c>
      <c r="AC736" s="89" t="e">
        <f>#REF!</f>
        <v>#REF!</v>
      </c>
      <c r="AD736" s="89" t="e">
        <f>#REF!</f>
        <v>#REF!</v>
      </c>
      <c r="AE736" s="89" t="e">
        <f>#REF!</f>
        <v>#REF!</v>
      </c>
      <c r="AF736" s="89" t="e">
        <f>#REF!</f>
        <v>#REF!</v>
      </c>
      <c r="AG736" s="89" t="e">
        <f>#REF!</f>
        <v>#REF!</v>
      </c>
      <c r="AH736" s="89" t="e">
        <f>#REF!</f>
        <v>#REF!</v>
      </c>
      <c r="AI736" s="89" t="e">
        <f>#REF!</f>
        <v>#REF!</v>
      </c>
      <c r="AJ736" s="89" t="e">
        <f>#REF!</f>
        <v>#REF!</v>
      </c>
      <c r="AK736" s="89" t="e">
        <f>#REF!</f>
        <v>#REF!</v>
      </c>
      <c r="AL736" s="89" t="e">
        <f>#REF!</f>
        <v>#REF!</v>
      </c>
      <c r="AM736" s="89" t="e">
        <f>#REF!</f>
        <v>#REF!</v>
      </c>
      <c r="AN736" s="89" t="e">
        <f>#REF!</f>
        <v>#REF!</v>
      </c>
      <c r="AO736" s="89" t="e">
        <f>#REF!</f>
        <v>#REF!</v>
      </c>
      <c r="AP736" s="89" t="e">
        <f>#REF!</f>
        <v>#REF!</v>
      </c>
      <c r="AQ736" s="89" t="e">
        <f>#REF!</f>
        <v>#REF!</v>
      </c>
      <c r="AR736" s="89" t="e">
        <f>#REF!</f>
        <v>#REF!</v>
      </c>
      <c r="AS736" s="89" t="e">
        <f>#REF!</f>
        <v>#REF!</v>
      </c>
      <c r="AT736" s="89" t="e">
        <f>#REF!</f>
        <v>#REF!</v>
      </c>
      <c r="AU736" s="89" t="e">
        <f>#REF!</f>
        <v>#REF!</v>
      </c>
      <c r="AV736" s="89" t="e">
        <f>#REF!</f>
        <v>#REF!</v>
      </c>
      <c r="AW736" s="89" t="e">
        <f>#REF!</f>
        <v>#REF!</v>
      </c>
      <c r="AX736" s="89" t="e">
        <f>#REF!</f>
        <v>#REF!</v>
      </c>
      <c r="AY736" s="89" t="e">
        <f>#REF!</f>
        <v>#REF!</v>
      </c>
      <c r="AZ736" s="89" t="e">
        <f>#REF!</f>
        <v>#REF!</v>
      </c>
      <c r="BA736" s="89" t="e">
        <f>#REF!</f>
        <v>#REF!</v>
      </c>
      <c r="BB736" s="89" t="e">
        <f>#REF!</f>
        <v>#REF!</v>
      </c>
      <c r="BC736" s="89" t="e">
        <f>#REF!</f>
        <v>#REF!</v>
      </c>
      <c r="BD736" s="89" t="e">
        <f>#REF!</f>
        <v>#REF!</v>
      </c>
      <c r="BE736" s="89" t="e">
        <f>#REF!</f>
        <v>#REF!</v>
      </c>
      <c r="BF736" s="89" t="e">
        <f>#REF!</f>
        <v>#REF!</v>
      </c>
    </row>
    <row r="737" spans="9:58" x14ac:dyDescent="0.25">
      <c r="I737" s="89">
        <f>ABCD!J786</f>
        <v>183.25</v>
      </c>
      <c r="J737" s="89">
        <f>ABCD!K786</f>
        <v>601.05999999999995</v>
      </c>
      <c r="K737" s="89">
        <f>ABCD!L786</f>
        <v>-5.0340296586261895</v>
      </c>
      <c r="L737" s="89">
        <f>ABCD!M786</f>
        <v>-0.91167532321022704</v>
      </c>
      <c r="M737" s="89">
        <f>ABCD!N786</f>
        <v>5.1159169753699665</v>
      </c>
      <c r="N737" s="89" t="e">
        <v>#REF!</v>
      </c>
      <c r="O737" s="89" t="e">
        <v>#REF!</v>
      </c>
      <c r="P737" s="89" t="e">
        <v>#REF!</v>
      </c>
      <c r="Q737" s="89" t="e">
        <v>#REF!</v>
      </c>
      <c r="R737" s="89" t="e">
        <v>#REF!</v>
      </c>
      <c r="S737" s="89" t="e">
        <f>#REF!</f>
        <v>#REF!</v>
      </c>
      <c r="T737" s="89" t="e">
        <f>#REF!</f>
        <v>#REF!</v>
      </c>
      <c r="U737" s="89" t="e">
        <f>#REF!</f>
        <v>#REF!</v>
      </c>
      <c r="V737" s="89" t="e">
        <f>#REF!</f>
        <v>#REF!</v>
      </c>
      <c r="W737" s="89" t="e">
        <f>#REF!</f>
        <v>#REF!</v>
      </c>
      <c r="X737" s="89" t="e">
        <f>#REF!</f>
        <v>#REF!</v>
      </c>
      <c r="Y737" s="89" t="e">
        <f>#REF!</f>
        <v>#REF!</v>
      </c>
      <c r="Z737" s="89" t="e">
        <f>#REF!</f>
        <v>#REF!</v>
      </c>
      <c r="AA737" s="89" t="e">
        <f>#REF!</f>
        <v>#REF!</v>
      </c>
      <c r="AB737" s="89" t="e">
        <f>#REF!</f>
        <v>#REF!</v>
      </c>
      <c r="AC737" s="89" t="e">
        <f>#REF!</f>
        <v>#REF!</v>
      </c>
      <c r="AD737" s="89" t="e">
        <f>#REF!</f>
        <v>#REF!</v>
      </c>
      <c r="AE737" s="89" t="e">
        <f>#REF!</f>
        <v>#REF!</v>
      </c>
      <c r="AF737" s="89" t="e">
        <f>#REF!</f>
        <v>#REF!</v>
      </c>
      <c r="AG737" s="89" t="e">
        <f>#REF!</f>
        <v>#REF!</v>
      </c>
      <c r="AH737" s="89" t="e">
        <f>#REF!</f>
        <v>#REF!</v>
      </c>
      <c r="AI737" s="89" t="e">
        <f>#REF!</f>
        <v>#REF!</v>
      </c>
      <c r="AJ737" s="89" t="e">
        <f>#REF!</f>
        <v>#REF!</v>
      </c>
      <c r="AK737" s="89" t="e">
        <f>#REF!</f>
        <v>#REF!</v>
      </c>
      <c r="AL737" s="89" t="e">
        <f>#REF!</f>
        <v>#REF!</v>
      </c>
      <c r="AM737" s="89" t="e">
        <f>#REF!</f>
        <v>#REF!</v>
      </c>
      <c r="AN737" s="89" t="e">
        <f>#REF!</f>
        <v>#REF!</v>
      </c>
      <c r="AO737" s="89" t="e">
        <f>#REF!</f>
        <v>#REF!</v>
      </c>
      <c r="AP737" s="89" t="e">
        <f>#REF!</f>
        <v>#REF!</v>
      </c>
      <c r="AQ737" s="89" t="e">
        <f>#REF!</f>
        <v>#REF!</v>
      </c>
      <c r="AR737" s="89" t="e">
        <f>#REF!</f>
        <v>#REF!</v>
      </c>
      <c r="AS737" s="89" t="e">
        <f>#REF!</f>
        <v>#REF!</v>
      </c>
      <c r="AT737" s="89" t="e">
        <f>#REF!</f>
        <v>#REF!</v>
      </c>
      <c r="AU737" s="89" t="e">
        <f>#REF!</f>
        <v>#REF!</v>
      </c>
      <c r="AV737" s="89" t="e">
        <f>#REF!</f>
        <v>#REF!</v>
      </c>
      <c r="AW737" s="89" t="e">
        <f>#REF!</f>
        <v>#REF!</v>
      </c>
      <c r="AX737" s="89" t="e">
        <f>#REF!</f>
        <v>#REF!</v>
      </c>
      <c r="AY737" s="89" t="e">
        <f>#REF!</f>
        <v>#REF!</v>
      </c>
      <c r="AZ737" s="89" t="e">
        <f>#REF!</f>
        <v>#REF!</v>
      </c>
      <c r="BA737" s="89" t="e">
        <f>#REF!</f>
        <v>#REF!</v>
      </c>
      <c r="BB737" s="89" t="e">
        <f>#REF!</f>
        <v>#REF!</v>
      </c>
      <c r="BC737" s="89" t="e">
        <f>#REF!</f>
        <v>#REF!</v>
      </c>
      <c r="BD737" s="89" t="e">
        <f>#REF!</f>
        <v>#REF!</v>
      </c>
      <c r="BE737" s="89" t="e">
        <f>#REF!</f>
        <v>#REF!</v>
      </c>
      <c r="BF737" s="89" t="e">
        <f>#REF!</f>
        <v>#REF!</v>
      </c>
    </row>
    <row r="738" spans="9:58" x14ac:dyDescent="0.25">
      <c r="I738" s="89">
        <f>ABCD!J787</f>
        <v>183.5</v>
      </c>
      <c r="J738" s="89">
        <f>ABCD!K787</f>
        <v>601.88</v>
      </c>
      <c r="K738" s="89">
        <f>ABCD!L787</f>
        <v>-5.0386673219247697</v>
      </c>
      <c r="L738" s="89">
        <f>ABCD!M787</f>
        <v>-0.91322476892372029</v>
      </c>
      <c r="M738" s="89">
        <f>ABCD!N787</f>
        <v>5.1207565710164662</v>
      </c>
      <c r="N738" s="89" t="e">
        <v>#REF!</v>
      </c>
      <c r="O738" s="89" t="e">
        <v>#REF!</v>
      </c>
      <c r="P738" s="89" t="e">
        <v>#REF!</v>
      </c>
      <c r="Q738" s="89" t="e">
        <v>#REF!</v>
      </c>
      <c r="R738" s="89" t="e">
        <v>#REF!</v>
      </c>
      <c r="S738" s="89" t="e">
        <f>#REF!</f>
        <v>#REF!</v>
      </c>
      <c r="T738" s="89" t="e">
        <f>#REF!</f>
        <v>#REF!</v>
      </c>
      <c r="U738" s="89" t="e">
        <f>#REF!</f>
        <v>#REF!</v>
      </c>
      <c r="V738" s="89" t="e">
        <f>#REF!</f>
        <v>#REF!</v>
      </c>
      <c r="W738" s="89" t="e">
        <f>#REF!</f>
        <v>#REF!</v>
      </c>
      <c r="X738" s="89" t="e">
        <f>#REF!</f>
        <v>#REF!</v>
      </c>
      <c r="Y738" s="89" t="e">
        <f>#REF!</f>
        <v>#REF!</v>
      </c>
      <c r="Z738" s="89" t="e">
        <f>#REF!</f>
        <v>#REF!</v>
      </c>
      <c r="AA738" s="89" t="e">
        <f>#REF!</f>
        <v>#REF!</v>
      </c>
      <c r="AB738" s="89" t="e">
        <f>#REF!</f>
        <v>#REF!</v>
      </c>
      <c r="AC738" s="89" t="e">
        <f>#REF!</f>
        <v>#REF!</v>
      </c>
      <c r="AD738" s="89" t="e">
        <f>#REF!</f>
        <v>#REF!</v>
      </c>
      <c r="AE738" s="89" t="e">
        <f>#REF!</f>
        <v>#REF!</v>
      </c>
      <c r="AF738" s="89" t="e">
        <f>#REF!</f>
        <v>#REF!</v>
      </c>
      <c r="AG738" s="89" t="e">
        <f>#REF!</f>
        <v>#REF!</v>
      </c>
      <c r="AH738" s="89" t="e">
        <f>#REF!</f>
        <v>#REF!</v>
      </c>
      <c r="AI738" s="89" t="e">
        <f>#REF!</f>
        <v>#REF!</v>
      </c>
      <c r="AJ738" s="89" t="e">
        <f>#REF!</f>
        <v>#REF!</v>
      </c>
      <c r="AK738" s="89" t="e">
        <f>#REF!</f>
        <v>#REF!</v>
      </c>
      <c r="AL738" s="89" t="e">
        <f>#REF!</f>
        <v>#REF!</v>
      </c>
      <c r="AM738" s="89" t="e">
        <f>#REF!</f>
        <v>#REF!</v>
      </c>
      <c r="AN738" s="89" t="e">
        <f>#REF!</f>
        <v>#REF!</v>
      </c>
      <c r="AO738" s="89" t="e">
        <f>#REF!</f>
        <v>#REF!</v>
      </c>
      <c r="AP738" s="89" t="e">
        <f>#REF!</f>
        <v>#REF!</v>
      </c>
      <c r="AQ738" s="89" t="e">
        <f>#REF!</f>
        <v>#REF!</v>
      </c>
      <c r="AR738" s="89" t="e">
        <f>#REF!</f>
        <v>#REF!</v>
      </c>
      <c r="AS738" s="89" t="e">
        <f>#REF!</f>
        <v>#REF!</v>
      </c>
      <c r="AT738" s="89" t="e">
        <f>#REF!</f>
        <v>#REF!</v>
      </c>
      <c r="AU738" s="89" t="e">
        <f>#REF!</f>
        <v>#REF!</v>
      </c>
      <c r="AV738" s="89" t="e">
        <f>#REF!</f>
        <v>#REF!</v>
      </c>
      <c r="AW738" s="89" t="e">
        <f>#REF!</f>
        <v>#REF!</v>
      </c>
      <c r="AX738" s="89" t="e">
        <f>#REF!</f>
        <v>#REF!</v>
      </c>
      <c r="AY738" s="89" t="e">
        <f>#REF!</f>
        <v>#REF!</v>
      </c>
      <c r="AZ738" s="89" t="e">
        <f>#REF!</f>
        <v>#REF!</v>
      </c>
      <c r="BA738" s="89" t="e">
        <f>#REF!</f>
        <v>#REF!</v>
      </c>
      <c r="BB738" s="89" t="e">
        <f>#REF!</f>
        <v>#REF!</v>
      </c>
      <c r="BC738" s="89" t="e">
        <f>#REF!</f>
        <v>#REF!</v>
      </c>
      <c r="BD738" s="89" t="e">
        <f>#REF!</f>
        <v>#REF!</v>
      </c>
      <c r="BE738" s="89" t="e">
        <f>#REF!</f>
        <v>#REF!</v>
      </c>
      <c r="BF738" s="89" t="e">
        <f>#REF!</f>
        <v>#REF!</v>
      </c>
    </row>
    <row r="739" spans="9:58" x14ac:dyDescent="0.25">
      <c r="I739" s="89">
        <f>ABCD!J788</f>
        <v>183.75</v>
      </c>
      <c r="J739" s="89">
        <f>ABCD!K788</f>
        <v>602.69999999999993</v>
      </c>
      <c r="K739" s="89">
        <f>ABCD!L788</f>
        <v>-5.0421376818197814</v>
      </c>
      <c r="L739" s="89">
        <f>ABCD!M788</f>
        <v>-0.91456201097546774</v>
      </c>
      <c r="M739" s="89">
        <f>ABCD!N788</f>
        <v>5.1244098269309459</v>
      </c>
      <c r="N739" s="89" t="e">
        <v>#REF!</v>
      </c>
      <c r="O739" s="89" t="e">
        <v>#REF!</v>
      </c>
      <c r="P739" s="89" t="e">
        <v>#REF!</v>
      </c>
      <c r="Q739" s="89" t="e">
        <v>#REF!</v>
      </c>
      <c r="R739" s="89" t="e">
        <v>#REF!</v>
      </c>
      <c r="S739" s="89" t="e">
        <f>#REF!</f>
        <v>#REF!</v>
      </c>
      <c r="T739" s="89" t="e">
        <f>#REF!</f>
        <v>#REF!</v>
      </c>
      <c r="U739" s="89" t="e">
        <f>#REF!</f>
        <v>#REF!</v>
      </c>
      <c r="V739" s="89" t="e">
        <f>#REF!</f>
        <v>#REF!</v>
      </c>
      <c r="W739" s="89" t="e">
        <f>#REF!</f>
        <v>#REF!</v>
      </c>
      <c r="X739" s="89" t="e">
        <f>#REF!</f>
        <v>#REF!</v>
      </c>
      <c r="Y739" s="89" t="e">
        <f>#REF!</f>
        <v>#REF!</v>
      </c>
      <c r="Z739" s="89" t="e">
        <f>#REF!</f>
        <v>#REF!</v>
      </c>
      <c r="AA739" s="89" t="e">
        <f>#REF!</f>
        <v>#REF!</v>
      </c>
      <c r="AB739" s="89" t="e">
        <f>#REF!</f>
        <v>#REF!</v>
      </c>
      <c r="AC739" s="89" t="e">
        <f>#REF!</f>
        <v>#REF!</v>
      </c>
      <c r="AD739" s="89" t="e">
        <f>#REF!</f>
        <v>#REF!</v>
      </c>
      <c r="AE739" s="89" t="e">
        <f>#REF!</f>
        <v>#REF!</v>
      </c>
      <c r="AF739" s="89" t="e">
        <f>#REF!</f>
        <v>#REF!</v>
      </c>
      <c r="AG739" s="89" t="e">
        <f>#REF!</f>
        <v>#REF!</v>
      </c>
      <c r="AH739" s="89" t="e">
        <f>#REF!</f>
        <v>#REF!</v>
      </c>
      <c r="AI739" s="89" t="e">
        <f>#REF!</f>
        <v>#REF!</v>
      </c>
      <c r="AJ739" s="89" t="e">
        <f>#REF!</f>
        <v>#REF!</v>
      </c>
      <c r="AK739" s="89" t="e">
        <f>#REF!</f>
        <v>#REF!</v>
      </c>
      <c r="AL739" s="89" t="e">
        <f>#REF!</f>
        <v>#REF!</v>
      </c>
      <c r="AM739" s="89" t="e">
        <f>#REF!</f>
        <v>#REF!</v>
      </c>
      <c r="AN739" s="89" t="e">
        <f>#REF!</f>
        <v>#REF!</v>
      </c>
      <c r="AO739" s="89" t="e">
        <f>#REF!</f>
        <v>#REF!</v>
      </c>
      <c r="AP739" s="89" t="e">
        <f>#REF!</f>
        <v>#REF!</v>
      </c>
      <c r="AQ739" s="89" t="e">
        <f>#REF!</f>
        <v>#REF!</v>
      </c>
      <c r="AR739" s="89" t="e">
        <f>#REF!</f>
        <v>#REF!</v>
      </c>
      <c r="AS739" s="89" t="e">
        <f>#REF!</f>
        <v>#REF!</v>
      </c>
      <c r="AT739" s="89" t="e">
        <f>#REF!</f>
        <v>#REF!</v>
      </c>
      <c r="AU739" s="89" t="e">
        <f>#REF!</f>
        <v>#REF!</v>
      </c>
      <c r="AV739" s="89" t="e">
        <f>#REF!</f>
        <v>#REF!</v>
      </c>
      <c r="AW739" s="89" t="e">
        <f>#REF!</f>
        <v>#REF!</v>
      </c>
      <c r="AX739" s="89" t="e">
        <f>#REF!</f>
        <v>#REF!</v>
      </c>
      <c r="AY739" s="89" t="e">
        <f>#REF!</f>
        <v>#REF!</v>
      </c>
      <c r="AZ739" s="89" t="e">
        <f>#REF!</f>
        <v>#REF!</v>
      </c>
      <c r="BA739" s="89" t="e">
        <f>#REF!</f>
        <v>#REF!</v>
      </c>
      <c r="BB739" s="89" t="e">
        <f>#REF!</f>
        <v>#REF!</v>
      </c>
      <c r="BC739" s="89" t="e">
        <f>#REF!</f>
        <v>#REF!</v>
      </c>
      <c r="BD739" s="89" t="e">
        <f>#REF!</f>
        <v>#REF!</v>
      </c>
      <c r="BE739" s="89" t="e">
        <f>#REF!</f>
        <v>#REF!</v>
      </c>
      <c r="BF739" s="89" t="e">
        <f>#REF!</f>
        <v>#REF!</v>
      </c>
    </row>
    <row r="740" spans="9:58" x14ac:dyDescent="0.25">
      <c r="I740" s="89">
        <f>ABCD!J789</f>
        <v>184</v>
      </c>
      <c r="J740" s="89">
        <f>ABCD!K789</f>
        <v>603.52</v>
      </c>
      <c r="K740" s="89">
        <f>ABCD!L789</f>
        <v>-5.0444409873100664</v>
      </c>
      <c r="L740" s="89">
        <f>ABCD!M789</f>
        <v>-0.91568693157245329</v>
      </c>
      <c r="M740" s="89">
        <f>ABCD!N789</f>
        <v>5.1268769666441516</v>
      </c>
      <c r="N740" s="89" t="e">
        <v>#REF!</v>
      </c>
      <c r="O740" s="89" t="e">
        <v>#REF!</v>
      </c>
      <c r="P740" s="89" t="e">
        <v>#REF!</v>
      </c>
      <c r="Q740" s="89" t="e">
        <v>#REF!</v>
      </c>
      <c r="R740" s="89" t="e">
        <v>#REF!</v>
      </c>
      <c r="S740" s="89" t="e">
        <f>#REF!</f>
        <v>#REF!</v>
      </c>
      <c r="T740" s="89" t="e">
        <f>#REF!</f>
        <v>#REF!</v>
      </c>
      <c r="U740" s="89" t="e">
        <f>#REF!</f>
        <v>#REF!</v>
      </c>
      <c r="V740" s="89" t="e">
        <f>#REF!</f>
        <v>#REF!</v>
      </c>
      <c r="W740" s="89" t="e">
        <f>#REF!</f>
        <v>#REF!</v>
      </c>
      <c r="X740" s="89" t="e">
        <f>#REF!</f>
        <v>#REF!</v>
      </c>
      <c r="Y740" s="89" t="e">
        <f>#REF!</f>
        <v>#REF!</v>
      </c>
      <c r="Z740" s="89" t="e">
        <f>#REF!</f>
        <v>#REF!</v>
      </c>
      <c r="AA740" s="89" t="e">
        <f>#REF!</f>
        <v>#REF!</v>
      </c>
      <c r="AB740" s="89" t="e">
        <f>#REF!</f>
        <v>#REF!</v>
      </c>
      <c r="AC740" s="89" t="e">
        <f>#REF!</f>
        <v>#REF!</v>
      </c>
      <c r="AD740" s="89" t="e">
        <f>#REF!</f>
        <v>#REF!</v>
      </c>
      <c r="AE740" s="89" t="e">
        <f>#REF!</f>
        <v>#REF!</v>
      </c>
      <c r="AF740" s="89" t="e">
        <f>#REF!</f>
        <v>#REF!</v>
      </c>
      <c r="AG740" s="89" t="e">
        <f>#REF!</f>
        <v>#REF!</v>
      </c>
      <c r="AH740" s="89" t="e">
        <f>#REF!</f>
        <v>#REF!</v>
      </c>
      <c r="AI740" s="89" t="e">
        <f>#REF!</f>
        <v>#REF!</v>
      </c>
      <c r="AJ740" s="89" t="e">
        <f>#REF!</f>
        <v>#REF!</v>
      </c>
      <c r="AK740" s="89" t="e">
        <f>#REF!</f>
        <v>#REF!</v>
      </c>
      <c r="AL740" s="89" t="e">
        <f>#REF!</f>
        <v>#REF!</v>
      </c>
      <c r="AM740" s="89" t="e">
        <f>#REF!</f>
        <v>#REF!</v>
      </c>
      <c r="AN740" s="89" t="e">
        <f>#REF!</f>
        <v>#REF!</v>
      </c>
      <c r="AO740" s="89" t="e">
        <f>#REF!</f>
        <v>#REF!</v>
      </c>
      <c r="AP740" s="89" t="e">
        <f>#REF!</f>
        <v>#REF!</v>
      </c>
      <c r="AQ740" s="89" t="e">
        <f>#REF!</f>
        <v>#REF!</v>
      </c>
      <c r="AR740" s="89" t="e">
        <f>#REF!</f>
        <v>#REF!</v>
      </c>
      <c r="AS740" s="89" t="e">
        <f>#REF!</f>
        <v>#REF!</v>
      </c>
      <c r="AT740" s="89" t="e">
        <f>#REF!</f>
        <v>#REF!</v>
      </c>
      <c r="AU740" s="89" t="e">
        <f>#REF!</f>
        <v>#REF!</v>
      </c>
      <c r="AV740" s="89" t="e">
        <f>#REF!</f>
        <v>#REF!</v>
      </c>
      <c r="AW740" s="89" t="e">
        <f>#REF!</f>
        <v>#REF!</v>
      </c>
      <c r="AX740" s="89" t="e">
        <f>#REF!</f>
        <v>#REF!</v>
      </c>
      <c r="AY740" s="89" t="e">
        <f>#REF!</f>
        <v>#REF!</v>
      </c>
      <c r="AZ740" s="89" t="e">
        <f>#REF!</f>
        <v>#REF!</v>
      </c>
      <c r="BA740" s="89" t="e">
        <f>#REF!</f>
        <v>#REF!</v>
      </c>
      <c r="BB740" s="89" t="e">
        <f>#REF!</f>
        <v>#REF!</v>
      </c>
      <c r="BC740" s="89" t="e">
        <f>#REF!</f>
        <v>#REF!</v>
      </c>
      <c r="BD740" s="89" t="e">
        <f>#REF!</f>
        <v>#REF!</v>
      </c>
      <c r="BE740" s="89" t="e">
        <f>#REF!</f>
        <v>#REF!</v>
      </c>
      <c r="BF740" s="89" t="e">
        <f>#REF!</f>
        <v>#REF!</v>
      </c>
    </row>
    <row r="741" spans="9:58" x14ac:dyDescent="0.25">
      <c r="I741" s="89">
        <f>ABCD!J790</f>
        <v>184.25</v>
      </c>
      <c r="J741" s="89">
        <f>ABCD!K790</f>
        <v>604.33999999999992</v>
      </c>
      <c r="K741" s="89">
        <f>ABCD!L790</f>
        <v>-5.0455777565745539</v>
      </c>
      <c r="L741" s="89">
        <f>ABCD!M790</f>
        <v>-0.91659946204014653</v>
      </c>
      <c r="M741" s="89">
        <f>ABCD!N790</f>
        <v>5.1281584873570543</v>
      </c>
      <c r="N741" s="89" t="e">
        <v>#REF!</v>
      </c>
      <c r="O741" s="89" t="e">
        <v>#REF!</v>
      </c>
      <c r="P741" s="89" t="e">
        <v>#REF!</v>
      </c>
      <c r="Q741" s="89" t="e">
        <v>#REF!</v>
      </c>
      <c r="R741" s="89" t="e">
        <v>#REF!</v>
      </c>
      <c r="S741" s="89" t="e">
        <f>#REF!</f>
        <v>#REF!</v>
      </c>
      <c r="T741" s="89" t="e">
        <f>#REF!</f>
        <v>#REF!</v>
      </c>
      <c r="U741" s="89" t="e">
        <f>#REF!</f>
        <v>#REF!</v>
      </c>
      <c r="V741" s="89" t="e">
        <f>#REF!</f>
        <v>#REF!</v>
      </c>
      <c r="W741" s="89" t="e">
        <f>#REF!</f>
        <v>#REF!</v>
      </c>
      <c r="X741" s="89" t="e">
        <f>#REF!</f>
        <v>#REF!</v>
      </c>
      <c r="Y741" s="89" t="e">
        <f>#REF!</f>
        <v>#REF!</v>
      </c>
      <c r="Z741" s="89" t="e">
        <f>#REF!</f>
        <v>#REF!</v>
      </c>
      <c r="AA741" s="89" t="e">
        <f>#REF!</f>
        <v>#REF!</v>
      </c>
      <c r="AB741" s="89" t="e">
        <f>#REF!</f>
        <v>#REF!</v>
      </c>
      <c r="AC741" s="89" t="e">
        <f>#REF!</f>
        <v>#REF!</v>
      </c>
      <c r="AD741" s="89" t="e">
        <f>#REF!</f>
        <v>#REF!</v>
      </c>
      <c r="AE741" s="89" t="e">
        <f>#REF!</f>
        <v>#REF!</v>
      </c>
      <c r="AF741" s="89" t="e">
        <f>#REF!</f>
        <v>#REF!</v>
      </c>
      <c r="AG741" s="89" t="e">
        <f>#REF!</f>
        <v>#REF!</v>
      </c>
      <c r="AH741" s="89" t="e">
        <f>#REF!</f>
        <v>#REF!</v>
      </c>
      <c r="AI741" s="89" t="e">
        <f>#REF!</f>
        <v>#REF!</v>
      </c>
      <c r="AJ741" s="89" t="e">
        <f>#REF!</f>
        <v>#REF!</v>
      </c>
      <c r="AK741" s="89" t="e">
        <f>#REF!</f>
        <v>#REF!</v>
      </c>
      <c r="AL741" s="89" t="e">
        <f>#REF!</f>
        <v>#REF!</v>
      </c>
      <c r="AM741" s="89" t="e">
        <f>#REF!</f>
        <v>#REF!</v>
      </c>
      <c r="AN741" s="89" t="e">
        <f>#REF!</f>
        <v>#REF!</v>
      </c>
      <c r="AO741" s="89" t="e">
        <f>#REF!</f>
        <v>#REF!</v>
      </c>
      <c r="AP741" s="89" t="e">
        <f>#REF!</f>
        <v>#REF!</v>
      </c>
      <c r="AQ741" s="89" t="e">
        <f>#REF!</f>
        <v>#REF!</v>
      </c>
      <c r="AR741" s="89" t="e">
        <f>#REF!</f>
        <v>#REF!</v>
      </c>
      <c r="AS741" s="89" t="e">
        <f>#REF!</f>
        <v>#REF!</v>
      </c>
      <c r="AT741" s="89" t="e">
        <f>#REF!</f>
        <v>#REF!</v>
      </c>
      <c r="AU741" s="89" t="e">
        <f>#REF!</f>
        <v>#REF!</v>
      </c>
      <c r="AV741" s="89" t="e">
        <f>#REF!</f>
        <v>#REF!</v>
      </c>
      <c r="AW741" s="89" t="e">
        <f>#REF!</f>
        <v>#REF!</v>
      </c>
      <c r="AX741" s="89" t="e">
        <f>#REF!</f>
        <v>#REF!</v>
      </c>
      <c r="AY741" s="89" t="e">
        <f>#REF!</f>
        <v>#REF!</v>
      </c>
      <c r="AZ741" s="89" t="e">
        <f>#REF!</f>
        <v>#REF!</v>
      </c>
      <c r="BA741" s="89" t="e">
        <f>#REF!</f>
        <v>#REF!</v>
      </c>
      <c r="BB741" s="89" t="e">
        <f>#REF!</f>
        <v>#REF!</v>
      </c>
      <c r="BC741" s="89" t="e">
        <f>#REF!</f>
        <v>#REF!</v>
      </c>
      <c r="BD741" s="89" t="e">
        <f>#REF!</f>
        <v>#REF!</v>
      </c>
      <c r="BE741" s="89" t="e">
        <f>#REF!</f>
        <v>#REF!</v>
      </c>
      <c r="BF741" s="89" t="e">
        <f>#REF!</f>
        <v>#REF!</v>
      </c>
    </row>
    <row r="742" spans="9:58" x14ac:dyDescent="0.25">
      <c r="I742" s="89">
        <f>ABCD!J791</f>
        <v>184.5</v>
      </c>
      <c r="J742" s="89">
        <f>ABCD!K791</f>
        <v>605.16</v>
      </c>
      <c r="K742" s="89">
        <f>ABCD!L791</f>
        <v>-5.045548776610504</v>
      </c>
      <c r="L742" s="89">
        <f>ABCD!M791</f>
        <v>-0.91729958279414769</v>
      </c>
      <c r="M742" s="89">
        <f>ABCD!N791</f>
        <v>5.1282551595791395</v>
      </c>
      <c r="N742" s="89" t="e">
        <v>#REF!</v>
      </c>
      <c r="O742" s="89" t="e">
        <v>#REF!</v>
      </c>
      <c r="P742" s="89" t="e">
        <v>#REF!</v>
      </c>
      <c r="Q742" s="89" t="e">
        <v>#REF!</v>
      </c>
      <c r="R742" s="89" t="e">
        <v>#REF!</v>
      </c>
      <c r="S742" s="89" t="e">
        <f>#REF!</f>
        <v>#REF!</v>
      </c>
      <c r="T742" s="89" t="e">
        <f>#REF!</f>
        <v>#REF!</v>
      </c>
      <c r="U742" s="89" t="e">
        <f>#REF!</f>
        <v>#REF!</v>
      </c>
      <c r="V742" s="89" t="e">
        <f>#REF!</f>
        <v>#REF!</v>
      </c>
      <c r="W742" s="89" t="e">
        <f>#REF!</f>
        <v>#REF!</v>
      </c>
      <c r="X742" s="89" t="e">
        <f>#REF!</f>
        <v>#REF!</v>
      </c>
      <c r="Y742" s="89" t="e">
        <f>#REF!</f>
        <v>#REF!</v>
      </c>
      <c r="Z742" s="89" t="e">
        <f>#REF!</f>
        <v>#REF!</v>
      </c>
      <c r="AA742" s="89" t="e">
        <f>#REF!</f>
        <v>#REF!</v>
      </c>
      <c r="AB742" s="89" t="e">
        <f>#REF!</f>
        <v>#REF!</v>
      </c>
      <c r="AC742" s="89" t="e">
        <f>#REF!</f>
        <v>#REF!</v>
      </c>
      <c r="AD742" s="89" t="e">
        <f>#REF!</f>
        <v>#REF!</v>
      </c>
      <c r="AE742" s="89" t="e">
        <f>#REF!</f>
        <v>#REF!</v>
      </c>
      <c r="AF742" s="89" t="e">
        <f>#REF!</f>
        <v>#REF!</v>
      </c>
      <c r="AG742" s="89" t="e">
        <f>#REF!</f>
        <v>#REF!</v>
      </c>
      <c r="AH742" s="89" t="e">
        <f>#REF!</f>
        <v>#REF!</v>
      </c>
      <c r="AI742" s="89" t="e">
        <f>#REF!</f>
        <v>#REF!</v>
      </c>
      <c r="AJ742" s="89" t="e">
        <f>#REF!</f>
        <v>#REF!</v>
      </c>
      <c r="AK742" s="89" t="e">
        <f>#REF!</f>
        <v>#REF!</v>
      </c>
      <c r="AL742" s="89" t="e">
        <f>#REF!</f>
        <v>#REF!</v>
      </c>
      <c r="AM742" s="89" t="e">
        <f>#REF!</f>
        <v>#REF!</v>
      </c>
      <c r="AN742" s="89" t="e">
        <f>#REF!</f>
        <v>#REF!</v>
      </c>
      <c r="AO742" s="89" t="e">
        <f>#REF!</f>
        <v>#REF!</v>
      </c>
      <c r="AP742" s="89" t="e">
        <f>#REF!</f>
        <v>#REF!</v>
      </c>
      <c r="AQ742" s="89" t="e">
        <f>#REF!</f>
        <v>#REF!</v>
      </c>
      <c r="AR742" s="89" t="e">
        <f>#REF!</f>
        <v>#REF!</v>
      </c>
      <c r="AS742" s="89" t="e">
        <f>#REF!</f>
        <v>#REF!</v>
      </c>
      <c r="AT742" s="89" t="e">
        <f>#REF!</f>
        <v>#REF!</v>
      </c>
      <c r="AU742" s="89" t="e">
        <f>#REF!</f>
        <v>#REF!</v>
      </c>
      <c r="AV742" s="89" t="e">
        <f>#REF!</f>
        <v>#REF!</v>
      </c>
      <c r="AW742" s="89" t="e">
        <f>#REF!</f>
        <v>#REF!</v>
      </c>
      <c r="AX742" s="89" t="e">
        <f>#REF!</f>
        <v>#REF!</v>
      </c>
      <c r="AY742" s="89" t="e">
        <f>#REF!</f>
        <v>#REF!</v>
      </c>
      <c r="AZ742" s="89" t="e">
        <f>#REF!</f>
        <v>#REF!</v>
      </c>
      <c r="BA742" s="89" t="e">
        <f>#REF!</f>
        <v>#REF!</v>
      </c>
      <c r="BB742" s="89" t="e">
        <f>#REF!</f>
        <v>#REF!</v>
      </c>
      <c r="BC742" s="89" t="e">
        <f>#REF!</f>
        <v>#REF!</v>
      </c>
      <c r="BD742" s="89" t="e">
        <f>#REF!</f>
        <v>#REF!</v>
      </c>
      <c r="BE742" s="89" t="e">
        <f>#REF!</f>
        <v>#REF!</v>
      </c>
      <c r="BF742" s="89" t="e">
        <f>#REF!</f>
        <v>#REF!</v>
      </c>
    </row>
    <row r="743" spans="9:58" x14ac:dyDescent="0.25">
      <c r="I743" s="89">
        <f>ABCD!J792</f>
        <v>184.75</v>
      </c>
      <c r="J743" s="89">
        <f>ABCD!K792</f>
        <v>605.98</v>
      </c>
      <c r="K743" s="89">
        <f>ABCD!L792</f>
        <v>-5.04435510281</v>
      </c>
      <c r="L743" s="89">
        <f>ABCD!M792</f>
        <v>-0.91778732330057611</v>
      </c>
      <c r="M743" s="89">
        <f>ABCD!N792</f>
        <v>5.1271680267040711</v>
      </c>
      <c r="N743" s="89" t="e">
        <v>#REF!</v>
      </c>
      <c r="O743" s="89" t="e">
        <v>#REF!</v>
      </c>
      <c r="P743" s="89" t="e">
        <v>#REF!</v>
      </c>
      <c r="Q743" s="89" t="e">
        <v>#REF!</v>
      </c>
      <c r="R743" s="89" t="e">
        <v>#REF!</v>
      </c>
      <c r="S743" s="89" t="e">
        <f>#REF!</f>
        <v>#REF!</v>
      </c>
      <c r="T743" s="89" t="e">
        <f>#REF!</f>
        <v>#REF!</v>
      </c>
      <c r="U743" s="89" t="e">
        <f>#REF!</f>
        <v>#REF!</v>
      </c>
      <c r="V743" s="89" t="e">
        <f>#REF!</f>
        <v>#REF!</v>
      </c>
      <c r="W743" s="89" t="e">
        <f>#REF!</f>
        <v>#REF!</v>
      </c>
      <c r="X743" s="89" t="e">
        <f>#REF!</f>
        <v>#REF!</v>
      </c>
      <c r="Y743" s="89" t="e">
        <f>#REF!</f>
        <v>#REF!</v>
      </c>
      <c r="Z743" s="89" t="e">
        <f>#REF!</f>
        <v>#REF!</v>
      </c>
      <c r="AA743" s="89" t="e">
        <f>#REF!</f>
        <v>#REF!</v>
      </c>
      <c r="AB743" s="89" t="e">
        <f>#REF!</f>
        <v>#REF!</v>
      </c>
      <c r="AC743" s="89" t="e">
        <f>#REF!</f>
        <v>#REF!</v>
      </c>
      <c r="AD743" s="89" t="e">
        <f>#REF!</f>
        <v>#REF!</v>
      </c>
      <c r="AE743" s="89" t="e">
        <f>#REF!</f>
        <v>#REF!</v>
      </c>
      <c r="AF743" s="89" t="e">
        <f>#REF!</f>
        <v>#REF!</v>
      </c>
      <c r="AG743" s="89" t="e">
        <f>#REF!</f>
        <v>#REF!</v>
      </c>
      <c r="AH743" s="89" t="e">
        <f>#REF!</f>
        <v>#REF!</v>
      </c>
      <c r="AI743" s="89" t="e">
        <f>#REF!</f>
        <v>#REF!</v>
      </c>
      <c r="AJ743" s="89" t="e">
        <f>#REF!</f>
        <v>#REF!</v>
      </c>
      <c r="AK743" s="89" t="e">
        <f>#REF!</f>
        <v>#REF!</v>
      </c>
      <c r="AL743" s="89" t="e">
        <f>#REF!</f>
        <v>#REF!</v>
      </c>
      <c r="AM743" s="89" t="e">
        <f>#REF!</f>
        <v>#REF!</v>
      </c>
      <c r="AN743" s="89" t="e">
        <f>#REF!</f>
        <v>#REF!</v>
      </c>
      <c r="AO743" s="89" t="e">
        <f>#REF!</f>
        <v>#REF!</v>
      </c>
      <c r="AP743" s="89" t="e">
        <f>#REF!</f>
        <v>#REF!</v>
      </c>
      <c r="AQ743" s="89" t="e">
        <f>#REF!</f>
        <v>#REF!</v>
      </c>
      <c r="AR743" s="89" t="e">
        <f>#REF!</f>
        <v>#REF!</v>
      </c>
      <c r="AS743" s="89" t="e">
        <f>#REF!</f>
        <v>#REF!</v>
      </c>
      <c r="AT743" s="89" t="e">
        <f>#REF!</f>
        <v>#REF!</v>
      </c>
      <c r="AU743" s="89" t="e">
        <f>#REF!</f>
        <v>#REF!</v>
      </c>
      <c r="AV743" s="89" t="e">
        <f>#REF!</f>
        <v>#REF!</v>
      </c>
      <c r="AW743" s="89" t="e">
        <f>#REF!</f>
        <v>#REF!</v>
      </c>
      <c r="AX743" s="89" t="e">
        <f>#REF!</f>
        <v>#REF!</v>
      </c>
      <c r="AY743" s="89" t="e">
        <f>#REF!</f>
        <v>#REF!</v>
      </c>
      <c r="AZ743" s="89" t="e">
        <f>#REF!</f>
        <v>#REF!</v>
      </c>
      <c r="BA743" s="89" t="e">
        <f>#REF!</f>
        <v>#REF!</v>
      </c>
      <c r="BB743" s="89" t="e">
        <f>#REF!</f>
        <v>#REF!</v>
      </c>
      <c r="BC743" s="89" t="e">
        <f>#REF!</f>
        <v>#REF!</v>
      </c>
      <c r="BD743" s="89" t="e">
        <f>#REF!</f>
        <v>#REF!</v>
      </c>
      <c r="BE743" s="89" t="e">
        <f>#REF!</f>
        <v>#REF!</v>
      </c>
      <c r="BF743" s="89" t="e">
        <f>#REF!</f>
        <v>#REF!</v>
      </c>
    </row>
    <row r="744" spans="9:58" x14ac:dyDescent="0.25">
      <c r="I744" s="89">
        <f>ABCD!J793</f>
        <v>185</v>
      </c>
      <c r="J744" s="89">
        <f>ABCD!K793</f>
        <v>606.79999999999995</v>
      </c>
      <c r="K744" s="89">
        <f>ABCD!L793</f>
        <v>-5.0419980584748805</v>
      </c>
      <c r="L744" s="89">
        <f>ABCD!M793</f>
        <v>-0.91806276202512294</v>
      </c>
      <c r="M744" s="89">
        <f>ABCD!N793</f>
        <v>5.1248984045229289</v>
      </c>
      <c r="N744" s="89" t="e">
        <v>#REF!</v>
      </c>
      <c r="O744" s="89" t="e">
        <v>#REF!</v>
      </c>
      <c r="P744" s="89" t="e">
        <v>#REF!</v>
      </c>
      <c r="Q744" s="89" t="e">
        <v>#REF!</v>
      </c>
      <c r="R744" s="89" t="e">
        <v>#REF!</v>
      </c>
      <c r="S744" s="89" t="e">
        <f>#REF!</f>
        <v>#REF!</v>
      </c>
      <c r="T744" s="89" t="e">
        <f>#REF!</f>
        <v>#REF!</v>
      </c>
      <c r="U744" s="89" t="e">
        <f>#REF!</f>
        <v>#REF!</v>
      </c>
      <c r="V744" s="89" t="e">
        <f>#REF!</f>
        <v>#REF!</v>
      </c>
      <c r="W744" s="89" t="e">
        <f>#REF!</f>
        <v>#REF!</v>
      </c>
      <c r="X744" s="89" t="e">
        <f>#REF!</f>
        <v>#REF!</v>
      </c>
      <c r="Y744" s="89" t="e">
        <f>#REF!</f>
        <v>#REF!</v>
      </c>
      <c r="Z744" s="89" t="e">
        <f>#REF!</f>
        <v>#REF!</v>
      </c>
      <c r="AA744" s="89" t="e">
        <f>#REF!</f>
        <v>#REF!</v>
      </c>
      <c r="AB744" s="89" t="e">
        <f>#REF!</f>
        <v>#REF!</v>
      </c>
      <c r="AC744" s="89" t="e">
        <f>#REF!</f>
        <v>#REF!</v>
      </c>
      <c r="AD744" s="89" t="e">
        <f>#REF!</f>
        <v>#REF!</v>
      </c>
      <c r="AE744" s="89" t="e">
        <f>#REF!</f>
        <v>#REF!</v>
      </c>
      <c r="AF744" s="89" t="e">
        <f>#REF!</f>
        <v>#REF!</v>
      </c>
      <c r="AG744" s="89" t="e">
        <f>#REF!</f>
        <v>#REF!</v>
      </c>
      <c r="AH744" s="89" t="e">
        <f>#REF!</f>
        <v>#REF!</v>
      </c>
      <c r="AI744" s="89" t="e">
        <f>#REF!</f>
        <v>#REF!</v>
      </c>
      <c r="AJ744" s="89" t="e">
        <f>#REF!</f>
        <v>#REF!</v>
      </c>
      <c r="AK744" s="89" t="e">
        <f>#REF!</f>
        <v>#REF!</v>
      </c>
      <c r="AL744" s="89" t="e">
        <f>#REF!</f>
        <v>#REF!</v>
      </c>
      <c r="AM744" s="89" t="e">
        <f>#REF!</f>
        <v>#REF!</v>
      </c>
      <c r="AN744" s="89" t="e">
        <f>#REF!</f>
        <v>#REF!</v>
      </c>
      <c r="AO744" s="89" t="e">
        <f>#REF!</f>
        <v>#REF!</v>
      </c>
      <c r="AP744" s="89" t="e">
        <f>#REF!</f>
        <v>#REF!</v>
      </c>
      <c r="AQ744" s="89" t="e">
        <f>#REF!</f>
        <v>#REF!</v>
      </c>
      <c r="AR744" s="89" t="e">
        <f>#REF!</f>
        <v>#REF!</v>
      </c>
      <c r="AS744" s="89" t="e">
        <f>#REF!</f>
        <v>#REF!</v>
      </c>
      <c r="AT744" s="89" t="e">
        <f>#REF!</f>
        <v>#REF!</v>
      </c>
      <c r="AU744" s="89" t="e">
        <f>#REF!</f>
        <v>#REF!</v>
      </c>
      <c r="AV744" s="89" t="e">
        <f>#REF!</f>
        <v>#REF!</v>
      </c>
      <c r="AW744" s="89" t="e">
        <f>#REF!</f>
        <v>#REF!</v>
      </c>
      <c r="AX744" s="89" t="e">
        <f>#REF!</f>
        <v>#REF!</v>
      </c>
      <c r="AY744" s="89" t="e">
        <f>#REF!</f>
        <v>#REF!</v>
      </c>
      <c r="AZ744" s="89" t="e">
        <f>#REF!</f>
        <v>#REF!</v>
      </c>
      <c r="BA744" s="89" t="e">
        <f>#REF!</f>
        <v>#REF!</v>
      </c>
      <c r="BB744" s="89" t="e">
        <f>#REF!</f>
        <v>#REF!</v>
      </c>
      <c r="BC744" s="89" t="e">
        <f>#REF!</f>
        <v>#REF!</v>
      </c>
      <c r="BD744" s="89" t="e">
        <f>#REF!</f>
        <v>#REF!</v>
      </c>
      <c r="BE744" s="89" t="e">
        <f>#REF!</f>
        <v>#REF!</v>
      </c>
      <c r="BF744" s="89" t="e">
        <f>#REF!</f>
        <v>#REF!</v>
      </c>
    </row>
    <row r="745" spans="9:58" x14ac:dyDescent="0.25">
      <c r="I745" s="89">
        <f>ABCD!J794</f>
        <v>185.25</v>
      </c>
      <c r="J745" s="89">
        <f>ABCD!K794</f>
        <v>607.62</v>
      </c>
      <c r="K745" s="89">
        <f>ABCD!L794</f>
        <v>-5.03847923427025</v>
      </c>
      <c r="L745" s="89">
        <f>ABCD!M794</f>
        <v>-0.91812602637086926</v>
      </c>
      <c r="M745" s="89">
        <f>ABCD!N794</f>
        <v>5.1214478806751602</v>
      </c>
      <c r="N745" s="89" t="e">
        <v>#REF!</v>
      </c>
      <c r="O745" s="89" t="e">
        <v>#REF!</v>
      </c>
      <c r="P745" s="89" t="e">
        <v>#REF!</v>
      </c>
      <c r="Q745" s="89" t="e">
        <v>#REF!</v>
      </c>
      <c r="R745" s="89" t="e">
        <v>#REF!</v>
      </c>
      <c r="S745" s="89" t="e">
        <f>#REF!</f>
        <v>#REF!</v>
      </c>
      <c r="T745" s="89" t="e">
        <f>#REF!</f>
        <v>#REF!</v>
      </c>
      <c r="U745" s="89" t="e">
        <f>#REF!</f>
        <v>#REF!</v>
      </c>
      <c r="V745" s="89" t="e">
        <f>#REF!</f>
        <v>#REF!</v>
      </c>
      <c r="W745" s="89" t="e">
        <f>#REF!</f>
        <v>#REF!</v>
      </c>
      <c r="X745" s="89" t="e">
        <f>#REF!</f>
        <v>#REF!</v>
      </c>
      <c r="Y745" s="89" t="e">
        <f>#REF!</f>
        <v>#REF!</v>
      </c>
      <c r="Z745" s="89" t="e">
        <f>#REF!</f>
        <v>#REF!</v>
      </c>
      <c r="AA745" s="89" t="e">
        <f>#REF!</f>
        <v>#REF!</v>
      </c>
      <c r="AB745" s="89" t="e">
        <f>#REF!</f>
        <v>#REF!</v>
      </c>
      <c r="AC745" s="89" t="e">
        <f>#REF!</f>
        <v>#REF!</v>
      </c>
      <c r="AD745" s="89" t="e">
        <f>#REF!</f>
        <v>#REF!</v>
      </c>
      <c r="AE745" s="89" t="e">
        <f>#REF!</f>
        <v>#REF!</v>
      </c>
      <c r="AF745" s="89" t="e">
        <f>#REF!</f>
        <v>#REF!</v>
      </c>
      <c r="AG745" s="89" t="e">
        <f>#REF!</f>
        <v>#REF!</v>
      </c>
      <c r="AH745" s="89" t="e">
        <f>#REF!</f>
        <v>#REF!</v>
      </c>
      <c r="AI745" s="89" t="e">
        <f>#REF!</f>
        <v>#REF!</v>
      </c>
      <c r="AJ745" s="89" t="e">
        <f>#REF!</f>
        <v>#REF!</v>
      </c>
      <c r="AK745" s="89" t="e">
        <f>#REF!</f>
        <v>#REF!</v>
      </c>
      <c r="AL745" s="89" t="e">
        <f>#REF!</f>
        <v>#REF!</v>
      </c>
      <c r="AM745" s="89" t="e">
        <f>#REF!</f>
        <v>#REF!</v>
      </c>
      <c r="AN745" s="89" t="e">
        <f>#REF!</f>
        <v>#REF!</v>
      </c>
      <c r="AO745" s="89" t="e">
        <f>#REF!</f>
        <v>#REF!</v>
      </c>
      <c r="AP745" s="89" t="e">
        <f>#REF!</f>
        <v>#REF!</v>
      </c>
      <c r="AQ745" s="89" t="e">
        <f>#REF!</f>
        <v>#REF!</v>
      </c>
      <c r="AR745" s="89" t="e">
        <f>#REF!</f>
        <v>#REF!</v>
      </c>
      <c r="AS745" s="89" t="e">
        <f>#REF!</f>
        <v>#REF!</v>
      </c>
      <c r="AT745" s="89" t="e">
        <f>#REF!</f>
        <v>#REF!</v>
      </c>
      <c r="AU745" s="89" t="e">
        <f>#REF!</f>
        <v>#REF!</v>
      </c>
      <c r="AV745" s="89" t="e">
        <f>#REF!</f>
        <v>#REF!</v>
      </c>
      <c r="AW745" s="89" t="e">
        <f>#REF!</f>
        <v>#REF!</v>
      </c>
      <c r="AX745" s="89" t="e">
        <f>#REF!</f>
        <v>#REF!</v>
      </c>
      <c r="AY745" s="89" t="e">
        <f>#REF!</f>
        <v>#REF!</v>
      </c>
      <c r="AZ745" s="89" t="e">
        <f>#REF!</f>
        <v>#REF!</v>
      </c>
      <c r="BA745" s="89" t="e">
        <f>#REF!</f>
        <v>#REF!</v>
      </c>
      <c r="BB745" s="89" t="e">
        <f>#REF!</f>
        <v>#REF!</v>
      </c>
      <c r="BC745" s="89" t="e">
        <f>#REF!</f>
        <v>#REF!</v>
      </c>
      <c r="BD745" s="89" t="e">
        <f>#REF!</f>
        <v>#REF!</v>
      </c>
      <c r="BE745" s="89" t="e">
        <f>#REF!</f>
        <v>#REF!</v>
      </c>
      <c r="BF745" s="89" t="e">
        <f>#REF!</f>
        <v>#REF!</v>
      </c>
    </row>
    <row r="746" spans="9:58" x14ac:dyDescent="0.25">
      <c r="I746" s="89">
        <f>ABCD!J795</f>
        <v>185.5</v>
      </c>
      <c r="J746" s="89">
        <f>ABCD!K795</f>
        <v>608.43999999999994</v>
      </c>
      <c r="K746" s="89">
        <f>ABCD!L795</f>
        <v>-5.0338004876167783</v>
      </c>
      <c r="L746" s="89">
        <f>ABCD!M795</f>
        <v>-0.91797729260483085</v>
      </c>
      <c r="M746" s="89">
        <f>ABCD!N795</f>
        <v>5.1168183140374461</v>
      </c>
      <c r="N746" s="89" t="e">
        <v>#REF!</v>
      </c>
      <c r="O746" s="89" t="e">
        <v>#REF!</v>
      </c>
      <c r="P746" s="89" t="e">
        <v>#REF!</v>
      </c>
      <c r="Q746" s="89" t="e">
        <v>#REF!</v>
      </c>
      <c r="R746" s="89" t="e">
        <v>#REF!</v>
      </c>
      <c r="S746" s="89" t="e">
        <f>#REF!</f>
        <v>#REF!</v>
      </c>
      <c r="T746" s="89" t="e">
        <f>#REF!</f>
        <v>#REF!</v>
      </c>
      <c r="U746" s="89" t="e">
        <f>#REF!</f>
        <v>#REF!</v>
      </c>
      <c r="V746" s="89" t="e">
        <f>#REF!</f>
        <v>#REF!</v>
      </c>
      <c r="W746" s="89" t="e">
        <f>#REF!</f>
        <v>#REF!</v>
      </c>
      <c r="X746" s="89" t="e">
        <f>#REF!</f>
        <v>#REF!</v>
      </c>
      <c r="Y746" s="89" t="e">
        <f>#REF!</f>
        <v>#REF!</v>
      </c>
      <c r="Z746" s="89" t="e">
        <f>#REF!</f>
        <v>#REF!</v>
      </c>
      <c r="AA746" s="89" t="e">
        <f>#REF!</f>
        <v>#REF!</v>
      </c>
      <c r="AB746" s="89" t="e">
        <f>#REF!</f>
        <v>#REF!</v>
      </c>
      <c r="AC746" s="89" t="e">
        <f>#REF!</f>
        <v>#REF!</v>
      </c>
      <c r="AD746" s="89" t="e">
        <f>#REF!</f>
        <v>#REF!</v>
      </c>
      <c r="AE746" s="89" t="e">
        <f>#REF!</f>
        <v>#REF!</v>
      </c>
      <c r="AF746" s="89" t="e">
        <f>#REF!</f>
        <v>#REF!</v>
      </c>
      <c r="AG746" s="89" t="e">
        <f>#REF!</f>
        <v>#REF!</v>
      </c>
      <c r="AH746" s="89" t="e">
        <f>#REF!</f>
        <v>#REF!</v>
      </c>
      <c r="AI746" s="89" t="e">
        <f>#REF!</f>
        <v>#REF!</v>
      </c>
      <c r="AJ746" s="89" t="e">
        <f>#REF!</f>
        <v>#REF!</v>
      </c>
      <c r="AK746" s="89" t="e">
        <f>#REF!</f>
        <v>#REF!</v>
      </c>
      <c r="AL746" s="89" t="e">
        <f>#REF!</f>
        <v>#REF!</v>
      </c>
      <c r="AM746" s="89" t="e">
        <f>#REF!</f>
        <v>#REF!</v>
      </c>
      <c r="AN746" s="89" t="e">
        <f>#REF!</f>
        <v>#REF!</v>
      </c>
      <c r="AO746" s="89" t="e">
        <f>#REF!</f>
        <v>#REF!</v>
      </c>
      <c r="AP746" s="89" t="e">
        <f>#REF!</f>
        <v>#REF!</v>
      </c>
      <c r="AQ746" s="89" t="e">
        <f>#REF!</f>
        <v>#REF!</v>
      </c>
      <c r="AR746" s="89" t="e">
        <f>#REF!</f>
        <v>#REF!</v>
      </c>
      <c r="AS746" s="89" t="e">
        <f>#REF!</f>
        <v>#REF!</v>
      </c>
      <c r="AT746" s="89" t="e">
        <f>#REF!</f>
        <v>#REF!</v>
      </c>
      <c r="AU746" s="89" t="e">
        <f>#REF!</f>
        <v>#REF!</v>
      </c>
      <c r="AV746" s="89" t="e">
        <f>#REF!</f>
        <v>#REF!</v>
      </c>
      <c r="AW746" s="89" t="e">
        <f>#REF!</f>
        <v>#REF!</v>
      </c>
      <c r="AX746" s="89" t="e">
        <f>#REF!</f>
        <v>#REF!</v>
      </c>
      <c r="AY746" s="89" t="e">
        <f>#REF!</f>
        <v>#REF!</v>
      </c>
      <c r="AZ746" s="89" t="e">
        <f>#REF!</f>
        <v>#REF!</v>
      </c>
      <c r="BA746" s="89" t="e">
        <f>#REF!</f>
        <v>#REF!</v>
      </c>
      <c r="BB746" s="89" t="e">
        <f>#REF!</f>
        <v>#REF!</v>
      </c>
      <c r="BC746" s="89" t="e">
        <f>#REF!</f>
        <v>#REF!</v>
      </c>
      <c r="BD746" s="89" t="e">
        <f>#REF!</f>
        <v>#REF!</v>
      </c>
      <c r="BE746" s="89" t="e">
        <f>#REF!</f>
        <v>#REF!</v>
      </c>
      <c r="BF746" s="89" t="e">
        <f>#REF!</f>
        <v>#REF!</v>
      </c>
    </row>
    <row r="747" spans="9:58" x14ac:dyDescent="0.25">
      <c r="I747" s="89">
        <f>ABCD!J796</f>
        <v>185.75</v>
      </c>
      <c r="J747" s="89">
        <f>ABCD!K796</f>
        <v>609.26</v>
      </c>
      <c r="K747" s="89">
        <f>ABCD!L796</f>
        <v>-5.0279639420219508</v>
      </c>
      <c r="L747" s="89">
        <f>ABCD!M796</f>
        <v>-0.9176167857733426</v>
      </c>
      <c r="M747" s="89">
        <f>ABCD!N796</f>
        <v>5.1110118340506627</v>
      </c>
      <c r="N747" s="89" t="e">
        <v>#REF!</v>
      </c>
      <c r="O747" s="89" t="e">
        <v>#REF!</v>
      </c>
      <c r="P747" s="89" t="e">
        <v>#REF!</v>
      </c>
      <c r="Q747" s="89" t="e">
        <v>#REF!</v>
      </c>
      <c r="R747" s="89" t="e">
        <v>#REF!</v>
      </c>
      <c r="S747" s="89" t="e">
        <f>#REF!</f>
        <v>#REF!</v>
      </c>
      <c r="T747" s="89" t="e">
        <f>#REF!</f>
        <v>#REF!</v>
      </c>
      <c r="U747" s="89" t="e">
        <f>#REF!</f>
        <v>#REF!</v>
      </c>
      <c r="V747" s="89" t="e">
        <f>#REF!</f>
        <v>#REF!</v>
      </c>
      <c r="W747" s="89" t="e">
        <f>#REF!</f>
        <v>#REF!</v>
      </c>
      <c r="X747" s="89" t="e">
        <f>#REF!</f>
        <v>#REF!</v>
      </c>
      <c r="Y747" s="89" t="e">
        <f>#REF!</f>
        <v>#REF!</v>
      </c>
      <c r="Z747" s="89" t="e">
        <f>#REF!</f>
        <v>#REF!</v>
      </c>
      <c r="AA747" s="89" t="e">
        <f>#REF!</f>
        <v>#REF!</v>
      </c>
      <c r="AB747" s="89" t="e">
        <f>#REF!</f>
        <v>#REF!</v>
      </c>
      <c r="AC747" s="89" t="e">
        <f>#REF!</f>
        <v>#REF!</v>
      </c>
      <c r="AD747" s="89" t="e">
        <f>#REF!</f>
        <v>#REF!</v>
      </c>
      <c r="AE747" s="89" t="e">
        <f>#REF!</f>
        <v>#REF!</v>
      </c>
      <c r="AF747" s="89" t="e">
        <f>#REF!</f>
        <v>#REF!</v>
      </c>
      <c r="AG747" s="89" t="e">
        <f>#REF!</f>
        <v>#REF!</v>
      </c>
      <c r="AH747" s="89" t="e">
        <f>#REF!</f>
        <v>#REF!</v>
      </c>
      <c r="AI747" s="89" t="e">
        <f>#REF!</f>
        <v>#REF!</v>
      </c>
      <c r="AJ747" s="89" t="e">
        <f>#REF!</f>
        <v>#REF!</v>
      </c>
      <c r="AK747" s="89" t="e">
        <f>#REF!</f>
        <v>#REF!</v>
      </c>
      <c r="AL747" s="89" t="e">
        <f>#REF!</f>
        <v>#REF!</v>
      </c>
      <c r="AM747" s="89" t="e">
        <f>#REF!</f>
        <v>#REF!</v>
      </c>
      <c r="AN747" s="89" t="e">
        <f>#REF!</f>
        <v>#REF!</v>
      </c>
      <c r="AO747" s="89" t="e">
        <f>#REF!</f>
        <v>#REF!</v>
      </c>
      <c r="AP747" s="89" t="e">
        <f>#REF!</f>
        <v>#REF!</v>
      </c>
      <c r="AQ747" s="89" t="e">
        <f>#REF!</f>
        <v>#REF!</v>
      </c>
      <c r="AR747" s="89" t="e">
        <f>#REF!</f>
        <v>#REF!</v>
      </c>
      <c r="AS747" s="89" t="e">
        <f>#REF!</f>
        <v>#REF!</v>
      </c>
      <c r="AT747" s="89" t="e">
        <f>#REF!</f>
        <v>#REF!</v>
      </c>
      <c r="AU747" s="89" t="e">
        <f>#REF!</f>
        <v>#REF!</v>
      </c>
      <c r="AV747" s="89" t="e">
        <f>#REF!</f>
        <v>#REF!</v>
      </c>
      <c r="AW747" s="89" t="e">
        <f>#REF!</f>
        <v>#REF!</v>
      </c>
      <c r="AX747" s="89" t="e">
        <f>#REF!</f>
        <v>#REF!</v>
      </c>
      <c r="AY747" s="89" t="e">
        <f>#REF!</f>
        <v>#REF!</v>
      </c>
      <c r="AZ747" s="89" t="e">
        <f>#REF!</f>
        <v>#REF!</v>
      </c>
      <c r="BA747" s="89" t="e">
        <f>#REF!</f>
        <v>#REF!</v>
      </c>
      <c r="BB747" s="89" t="e">
        <f>#REF!</f>
        <v>#REF!</v>
      </c>
      <c r="BC747" s="89" t="e">
        <f>#REF!</f>
        <v>#REF!</v>
      </c>
      <c r="BD747" s="89" t="e">
        <f>#REF!</f>
        <v>#REF!</v>
      </c>
      <c r="BE747" s="89" t="e">
        <f>#REF!</f>
        <v>#REF!</v>
      </c>
      <c r="BF747" s="89" t="e">
        <f>#REF!</f>
        <v>#REF!</v>
      </c>
    </row>
    <row r="748" spans="9:58" x14ac:dyDescent="0.25">
      <c r="I748" s="89">
        <f>ABCD!J797</f>
        <v>186</v>
      </c>
      <c r="J748" s="89">
        <f>ABCD!K797</f>
        <v>610.07999999999993</v>
      </c>
      <c r="K748" s="89">
        <f>ABCD!L797</f>
        <v>-5.02097198635051</v>
      </c>
      <c r="L748" s="89">
        <f>ABCD!M797</f>
        <v>-0.91704477960620634</v>
      </c>
      <c r="M748" s="89">
        <f>ABCD!N797</f>
        <v>5.1040308399851568</v>
      </c>
      <c r="N748" s="89" t="e">
        <v>#REF!</v>
      </c>
      <c r="O748" s="89" t="e">
        <v>#REF!</v>
      </c>
      <c r="P748" s="89" t="e">
        <v>#REF!</v>
      </c>
      <c r="Q748" s="89" t="e">
        <v>#REF!</v>
      </c>
      <c r="R748" s="89" t="e">
        <v>#REF!</v>
      </c>
      <c r="S748" s="89" t="e">
        <f>#REF!</f>
        <v>#REF!</v>
      </c>
      <c r="T748" s="89" t="e">
        <f>#REF!</f>
        <v>#REF!</v>
      </c>
      <c r="U748" s="89" t="e">
        <f>#REF!</f>
        <v>#REF!</v>
      </c>
      <c r="V748" s="89" t="e">
        <f>#REF!</f>
        <v>#REF!</v>
      </c>
      <c r="W748" s="89" t="e">
        <f>#REF!</f>
        <v>#REF!</v>
      </c>
      <c r="X748" s="89" t="e">
        <f>#REF!</f>
        <v>#REF!</v>
      </c>
      <c r="Y748" s="89" t="e">
        <f>#REF!</f>
        <v>#REF!</v>
      </c>
      <c r="Z748" s="89" t="e">
        <f>#REF!</f>
        <v>#REF!</v>
      </c>
      <c r="AA748" s="89" t="e">
        <f>#REF!</f>
        <v>#REF!</v>
      </c>
      <c r="AB748" s="89" t="e">
        <f>#REF!</f>
        <v>#REF!</v>
      </c>
      <c r="AC748" s="89" t="e">
        <f>#REF!</f>
        <v>#REF!</v>
      </c>
      <c r="AD748" s="89" t="e">
        <f>#REF!</f>
        <v>#REF!</v>
      </c>
      <c r="AE748" s="89" t="e">
        <f>#REF!</f>
        <v>#REF!</v>
      </c>
      <c r="AF748" s="89" t="e">
        <f>#REF!</f>
        <v>#REF!</v>
      </c>
      <c r="AG748" s="89" t="e">
        <f>#REF!</f>
        <v>#REF!</v>
      </c>
      <c r="AH748" s="89" t="e">
        <f>#REF!</f>
        <v>#REF!</v>
      </c>
      <c r="AI748" s="89" t="e">
        <f>#REF!</f>
        <v>#REF!</v>
      </c>
      <c r="AJ748" s="89" t="e">
        <f>#REF!</f>
        <v>#REF!</v>
      </c>
      <c r="AK748" s="89" t="e">
        <f>#REF!</f>
        <v>#REF!</v>
      </c>
      <c r="AL748" s="89" t="e">
        <f>#REF!</f>
        <v>#REF!</v>
      </c>
      <c r="AM748" s="89" t="e">
        <f>#REF!</f>
        <v>#REF!</v>
      </c>
      <c r="AN748" s="89" t="e">
        <f>#REF!</f>
        <v>#REF!</v>
      </c>
      <c r="AO748" s="89" t="e">
        <f>#REF!</f>
        <v>#REF!</v>
      </c>
      <c r="AP748" s="89" t="e">
        <f>#REF!</f>
        <v>#REF!</v>
      </c>
      <c r="AQ748" s="89" t="e">
        <f>#REF!</f>
        <v>#REF!</v>
      </c>
      <c r="AR748" s="89" t="e">
        <f>#REF!</f>
        <v>#REF!</v>
      </c>
      <c r="AS748" s="89" t="e">
        <f>#REF!</f>
        <v>#REF!</v>
      </c>
      <c r="AT748" s="89" t="e">
        <f>#REF!</f>
        <v>#REF!</v>
      </c>
      <c r="AU748" s="89" t="e">
        <f>#REF!</f>
        <v>#REF!</v>
      </c>
      <c r="AV748" s="89" t="e">
        <f>#REF!</f>
        <v>#REF!</v>
      </c>
      <c r="AW748" s="89" t="e">
        <f>#REF!</f>
        <v>#REF!</v>
      </c>
      <c r="AX748" s="89" t="e">
        <f>#REF!</f>
        <v>#REF!</v>
      </c>
      <c r="AY748" s="89" t="e">
        <f>#REF!</f>
        <v>#REF!</v>
      </c>
      <c r="AZ748" s="89" t="e">
        <f>#REF!</f>
        <v>#REF!</v>
      </c>
      <c r="BA748" s="89" t="e">
        <f>#REF!</f>
        <v>#REF!</v>
      </c>
      <c r="BB748" s="89" t="e">
        <f>#REF!</f>
        <v>#REF!</v>
      </c>
      <c r="BC748" s="89" t="e">
        <f>#REF!</f>
        <v>#REF!</v>
      </c>
      <c r="BD748" s="89" t="e">
        <f>#REF!</f>
        <v>#REF!</v>
      </c>
      <c r="BE748" s="89" t="e">
        <f>#REF!</f>
        <v>#REF!</v>
      </c>
      <c r="BF748" s="89" t="e">
        <f>#REF!</f>
        <v>#REF!</v>
      </c>
    </row>
    <row r="749" spans="9:58" x14ac:dyDescent="0.25">
      <c r="I749" s="89">
        <f>ABCD!J798</f>
        <v>186.25</v>
      </c>
      <c r="J749" s="89">
        <f>ABCD!K798</f>
        <v>610.9</v>
      </c>
      <c r="K749" s="89">
        <f>ABCD!L798</f>
        <v>-5.0128272740342918</v>
      </c>
      <c r="L749" s="89">
        <f>ABCD!M798</f>
        <v>-0.91626159640971205</v>
      </c>
      <c r="M749" s="89">
        <f>ABCD!N798</f>
        <v>5.0958780001445625</v>
      </c>
      <c r="N749" s="89" t="e">
        <v>#REF!</v>
      </c>
      <c r="O749" s="89" t="e">
        <v>#REF!</v>
      </c>
      <c r="P749" s="89" t="e">
        <v>#REF!</v>
      </c>
      <c r="Q749" s="89" t="e">
        <v>#REF!</v>
      </c>
      <c r="R749" s="89" t="e">
        <v>#REF!</v>
      </c>
      <c r="S749" s="89" t="e">
        <f>#REF!</f>
        <v>#REF!</v>
      </c>
      <c r="T749" s="89" t="e">
        <f>#REF!</f>
        <v>#REF!</v>
      </c>
      <c r="U749" s="89" t="e">
        <f>#REF!</f>
        <v>#REF!</v>
      </c>
      <c r="V749" s="89" t="e">
        <f>#REF!</f>
        <v>#REF!</v>
      </c>
      <c r="W749" s="89" t="e">
        <f>#REF!</f>
        <v>#REF!</v>
      </c>
      <c r="X749" s="89" t="e">
        <f>#REF!</f>
        <v>#REF!</v>
      </c>
      <c r="Y749" s="89" t="e">
        <f>#REF!</f>
        <v>#REF!</v>
      </c>
      <c r="Z749" s="89" t="e">
        <f>#REF!</f>
        <v>#REF!</v>
      </c>
      <c r="AA749" s="89" t="e">
        <f>#REF!</f>
        <v>#REF!</v>
      </c>
      <c r="AB749" s="89" t="e">
        <f>#REF!</f>
        <v>#REF!</v>
      </c>
      <c r="AC749" s="89" t="e">
        <f>#REF!</f>
        <v>#REF!</v>
      </c>
      <c r="AD749" s="89" t="e">
        <f>#REF!</f>
        <v>#REF!</v>
      </c>
      <c r="AE749" s="89" t="e">
        <f>#REF!</f>
        <v>#REF!</v>
      </c>
      <c r="AF749" s="89" t="e">
        <f>#REF!</f>
        <v>#REF!</v>
      </c>
      <c r="AG749" s="89" t="e">
        <f>#REF!</f>
        <v>#REF!</v>
      </c>
      <c r="AH749" s="89" t="e">
        <f>#REF!</f>
        <v>#REF!</v>
      </c>
      <c r="AI749" s="89" t="e">
        <f>#REF!</f>
        <v>#REF!</v>
      </c>
      <c r="AJ749" s="89" t="e">
        <f>#REF!</f>
        <v>#REF!</v>
      </c>
      <c r="AK749" s="89" t="e">
        <f>#REF!</f>
        <v>#REF!</v>
      </c>
      <c r="AL749" s="89" t="e">
        <f>#REF!</f>
        <v>#REF!</v>
      </c>
      <c r="AM749" s="89" t="e">
        <f>#REF!</f>
        <v>#REF!</v>
      </c>
      <c r="AN749" s="89" t="e">
        <f>#REF!</f>
        <v>#REF!</v>
      </c>
      <c r="AO749" s="89" t="e">
        <f>#REF!</f>
        <v>#REF!</v>
      </c>
      <c r="AP749" s="89" t="e">
        <f>#REF!</f>
        <v>#REF!</v>
      </c>
      <c r="AQ749" s="89" t="e">
        <f>#REF!</f>
        <v>#REF!</v>
      </c>
      <c r="AR749" s="89" t="e">
        <f>#REF!</f>
        <v>#REF!</v>
      </c>
      <c r="AS749" s="89" t="e">
        <f>#REF!</f>
        <v>#REF!</v>
      </c>
      <c r="AT749" s="89" t="e">
        <f>#REF!</f>
        <v>#REF!</v>
      </c>
      <c r="AU749" s="89" t="e">
        <f>#REF!</f>
        <v>#REF!</v>
      </c>
      <c r="AV749" s="89" t="e">
        <f>#REF!</f>
        <v>#REF!</v>
      </c>
      <c r="AW749" s="89" t="e">
        <f>#REF!</f>
        <v>#REF!</v>
      </c>
      <c r="AX749" s="89" t="e">
        <f>#REF!</f>
        <v>#REF!</v>
      </c>
      <c r="AY749" s="89" t="e">
        <f>#REF!</f>
        <v>#REF!</v>
      </c>
      <c r="AZ749" s="89" t="e">
        <f>#REF!</f>
        <v>#REF!</v>
      </c>
      <c r="BA749" s="89" t="e">
        <f>#REF!</f>
        <v>#REF!</v>
      </c>
      <c r="BB749" s="89" t="e">
        <f>#REF!</f>
        <v>#REF!</v>
      </c>
      <c r="BC749" s="89" t="e">
        <f>#REF!</f>
        <v>#REF!</v>
      </c>
      <c r="BD749" s="89" t="e">
        <f>#REF!</f>
        <v>#REF!</v>
      </c>
      <c r="BE749" s="89" t="e">
        <f>#REF!</f>
        <v>#REF!</v>
      </c>
      <c r="BF749" s="89" t="e">
        <f>#REF!</f>
        <v>#REF!</v>
      </c>
    </row>
    <row r="750" spans="9:58" x14ac:dyDescent="0.25">
      <c r="I750" s="89">
        <f>ABCD!J799</f>
        <v>186.5</v>
      </c>
      <c r="J750" s="89">
        <f>ABCD!K799</f>
        <v>611.71999999999991</v>
      </c>
      <c r="K750" s="89">
        <f>ABCD!L799</f>
        <v>-5.0035327222216992</v>
      </c>
      <c r="L750" s="89">
        <f>ABCD!M799</f>
        <v>-0.91526760694853881</v>
      </c>
      <c r="M750" s="89">
        <f>ABCD!N799</f>
        <v>5.0865562510083961</v>
      </c>
      <c r="N750" s="89" t="e">
        <v>#REF!</v>
      </c>
      <c r="O750" s="89" t="e">
        <v>#REF!</v>
      </c>
      <c r="P750" s="89" t="e">
        <v>#REF!</v>
      </c>
      <c r="Q750" s="89" t="e">
        <v>#REF!</v>
      </c>
      <c r="R750" s="89" t="e">
        <v>#REF!</v>
      </c>
      <c r="S750" s="89" t="e">
        <f>#REF!</f>
        <v>#REF!</v>
      </c>
      <c r="T750" s="89" t="e">
        <f>#REF!</f>
        <v>#REF!</v>
      </c>
      <c r="U750" s="89" t="e">
        <f>#REF!</f>
        <v>#REF!</v>
      </c>
      <c r="V750" s="89" t="e">
        <f>#REF!</f>
        <v>#REF!</v>
      </c>
      <c r="W750" s="89" t="e">
        <f>#REF!</f>
        <v>#REF!</v>
      </c>
      <c r="X750" s="89" t="e">
        <f>#REF!</f>
        <v>#REF!</v>
      </c>
      <c r="Y750" s="89" t="e">
        <f>#REF!</f>
        <v>#REF!</v>
      </c>
      <c r="Z750" s="89" t="e">
        <f>#REF!</f>
        <v>#REF!</v>
      </c>
      <c r="AA750" s="89" t="e">
        <f>#REF!</f>
        <v>#REF!</v>
      </c>
      <c r="AB750" s="89" t="e">
        <f>#REF!</f>
        <v>#REF!</v>
      </c>
      <c r="AC750" s="89" t="e">
        <f>#REF!</f>
        <v>#REF!</v>
      </c>
      <c r="AD750" s="89" t="e">
        <f>#REF!</f>
        <v>#REF!</v>
      </c>
      <c r="AE750" s="89" t="e">
        <f>#REF!</f>
        <v>#REF!</v>
      </c>
      <c r="AF750" s="89" t="e">
        <f>#REF!</f>
        <v>#REF!</v>
      </c>
      <c r="AG750" s="89" t="e">
        <f>#REF!</f>
        <v>#REF!</v>
      </c>
      <c r="AH750" s="89" t="e">
        <f>#REF!</f>
        <v>#REF!</v>
      </c>
      <c r="AI750" s="89" t="e">
        <f>#REF!</f>
        <v>#REF!</v>
      </c>
      <c r="AJ750" s="89" t="e">
        <f>#REF!</f>
        <v>#REF!</v>
      </c>
      <c r="AK750" s="89" t="e">
        <f>#REF!</f>
        <v>#REF!</v>
      </c>
      <c r="AL750" s="89" t="e">
        <f>#REF!</f>
        <v>#REF!</v>
      </c>
      <c r="AM750" s="89" t="e">
        <f>#REF!</f>
        <v>#REF!</v>
      </c>
      <c r="AN750" s="89" t="e">
        <f>#REF!</f>
        <v>#REF!</v>
      </c>
      <c r="AO750" s="89" t="e">
        <f>#REF!</f>
        <v>#REF!</v>
      </c>
      <c r="AP750" s="89" t="e">
        <f>#REF!</f>
        <v>#REF!</v>
      </c>
      <c r="AQ750" s="89" t="e">
        <f>#REF!</f>
        <v>#REF!</v>
      </c>
      <c r="AR750" s="89" t="e">
        <f>#REF!</f>
        <v>#REF!</v>
      </c>
      <c r="AS750" s="89" t="e">
        <f>#REF!</f>
        <v>#REF!</v>
      </c>
      <c r="AT750" s="89" t="e">
        <f>#REF!</f>
        <v>#REF!</v>
      </c>
      <c r="AU750" s="89" t="e">
        <f>#REF!</f>
        <v>#REF!</v>
      </c>
      <c r="AV750" s="89" t="e">
        <f>#REF!</f>
        <v>#REF!</v>
      </c>
      <c r="AW750" s="89" t="e">
        <f>#REF!</f>
        <v>#REF!</v>
      </c>
      <c r="AX750" s="89" t="e">
        <f>#REF!</f>
        <v>#REF!</v>
      </c>
      <c r="AY750" s="89" t="e">
        <f>#REF!</f>
        <v>#REF!</v>
      </c>
      <c r="AZ750" s="89" t="e">
        <f>#REF!</f>
        <v>#REF!</v>
      </c>
      <c r="BA750" s="89" t="e">
        <f>#REF!</f>
        <v>#REF!</v>
      </c>
      <c r="BB750" s="89" t="e">
        <f>#REF!</f>
        <v>#REF!</v>
      </c>
      <c r="BC750" s="89" t="e">
        <f>#REF!</f>
        <v>#REF!</v>
      </c>
      <c r="BD750" s="89" t="e">
        <f>#REF!</f>
        <v>#REF!</v>
      </c>
      <c r="BE750" s="89" t="e">
        <f>#REF!</f>
        <v>#REF!</v>
      </c>
      <c r="BF750" s="89" t="e">
        <f>#REF!</f>
        <v>#REF!</v>
      </c>
    </row>
    <row r="751" spans="9:58" x14ac:dyDescent="0.25">
      <c r="I751" s="89">
        <f>ABCD!J800</f>
        <v>186.75</v>
      </c>
      <c r="J751" s="89">
        <f>ABCD!K800</f>
        <v>612.54</v>
      </c>
      <c r="K751" s="89">
        <f>ABCD!L800</f>
        <v>-4.9930915108670764</v>
      </c>
      <c r="L751" s="89">
        <f>ABCD!M800</f>
        <v>-0.91406323031656278</v>
      </c>
      <c r="M751" s="89">
        <f>ABCD!N800</f>
        <v>5.0760687963136997</v>
      </c>
      <c r="N751" s="89" t="e">
        <v>#REF!</v>
      </c>
      <c r="O751" s="89" t="e">
        <v>#REF!</v>
      </c>
      <c r="P751" s="89" t="e">
        <v>#REF!</v>
      </c>
      <c r="Q751" s="89" t="e">
        <v>#REF!</v>
      </c>
      <c r="R751" s="89" t="e">
        <v>#REF!</v>
      </c>
      <c r="S751" s="89" t="e">
        <f>#REF!</f>
        <v>#REF!</v>
      </c>
      <c r="T751" s="89" t="e">
        <f>#REF!</f>
        <v>#REF!</v>
      </c>
      <c r="U751" s="89" t="e">
        <f>#REF!</f>
        <v>#REF!</v>
      </c>
      <c r="V751" s="89" t="e">
        <f>#REF!</f>
        <v>#REF!</v>
      </c>
      <c r="W751" s="89" t="e">
        <f>#REF!</f>
        <v>#REF!</v>
      </c>
      <c r="X751" s="89" t="e">
        <f>#REF!</f>
        <v>#REF!</v>
      </c>
      <c r="Y751" s="89" t="e">
        <f>#REF!</f>
        <v>#REF!</v>
      </c>
      <c r="Z751" s="89" t="e">
        <f>#REF!</f>
        <v>#REF!</v>
      </c>
      <c r="AA751" s="89" t="e">
        <f>#REF!</f>
        <v>#REF!</v>
      </c>
      <c r="AB751" s="89" t="e">
        <f>#REF!</f>
        <v>#REF!</v>
      </c>
      <c r="AC751" s="89" t="e">
        <f>#REF!</f>
        <v>#REF!</v>
      </c>
      <c r="AD751" s="89" t="e">
        <f>#REF!</f>
        <v>#REF!</v>
      </c>
      <c r="AE751" s="89" t="e">
        <f>#REF!</f>
        <v>#REF!</v>
      </c>
      <c r="AF751" s="89" t="e">
        <f>#REF!</f>
        <v>#REF!</v>
      </c>
      <c r="AG751" s="89" t="e">
        <f>#REF!</f>
        <v>#REF!</v>
      </c>
      <c r="AH751" s="89" t="e">
        <f>#REF!</f>
        <v>#REF!</v>
      </c>
      <c r="AI751" s="89" t="e">
        <f>#REF!</f>
        <v>#REF!</v>
      </c>
      <c r="AJ751" s="89" t="e">
        <f>#REF!</f>
        <v>#REF!</v>
      </c>
      <c r="AK751" s="89" t="e">
        <f>#REF!</f>
        <v>#REF!</v>
      </c>
      <c r="AL751" s="89" t="e">
        <f>#REF!</f>
        <v>#REF!</v>
      </c>
      <c r="AM751" s="89" t="e">
        <f>#REF!</f>
        <v>#REF!</v>
      </c>
      <c r="AN751" s="89" t="e">
        <f>#REF!</f>
        <v>#REF!</v>
      </c>
      <c r="AO751" s="89" t="e">
        <f>#REF!</f>
        <v>#REF!</v>
      </c>
      <c r="AP751" s="89" t="e">
        <f>#REF!</f>
        <v>#REF!</v>
      </c>
      <c r="AQ751" s="89" t="e">
        <f>#REF!</f>
        <v>#REF!</v>
      </c>
      <c r="AR751" s="89" t="e">
        <f>#REF!</f>
        <v>#REF!</v>
      </c>
      <c r="AS751" s="89" t="e">
        <f>#REF!</f>
        <v>#REF!</v>
      </c>
      <c r="AT751" s="89" t="e">
        <f>#REF!</f>
        <v>#REF!</v>
      </c>
      <c r="AU751" s="89" t="e">
        <f>#REF!</f>
        <v>#REF!</v>
      </c>
      <c r="AV751" s="89" t="e">
        <f>#REF!</f>
        <v>#REF!</v>
      </c>
      <c r="AW751" s="89" t="e">
        <f>#REF!</f>
        <v>#REF!</v>
      </c>
      <c r="AX751" s="89" t="e">
        <f>#REF!</f>
        <v>#REF!</v>
      </c>
      <c r="AY751" s="89" t="e">
        <f>#REF!</f>
        <v>#REF!</v>
      </c>
      <c r="AZ751" s="89" t="e">
        <f>#REF!</f>
        <v>#REF!</v>
      </c>
      <c r="BA751" s="89" t="e">
        <f>#REF!</f>
        <v>#REF!</v>
      </c>
      <c r="BB751" s="89" t="e">
        <f>#REF!</f>
        <v>#REF!</v>
      </c>
      <c r="BC751" s="89" t="e">
        <f>#REF!</f>
        <v>#REF!</v>
      </c>
      <c r="BD751" s="89" t="e">
        <f>#REF!</f>
        <v>#REF!</v>
      </c>
      <c r="BE751" s="89" t="e">
        <f>#REF!</f>
        <v>#REF!</v>
      </c>
      <c r="BF751" s="89" t="e">
        <f>#REF!</f>
        <v>#REF!</v>
      </c>
    </row>
    <row r="752" spans="9:58" x14ac:dyDescent="0.25">
      <c r="I752" s="89">
        <f>ABCD!J801</f>
        <v>187</v>
      </c>
      <c r="J752" s="89">
        <f>ABCD!K801</f>
        <v>613.36</v>
      </c>
      <c r="K752" s="89">
        <f>ABCD!L801</f>
        <v>-4.9815070817602098</v>
      </c>
      <c r="L752" s="89">
        <f>ABCD!M801</f>
        <v>-0.9126489337966579</v>
      </c>
      <c r="M752" s="89">
        <f>ABCD!N801</f>
        <v>5.0644191060759676</v>
      </c>
      <c r="N752" s="89" t="e">
        <v>#REF!</v>
      </c>
      <c r="O752" s="89" t="e">
        <v>#REF!</v>
      </c>
      <c r="P752" s="89" t="e">
        <v>#REF!</v>
      </c>
      <c r="Q752" s="89" t="e">
        <v>#REF!</v>
      </c>
      <c r="R752" s="89" t="e">
        <v>#REF!</v>
      </c>
      <c r="S752" s="89" t="e">
        <f>#REF!</f>
        <v>#REF!</v>
      </c>
      <c r="T752" s="89" t="e">
        <f>#REF!</f>
        <v>#REF!</v>
      </c>
      <c r="U752" s="89" t="e">
        <f>#REF!</f>
        <v>#REF!</v>
      </c>
      <c r="V752" s="89" t="e">
        <f>#REF!</f>
        <v>#REF!</v>
      </c>
      <c r="W752" s="89" t="e">
        <f>#REF!</f>
        <v>#REF!</v>
      </c>
      <c r="X752" s="89" t="e">
        <f>#REF!</f>
        <v>#REF!</v>
      </c>
      <c r="Y752" s="89" t="e">
        <f>#REF!</f>
        <v>#REF!</v>
      </c>
      <c r="Z752" s="89" t="e">
        <f>#REF!</f>
        <v>#REF!</v>
      </c>
      <c r="AA752" s="89" t="e">
        <f>#REF!</f>
        <v>#REF!</v>
      </c>
      <c r="AB752" s="89" t="e">
        <f>#REF!</f>
        <v>#REF!</v>
      </c>
      <c r="AC752" s="89" t="e">
        <f>#REF!</f>
        <v>#REF!</v>
      </c>
      <c r="AD752" s="89" t="e">
        <f>#REF!</f>
        <v>#REF!</v>
      </c>
      <c r="AE752" s="89" t="e">
        <f>#REF!</f>
        <v>#REF!</v>
      </c>
      <c r="AF752" s="89" t="e">
        <f>#REF!</f>
        <v>#REF!</v>
      </c>
      <c r="AG752" s="89" t="e">
        <f>#REF!</f>
        <v>#REF!</v>
      </c>
      <c r="AH752" s="89" t="e">
        <f>#REF!</f>
        <v>#REF!</v>
      </c>
      <c r="AI752" s="89" t="e">
        <f>#REF!</f>
        <v>#REF!</v>
      </c>
      <c r="AJ752" s="89" t="e">
        <f>#REF!</f>
        <v>#REF!</v>
      </c>
      <c r="AK752" s="89" t="e">
        <f>#REF!</f>
        <v>#REF!</v>
      </c>
      <c r="AL752" s="89" t="e">
        <f>#REF!</f>
        <v>#REF!</v>
      </c>
      <c r="AM752" s="89" t="e">
        <f>#REF!</f>
        <v>#REF!</v>
      </c>
      <c r="AN752" s="89" t="e">
        <f>#REF!</f>
        <v>#REF!</v>
      </c>
      <c r="AO752" s="89" t="e">
        <f>#REF!</f>
        <v>#REF!</v>
      </c>
      <c r="AP752" s="89" t="e">
        <f>#REF!</f>
        <v>#REF!</v>
      </c>
      <c r="AQ752" s="89" t="e">
        <f>#REF!</f>
        <v>#REF!</v>
      </c>
      <c r="AR752" s="89" t="e">
        <f>#REF!</f>
        <v>#REF!</v>
      </c>
      <c r="AS752" s="89" t="e">
        <f>#REF!</f>
        <v>#REF!</v>
      </c>
      <c r="AT752" s="89" t="e">
        <f>#REF!</f>
        <v>#REF!</v>
      </c>
      <c r="AU752" s="89" t="e">
        <f>#REF!</f>
        <v>#REF!</v>
      </c>
      <c r="AV752" s="89" t="e">
        <f>#REF!</f>
        <v>#REF!</v>
      </c>
      <c r="AW752" s="89" t="e">
        <f>#REF!</f>
        <v>#REF!</v>
      </c>
      <c r="AX752" s="89" t="e">
        <f>#REF!</f>
        <v>#REF!</v>
      </c>
      <c r="AY752" s="89" t="e">
        <f>#REF!</f>
        <v>#REF!</v>
      </c>
      <c r="AZ752" s="89" t="e">
        <f>#REF!</f>
        <v>#REF!</v>
      </c>
      <c r="BA752" s="89" t="e">
        <f>#REF!</f>
        <v>#REF!</v>
      </c>
      <c r="BB752" s="89" t="e">
        <f>#REF!</f>
        <v>#REF!</v>
      </c>
      <c r="BC752" s="89" t="e">
        <f>#REF!</f>
        <v>#REF!</v>
      </c>
      <c r="BD752" s="89" t="e">
        <f>#REF!</f>
        <v>#REF!</v>
      </c>
      <c r="BE752" s="89" t="e">
        <f>#REF!</f>
        <v>#REF!</v>
      </c>
      <c r="BF752" s="89" t="e">
        <f>#REF!</f>
        <v>#REF!</v>
      </c>
    </row>
    <row r="753" spans="9:58" x14ac:dyDescent="0.25">
      <c r="I753" s="89">
        <f>ABCD!J802</f>
        <v>187.25</v>
      </c>
      <c r="J753" s="89">
        <f>ABCD!K802</f>
        <v>614.17999999999995</v>
      </c>
      <c r="K753" s="89">
        <f>ABCD!L802</f>
        <v>-4.9687831374962901</v>
      </c>
      <c r="L753" s="89">
        <f>ABCD!M802</f>
        <v>-0.91102523270946267</v>
      </c>
      <c r="M753" s="89">
        <f>ABCD!N802</f>
        <v>5.0516109155496931</v>
      </c>
      <c r="N753" s="89" t="e">
        <v>#REF!</v>
      </c>
      <c r="O753" s="89" t="e">
        <v>#REF!</v>
      </c>
      <c r="P753" s="89" t="e">
        <v>#REF!</v>
      </c>
      <c r="Q753" s="89" t="e">
        <v>#REF!</v>
      </c>
      <c r="R753" s="89" t="e">
        <v>#REF!</v>
      </c>
      <c r="S753" s="89" t="e">
        <f>#REF!</f>
        <v>#REF!</v>
      </c>
      <c r="T753" s="89" t="e">
        <f>#REF!</f>
        <v>#REF!</v>
      </c>
      <c r="U753" s="89" t="e">
        <f>#REF!</f>
        <v>#REF!</v>
      </c>
      <c r="V753" s="89" t="e">
        <f>#REF!</f>
        <v>#REF!</v>
      </c>
      <c r="W753" s="89" t="e">
        <f>#REF!</f>
        <v>#REF!</v>
      </c>
      <c r="X753" s="89" t="e">
        <f>#REF!</f>
        <v>#REF!</v>
      </c>
      <c r="Y753" s="89" t="e">
        <f>#REF!</f>
        <v>#REF!</v>
      </c>
      <c r="Z753" s="89" t="e">
        <f>#REF!</f>
        <v>#REF!</v>
      </c>
      <c r="AA753" s="89" t="e">
        <f>#REF!</f>
        <v>#REF!</v>
      </c>
      <c r="AB753" s="89" t="e">
        <f>#REF!</f>
        <v>#REF!</v>
      </c>
      <c r="AC753" s="89" t="e">
        <f>#REF!</f>
        <v>#REF!</v>
      </c>
      <c r="AD753" s="89" t="e">
        <f>#REF!</f>
        <v>#REF!</v>
      </c>
      <c r="AE753" s="89" t="e">
        <f>#REF!</f>
        <v>#REF!</v>
      </c>
      <c r="AF753" s="89" t="e">
        <f>#REF!</f>
        <v>#REF!</v>
      </c>
      <c r="AG753" s="89" t="e">
        <f>#REF!</f>
        <v>#REF!</v>
      </c>
      <c r="AH753" s="89" t="e">
        <f>#REF!</f>
        <v>#REF!</v>
      </c>
      <c r="AI753" s="89" t="e">
        <f>#REF!</f>
        <v>#REF!</v>
      </c>
      <c r="AJ753" s="89" t="e">
        <f>#REF!</f>
        <v>#REF!</v>
      </c>
      <c r="AK753" s="89" t="e">
        <f>#REF!</f>
        <v>#REF!</v>
      </c>
      <c r="AL753" s="89" t="e">
        <f>#REF!</f>
        <v>#REF!</v>
      </c>
      <c r="AM753" s="89" t="e">
        <f>#REF!</f>
        <v>#REF!</v>
      </c>
      <c r="AN753" s="89" t="e">
        <f>#REF!</f>
        <v>#REF!</v>
      </c>
      <c r="AO753" s="89" t="e">
        <f>#REF!</f>
        <v>#REF!</v>
      </c>
      <c r="AP753" s="89" t="e">
        <f>#REF!</f>
        <v>#REF!</v>
      </c>
      <c r="AQ753" s="89" t="e">
        <f>#REF!</f>
        <v>#REF!</v>
      </c>
      <c r="AR753" s="89" t="e">
        <f>#REF!</f>
        <v>#REF!</v>
      </c>
      <c r="AS753" s="89" t="e">
        <f>#REF!</f>
        <v>#REF!</v>
      </c>
      <c r="AT753" s="89" t="e">
        <f>#REF!</f>
        <v>#REF!</v>
      </c>
      <c r="AU753" s="89" t="e">
        <f>#REF!</f>
        <v>#REF!</v>
      </c>
      <c r="AV753" s="89" t="e">
        <f>#REF!</f>
        <v>#REF!</v>
      </c>
      <c r="AW753" s="89" t="e">
        <f>#REF!</f>
        <v>#REF!</v>
      </c>
      <c r="AX753" s="89" t="e">
        <f>#REF!</f>
        <v>#REF!</v>
      </c>
      <c r="AY753" s="89" t="e">
        <f>#REF!</f>
        <v>#REF!</v>
      </c>
      <c r="AZ753" s="89" t="e">
        <f>#REF!</f>
        <v>#REF!</v>
      </c>
      <c r="BA753" s="89" t="e">
        <f>#REF!</f>
        <v>#REF!</v>
      </c>
      <c r="BB753" s="89" t="e">
        <f>#REF!</f>
        <v>#REF!</v>
      </c>
      <c r="BC753" s="89" t="e">
        <f>#REF!</f>
        <v>#REF!</v>
      </c>
      <c r="BD753" s="89" t="e">
        <f>#REF!</f>
        <v>#REF!</v>
      </c>
      <c r="BE753" s="89" t="e">
        <f>#REF!</f>
        <v>#REF!</v>
      </c>
      <c r="BF753" s="89" t="e">
        <f>#REF!</f>
        <v>#REF!</v>
      </c>
    </row>
    <row r="754" spans="9:58" x14ac:dyDescent="0.25">
      <c r="I754" s="89">
        <f>ABCD!J803</f>
        <v>187.5</v>
      </c>
      <c r="J754" s="89">
        <f>ABCD!K803</f>
        <v>615</v>
      </c>
      <c r="K754" s="89">
        <f>ABCD!L803</f>
        <v>-4.9549236403865731</v>
      </c>
      <c r="L754" s="89">
        <f>ABCD!M803</f>
        <v>-0.90919269025120708</v>
      </c>
      <c r="M754" s="89">
        <f>ABCD!N803</f>
        <v>5.037648224128791</v>
      </c>
      <c r="N754" s="89" t="e">
        <v>#REF!</v>
      </c>
      <c r="O754" s="89" t="e">
        <v>#REF!</v>
      </c>
      <c r="P754" s="89" t="e">
        <v>#REF!</v>
      </c>
      <c r="Q754" s="89" t="e">
        <v>#REF!</v>
      </c>
      <c r="R754" s="89" t="e">
        <v>#REF!</v>
      </c>
      <c r="S754" s="89" t="e">
        <f>#REF!</f>
        <v>#REF!</v>
      </c>
      <c r="T754" s="89" t="e">
        <f>#REF!</f>
        <v>#REF!</v>
      </c>
      <c r="U754" s="89" t="e">
        <f>#REF!</f>
        <v>#REF!</v>
      </c>
      <c r="V754" s="89" t="e">
        <f>#REF!</f>
        <v>#REF!</v>
      </c>
      <c r="W754" s="89" t="e">
        <f>#REF!</f>
        <v>#REF!</v>
      </c>
      <c r="X754" s="89" t="e">
        <f>#REF!</f>
        <v>#REF!</v>
      </c>
      <c r="Y754" s="89" t="e">
        <f>#REF!</f>
        <v>#REF!</v>
      </c>
      <c r="Z754" s="89" t="e">
        <f>#REF!</f>
        <v>#REF!</v>
      </c>
      <c r="AA754" s="89" t="e">
        <f>#REF!</f>
        <v>#REF!</v>
      </c>
      <c r="AB754" s="89" t="e">
        <f>#REF!</f>
        <v>#REF!</v>
      </c>
      <c r="AC754" s="89" t="e">
        <f>#REF!</f>
        <v>#REF!</v>
      </c>
      <c r="AD754" s="89" t="e">
        <f>#REF!</f>
        <v>#REF!</v>
      </c>
      <c r="AE754" s="89" t="e">
        <f>#REF!</f>
        <v>#REF!</v>
      </c>
      <c r="AF754" s="89" t="e">
        <f>#REF!</f>
        <v>#REF!</v>
      </c>
      <c r="AG754" s="89" t="e">
        <f>#REF!</f>
        <v>#REF!</v>
      </c>
      <c r="AH754" s="89" t="e">
        <f>#REF!</f>
        <v>#REF!</v>
      </c>
      <c r="AI754" s="89" t="e">
        <f>#REF!</f>
        <v>#REF!</v>
      </c>
      <c r="AJ754" s="89" t="e">
        <f>#REF!</f>
        <v>#REF!</v>
      </c>
      <c r="AK754" s="89" t="e">
        <f>#REF!</f>
        <v>#REF!</v>
      </c>
      <c r="AL754" s="89" t="e">
        <f>#REF!</f>
        <v>#REF!</v>
      </c>
      <c r="AM754" s="89" t="e">
        <f>#REF!</f>
        <v>#REF!</v>
      </c>
      <c r="AN754" s="89" t="e">
        <f>#REF!</f>
        <v>#REF!</v>
      </c>
      <c r="AO754" s="89" t="e">
        <f>#REF!</f>
        <v>#REF!</v>
      </c>
      <c r="AP754" s="89" t="e">
        <f>#REF!</f>
        <v>#REF!</v>
      </c>
      <c r="AQ754" s="89" t="e">
        <f>#REF!</f>
        <v>#REF!</v>
      </c>
      <c r="AR754" s="89" t="e">
        <f>#REF!</f>
        <v>#REF!</v>
      </c>
      <c r="AS754" s="89" t="e">
        <f>#REF!</f>
        <v>#REF!</v>
      </c>
      <c r="AT754" s="89" t="e">
        <f>#REF!</f>
        <v>#REF!</v>
      </c>
      <c r="AU754" s="89" t="e">
        <f>#REF!</f>
        <v>#REF!</v>
      </c>
      <c r="AV754" s="89" t="e">
        <f>#REF!</f>
        <v>#REF!</v>
      </c>
      <c r="AW754" s="89" t="e">
        <f>#REF!</f>
        <v>#REF!</v>
      </c>
      <c r="AX754" s="89" t="e">
        <f>#REF!</f>
        <v>#REF!</v>
      </c>
      <c r="AY754" s="89" t="e">
        <f>#REF!</f>
        <v>#REF!</v>
      </c>
      <c r="AZ754" s="89" t="e">
        <f>#REF!</f>
        <v>#REF!</v>
      </c>
      <c r="BA754" s="89" t="e">
        <f>#REF!</f>
        <v>#REF!</v>
      </c>
      <c r="BB754" s="89" t="e">
        <f>#REF!</f>
        <v>#REF!</v>
      </c>
      <c r="BC754" s="89" t="e">
        <f>#REF!</f>
        <v>#REF!</v>
      </c>
      <c r="BD754" s="89" t="e">
        <f>#REF!</f>
        <v>#REF!</v>
      </c>
      <c r="BE754" s="89" t="e">
        <f>#REF!</f>
        <v>#REF!</v>
      </c>
      <c r="BF754" s="89" t="e">
        <f>#REF!</f>
        <v>#REF!</v>
      </c>
    </row>
    <row r="755" spans="9:58" x14ac:dyDescent="0.25">
      <c r="I755" s="89">
        <f>ABCD!J804</f>
        <v>187.75</v>
      </c>
      <c r="J755" s="89">
        <f>ABCD!K804</f>
        <v>615.81999999999994</v>
      </c>
      <c r="K755" s="89">
        <f>ABCD!L804</f>
        <v>-4.939932811310074</v>
      </c>
      <c r="L755" s="89">
        <f>ABCD!M804</f>
        <v>-0.90715191732064704</v>
      </c>
      <c r="M755" s="89">
        <f>ABCD!N804</f>
        <v>5.022535294187227</v>
      </c>
      <c r="N755" s="89" t="e">
        <v>#REF!</v>
      </c>
      <c r="O755" s="89" t="e">
        <v>#REF!</v>
      </c>
      <c r="P755" s="89" t="e">
        <v>#REF!</v>
      </c>
      <c r="Q755" s="89" t="e">
        <v>#REF!</v>
      </c>
      <c r="R755" s="89" t="e">
        <v>#REF!</v>
      </c>
      <c r="S755" s="89" t="e">
        <f>#REF!</f>
        <v>#REF!</v>
      </c>
      <c r="T755" s="89" t="e">
        <f>#REF!</f>
        <v>#REF!</v>
      </c>
      <c r="U755" s="89" t="e">
        <f>#REF!</f>
        <v>#REF!</v>
      </c>
      <c r="V755" s="89" t="e">
        <f>#REF!</f>
        <v>#REF!</v>
      </c>
      <c r="W755" s="89" t="e">
        <f>#REF!</f>
        <v>#REF!</v>
      </c>
      <c r="X755" s="89" t="e">
        <f>#REF!</f>
        <v>#REF!</v>
      </c>
      <c r="Y755" s="89" t="e">
        <f>#REF!</f>
        <v>#REF!</v>
      </c>
      <c r="Z755" s="89" t="e">
        <f>#REF!</f>
        <v>#REF!</v>
      </c>
      <c r="AA755" s="89" t="e">
        <f>#REF!</f>
        <v>#REF!</v>
      </c>
      <c r="AB755" s="89" t="e">
        <f>#REF!</f>
        <v>#REF!</v>
      </c>
      <c r="AC755" s="89" t="e">
        <f>#REF!</f>
        <v>#REF!</v>
      </c>
      <c r="AD755" s="89" t="e">
        <f>#REF!</f>
        <v>#REF!</v>
      </c>
      <c r="AE755" s="89" t="e">
        <f>#REF!</f>
        <v>#REF!</v>
      </c>
      <c r="AF755" s="89" t="e">
        <f>#REF!</f>
        <v>#REF!</v>
      </c>
      <c r="AG755" s="89" t="e">
        <f>#REF!</f>
        <v>#REF!</v>
      </c>
      <c r="AH755" s="89" t="e">
        <f>#REF!</f>
        <v>#REF!</v>
      </c>
      <c r="AI755" s="89" t="e">
        <f>#REF!</f>
        <v>#REF!</v>
      </c>
      <c r="AJ755" s="89" t="e">
        <f>#REF!</f>
        <v>#REF!</v>
      </c>
      <c r="AK755" s="89" t="e">
        <f>#REF!</f>
        <v>#REF!</v>
      </c>
      <c r="AL755" s="89" t="e">
        <f>#REF!</f>
        <v>#REF!</v>
      </c>
      <c r="AM755" s="89" t="e">
        <f>#REF!</f>
        <v>#REF!</v>
      </c>
      <c r="AN755" s="89" t="e">
        <f>#REF!</f>
        <v>#REF!</v>
      </c>
      <c r="AO755" s="89" t="e">
        <f>#REF!</f>
        <v>#REF!</v>
      </c>
      <c r="AP755" s="89" t="e">
        <f>#REF!</f>
        <v>#REF!</v>
      </c>
      <c r="AQ755" s="89" t="e">
        <f>#REF!</f>
        <v>#REF!</v>
      </c>
      <c r="AR755" s="89" t="e">
        <f>#REF!</f>
        <v>#REF!</v>
      </c>
      <c r="AS755" s="89" t="e">
        <f>#REF!</f>
        <v>#REF!</v>
      </c>
      <c r="AT755" s="89" t="e">
        <f>#REF!</f>
        <v>#REF!</v>
      </c>
      <c r="AU755" s="89" t="e">
        <f>#REF!</f>
        <v>#REF!</v>
      </c>
      <c r="AV755" s="89" t="e">
        <f>#REF!</f>
        <v>#REF!</v>
      </c>
      <c r="AW755" s="89" t="e">
        <f>#REF!</f>
        <v>#REF!</v>
      </c>
      <c r="AX755" s="89" t="e">
        <f>#REF!</f>
        <v>#REF!</v>
      </c>
      <c r="AY755" s="89" t="e">
        <f>#REF!</f>
        <v>#REF!</v>
      </c>
      <c r="AZ755" s="89" t="e">
        <f>#REF!</f>
        <v>#REF!</v>
      </c>
      <c r="BA755" s="89" t="e">
        <f>#REF!</f>
        <v>#REF!</v>
      </c>
      <c r="BB755" s="89" t="e">
        <f>#REF!</f>
        <v>#REF!</v>
      </c>
      <c r="BC755" s="89" t="e">
        <f>#REF!</f>
        <v>#REF!</v>
      </c>
      <c r="BD755" s="89" t="e">
        <f>#REF!</f>
        <v>#REF!</v>
      </c>
      <c r="BE755" s="89" t="e">
        <f>#REF!</f>
        <v>#REF!</v>
      </c>
      <c r="BF755" s="89" t="e">
        <f>#REF!</f>
        <v>#REF!</v>
      </c>
    </row>
    <row r="756" spans="9:58" x14ac:dyDescent="0.25">
      <c r="I756" s="89">
        <f>ABCD!J805</f>
        <v>188</v>
      </c>
      <c r="J756" s="89">
        <f>ABCD!K805</f>
        <v>616.64</v>
      </c>
      <c r="K756" s="89">
        <f>ABCD!L805</f>
        <v>-4.9238151285066269</v>
      </c>
      <c r="L756" s="89">
        <f>ABCD!M805</f>
        <v>-0.90490357233510987</v>
      </c>
      <c r="M756" s="89">
        <f>ABCD!N805</f>
        <v>5.0062766498602107</v>
      </c>
      <c r="N756" s="89" t="e">
        <v>#REF!</v>
      </c>
      <c r="O756" s="89" t="e">
        <v>#REF!</v>
      </c>
      <c r="P756" s="89" t="e">
        <v>#REF!</v>
      </c>
      <c r="Q756" s="89" t="e">
        <v>#REF!</v>
      </c>
      <c r="R756" s="89" t="e">
        <v>#REF!</v>
      </c>
      <c r="S756" s="89" t="e">
        <f>#REF!</f>
        <v>#REF!</v>
      </c>
      <c r="T756" s="89" t="e">
        <f>#REF!</f>
        <v>#REF!</v>
      </c>
      <c r="U756" s="89" t="e">
        <f>#REF!</f>
        <v>#REF!</v>
      </c>
      <c r="V756" s="89" t="e">
        <f>#REF!</f>
        <v>#REF!</v>
      </c>
      <c r="W756" s="89" t="e">
        <f>#REF!</f>
        <v>#REF!</v>
      </c>
      <c r="X756" s="89" t="e">
        <f>#REF!</f>
        <v>#REF!</v>
      </c>
      <c r="Y756" s="89" t="e">
        <f>#REF!</f>
        <v>#REF!</v>
      </c>
      <c r="Z756" s="89" t="e">
        <f>#REF!</f>
        <v>#REF!</v>
      </c>
      <c r="AA756" s="89" t="e">
        <f>#REF!</f>
        <v>#REF!</v>
      </c>
      <c r="AB756" s="89" t="e">
        <f>#REF!</f>
        <v>#REF!</v>
      </c>
      <c r="AC756" s="89" t="e">
        <f>#REF!</f>
        <v>#REF!</v>
      </c>
      <c r="AD756" s="89" t="e">
        <f>#REF!</f>
        <v>#REF!</v>
      </c>
      <c r="AE756" s="89" t="e">
        <f>#REF!</f>
        <v>#REF!</v>
      </c>
      <c r="AF756" s="89" t="e">
        <f>#REF!</f>
        <v>#REF!</v>
      </c>
      <c r="AG756" s="89" t="e">
        <f>#REF!</f>
        <v>#REF!</v>
      </c>
      <c r="AH756" s="89" t="e">
        <f>#REF!</f>
        <v>#REF!</v>
      </c>
      <c r="AI756" s="89" t="e">
        <f>#REF!</f>
        <v>#REF!</v>
      </c>
      <c r="AJ756" s="89" t="e">
        <f>#REF!</f>
        <v>#REF!</v>
      </c>
      <c r="AK756" s="89" t="e">
        <f>#REF!</f>
        <v>#REF!</v>
      </c>
      <c r="AL756" s="89" t="e">
        <f>#REF!</f>
        <v>#REF!</v>
      </c>
      <c r="AM756" s="89" t="e">
        <f>#REF!</f>
        <v>#REF!</v>
      </c>
      <c r="AN756" s="89" t="e">
        <f>#REF!</f>
        <v>#REF!</v>
      </c>
      <c r="AO756" s="89" t="e">
        <f>#REF!</f>
        <v>#REF!</v>
      </c>
      <c r="AP756" s="89" t="e">
        <f>#REF!</f>
        <v>#REF!</v>
      </c>
      <c r="AQ756" s="89" t="e">
        <f>#REF!</f>
        <v>#REF!</v>
      </c>
      <c r="AR756" s="89" t="e">
        <f>#REF!</f>
        <v>#REF!</v>
      </c>
      <c r="AS756" s="89" t="e">
        <f>#REF!</f>
        <v>#REF!</v>
      </c>
      <c r="AT756" s="89" t="e">
        <f>#REF!</f>
        <v>#REF!</v>
      </c>
      <c r="AU756" s="89" t="e">
        <f>#REF!</f>
        <v>#REF!</v>
      </c>
      <c r="AV756" s="89" t="e">
        <f>#REF!</f>
        <v>#REF!</v>
      </c>
      <c r="AW756" s="89" t="e">
        <f>#REF!</f>
        <v>#REF!</v>
      </c>
      <c r="AX756" s="89" t="e">
        <f>#REF!</f>
        <v>#REF!</v>
      </c>
      <c r="AY756" s="89" t="e">
        <f>#REF!</f>
        <v>#REF!</v>
      </c>
      <c r="AZ756" s="89" t="e">
        <f>#REF!</f>
        <v>#REF!</v>
      </c>
      <c r="BA756" s="89" t="e">
        <f>#REF!</f>
        <v>#REF!</v>
      </c>
      <c r="BB756" s="89" t="e">
        <f>#REF!</f>
        <v>#REF!</v>
      </c>
      <c r="BC756" s="89" t="e">
        <f>#REF!</f>
        <v>#REF!</v>
      </c>
      <c r="BD756" s="89" t="e">
        <f>#REF!</f>
        <v>#REF!</v>
      </c>
      <c r="BE756" s="89" t="e">
        <f>#REF!</f>
        <v>#REF!</v>
      </c>
      <c r="BF756" s="89" t="e">
        <f>#REF!</f>
        <v>#REF!</v>
      </c>
    </row>
    <row r="757" spans="9:58" x14ac:dyDescent="0.25">
      <c r="I757" s="89">
        <f>ABCD!J806</f>
        <v>188.25</v>
      </c>
      <c r="J757" s="89">
        <f>ABCD!K806</f>
        <v>617.45999999999992</v>
      </c>
      <c r="K757" s="89">
        <f>ABCD!L806</f>
        <v>-4.906575326311577</v>
      </c>
      <c r="L757" s="89">
        <f>ABCD!M806</f>
        <v>-0.9024483610357823</v>
      </c>
      <c r="M757" s="89">
        <f>ABCD!N806</f>
        <v>4.9888770757662222</v>
      </c>
      <c r="N757" s="89" t="e">
        <v>#REF!</v>
      </c>
      <c r="O757" s="89" t="e">
        <v>#REF!</v>
      </c>
      <c r="P757" s="89" t="e">
        <v>#REF!</v>
      </c>
      <c r="Q757" s="89" t="e">
        <v>#REF!</v>
      </c>
      <c r="R757" s="89" t="e">
        <v>#REF!</v>
      </c>
      <c r="S757" s="89" t="e">
        <f>#REF!</f>
        <v>#REF!</v>
      </c>
      <c r="T757" s="89" t="e">
        <f>#REF!</f>
        <v>#REF!</v>
      </c>
      <c r="U757" s="89" t="e">
        <f>#REF!</f>
        <v>#REF!</v>
      </c>
      <c r="V757" s="89" t="e">
        <f>#REF!</f>
        <v>#REF!</v>
      </c>
      <c r="W757" s="89" t="e">
        <f>#REF!</f>
        <v>#REF!</v>
      </c>
      <c r="X757" s="89" t="e">
        <f>#REF!</f>
        <v>#REF!</v>
      </c>
      <c r="Y757" s="89" t="e">
        <f>#REF!</f>
        <v>#REF!</v>
      </c>
      <c r="Z757" s="89" t="e">
        <f>#REF!</f>
        <v>#REF!</v>
      </c>
      <c r="AA757" s="89" t="e">
        <f>#REF!</f>
        <v>#REF!</v>
      </c>
      <c r="AB757" s="89" t="e">
        <f>#REF!</f>
        <v>#REF!</v>
      </c>
      <c r="AC757" s="89" t="e">
        <f>#REF!</f>
        <v>#REF!</v>
      </c>
      <c r="AD757" s="89" t="e">
        <f>#REF!</f>
        <v>#REF!</v>
      </c>
      <c r="AE757" s="89" t="e">
        <f>#REF!</f>
        <v>#REF!</v>
      </c>
      <c r="AF757" s="89" t="e">
        <f>#REF!</f>
        <v>#REF!</v>
      </c>
      <c r="AG757" s="89" t="e">
        <f>#REF!</f>
        <v>#REF!</v>
      </c>
      <c r="AH757" s="89" t="e">
        <f>#REF!</f>
        <v>#REF!</v>
      </c>
      <c r="AI757" s="89" t="e">
        <f>#REF!</f>
        <v>#REF!</v>
      </c>
      <c r="AJ757" s="89" t="e">
        <f>#REF!</f>
        <v>#REF!</v>
      </c>
      <c r="AK757" s="89" t="e">
        <f>#REF!</f>
        <v>#REF!</v>
      </c>
      <c r="AL757" s="89" t="e">
        <f>#REF!</f>
        <v>#REF!</v>
      </c>
      <c r="AM757" s="89" t="e">
        <f>#REF!</f>
        <v>#REF!</v>
      </c>
      <c r="AN757" s="89" t="e">
        <f>#REF!</f>
        <v>#REF!</v>
      </c>
      <c r="AO757" s="89" t="e">
        <f>#REF!</f>
        <v>#REF!</v>
      </c>
      <c r="AP757" s="89" t="e">
        <f>#REF!</f>
        <v>#REF!</v>
      </c>
      <c r="AQ757" s="89" t="e">
        <f>#REF!</f>
        <v>#REF!</v>
      </c>
      <c r="AR757" s="89" t="e">
        <f>#REF!</f>
        <v>#REF!</v>
      </c>
      <c r="AS757" s="89" t="e">
        <f>#REF!</f>
        <v>#REF!</v>
      </c>
      <c r="AT757" s="89" t="e">
        <f>#REF!</f>
        <v>#REF!</v>
      </c>
      <c r="AU757" s="89" t="e">
        <f>#REF!</f>
        <v>#REF!</v>
      </c>
      <c r="AV757" s="89" t="e">
        <f>#REF!</f>
        <v>#REF!</v>
      </c>
      <c r="AW757" s="89" t="e">
        <f>#REF!</f>
        <v>#REF!</v>
      </c>
      <c r="AX757" s="89" t="e">
        <f>#REF!</f>
        <v>#REF!</v>
      </c>
      <c r="AY757" s="89" t="e">
        <f>#REF!</f>
        <v>#REF!</v>
      </c>
      <c r="AZ757" s="89" t="e">
        <f>#REF!</f>
        <v>#REF!</v>
      </c>
      <c r="BA757" s="89" t="e">
        <f>#REF!</f>
        <v>#REF!</v>
      </c>
      <c r="BB757" s="89" t="e">
        <f>#REF!</f>
        <v>#REF!</v>
      </c>
      <c r="BC757" s="89" t="e">
        <f>#REF!</f>
        <v>#REF!</v>
      </c>
      <c r="BD757" s="89" t="e">
        <f>#REF!</f>
        <v>#REF!</v>
      </c>
      <c r="BE757" s="89" t="e">
        <f>#REF!</f>
        <v>#REF!</v>
      </c>
      <c r="BF757" s="89" t="e">
        <f>#REF!</f>
        <v>#REF!</v>
      </c>
    </row>
    <row r="758" spans="9:58" x14ac:dyDescent="0.25">
      <c r="I758" s="89">
        <f>ABCD!J807</f>
        <v>188.5</v>
      </c>
      <c r="J758" s="89">
        <f>ABCD!K807</f>
        <v>618.28</v>
      </c>
      <c r="K758" s="89">
        <f>ABCD!L807</f>
        <v>-4.8882183938325401</v>
      </c>
      <c r="L758" s="89">
        <f>ABCD!M807</f>
        <v>-0.89978703628220869</v>
      </c>
      <c r="M758" s="89">
        <f>ABCD!N807</f>
        <v>4.9703416156703248</v>
      </c>
      <c r="N758" s="89" t="e">
        <v>#REF!</v>
      </c>
      <c r="O758" s="89" t="e">
        <v>#REF!</v>
      </c>
      <c r="P758" s="89" t="e">
        <v>#REF!</v>
      </c>
      <c r="Q758" s="89" t="e">
        <v>#REF!</v>
      </c>
      <c r="R758" s="89" t="e">
        <v>#REF!</v>
      </c>
      <c r="S758" s="89" t="e">
        <f>#REF!</f>
        <v>#REF!</v>
      </c>
      <c r="T758" s="89" t="e">
        <f>#REF!</f>
        <v>#REF!</v>
      </c>
      <c r="U758" s="89" t="e">
        <f>#REF!</f>
        <v>#REF!</v>
      </c>
      <c r="V758" s="89" t="e">
        <f>#REF!</f>
        <v>#REF!</v>
      </c>
      <c r="W758" s="89" t="e">
        <f>#REF!</f>
        <v>#REF!</v>
      </c>
      <c r="X758" s="89" t="e">
        <f>#REF!</f>
        <v>#REF!</v>
      </c>
      <c r="Y758" s="89" t="e">
        <f>#REF!</f>
        <v>#REF!</v>
      </c>
      <c r="Z758" s="89" t="e">
        <f>#REF!</f>
        <v>#REF!</v>
      </c>
      <c r="AA758" s="89" t="e">
        <f>#REF!</f>
        <v>#REF!</v>
      </c>
      <c r="AB758" s="89" t="e">
        <f>#REF!</f>
        <v>#REF!</v>
      </c>
      <c r="AC758" s="89" t="e">
        <f>#REF!</f>
        <v>#REF!</v>
      </c>
      <c r="AD758" s="89" t="e">
        <f>#REF!</f>
        <v>#REF!</v>
      </c>
      <c r="AE758" s="89" t="e">
        <f>#REF!</f>
        <v>#REF!</v>
      </c>
      <c r="AF758" s="89" t="e">
        <f>#REF!</f>
        <v>#REF!</v>
      </c>
      <c r="AG758" s="89" t="e">
        <f>#REF!</f>
        <v>#REF!</v>
      </c>
      <c r="AH758" s="89" t="e">
        <f>#REF!</f>
        <v>#REF!</v>
      </c>
      <c r="AI758" s="89" t="e">
        <f>#REF!</f>
        <v>#REF!</v>
      </c>
      <c r="AJ758" s="89" t="e">
        <f>#REF!</f>
        <v>#REF!</v>
      </c>
      <c r="AK758" s="89" t="e">
        <f>#REF!</f>
        <v>#REF!</v>
      </c>
      <c r="AL758" s="89" t="e">
        <f>#REF!</f>
        <v>#REF!</v>
      </c>
      <c r="AM758" s="89" t="e">
        <f>#REF!</f>
        <v>#REF!</v>
      </c>
      <c r="AN758" s="89" t="e">
        <f>#REF!</f>
        <v>#REF!</v>
      </c>
      <c r="AO758" s="89" t="e">
        <f>#REF!</f>
        <v>#REF!</v>
      </c>
      <c r="AP758" s="89" t="e">
        <f>#REF!</f>
        <v>#REF!</v>
      </c>
      <c r="AQ758" s="89" t="e">
        <f>#REF!</f>
        <v>#REF!</v>
      </c>
      <c r="AR758" s="89" t="e">
        <f>#REF!</f>
        <v>#REF!</v>
      </c>
      <c r="AS758" s="89" t="e">
        <f>#REF!</f>
        <v>#REF!</v>
      </c>
      <c r="AT758" s="89" t="e">
        <f>#REF!</f>
        <v>#REF!</v>
      </c>
      <c r="AU758" s="89" t="e">
        <f>#REF!</f>
        <v>#REF!</v>
      </c>
      <c r="AV758" s="89" t="e">
        <f>#REF!</f>
        <v>#REF!</v>
      </c>
      <c r="AW758" s="89" t="e">
        <f>#REF!</f>
        <v>#REF!</v>
      </c>
      <c r="AX758" s="89" t="e">
        <f>#REF!</f>
        <v>#REF!</v>
      </c>
      <c r="AY758" s="89" t="e">
        <f>#REF!</f>
        <v>#REF!</v>
      </c>
      <c r="AZ758" s="89" t="e">
        <f>#REF!</f>
        <v>#REF!</v>
      </c>
      <c r="BA758" s="89" t="e">
        <f>#REF!</f>
        <v>#REF!</v>
      </c>
      <c r="BB758" s="89" t="e">
        <f>#REF!</f>
        <v>#REF!</v>
      </c>
      <c r="BC758" s="89" t="e">
        <f>#REF!</f>
        <v>#REF!</v>
      </c>
      <c r="BD758" s="89" t="e">
        <f>#REF!</f>
        <v>#REF!</v>
      </c>
      <c r="BE758" s="89" t="e">
        <f>#REF!</f>
        <v>#REF!</v>
      </c>
      <c r="BF758" s="89" t="e">
        <f>#REF!</f>
        <v>#REF!</v>
      </c>
    </row>
    <row r="759" spans="9:58" x14ac:dyDescent="0.25">
      <c r="I759" s="89">
        <f>ABCD!J808</f>
        <v>188.75</v>
      </c>
      <c r="J759" s="89">
        <f>ABCD!K808</f>
        <v>619.09999999999991</v>
      </c>
      <c r="K759" s="89">
        <f>ABCD!L808</f>
        <v>-4.8687495735685085</v>
      </c>
      <c r="L759" s="89">
        <f>ABCD!M808</f>
        <v>-0.89692039783611643</v>
      </c>
      <c r="M759" s="89">
        <f>ABCD!N808</f>
        <v>4.9506755710890644</v>
      </c>
      <c r="N759" s="89" t="e">
        <v>#REF!</v>
      </c>
      <c r="O759" s="89" t="e">
        <v>#REF!</v>
      </c>
      <c r="P759" s="89" t="e">
        <v>#REF!</v>
      </c>
      <c r="Q759" s="89" t="e">
        <v>#REF!</v>
      </c>
      <c r="R759" s="89" t="e">
        <v>#REF!</v>
      </c>
      <c r="S759" s="89" t="e">
        <f>#REF!</f>
        <v>#REF!</v>
      </c>
      <c r="T759" s="89" t="e">
        <f>#REF!</f>
        <v>#REF!</v>
      </c>
      <c r="U759" s="89" t="e">
        <f>#REF!</f>
        <v>#REF!</v>
      </c>
      <c r="V759" s="89" t="e">
        <f>#REF!</f>
        <v>#REF!</v>
      </c>
      <c r="W759" s="89" t="e">
        <f>#REF!</f>
        <v>#REF!</v>
      </c>
      <c r="X759" s="89" t="e">
        <f>#REF!</f>
        <v>#REF!</v>
      </c>
      <c r="Y759" s="89" t="e">
        <f>#REF!</f>
        <v>#REF!</v>
      </c>
      <c r="Z759" s="89" t="e">
        <f>#REF!</f>
        <v>#REF!</v>
      </c>
      <c r="AA759" s="89" t="e">
        <f>#REF!</f>
        <v>#REF!</v>
      </c>
      <c r="AB759" s="89" t="e">
        <f>#REF!</f>
        <v>#REF!</v>
      </c>
      <c r="AC759" s="89" t="e">
        <f>#REF!</f>
        <v>#REF!</v>
      </c>
      <c r="AD759" s="89" t="e">
        <f>#REF!</f>
        <v>#REF!</v>
      </c>
      <c r="AE759" s="89" t="e">
        <f>#REF!</f>
        <v>#REF!</v>
      </c>
      <c r="AF759" s="89" t="e">
        <f>#REF!</f>
        <v>#REF!</v>
      </c>
      <c r="AG759" s="89" t="e">
        <f>#REF!</f>
        <v>#REF!</v>
      </c>
      <c r="AH759" s="89" t="e">
        <f>#REF!</f>
        <v>#REF!</v>
      </c>
      <c r="AI759" s="89" t="e">
        <f>#REF!</f>
        <v>#REF!</v>
      </c>
      <c r="AJ759" s="89" t="e">
        <f>#REF!</f>
        <v>#REF!</v>
      </c>
      <c r="AK759" s="89" t="e">
        <f>#REF!</f>
        <v>#REF!</v>
      </c>
      <c r="AL759" s="89" t="e">
        <f>#REF!</f>
        <v>#REF!</v>
      </c>
      <c r="AM759" s="89" t="e">
        <f>#REF!</f>
        <v>#REF!</v>
      </c>
      <c r="AN759" s="89" t="e">
        <f>#REF!</f>
        <v>#REF!</v>
      </c>
      <c r="AO759" s="89" t="e">
        <f>#REF!</f>
        <v>#REF!</v>
      </c>
      <c r="AP759" s="89" t="e">
        <f>#REF!</f>
        <v>#REF!</v>
      </c>
      <c r="AQ759" s="89" t="e">
        <f>#REF!</f>
        <v>#REF!</v>
      </c>
      <c r="AR759" s="89" t="e">
        <f>#REF!</f>
        <v>#REF!</v>
      </c>
      <c r="AS759" s="89" t="e">
        <f>#REF!</f>
        <v>#REF!</v>
      </c>
      <c r="AT759" s="89" t="e">
        <f>#REF!</f>
        <v>#REF!</v>
      </c>
      <c r="AU759" s="89" t="e">
        <f>#REF!</f>
        <v>#REF!</v>
      </c>
      <c r="AV759" s="89" t="e">
        <f>#REF!</f>
        <v>#REF!</v>
      </c>
      <c r="AW759" s="89" t="e">
        <f>#REF!</f>
        <v>#REF!</v>
      </c>
      <c r="AX759" s="89" t="e">
        <f>#REF!</f>
        <v>#REF!</v>
      </c>
      <c r="AY759" s="89" t="e">
        <f>#REF!</f>
        <v>#REF!</v>
      </c>
      <c r="AZ759" s="89" t="e">
        <f>#REF!</f>
        <v>#REF!</v>
      </c>
      <c r="BA759" s="89" t="e">
        <f>#REF!</f>
        <v>#REF!</v>
      </c>
      <c r="BB759" s="89" t="e">
        <f>#REF!</f>
        <v>#REF!</v>
      </c>
      <c r="BC759" s="89" t="e">
        <f>#REF!</f>
        <v>#REF!</v>
      </c>
      <c r="BD759" s="89" t="e">
        <f>#REF!</f>
        <v>#REF!</v>
      </c>
      <c r="BE759" s="89" t="e">
        <f>#REF!</f>
        <v>#REF!</v>
      </c>
      <c r="BF759" s="89" t="e">
        <f>#REF!</f>
        <v>#REF!</v>
      </c>
    </row>
    <row r="760" spans="9:58" x14ac:dyDescent="0.25">
      <c r="I760" s="89">
        <f>ABCD!J809</f>
        <v>189</v>
      </c>
      <c r="J760" s="89">
        <f>ABCD!K809</f>
        <v>619.91999999999996</v>
      </c>
      <c r="K760" s="89">
        <f>ABCD!L809</f>
        <v>-4.8481743599717149</v>
      </c>
      <c r="L760" s="89">
        <f>ABCD!M809</f>
        <v>-0.89384929213460163</v>
      </c>
      <c r="M760" s="89">
        <f>ABCD!N809</f>
        <v>4.9298844998373621</v>
      </c>
      <c r="N760" s="89" t="e">
        <v>#REF!</v>
      </c>
      <c r="O760" s="89" t="e">
        <v>#REF!</v>
      </c>
      <c r="P760" s="89" t="e">
        <v>#REF!</v>
      </c>
      <c r="Q760" s="89" t="e">
        <v>#REF!</v>
      </c>
      <c r="R760" s="89" t="e">
        <v>#REF!</v>
      </c>
      <c r="S760" s="89" t="e">
        <f>#REF!</f>
        <v>#REF!</v>
      </c>
      <c r="T760" s="89" t="e">
        <f>#REF!</f>
        <v>#REF!</v>
      </c>
      <c r="U760" s="89" t="e">
        <f>#REF!</f>
        <v>#REF!</v>
      </c>
      <c r="V760" s="89" t="e">
        <f>#REF!</f>
        <v>#REF!</v>
      </c>
      <c r="W760" s="89" t="e">
        <f>#REF!</f>
        <v>#REF!</v>
      </c>
      <c r="X760" s="89" t="e">
        <f>#REF!</f>
        <v>#REF!</v>
      </c>
      <c r="Y760" s="89" t="e">
        <f>#REF!</f>
        <v>#REF!</v>
      </c>
      <c r="Z760" s="89" t="e">
        <f>#REF!</f>
        <v>#REF!</v>
      </c>
      <c r="AA760" s="89" t="e">
        <f>#REF!</f>
        <v>#REF!</v>
      </c>
      <c r="AB760" s="89" t="e">
        <f>#REF!</f>
        <v>#REF!</v>
      </c>
      <c r="AC760" s="89" t="e">
        <f>#REF!</f>
        <v>#REF!</v>
      </c>
      <c r="AD760" s="89" t="e">
        <f>#REF!</f>
        <v>#REF!</v>
      </c>
      <c r="AE760" s="89" t="e">
        <f>#REF!</f>
        <v>#REF!</v>
      </c>
      <c r="AF760" s="89" t="e">
        <f>#REF!</f>
        <v>#REF!</v>
      </c>
      <c r="AG760" s="89" t="e">
        <f>#REF!</f>
        <v>#REF!</v>
      </c>
      <c r="AH760" s="89" t="e">
        <f>#REF!</f>
        <v>#REF!</v>
      </c>
      <c r="AI760" s="89" t="e">
        <f>#REF!</f>
        <v>#REF!</v>
      </c>
      <c r="AJ760" s="89" t="e">
        <f>#REF!</f>
        <v>#REF!</v>
      </c>
      <c r="AK760" s="89" t="e">
        <f>#REF!</f>
        <v>#REF!</v>
      </c>
      <c r="AL760" s="89" t="e">
        <f>#REF!</f>
        <v>#REF!</v>
      </c>
      <c r="AM760" s="89" t="e">
        <f>#REF!</f>
        <v>#REF!</v>
      </c>
      <c r="AN760" s="89" t="e">
        <f>#REF!</f>
        <v>#REF!</v>
      </c>
      <c r="AO760" s="89" t="e">
        <f>#REF!</f>
        <v>#REF!</v>
      </c>
      <c r="AP760" s="89" t="e">
        <f>#REF!</f>
        <v>#REF!</v>
      </c>
      <c r="AQ760" s="89" t="e">
        <f>#REF!</f>
        <v>#REF!</v>
      </c>
      <c r="AR760" s="89" t="e">
        <f>#REF!</f>
        <v>#REF!</v>
      </c>
      <c r="AS760" s="89" t="e">
        <f>#REF!</f>
        <v>#REF!</v>
      </c>
      <c r="AT760" s="89" t="e">
        <f>#REF!</f>
        <v>#REF!</v>
      </c>
      <c r="AU760" s="89" t="e">
        <f>#REF!</f>
        <v>#REF!</v>
      </c>
      <c r="AV760" s="89" t="e">
        <f>#REF!</f>
        <v>#REF!</v>
      </c>
      <c r="AW760" s="89" t="e">
        <f>#REF!</f>
        <v>#REF!</v>
      </c>
      <c r="AX760" s="89" t="e">
        <f>#REF!</f>
        <v>#REF!</v>
      </c>
      <c r="AY760" s="89" t="e">
        <f>#REF!</f>
        <v>#REF!</v>
      </c>
      <c r="AZ760" s="89" t="e">
        <f>#REF!</f>
        <v>#REF!</v>
      </c>
      <c r="BA760" s="89" t="e">
        <f>#REF!</f>
        <v>#REF!</v>
      </c>
      <c r="BB760" s="89" t="e">
        <f>#REF!</f>
        <v>#REF!</v>
      </c>
      <c r="BC760" s="89" t="e">
        <f>#REF!</f>
        <v>#REF!</v>
      </c>
      <c r="BD760" s="89" t="e">
        <f>#REF!</f>
        <v>#REF!</v>
      </c>
      <c r="BE760" s="89" t="e">
        <f>#REF!</f>
        <v>#REF!</v>
      </c>
      <c r="BF760" s="89" t="e">
        <f>#REF!</f>
        <v>#REF!</v>
      </c>
    </row>
    <row r="761" spans="9:58" x14ac:dyDescent="0.25">
      <c r="I761" s="89">
        <f>ABCD!J810</f>
        <v>189.25</v>
      </c>
      <c r="J761" s="89">
        <f>ABCD!K810</f>
        <v>620.74</v>
      </c>
      <c r="K761" s="89">
        <f>ABCD!L810</f>
        <v>-4.8264984979526453</v>
      </c>
      <c r="L761" s="89">
        <f>ABCD!M810</f>
        <v>-0.89057461205275879</v>
      </c>
      <c r="M761" s="89">
        <f>ABCD!N810</f>
        <v>4.9079742145178455</v>
      </c>
      <c r="N761" s="89" t="e">
        <v>#REF!</v>
      </c>
      <c r="O761" s="89" t="e">
        <v>#REF!</v>
      </c>
      <c r="P761" s="89" t="e">
        <v>#REF!</v>
      </c>
      <c r="Q761" s="89" t="e">
        <v>#REF!</v>
      </c>
      <c r="R761" s="89" t="e">
        <v>#REF!</v>
      </c>
      <c r="S761" s="89" t="e">
        <f>#REF!</f>
        <v>#REF!</v>
      </c>
      <c r="T761" s="89" t="e">
        <f>#REF!</f>
        <v>#REF!</v>
      </c>
      <c r="U761" s="89" t="e">
        <f>#REF!</f>
        <v>#REF!</v>
      </c>
      <c r="V761" s="89" t="e">
        <f>#REF!</f>
        <v>#REF!</v>
      </c>
      <c r="W761" s="89" t="e">
        <f>#REF!</f>
        <v>#REF!</v>
      </c>
      <c r="X761" s="89" t="e">
        <f>#REF!</f>
        <v>#REF!</v>
      </c>
      <c r="Y761" s="89" t="e">
        <f>#REF!</f>
        <v>#REF!</v>
      </c>
      <c r="Z761" s="89" t="e">
        <f>#REF!</f>
        <v>#REF!</v>
      </c>
      <c r="AA761" s="89" t="e">
        <f>#REF!</f>
        <v>#REF!</v>
      </c>
      <c r="AB761" s="89" t="e">
        <f>#REF!</f>
        <v>#REF!</v>
      </c>
      <c r="AC761" s="89" t="e">
        <f>#REF!</f>
        <v>#REF!</v>
      </c>
      <c r="AD761" s="89" t="e">
        <f>#REF!</f>
        <v>#REF!</v>
      </c>
      <c r="AE761" s="89" t="e">
        <f>#REF!</f>
        <v>#REF!</v>
      </c>
      <c r="AF761" s="89" t="e">
        <f>#REF!</f>
        <v>#REF!</v>
      </c>
      <c r="AG761" s="89" t="e">
        <f>#REF!</f>
        <v>#REF!</v>
      </c>
      <c r="AH761" s="89" t="e">
        <f>#REF!</f>
        <v>#REF!</v>
      </c>
      <c r="AI761" s="89" t="e">
        <f>#REF!</f>
        <v>#REF!</v>
      </c>
      <c r="AJ761" s="89" t="e">
        <f>#REF!</f>
        <v>#REF!</v>
      </c>
      <c r="AK761" s="89" t="e">
        <f>#REF!</f>
        <v>#REF!</v>
      </c>
      <c r="AL761" s="89" t="e">
        <f>#REF!</f>
        <v>#REF!</v>
      </c>
      <c r="AM761" s="89" t="e">
        <f>#REF!</f>
        <v>#REF!</v>
      </c>
      <c r="AN761" s="89" t="e">
        <f>#REF!</f>
        <v>#REF!</v>
      </c>
      <c r="AO761" s="89" t="e">
        <f>#REF!</f>
        <v>#REF!</v>
      </c>
      <c r="AP761" s="89" t="e">
        <f>#REF!</f>
        <v>#REF!</v>
      </c>
      <c r="AQ761" s="89" t="e">
        <f>#REF!</f>
        <v>#REF!</v>
      </c>
      <c r="AR761" s="89" t="e">
        <f>#REF!</f>
        <v>#REF!</v>
      </c>
      <c r="AS761" s="89" t="e">
        <f>#REF!</f>
        <v>#REF!</v>
      </c>
      <c r="AT761" s="89" t="e">
        <f>#REF!</f>
        <v>#REF!</v>
      </c>
      <c r="AU761" s="89" t="e">
        <f>#REF!</f>
        <v>#REF!</v>
      </c>
      <c r="AV761" s="89" t="e">
        <f>#REF!</f>
        <v>#REF!</v>
      </c>
      <c r="AW761" s="89" t="e">
        <f>#REF!</f>
        <v>#REF!</v>
      </c>
      <c r="AX761" s="89" t="e">
        <f>#REF!</f>
        <v>#REF!</v>
      </c>
      <c r="AY761" s="89" t="e">
        <f>#REF!</f>
        <v>#REF!</v>
      </c>
      <c r="AZ761" s="89" t="e">
        <f>#REF!</f>
        <v>#REF!</v>
      </c>
      <c r="BA761" s="89" t="e">
        <f>#REF!</f>
        <v>#REF!</v>
      </c>
      <c r="BB761" s="89" t="e">
        <f>#REF!</f>
        <v>#REF!</v>
      </c>
      <c r="BC761" s="89" t="e">
        <f>#REF!</f>
        <v>#REF!</v>
      </c>
      <c r="BD761" s="89" t="e">
        <f>#REF!</f>
        <v>#REF!</v>
      </c>
      <c r="BE761" s="89" t="e">
        <f>#REF!</f>
        <v>#REF!</v>
      </c>
      <c r="BF761" s="89" t="e">
        <f>#REF!</f>
        <v>#REF!</v>
      </c>
    </row>
    <row r="762" spans="9:58" x14ac:dyDescent="0.25">
      <c r="I762" s="89">
        <f>ABCD!J811</f>
        <v>189.5</v>
      </c>
      <c r="J762" s="89">
        <f>ABCD!K811</f>
        <v>621.55999999999995</v>
      </c>
      <c r="K762" s="89">
        <f>ABCD!L811</f>
        <v>-4.8037279813285547</v>
      </c>
      <c r="L762" s="89">
        <f>ABCD!M811</f>
        <v>-0.88709729665577131</v>
      </c>
      <c r="M762" s="89">
        <f>ABCD!N811</f>
        <v>4.8849507809529555</v>
      </c>
      <c r="N762" s="89" t="e">
        <v>#REF!</v>
      </c>
      <c r="O762" s="89" t="e">
        <v>#REF!</v>
      </c>
      <c r="P762" s="89" t="e">
        <v>#REF!</v>
      </c>
      <c r="Q762" s="89" t="e">
        <v>#REF!</v>
      </c>
      <c r="R762" s="89" t="e">
        <v>#REF!</v>
      </c>
      <c r="S762" s="89" t="e">
        <f>#REF!</f>
        <v>#REF!</v>
      </c>
      <c r="T762" s="89" t="e">
        <f>#REF!</f>
        <v>#REF!</v>
      </c>
      <c r="U762" s="89" t="e">
        <f>#REF!</f>
        <v>#REF!</v>
      </c>
      <c r="V762" s="89" t="e">
        <f>#REF!</f>
        <v>#REF!</v>
      </c>
      <c r="W762" s="89" t="e">
        <f>#REF!</f>
        <v>#REF!</v>
      </c>
      <c r="X762" s="89" t="e">
        <f>#REF!</f>
        <v>#REF!</v>
      </c>
      <c r="Y762" s="89" t="e">
        <f>#REF!</f>
        <v>#REF!</v>
      </c>
      <c r="Z762" s="89" t="e">
        <f>#REF!</f>
        <v>#REF!</v>
      </c>
      <c r="AA762" s="89" t="e">
        <f>#REF!</f>
        <v>#REF!</v>
      </c>
      <c r="AB762" s="89" t="e">
        <f>#REF!</f>
        <v>#REF!</v>
      </c>
      <c r="AC762" s="89" t="e">
        <f>#REF!</f>
        <v>#REF!</v>
      </c>
      <c r="AD762" s="89" t="e">
        <f>#REF!</f>
        <v>#REF!</v>
      </c>
      <c r="AE762" s="89" t="e">
        <f>#REF!</f>
        <v>#REF!</v>
      </c>
      <c r="AF762" s="89" t="e">
        <f>#REF!</f>
        <v>#REF!</v>
      </c>
      <c r="AG762" s="89" t="e">
        <f>#REF!</f>
        <v>#REF!</v>
      </c>
      <c r="AH762" s="89" t="e">
        <f>#REF!</f>
        <v>#REF!</v>
      </c>
      <c r="AI762" s="89" t="e">
        <f>#REF!</f>
        <v>#REF!</v>
      </c>
      <c r="AJ762" s="89" t="e">
        <f>#REF!</f>
        <v>#REF!</v>
      </c>
      <c r="AK762" s="89" t="e">
        <f>#REF!</f>
        <v>#REF!</v>
      </c>
      <c r="AL762" s="89" t="e">
        <f>#REF!</f>
        <v>#REF!</v>
      </c>
      <c r="AM762" s="89" t="e">
        <f>#REF!</f>
        <v>#REF!</v>
      </c>
      <c r="AN762" s="89" t="e">
        <f>#REF!</f>
        <v>#REF!</v>
      </c>
      <c r="AO762" s="89" t="e">
        <f>#REF!</f>
        <v>#REF!</v>
      </c>
      <c r="AP762" s="89" t="e">
        <f>#REF!</f>
        <v>#REF!</v>
      </c>
      <c r="AQ762" s="89" t="e">
        <f>#REF!</f>
        <v>#REF!</v>
      </c>
      <c r="AR762" s="89" t="e">
        <f>#REF!</f>
        <v>#REF!</v>
      </c>
      <c r="AS762" s="89" t="e">
        <f>#REF!</f>
        <v>#REF!</v>
      </c>
      <c r="AT762" s="89" t="e">
        <f>#REF!</f>
        <v>#REF!</v>
      </c>
      <c r="AU762" s="89" t="e">
        <f>#REF!</f>
        <v>#REF!</v>
      </c>
      <c r="AV762" s="89" t="e">
        <f>#REF!</f>
        <v>#REF!</v>
      </c>
      <c r="AW762" s="89" t="e">
        <f>#REF!</f>
        <v>#REF!</v>
      </c>
      <c r="AX762" s="89" t="e">
        <f>#REF!</f>
        <v>#REF!</v>
      </c>
      <c r="AY762" s="89" t="e">
        <f>#REF!</f>
        <v>#REF!</v>
      </c>
      <c r="AZ762" s="89" t="e">
        <f>#REF!</f>
        <v>#REF!</v>
      </c>
      <c r="BA762" s="89" t="e">
        <f>#REF!</f>
        <v>#REF!</v>
      </c>
      <c r="BB762" s="89" t="e">
        <f>#REF!</f>
        <v>#REF!</v>
      </c>
      <c r="BC762" s="89" t="e">
        <f>#REF!</f>
        <v>#REF!</v>
      </c>
      <c r="BD762" s="89" t="e">
        <f>#REF!</f>
        <v>#REF!</v>
      </c>
      <c r="BE762" s="89" t="e">
        <f>#REF!</f>
        <v>#REF!</v>
      </c>
      <c r="BF762" s="89" t="e">
        <f>#REF!</f>
        <v>#REF!</v>
      </c>
    </row>
    <row r="763" spans="9:58" x14ac:dyDescent="0.25">
      <c r="I763" s="89">
        <f>ABCD!J812</f>
        <v>189.75</v>
      </c>
      <c r="J763" s="89">
        <f>ABCD!K812</f>
        <v>622.38</v>
      </c>
      <c r="K763" s="89">
        <f>ABCD!L812</f>
        <v>-4.7798690512159361</v>
      </c>
      <c r="L763" s="89">
        <f>ABCD!M812</f>
        <v>-0.88341833094061095</v>
      </c>
      <c r="M763" s="89">
        <f>ABCD!N812</f>
        <v>4.8608205165603291</v>
      </c>
      <c r="N763" s="89" t="e">
        <v>#REF!</v>
      </c>
      <c r="O763" s="89" t="e">
        <v>#REF!</v>
      </c>
      <c r="P763" s="89" t="e">
        <v>#REF!</v>
      </c>
      <c r="Q763" s="89" t="e">
        <v>#REF!</v>
      </c>
      <c r="R763" s="89" t="e">
        <v>#REF!</v>
      </c>
      <c r="S763" s="89" t="e">
        <f>#REF!</f>
        <v>#REF!</v>
      </c>
      <c r="T763" s="89" t="e">
        <f>#REF!</f>
        <v>#REF!</v>
      </c>
      <c r="U763" s="89" t="e">
        <f>#REF!</f>
        <v>#REF!</v>
      </c>
      <c r="V763" s="89" t="e">
        <f>#REF!</f>
        <v>#REF!</v>
      </c>
      <c r="W763" s="89" t="e">
        <f>#REF!</f>
        <v>#REF!</v>
      </c>
      <c r="X763" s="89" t="e">
        <f>#REF!</f>
        <v>#REF!</v>
      </c>
      <c r="Y763" s="89" t="e">
        <f>#REF!</f>
        <v>#REF!</v>
      </c>
      <c r="Z763" s="89" t="e">
        <f>#REF!</f>
        <v>#REF!</v>
      </c>
      <c r="AA763" s="89" t="e">
        <f>#REF!</f>
        <v>#REF!</v>
      </c>
      <c r="AB763" s="89" t="e">
        <f>#REF!</f>
        <v>#REF!</v>
      </c>
      <c r="AC763" s="89" t="e">
        <f>#REF!</f>
        <v>#REF!</v>
      </c>
      <c r="AD763" s="89" t="e">
        <f>#REF!</f>
        <v>#REF!</v>
      </c>
      <c r="AE763" s="89" t="e">
        <f>#REF!</f>
        <v>#REF!</v>
      </c>
      <c r="AF763" s="89" t="e">
        <f>#REF!</f>
        <v>#REF!</v>
      </c>
      <c r="AG763" s="89" t="e">
        <f>#REF!</f>
        <v>#REF!</v>
      </c>
      <c r="AH763" s="89" t="e">
        <f>#REF!</f>
        <v>#REF!</v>
      </c>
      <c r="AI763" s="89" t="e">
        <f>#REF!</f>
        <v>#REF!</v>
      </c>
      <c r="AJ763" s="89" t="e">
        <f>#REF!</f>
        <v>#REF!</v>
      </c>
      <c r="AK763" s="89" t="e">
        <f>#REF!</f>
        <v>#REF!</v>
      </c>
      <c r="AL763" s="89" t="e">
        <f>#REF!</f>
        <v>#REF!</v>
      </c>
      <c r="AM763" s="89" t="e">
        <f>#REF!</f>
        <v>#REF!</v>
      </c>
      <c r="AN763" s="89" t="e">
        <f>#REF!</f>
        <v>#REF!</v>
      </c>
      <c r="AO763" s="89" t="e">
        <f>#REF!</f>
        <v>#REF!</v>
      </c>
      <c r="AP763" s="89" t="e">
        <f>#REF!</f>
        <v>#REF!</v>
      </c>
      <c r="AQ763" s="89" t="e">
        <f>#REF!</f>
        <v>#REF!</v>
      </c>
      <c r="AR763" s="89" t="e">
        <f>#REF!</f>
        <v>#REF!</v>
      </c>
      <c r="AS763" s="89" t="e">
        <f>#REF!</f>
        <v>#REF!</v>
      </c>
      <c r="AT763" s="89" t="e">
        <f>#REF!</f>
        <v>#REF!</v>
      </c>
      <c r="AU763" s="89" t="e">
        <f>#REF!</f>
        <v>#REF!</v>
      </c>
      <c r="AV763" s="89" t="e">
        <f>#REF!</f>
        <v>#REF!</v>
      </c>
      <c r="AW763" s="89" t="e">
        <f>#REF!</f>
        <v>#REF!</v>
      </c>
      <c r="AX763" s="89" t="e">
        <f>#REF!</f>
        <v>#REF!</v>
      </c>
      <c r="AY763" s="89" t="e">
        <f>#REF!</f>
        <v>#REF!</v>
      </c>
      <c r="AZ763" s="89" t="e">
        <f>#REF!</f>
        <v>#REF!</v>
      </c>
      <c r="BA763" s="89" t="e">
        <f>#REF!</f>
        <v>#REF!</v>
      </c>
      <c r="BB763" s="89" t="e">
        <f>#REF!</f>
        <v>#REF!</v>
      </c>
      <c r="BC763" s="89" t="e">
        <f>#REF!</f>
        <v>#REF!</v>
      </c>
      <c r="BD763" s="89" t="e">
        <f>#REF!</f>
        <v>#REF!</v>
      </c>
      <c r="BE763" s="89" t="e">
        <f>#REF!</f>
        <v>#REF!</v>
      </c>
      <c r="BF763" s="89" t="e">
        <f>#REF!</f>
        <v>#REF!</v>
      </c>
    </row>
    <row r="764" spans="9:58" x14ac:dyDescent="0.25">
      <c r="I764" s="89">
        <f>ABCD!J813</f>
        <v>190</v>
      </c>
      <c r="J764" s="89">
        <f>ABCD!K813</f>
        <v>623.19999999999993</v>
      </c>
      <c r="K764" s="89">
        <f>ABCD!L813</f>
        <v>-4.7549281943673432</v>
      </c>
      <c r="L764" s="89">
        <f>ABCD!M813</f>
        <v>-0.87953874556732314</v>
      </c>
      <c r="M764" s="89">
        <f>ABCD!N813</f>
        <v>4.8355899886718703</v>
      </c>
      <c r="N764" s="89" t="e">
        <v>#REF!</v>
      </c>
      <c r="O764" s="89" t="e">
        <v>#REF!</v>
      </c>
      <c r="P764" s="89" t="e">
        <v>#REF!</v>
      </c>
      <c r="Q764" s="89" t="e">
        <v>#REF!</v>
      </c>
      <c r="R764" s="89" t="e">
        <v>#REF!</v>
      </c>
      <c r="S764" s="89" t="e">
        <f>#REF!</f>
        <v>#REF!</v>
      </c>
      <c r="T764" s="89" t="e">
        <f>#REF!</f>
        <v>#REF!</v>
      </c>
      <c r="U764" s="89" t="e">
        <f>#REF!</f>
        <v>#REF!</v>
      </c>
      <c r="V764" s="89" t="e">
        <f>#REF!</f>
        <v>#REF!</v>
      </c>
      <c r="W764" s="89" t="e">
        <f>#REF!</f>
        <v>#REF!</v>
      </c>
      <c r="X764" s="89" t="e">
        <f>#REF!</f>
        <v>#REF!</v>
      </c>
      <c r="Y764" s="89" t="e">
        <f>#REF!</f>
        <v>#REF!</v>
      </c>
      <c r="Z764" s="89" t="e">
        <f>#REF!</f>
        <v>#REF!</v>
      </c>
      <c r="AA764" s="89" t="e">
        <f>#REF!</f>
        <v>#REF!</v>
      </c>
      <c r="AB764" s="89" t="e">
        <f>#REF!</f>
        <v>#REF!</v>
      </c>
      <c r="AC764" s="89" t="e">
        <f>#REF!</f>
        <v>#REF!</v>
      </c>
      <c r="AD764" s="89" t="e">
        <f>#REF!</f>
        <v>#REF!</v>
      </c>
      <c r="AE764" s="89" t="e">
        <f>#REF!</f>
        <v>#REF!</v>
      </c>
      <c r="AF764" s="89" t="e">
        <f>#REF!</f>
        <v>#REF!</v>
      </c>
      <c r="AG764" s="89" t="e">
        <f>#REF!</f>
        <v>#REF!</v>
      </c>
      <c r="AH764" s="89" t="e">
        <f>#REF!</f>
        <v>#REF!</v>
      </c>
      <c r="AI764" s="89" t="e">
        <f>#REF!</f>
        <v>#REF!</v>
      </c>
      <c r="AJ764" s="89" t="e">
        <f>#REF!</f>
        <v>#REF!</v>
      </c>
      <c r="AK764" s="89" t="e">
        <f>#REF!</f>
        <v>#REF!</v>
      </c>
      <c r="AL764" s="89" t="e">
        <f>#REF!</f>
        <v>#REF!</v>
      </c>
      <c r="AM764" s="89" t="e">
        <f>#REF!</f>
        <v>#REF!</v>
      </c>
      <c r="AN764" s="89" t="e">
        <f>#REF!</f>
        <v>#REF!</v>
      </c>
      <c r="AO764" s="89" t="e">
        <f>#REF!</f>
        <v>#REF!</v>
      </c>
      <c r="AP764" s="89" t="e">
        <f>#REF!</f>
        <v>#REF!</v>
      </c>
      <c r="AQ764" s="89" t="e">
        <f>#REF!</f>
        <v>#REF!</v>
      </c>
      <c r="AR764" s="89" t="e">
        <f>#REF!</f>
        <v>#REF!</v>
      </c>
      <c r="AS764" s="89" t="e">
        <f>#REF!</f>
        <v>#REF!</v>
      </c>
      <c r="AT764" s="89" t="e">
        <f>#REF!</f>
        <v>#REF!</v>
      </c>
      <c r="AU764" s="89" t="e">
        <f>#REF!</f>
        <v>#REF!</v>
      </c>
      <c r="AV764" s="89" t="e">
        <f>#REF!</f>
        <v>#REF!</v>
      </c>
      <c r="AW764" s="89" t="e">
        <f>#REF!</f>
        <v>#REF!</v>
      </c>
      <c r="AX764" s="89" t="e">
        <f>#REF!</f>
        <v>#REF!</v>
      </c>
      <c r="AY764" s="89" t="e">
        <f>#REF!</f>
        <v>#REF!</v>
      </c>
      <c r="AZ764" s="89" t="e">
        <f>#REF!</f>
        <v>#REF!</v>
      </c>
      <c r="BA764" s="89" t="e">
        <f>#REF!</f>
        <v>#REF!</v>
      </c>
      <c r="BB764" s="89" t="e">
        <f>#REF!</f>
        <v>#REF!</v>
      </c>
      <c r="BC764" s="89" t="e">
        <f>#REF!</f>
        <v>#REF!</v>
      </c>
      <c r="BD764" s="89" t="e">
        <f>#REF!</f>
        <v>#REF!</v>
      </c>
      <c r="BE764" s="89" t="e">
        <f>#REF!</f>
        <v>#REF!</v>
      </c>
      <c r="BF764" s="89" t="e">
        <f>#REF!</f>
        <v>#REF!</v>
      </c>
    </row>
    <row r="765" spans="9:58" x14ac:dyDescent="0.25">
      <c r="I765" s="89">
        <f>ABCD!J814</f>
        <v>190.25</v>
      </c>
      <c r="J765" s="89">
        <f>ABCD!K814</f>
        <v>624.02</v>
      </c>
      <c r="K765" s="89">
        <f>ABCD!L814</f>
        <v>-4.7289121414530069</v>
      </c>
      <c r="L765" s="89">
        <f>ABCD!M814</f>
        <v>-0.87545961658003835</v>
      </c>
      <c r="M765" s="89">
        <f>ABCD!N814</f>
        <v>4.8092660127969769</v>
      </c>
      <c r="N765" s="89" t="e">
        <v>#REF!</v>
      </c>
      <c r="O765" s="89" t="e">
        <v>#REF!</v>
      </c>
      <c r="P765" s="89" t="e">
        <v>#REF!</v>
      </c>
      <c r="Q765" s="89" t="e">
        <v>#REF!</v>
      </c>
      <c r="R765" s="89" t="e">
        <v>#REF!</v>
      </c>
      <c r="S765" s="89" t="e">
        <f>#REF!</f>
        <v>#REF!</v>
      </c>
      <c r="T765" s="89" t="e">
        <f>#REF!</f>
        <v>#REF!</v>
      </c>
      <c r="U765" s="89" t="e">
        <f>#REF!</f>
        <v>#REF!</v>
      </c>
      <c r="V765" s="89" t="e">
        <f>#REF!</f>
        <v>#REF!</v>
      </c>
      <c r="W765" s="89" t="e">
        <f>#REF!</f>
        <v>#REF!</v>
      </c>
      <c r="X765" s="89" t="e">
        <f>#REF!</f>
        <v>#REF!</v>
      </c>
      <c r="Y765" s="89" t="e">
        <f>#REF!</f>
        <v>#REF!</v>
      </c>
      <c r="Z765" s="89" t="e">
        <f>#REF!</f>
        <v>#REF!</v>
      </c>
      <c r="AA765" s="89" t="e">
        <f>#REF!</f>
        <v>#REF!</v>
      </c>
      <c r="AB765" s="89" t="e">
        <f>#REF!</f>
        <v>#REF!</v>
      </c>
      <c r="AC765" s="89" t="e">
        <f>#REF!</f>
        <v>#REF!</v>
      </c>
      <c r="AD765" s="89" t="e">
        <f>#REF!</f>
        <v>#REF!</v>
      </c>
      <c r="AE765" s="89" t="e">
        <f>#REF!</f>
        <v>#REF!</v>
      </c>
      <c r="AF765" s="89" t="e">
        <f>#REF!</f>
        <v>#REF!</v>
      </c>
      <c r="AG765" s="89" t="e">
        <f>#REF!</f>
        <v>#REF!</v>
      </c>
      <c r="AH765" s="89" t="e">
        <f>#REF!</f>
        <v>#REF!</v>
      </c>
      <c r="AI765" s="89" t="e">
        <f>#REF!</f>
        <v>#REF!</v>
      </c>
      <c r="AJ765" s="89" t="e">
        <f>#REF!</f>
        <v>#REF!</v>
      </c>
      <c r="AK765" s="89" t="e">
        <f>#REF!</f>
        <v>#REF!</v>
      </c>
      <c r="AL765" s="89" t="e">
        <f>#REF!</f>
        <v>#REF!</v>
      </c>
      <c r="AM765" s="89" t="e">
        <f>#REF!</f>
        <v>#REF!</v>
      </c>
      <c r="AN765" s="89" t="e">
        <f>#REF!</f>
        <v>#REF!</v>
      </c>
      <c r="AO765" s="89" t="e">
        <f>#REF!</f>
        <v>#REF!</v>
      </c>
      <c r="AP765" s="89" t="e">
        <f>#REF!</f>
        <v>#REF!</v>
      </c>
      <c r="AQ765" s="89" t="e">
        <f>#REF!</f>
        <v>#REF!</v>
      </c>
      <c r="AR765" s="89" t="e">
        <f>#REF!</f>
        <v>#REF!</v>
      </c>
      <c r="AS765" s="89" t="e">
        <f>#REF!</f>
        <v>#REF!</v>
      </c>
      <c r="AT765" s="89" t="e">
        <f>#REF!</f>
        <v>#REF!</v>
      </c>
      <c r="AU765" s="89" t="e">
        <f>#REF!</f>
        <v>#REF!</v>
      </c>
      <c r="AV765" s="89" t="e">
        <f>#REF!</f>
        <v>#REF!</v>
      </c>
      <c r="AW765" s="89" t="e">
        <f>#REF!</f>
        <v>#REF!</v>
      </c>
      <c r="AX765" s="89" t="e">
        <f>#REF!</f>
        <v>#REF!</v>
      </c>
      <c r="AY765" s="89" t="e">
        <f>#REF!</f>
        <v>#REF!</v>
      </c>
      <c r="AZ765" s="89" t="e">
        <f>#REF!</f>
        <v>#REF!</v>
      </c>
      <c r="BA765" s="89" t="e">
        <f>#REF!</f>
        <v>#REF!</v>
      </c>
      <c r="BB765" s="89" t="e">
        <f>#REF!</f>
        <v>#REF!</v>
      </c>
      <c r="BC765" s="89" t="e">
        <f>#REF!</f>
        <v>#REF!</v>
      </c>
      <c r="BD765" s="89" t="e">
        <f>#REF!</f>
        <v>#REF!</v>
      </c>
      <c r="BE765" s="89" t="e">
        <f>#REF!</f>
        <v>#REF!</v>
      </c>
      <c r="BF765" s="89" t="e">
        <f>#REF!</f>
        <v>#REF!</v>
      </c>
    </row>
    <row r="766" spans="9:58" x14ac:dyDescent="0.25">
      <c r="I766" s="89">
        <f>ABCD!J815</f>
        <v>190.5</v>
      </c>
      <c r="J766" s="89">
        <f>ABCD!K815</f>
        <v>624.83999999999992</v>
      </c>
      <c r="K766" s="89">
        <f>ABCD!L815</f>
        <v>-4.7018278652877115</v>
      </c>
      <c r="L766" s="89">
        <f>ABCD!M815</f>
        <v>-0.87118206511773266</v>
      </c>
      <c r="M766" s="89">
        <f>ABCD!N815</f>
        <v>4.7818556508304173</v>
      </c>
      <c r="N766" s="89" t="e">
        <v>#REF!</v>
      </c>
      <c r="O766" s="89" t="e">
        <v>#REF!</v>
      </c>
      <c r="P766" s="89" t="e">
        <v>#REF!</v>
      </c>
      <c r="Q766" s="89" t="e">
        <v>#REF!</v>
      </c>
      <c r="R766" s="89" t="e">
        <v>#REF!</v>
      </c>
      <c r="S766" s="89" t="e">
        <f>#REF!</f>
        <v>#REF!</v>
      </c>
      <c r="T766" s="89" t="e">
        <f>#REF!</f>
        <v>#REF!</v>
      </c>
      <c r="U766" s="89" t="e">
        <f>#REF!</f>
        <v>#REF!</v>
      </c>
      <c r="V766" s="89" t="e">
        <f>#REF!</f>
        <v>#REF!</v>
      </c>
      <c r="W766" s="89" t="e">
        <f>#REF!</f>
        <v>#REF!</v>
      </c>
      <c r="X766" s="89" t="e">
        <f>#REF!</f>
        <v>#REF!</v>
      </c>
      <c r="Y766" s="89" t="e">
        <f>#REF!</f>
        <v>#REF!</v>
      </c>
      <c r="Z766" s="89" t="e">
        <f>#REF!</f>
        <v>#REF!</v>
      </c>
      <c r="AA766" s="89" t="e">
        <f>#REF!</f>
        <v>#REF!</v>
      </c>
      <c r="AB766" s="89" t="e">
        <f>#REF!</f>
        <v>#REF!</v>
      </c>
      <c r="AC766" s="89" t="e">
        <f>#REF!</f>
        <v>#REF!</v>
      </c>
      <c r="AD766" s="89" t="e">
        <f>#REF!</f>
        <v>#REF!</v>
      </c>
      <c r="AE766" s="89" t="e">
        <f>#REF!</f>
        <v>#REF!</v>
      </c>
      <c r="AF766" s="89" t="e">
        <f>#REF!</f>
        <v>#REF!</v>
      </c>
      <c r="AG766" s="89" t="e">
        <f>#REF!</f>
        <v>#REF!</v>
      </c>
      <c r="AH766" s="89" t="e">
        <f>#REF!</f>
        <v>#REF!</v>
      </c>
      <c r="AI766" s="89" t="e">
        <f>#REF!</f>
        <v>#REF!</v>
      </c>
      <c r="AJ766" s="89" t="e">
        <f>#REF!</f>
        <v>#REF!</v>
      </c>
      <c r="AK766" s="89" t="e">
        <f>#REF!</f>
        <v>#REF!</v>
      </c>
      <c r="AL766" s="89" t="e">
        <f>#REF!</f>
        <v>#REF!</v>
      </c>
      <c r="AM766" s="89" t="e">
        <f>#REF!</f>
        <v>#REF!</v>
      </c>
      <c r="AN766" s="89" t="e">
        <f>#REF!</f>
        <v>#REF!</v>
      </c>
      <c r="AO766" s="89" t="e">
        <f>#REF!</f>
        <v>#REF!</v>
      </c>
      <c r="AP766" s="89" t="e">
        <f>#REF!</f>
        <v>#REF!</v>
      </c>
      <c r="AQ766" s="89" t="e">
        <f>#REF!</f>
        <v>#REF!</v>
      </c>
      <c r="AR766" s="89" t="e">
        <f>#REF!</f>
        <v>#REF!</v>
      </c>
      <c r="AS766" s="89" t="e">
        <f>#REF!</f>
        <v>#REF!</v>
      </c>
      <c r="AT766" s="89" t="e">
        <f>#REF!</f>
        <v>#REF!</v>
      </c>
      <c r="AU766" s="89" t="e">
        <f>#REF!</f>
        <v>#REF!</v>
      </c>
      <c r="AV766" s="89" t="e">
        <f>#REF!</f>
        <v>#REF!</v>
      </c>
      <c r="AW766" s="89" t="e">
        <f>#REF!</f>
        <v>#REF!</v>
      </c>
      <c r="AX766" s="89" t="e">
        <f>#REF!</f>
        <v>#REF!</v>
      </c>
      <c r="AY766" s="89" t="e">
        <f>#REF!</f>
        <v>#REF!</v>
      </c>
      <c r="AZ766" s="89" t="e">
        <f>#REF!</f>
        <v>#REF!</v>
      </c>
      <c r="BA766" s="89" t="e">
        <f>#REF!</f>
        <v>#REF!</v>
      </c>
      <c r="BB766" s="89" t="e">
        <f>#REF!</f>
        <v>#REF!</v>
      </c>
      <c r="BC766" s="89" t="e">
        <f>#REF!</f>
        <v>#REF!</v>
      </c>
      <c r="BD766" s="89" t="e">
        <f>#REF!</f>
        <v>#REF!</v>
      </c>
      <c r="BE766" s="89" t="e">
        <f>#REF!</f>
        <v>#REF!</v>
      </c>
      <c r="BF766" s="89" t="e">
        <f>#REF!</f>
        <v>#REF!</v>
      </c>
    </row>
    <row r="767" spans="9:58" x14ac:dyDescent="0.25">
      <c r="I767" s="89">
        <f>ABCD!J816</f>
        <v>190.75</v>
      </c>
      <c r="J767" s="89">
        <f>ABCD!K816</f>
        <v>625.66</v>
      </c>
      <c r="K767" s="89">
        <f>ABCD!L816</f>
        <v>-4.673682579003315</v>
      </c>
      <c r="L767" s="89">
        <f>ABCD!M816</f>
        <v>-0.86670725711488084</v>
      </c>
      <c r="M767" s="89">
        <f>ABCD!N816</f>
        <v>4.7533662092052902</v>
      </c>
      <c r="N767" s="89" t="e">
        <v>#REF!</v>
      </c>
      <c r="O767" s="89" t="e">
        <v>#REF!</v>
      </c>
      <c r="P767" s="89" t="e">
        <v>#REF!</v>
      </c>
      <c r="Q767" s="89" t="e">
        <v>#REF!</v>
      </c>
      <c r="R767" s="89" t="e">
        <v>#REF!</v>
      </c>
      <c r="S767" s="89" t="e">
        <f>#REF!</f>
        <v>#REF!</v>
      </c>
      <c r="T767" s="89" t="e">
        <f>#REF!</f>
        <v>#REF!</v>
      </c>
      <c r="U767" s="89" t="e">
        <f>#REF!</f>
        <v>#REF!</v>
      </c>
      <c r="V767" s="89" t="e">
        <f>#REF!</f>
        <v>#REF!</v>
      </c>
      <c r="W767" s="89" t="e">
        <f>#REF!</f>
        <v>#REF!</v>
      </c>
      <c r="X767" s="89" t="e">
        <f>#REF!</f>
        <v>#REF!</v>
      </c>
      <c r="Y767" s="89" t="e">
        <f>#REF!</f>
        <v>#REF!</v>
      </c>
      <c r="Z767" s="89" t="e">
        <f>#REF!</f>
        <v>#REF!</v>
      </c>
      <c r="AA767" s="89" t="e">
        <f>#REF!</f>
        <v>#REF!</v>
      </c>
      <c r="AB767" s="89" t="e">
        <f>#REF!</f>
        <v>#REF!</v>
      </c>
      <c r="AC767" s="89" t="e">
        <f>#REF!</f>
        <v>#REF!</v>
      </c>
      <c r="AD767" s="89" t="e">
        <f>#REF!</f>
        <v>#REF!</v>
      </c>
      <c r="AE767" s="89" t="e">
        <f>#REF!</f>
        <v>#REF!</v>
      </c>
      <c r="AF767" s="89" t="e">
        <f>#REF!</f>
        <v>#REF!</v>
      </c>
      <c r="AG767" s="89" t="e">
        <f>#REF!</f>
        <v>#REF!</v>
      </c>
      <c r="AH767" s="89" t="e">
        <f>#REF!</f>
        <v>#REF!</v>
      </c>
      <c r="AI767" s="89" t="e">
        <f>#REF!</f>
        <v>#REF!</v>
      </c>
      <c r="AJ767" s="89" t="e">
        <f>#REF!</f>
        <v>#REF!</v>
      </c>
      <c r="AK767" s="89" t="e">
        <f>#REF!</f>
        <v>#REF!</v>
      </c>
      <c r="AL767" s="89" t="e">
        <f>#REF!</f>
        <v>#REF!</v>
      </c>
      <c r="AM767" s="89" t="e">
        <f>#REF!</f>
        <v>#REF!</v>
      </c>
      <c r="AN767" s="89" t="e">
        <f>#REF!</f>
        <v>#REF!</v>
      </c>
      <c r="AO767" s="89" t="e">
        <f>#REF!</f>
        <v>#REF!</v>
      </c>
      <c r="AP767" s="89" t="e">
        <f>#REF!</f>
        <v>#REF!</v>
      </c>
      <c r="AQ767" s="89" t="e">
        <f>#REF!</f>
        <v>#REF!</v>
      </c>
      <c r="AR767" s="89" t="e">
        <f>#REF!</f>
        <v>#REF!</v>
      </c>
      <c r="AS767" s="89" t="e">
        <f>#REF!</f>
        <v>#REF!</v>
      </c>
      <c r="AT767" s="89" t="e">
        <f>#REF!</f>
        <v>#REF!</v>
      </c>
      <c r="AU767" s="89" t="e">
        <f>#REF!</f>
        <v>#REF!</v>
      </c>
      <c r="AV767" s="89" t="e">
        <f>#REF!</f>
        <v>#REF!</v>
      </c>
      <c r="AW767" s="89" t="e">
        <f>#REF!</f>
        <v>#REF!</v>
      </c>
      <c r="AX767" s="89" t="e">
        <f>#REF!</f>
        <v>#REF!</v>
      </c>
      <c r="AY767" s="89" t="e">
        <f>#REF!</f>
        <v>#REF!</v>
      </c>
      <c r="AZ767" s="89" t="e">
        <f>#REF!</f>
        <v>#REF!</v>
      </c>
      <c r="BA767" s="89" t="e">
        <f>#REF!</f>
        <v>#REF!</v>
      </c>
      <c r="BB767" s="89" t="e">
        <f>#REF!</f>
        <v>#REF!</v>
      </c>
      <c r="BC767" s="89" t="e">
        <f>#REF!</f>
        <v>#REF!</v>
      </c>
      <c r="BD767" s="89" t="e">
        <f>#REF!</f>
        <v>#REF!</v>
      </c>
      <c r="BE767" s="89" t="e">
        <f>#REF!</f>
        <v>#REF!</v>
      </c>
      <c r="BF767" s="89" t="e">
        <f>#REF!</f>
        <v>#REF!</v>
      </c>
    </row>
    <row r="768" spans="9:58" x14ac:dyDescent="0.25">
      <c r="I768" s="89">
        <f>ABCD!J817</f>
        <v>191</v>
      </c>
      <c r="J768" s="89">
        <f>ABCD!K817</f>
        <v>626.48</v>
      </c>
      <c r="K768" s="89">
        <f>ABCD!L817</f>
        <v>-4.6444837341675065</v>
      </c>
      <c r="L768" s="89">
        <f>ABCD!M817</f>
        <v>-0.86203640299199735</v>
      </c>
      <c r="M768" s="89">
        <f>ABCD!N817</f>
        <v>4.7238052369916694</v>
      </c>
      <c r="N768" s="89" t="e">
        <v>#REF!</v>
      </c>
      <c r="O768" s="89" t="e">
        <v>#REF!</v>
      </c>
      <c r="P768" s="89" t="e">
        <v>#REF!</v>
      </c>
      <c r="Q768" s="89" t="e">
        <v>#REF!</v>
      </c>
      <c r="R768" s="89" t="e">
        <v>#REF!</v>
      </c>
      <c r="S768" s="89" t="e">
        <f>#REF!</f>
        <v>#REF!</v>
      </c>
      <c r="T768" s="89" t="e">
        <f>#REF!</f>
        <v>#REF!</v>
      </c>
      <c r="U768" s="89" t="e">
        <f>#REF!</f>
        <v>#REF!</v>
      </c>
      <c r="V768" s="89" t="e">
        <f>#REF!</f>
        <v>#REF!</v>
      </c>
      <c r="W768" s="89" t="e">
        <f>#REF!</f>
        <v>#REF!</v>
      </c>
      <c r="X768" s="89" t="e">
        <f>#REF!</f>
        <v>#REF!</v>
      </c>
      <c r="Y768" s="89" t="e">
        <f>#REF!</f>
        <v>#REF!</v>
      </c>
      <c r="Z768" s="89" t="e">
        <f>#REF!</f>
        <v>#REF!</v>
      </c>
      <c r="AA768" s="89" t="e">
        <f>#REF!</f>
        <v>#REF!</v>
      </c>
      <c r="AB768" s="89" t="e">
        <f>#REF!</f>
        <v>#REF!</v>
      </c>
      <c r="AC768" s="89" t="e">
        <f>#REF!</f>
        <v>#REF!</v>
      </c>
      <c r="AD768" s="89" t="e">
        <f>#REF!</f>
        <v>#REF!</v>
      </c>
      <c r="AE768" s="89" t="e">
        <f>#REF!</f>
        <v>#REF!</v>
      </c>
      <c r="AF768" s="89" t="e">
        <f>#REF!</f>
        <v>#REF!</v>
      </c>
      <c r="AG768" s="89" t="e">
        <f>#REF!</f>
        <v>#REF!</v>
      </c>
      <c r="AH768" s="89" t="e">
        <f>#REF!</f>
        <v>#REF!</v>
      </c>
      <c r="AI768" s="89" t="e">
        <f>#REF!</f>
        <v>#REF!</v>
      </c>
      <c r="AJ768" s="89" t="e">
        <f>#REF!</f>
        <v>#REF!</v>
      </c>
      <c r="AK768" s="89" t="e">
        <f>#REF!</f>
        <v>#REF!</v>
      </c>
      <c r="AL768" s="89" t="e">
        <f>#REF!</f>
        <v>#REF!</v>
      </c>
      <c r="AM768" s="89" t="e">
        <f>#REF!</f>
        <v>#REF!</v>
      </c>
      <c r="AN768" s="89" t="e">
        <f>#REF!</f>
        <v>#REF!</v>
      </c>
      <c r="AO768" s="89" t="e">
        <f>#REF!</f>
        <v>#REF!</v>
      </c>
      <c r="AP768" s="89" t="e">
        <f>#REF!</f>
        <v>#REF!</v>
      </c>
      <c r="AQ768" s="89" t="e">
        <f>#REF!</f>
        <v>#REF!</v>
      </c>
      <c r="AR768" s="89" t="e">
        <f>#REF!</f>
        <v>#REF!</v>
      </c>
      <c r="AS768" s="89" t="e">
        <f>#REF!</f>
        <v>#REF!</v>
      </c>
      <c r="AT768" s="89" t="e">
        <f>#REF!</f>
        <v>#REF!</v>
      </c>
      <c r="AU768" s="89" t="e">
        <f>#REF!</f>
        <v>#REF!</v>
      </c>
      <c r="AV768" s="89" t="e">
        <f>#REF!</f>
        <v>#REF!</v>
      </c>
      <c r="AW768" s="89" t="e">
        <f>#REF!</f>
        <v>#REF!</v>
      </c>
      <c r="AX768" s="89" t="e">
        <f>#REF!</f>
        <v>#REF!</v>
      </c>
      <c r="AY768" s="89" t="e">
        <f>#REF!</f>
        <v>#REF!</v>
      </c>
      <c r="AZ768" s="89" t="e">
        <f>#REF!</f>
        <v>#REF!</v>
      </c>
      <c r="BA768" s="89" t="e">
        <f>#REF!</f>
        <v>#REF!</v>
      </c>
      <c r="BB768" s="89" t="e">
        <f>#REF!</f>
        <v>#REF!</v>
      </c>
      <c r="BC768" s="89" t="e">
        <f>#REF!</f>
        <v>#REF!</v>
      </c>
      <c r="BD768" s="89" t="e">
        <f>#REF!</f>
        <v>#REF!</v>
      </c>
      <c r="BE768" s="89" t="e">
        <f>#REF!</f>
        <v>#REF!</v>
      </c>
      <c r="BF768" s="89" t="e">
        <f>#REF!</f>
        <v>#REF!</v>
      </c>
    </row>
    <row r="769" spans="9:58" x14ac:dyDescent="0.25">
      <c r="I769" s="89">
        <f>ABCD!J818</f>
        <v>191.25</v>
      </c>
      <c r="J769" s="89">
        <f>ABCD!K818</f>
        <v>627.29999999999995</v>
      </c>
      <c r="K769" s="89">
        <f>ABCD!L818</f>
        <v>-4.614239018849168</v>
      </c>
      <c r="L769" s="89">
        <f>ABCD!M818</f>
        <v>-0.85717075733620507</v>
      </c>
      <c r="M769" s="89">
        <f>ABCD!N818</f>
        <v>4.6931805239413551</v>
      </c>
      <c r="N769" s="89" t="e">
        <v>#REF!</v>
      </c>
      <c r="O769" s="89" t="e">
        <v>#REF!</v>
      </c>
      <c r="P769" s="89" t="e">
        <v>#REF!</v>
      </c>
      <c r="Q769" s="89" t="e">
        <v>#REF!</v>
      </c>
      <c r="R769" s="89" t="e">
        <v>#REF!</v>
      </c>
      <c r="S769" s="89" t="e">
        <f>#REF!</f>
        <v>#REF!</v>
      </c>
      <c r="T769" s="89" t="e">
        <f>#REF!</f>
        <v>#REF!</v>
      </c>
      <c r="U769" s="89" t="e">
        <f>#REF!</f>
        <v>#REF!</v>
      </c>
      <c r="V769" s="89" t="e">
        <f>#REF!</f>
        <v>#REF!</v>
      </c>
      <c r="W769" s="89" t="e">
        <f>#REF!</f>
        <v>#REF!</v>
      </c>
      <c r="X769" s="89" t="e">
        <f>#REF!</f>
        <v>#REF!</v>
      </c>
      <c r="Y769" s="89" t="e">
        <f>#REF!</f>
        <v>#REF!</v>
      </c>
      <c r="Z769" s="89" t="e">
        <f>#REF!</f>
        <v>#REF!</v>
      </c>
      <c r="AA769" s="89" t="e">
        <f>#REF!</f>
        <v>#REF!</v>
      </c>
      <c r="AB769" s="89" t="e">
        <f>#REF!</f>
        <v>#REF!</v>
      </c>
      <c r="AC769" s="89" t="e">
        <f>#REF!</f>
        <v>#REF!</v>
      </c>
      <c r="AD769" s="89" t="e">
        <f>#REF!</f>
        <v>#REF!</v>
      </c>
      <c r="AE769" s="89" t="e">
        <f>#REF!</f>
        <v>#REF!</v>
      </c>
      <c r="AF769" s="89" t="e">
        <f>#REF!</f>
        <v>#REF!</v>
      </c>
      <c r="AG769" s="89" t="e">
        <f>#REF!</f>
        <v>#REF!</v>
      </c>
      <c r="AH769" s="89" t="e">
        <f>#REF!</f>
        <v>#REF!</v>
      </c>
      <c r="AI769" s="89" t="e">
        <f>#REF!</f>
        <v>#REF!</v>
      </c>
      <c r="AJ769" s="89" t="e">
        <f>#REF!</f>
        <v>#REF!</v>
      </c>
      <c r="AK769" s="89" t="e">
        <f>#REF!</f>
        <v>#REF!</v>
      </c>
      <c r="AL769" s="89" t="e">
        <f>#REF!</f>
        <v>#REF!</v>
      </c>
      <c r="AM769" s="89" t="e">
        <f>#REF!</f>
        <v>#REF!</v>
      </c>
      <c r="AN769" s="89" t="e">
        <f>#REF!</f>
        <v>#REF!</v>
      </c>
      <c r="AO769" s="89" t="e">
        <f>#REF!</f>
        <v>#REF!</v>
      </c>
      <c r="AP769" s="89" t="e">
        <f>#REF!</f>
        <v>#REF!</v>
      </c>
      <c r="AQ769" s="89" t="e">
        <f>#REF!</f>
        <v>#REF!</v>
      </c>
      <c r="AR769" s="89" t="e">
        <f>#REF!</f>
        <v>#REF!</v>
      </c>
      <c r="AS769" s="89" t="e">
        <f>#REF!</f>
        <v>#REF!</v>
      </c>
      <c r="AT769" s="89" t="e">
        <f>#REF!</f>
        <v>#REF!</v>
      </c>
      <c r="AU769" s="89" t="e">
        <f>#REF!</f>
        <v>#REF!</v>
      </c>
      <c r="AV769" s="89" t="e">
        <f>#REF!</f>
        <v>#REF!</v>
      </c>
      <c r="AW769" s="89" t="e">
        <f>#REF!</f>
        <v>#REF!</v>
      </c>
      <c r="AX769" s="89" t="e">
        <f>#REF!</f>
        <v>#REF!</v>
      </c>
      <c r="AY769" s="89" t="e">
        <f>#REF!</f>
        <v>#REF!</v>
      </c>
      <c r="AZ769" s="89" t="e">
        <f>#REF!</f>
        <v>#REF!</v>
      </c>
      <c r="BA769" s="89" t="e">
        <f>#REF!</f>
        <v>#REF!</v>
      </c>
      <c r="BB769" s="89" t="e">
        <f>#REF!</f>
        <v>#REF!</v>
      </c>
      <c r="BC769" s="89" t="e">
        <f>#REF!</f>
        <v>#REF!</v>
      </c>
      <c r="BD769" s="89" t="e">
        <f>#REF!</f>
        <v>#REF!</v>
      </c>
      <c r="BE769" s="89" t="e">
        <f>#REF!</f>
        <v>#REF!</v>
      </c>
      <c r="BF769" s="89" t="e">
        <f>#REF!</f>
        <v>#REF!</v>
      </c>
    </row>
    <row r="770" spans="9:58" x14ac:dyDescent="0.25">
      <c r="I770" s="89">
        <f>ABCD!J819</f>
        <v>191.5</v>
      </c>
      <c r="J770" s="89">
        <f>ABCD!K819</f>
        <v>628.12</v>
      </c>
      <c r="K770" s="89">
        <f>ABCD!L819</f>
        <v>-4.5829563556308983</v>
      </c>
      <c r="L770" s="89">
        <f>ABCD!M819</f>
        <v>-0.8521116185718991</v>
      </c>
      <c r="M770" s="89">
        <f>ABCD!N819</f>
        <v>4.6615000984793369</v>
      </c>
      <c r="N770" s="89" t="e">
        <v>#REF!</v>
      </c>
      <c r="O770" s="89" t="e">
        <v>#REF!</v>
      </c>
      <c r="P770" s="89" t="e">
        <v>#REF!</v>
      </c>
      <c r="Q770" s="89" t="e">
        <v>#REF!</v>
      </c>
      <c r="R770" s="89" t="e">
        <v>#REF!</v>
      </c>
      <c r="S770" s="89" t="e">
        <f>#REF!</f>
        <v>#REF!</v>
      </c>
      <c r="T770" s="89" t="e">
        <f>#REF!</f>
        <v>#REF!</v>
      </c>
      <c r="U770" s="89" t="e">
        <f>#REF!</f>
        <v>#REF!</v>
      </c>
      <c r="V770" s="89" t="e">
        <f>#REF!</f>
        <v>#REF!</v>
      </c>
      <c r="W770" s="89" t="e">
        <f>#REF!</f>
        <v>#REF!</v>
      </c>
      <c r="X770" s="89" t="e">
        <f>#REF!</f>
        <v>#REF!</v>
      </c>
      <c r="Y770" s="89" t="e">
        <f>#REF!</f>
        <v>#REF!</v>
      </c>
      <c r="Z770" s="89" t="e">
        <f>#REF!</f>
        <v>#REF!</v>
      </c>
      <c r="AA770" s="89" t="e">
        <f>#REF!</f>
        <v>#REF!</v>
      </c>
      <c r="AB770" s="89" t="e">
        <f>#REF!</f>
        <v>#REF!</v>
      </c>
      <c r="AC770" s="89" t="e">
        <f>#REF!</f>
        <v>#REF!</v>
      </c>
      <c r="AD770" s="89" t="e">
        <f>#REF!</f>
        <v>#REF!</v>
      </c>
      <c r="AE770" s="89" t="e">
        <f>#REF!</f>
        <v>#REF!</v>
      </c>
      <c r="AF770" s="89" t="e">
        <f>#REF!</f>
        <v>#REF!</v>
      </c>
      <c r="AG770" s="89" t="e">
        <f>#REF!</f>
        <v>#REF!</v>
      </c>
      <c r="AH770" s="89" t="e">
        <f>#REF!</f>
        <v>#REF!</v>
      </c>
      <c r="AI770" s="89" t="e">
        <f>#REF!</f>
        <v>#REF!</v>
      </c>
      <c r="AJ770" s="89" t="e">
        <f>#REF!</f>
        <v>#REF!</v>
      </c>
      <c r="AK770" s="89" t="e">
        <f>#REF!</f>
        <v>#REF!</v>
      </c>
      <c r="AL770" s="89" t="e">
        <f>#REF!</f>
        <v>#REF!</v>
      </c>
      <c r="AM770" s="89" t="e">
        <f>#REF!</f>
        <v>#REF!</v>
      </c>
      <c r="AN770" s="89" t="e">
        <f>#REF!</f>
        <v>#REF!</v>
      </c>
      <c r="AO770" s="89" t="e">
        <f>#REF!</f>
        <v>#REF!</v>
      </c>
      <c r="AP770" s="89" t="e">
        <f>#REF!</f>
        <v>#REF!</v>
      </c>
      <c r="AQ770" s="89" t="e">
        <f>#REF!</f>
        <v>#REF!</v>
      </c>
      <c r="AR770" s="89" t="e">
        <f>#REF!</f>
        <v>#REF!</v>
      </c>
      <c r="AS770" s="89" t="e">
        <f>#REF!</f>
        <v>#REF!</v>
      </c>
      <c r="AT770" s="89" t="e">
        <f>#REF!</f>
        <v>#REF!</v>
      </c>
      <c r="AU770" s="89" t="e">
        <f>#REF!</f>
        <v>#REF!</v>
      </c>
      <c r="AV770" s="89" t="e">
        <f>#REF!</f>
        <v>#REF!</v>
      </c>
      <c r="AW770" s="89" t="e">
        <f>#REF!</f>
        <v>#REF!</v>
      </c>
      <c r="AX770" s="89" t="e">
        <f>#REF!</f>
        <v>#REF!</v>
      </c>
      <c r="AY770" s="89" t="e">
        <f>#REF!</f>
        <v>#REF!</v>
      </c>
      <c r="AZ770" s="89" t="e">
        <f>#REF!</f>
        <v>#REF!</v>
      </c>
      <c r="BA770" s="89" t="e">
        <f>#REF!</f>
        <v>#REF!</v>
      </c>
      <c r="BB770" s="89" t="e">
        <f>#REF!</f>
        <v>#REF!</v>
      </c>
      <c r="BC770" s="89" t="e">
        <f>#REF!</f>
        <v>#REF!</v>
      </c>
      <c r="BD770" s="89" t="e">
        <f>#REF!</f>
        <v>#REF!</v>
      </c>
      <c r="BE770" s="89" t="e">
        <f>#REF!</f>
        <v>#REF!</v>
      </c>
      <c r="BF770" s="89" t="e">
        <f>#REF!</f>
        <v>#REF!</v>
      </c>
    </row>
    <row r="771" spans="9:58" x14ac:dyDescent="0.25">
      <c r="I771" s="89">
        <f>ABCD!J820</f>
        <v>191.75</v>
      </c>
      <c r="J771" s="89">
        <f>ABCD!K820</f>
        <v>628.93999999999994</v>
      </c>
      <c r="K771" s="89">
        <f>ABCD!L820</f>
        <v>-4.5506438995691925</v>
      </c>
      <c r="L771" s="89">
        <f>ABCD!M820</f>
        <v>-0.84686032862155958</v>
      </c>
      <c r="M771" s="89">
        <f>ABCD!N820</f>
        <v>4.6287722256424892</v>
      </c>
      <c r="N771" s="89" t="e">
        <v>#REF!</v>
      </c>
      <c r="O771" s="89" t="e">
        <v>#REF!</v>
      </c>
      <c r="P771" s="89" t="e">
        <v>#REF!</v>
      </c>
      <c r="Q771" s="89" t="e">
        <v>#REF!</v>
      </c>
      <c r="R771" s="89" t="e">
        <v>#REF!</v>
      </c>
      <c r="S771" s="89" t="e">
        <f>#REF!</f>
        <v>#REF!</v>
      </c>
      <c r="T771" s="89" t="e">
        <f>#REF!</f>
        <v>#REF!</v>
      </c>
      <c r="U771" s="89" t="e">
        <f>#REF!</f>
        <v>#REF!</v>
      </c>
      <c r="V771" s="89" t="e">
        <f>#REF!</f>
        <v>#REF!</v>
      </c>
      <c r="W771" s="89" t="e">
        <f>#REF!</f>
        <v>#REF!</v>
      </c>
      <c r="X771" s="89" t="e">
        <f>#REF!</f>
        <v>#REF!</v>
      </c>
      <c r="Y771" s="89" t="e">
        <f>#REF!</f>
        <v>#REF!</v>
      </c>
      <c r="Z771" s="89" t="e">
        <f>#REF!</f>
        <v>#REF!</v>
      </c>
      <c r="AA771" s="89" t="e">
        <f>#REF!</f>
        <v>#REF!</v>
      </c>
      <c r="AB771" s="89" t="e">
        <f>#REF!</f>
        <v>#REF!</v>
      </c>
      <c r="AC771" s="89" t="e">
        <f>#REF!</f>
        <v>#REF!</v>
      </c>
      <c r="AD771" s="89" t="e">
        <f>#REF!</f>
        <v>#REF!</v>
      </c>
      <c r="AE771" s="89" t="e">
        <f>#REF!</f>
        <v>#REF!</v>
      </c>
      <c r="AF771" s="89" t="e">
        <f>#REF!</f>
        <v>#REF!</v>
      </c>
      <c r="AG771" s="89" t="e">
        <f>#REF!</f>
        <v>#REF!</v>
      </c>
      <c r="AH771" s="89" t="e">
        <f>#REF!</f>
        <v>#REF!</v>
      </c>
      <c r="AI771" s="89" t="e">
        <f>#REF!</f>
        <v>#REF!</v>
      </c>
      <c r="AJ771" s="89" t="e">
        <f>#REF!</f>
        <v>#REF!</v>
      </c>
      <c r="AK771" s="89" t="e">
        <f>#REF!</f>
        <v>#REF!</v>
      </c>
      <c r="AL771" s="89" t="e">
        <f>#REF!</f>
        <v>#REF!</v>
      </c>
      <c r="AM771" s="89" t="e">
        <f>#REF!</f>
        <v>#REF!</v>
      </c>
      <c r="AN771" s="89" t="e">
        <f>#REF!</f>
        <v>#REF!</v>
      </c>
      <c r="AO771" s="89" t="e">
        <f>#REF!</f>
        <v>#REF!</v>
      </c>
      <c r="AP771" s="89" t="e">
        <f>#REF!</f>
        <v>#REF!</v>
      </c>
      <c r="AQ771" s="89" t="e">
        <f>#REF!</f>
        <v>#REF!</v>
      </c>
      <c r="AR771" s="89" t="e">
        <f>#REF!</f>
        <v>#REF!</v>
      </c>
      <c r="AS771" s="89" t="e">
        <f>#REF!</f>
        <v>#REF!</v>
      </c>
      <c r="AT771" s="89" t="e">
        <f>#REF!</f>
        <v>#REF!</v>
      </c>
      <c r="AU771" s="89" t="e">
        <f>#REF!</f>
        <v>#REF!</v>
      </c>
      <c r="AV771" s="89" t="e">
        <f>#REF!</f>
        <v>#REF!</v>
      </c>
      <c r="AW771" s="89" t="e">
        <f>#REF!</f>
        <v>#REF!</v>
      </c>
      <c r="AX771" s="89" t="e">
        <f>#REF!</f>
        <v>#REF!</v>
      </c>
      <c r="AY771" s="89" t="e">
        <f>#REF!</f>
        <v>#REF!</v>
      </c>
      <c r="AZ771" s="89" t="e">
        <f>#REF!</f>
        <v>#REF!</v>
      </c>
      <c r="BA771" s="89" t="e">
        <f>#REF!</f>
        <v>#REF!</v>
      </c>
      <c r="BB771" s="89" t="e">
        <f>#REF!</f>
        <v>#REF!</v>
      </c>
      <c r="BC771" s="89" t="e">
        <f>#REF!</f>
        <v>#REF!</v>
      </c>
      <c r="BD771" s="89" t="e">
        <f>#REF!</f>
        <v>#REF!</v>
      </c>
      <c r="BE771" s="89" t="e">
        <f>#REF!</f>
        <v>#REF!</v>
      </c>
      <c r="BF771" s="89" t="e">
        <f>#REF!</f>
        <v>#REF!</v>
      </c>
    </row>
    <row r="772" spans="9:58" x14ac:dyDescent="0.25">
      <c r="I772" s="89">
        <f>ABCD!J821</f>
        <v>192</v>
      </c>
      <c r="J772" s="89">
        <f>ABCD!K821</f>
        <v>629.76</v>
      </c>
      <c r="K772" s="89">
        <f>ABCD!L821</f>
        <v>-4.5173100361027849</v>
      </c>
      <c r="L772" s="89">
        <f>ABCD!M821</f>
        <v>-0.84141827255688184</v>
      </c>
      <c r="M772" s="89">
        <f>ABCD!N821</f>
        <v>4.5950054049660869</v>
      </c>
      <c r="N772" s="89" t="e">
        <v>#REF!</v>
      </c>
      <c r="O772" s="89" t="e">
        <v>#REF!</v>
      </c>
      <c r="P772" s="89" t="e">
        <v>#REF!</v>
      </c>
      <c r="Q772" s="89" t="e">
        <v>#REF!</v>
      </c>
      <c r="R772" s="89" t="e">
        <v>#REF!</v>
      </c>
      <c r="S772" s="89" t="e">
        <f>#REF!</f>
        <v>#REF!</v>
      </c>
      <c r="T772" s="89" t="e">
        <f>#REF!</f>
        <v>#REF!</v>
      </c>
      <c r="U772" s="89" t="e">
        <f>#REF!</f>
        <v>#REF!</v>
      </c>
      <c r="V772" s="89" t="e">
        <f>#REF!</f>
        <v>#REF!</v>
      </c>
      <c r="W772" s="89" t="e">
        <f>#REF!</f>
        <v>#REF!</v>
      </c>
      <c r="X772" s="89" t="e">
        <f>#REF!</f>
        <v>#REF!</v>
      </c>
      <c r="Y772" s="89" t="e">
        <f>#REF!</f>
        <v>#REF!</v>
      </c>
      <c r="Z772" s="89" t="e">
        <f>#REF!</f>
        <v>#REF!</v>
      </c>
      <c r="AA772" s="89" t="e">
        <f>#REF!</f>
        <v>#REF!</v>
      </c>
      <c r="AB772" s="89" t="e">
        <f>#REF!</f>
        <v>#REF!</v>
      </c>
      <c r="AC772" s="89" t="e">
        <f>#REF!</f>
        <v>#REF!</v>
      </c>
      <c r="AD772" s="89" t="e">
        <f>#REF!</f>
        <v>#REF!</v>
      </c>
      <c r="AE772" s="89" t="e">
        <f>#REF!</f>
        <v>#REF!</v>
      </c>
      <c r="AF772" s="89" t="e">
        <f>#REF!</f>
        <v>#REF!</v>
      </c>
      <c r="AG772" s="89" t="e">
        <f>#REF!</f>
        <v>#REF!</v>
      </c>
      <c r="AH772" s="89" t="e">
        <f>#REF!</f>
        <v>#REF!</v>
      </c>
      <c r="AI772" s="89" t="e">
        <f>#REF!</f>
        <v>#REF!</v>
      </c>
      <c r="AJ772" s="89" t="e">
        <f>#REF!</f>
        <v>#REF!</v>
      </c>
      <c r="AK772" s="89" t="e">
        <f>#REF!</f>
        <v>#REF!</v>
      </c>
      <c r="AL772" s="89" t="e">
        <f>#REF!</f>
        <v>#REF!</v>
      </c>
      <c r="AM772" s="89" t="e">
        <f>#REF!</f>
        <v>#REF!</v>
      </c>
      <c r="AN772" s="89" t="e">
        <f>#REF!</f>
        <v>#REF!</v>
      </c>
      <c r="AO772" s="89" t="e">
        <f>#REF!</f>
        <v>#REF!</v>
      </c>
      <c r="AP772" s="89" t="e">
        <f>#REF!</f>
        <v>#REF!</v>
      </c>
      <c r="AQ772" s="89" t="e">
        <f>#REF!</f>
        <v>#REF!</v>
      </c>
      <c r="AR772" s="89" t="e">
        <f>#REF!</f>
        <v>#REF!</v>
      </c>
      <c r="AS772" s="89" t="e">
        <f>#REF!</f>
        <v>#REF!</v>
      </c>
      <c r="AT772" s="89" t="e">
        <f>#REF!</f>
        <v>#REF!</v>
      </c>
      <c r="AU772" s="89" t="e">
        <f>#REF!</f>
        <v>#REF!</v>
      </c>
      <c r="AV772" s="89" t="e">
        <f>#REF!</f>
        <v>#REF!</v>
      </c>
      <c r="AW772" s="89" t="e">
        <f>#REF!</f>
        <v>#REF!</v>
      </c>
      <c r="AX772" s="89" t="e">
        <f>#REF!</f>
        <v>#REF!</v>
      </c>
      <c r="AY772" s="89" t="e">
        <f>#REF!</f>
        <v>#REF!</v>
      </c>
      <c r="AZ772" s="89" t="e">
        <f>#REF!</f>
        <v>#REF!</v>
      </c>
      <c r="BA772" s="89" t="e">
        <f>#REF!</f>
        <v>#REF!</v>
      </c>
      <c r="BB772" s="89" t="e">
        <f>#REF!</f>
        <v>#REF!</v>
      </c>
      <c r="BC772" s="89" t="e">
        <f>#REF!</f>
        <v>#REF!</v>
      </c>
      <c r="BD772" s="89" t="e">
        <f>#REF!</f>
        <v>#REF!</v>
      </c>
      <c r="BE772" s="89" t="e">
        <f>#REF!</f>
        <v>#REF!</v>
      </c>
      <c r="BF772" s="89" t="e">
        <f>#REF!</f>
        <v>#REF!</v>
      </c>
    </row>
    <row r="773" spans="9:58" x14ac:dyDescent="0.25">
      <c r="I773" s="89">
        <f>ABCD!J822</f>
        <v>192.25</v>
      </c>
      <c r="J773" s="89">
        <f>ABCD!K822</f>
        <v>630.57999999999993</v>
      </c>
      <c r="K773" s="89">
        <f>ABCD!L822</f>
        <v>-4.4829633789096821</v>
      </c>
      <c r="L773" s="89">
        <f>ABCD!M822</f>
        <v>-0.83578687824020703</v>
      </c>
      <c r="M773" s="89">
        <f>ABCD!N822</f>
        <v>4.5602083683186914</v>
      </c>
      <c r="N773" s="89" t="e">
        <v>#REF!</v>
      </c>
      <c r="O773" s="89" t="e">
        <v>#REF!</v>
      </c>
      <c r="P773" s="89" t="e">
        <v>#REF!</v>
      </c>
      <c r="Q773" s="89" t="e">
        <v>#REF!</v>
      </c>
      <c r="R773" s="89" t="e">
        <v>#REF!</v>
      </c>
      <c r="S773" s="89" t="e">
        <f>#REF!</f>
        <v>#REF!</v>
      </c>
      <c r="T773" s="89" t="e">
        <f>#REF!</f>
        <v>#REF!</v>
      </c>
      <c r="U773" s="89" t="e">
        <f>#REF!</f>
        <v>#REF!</v>
      </c>
      <c r="V773" s="89" t="e">
        <f>#REF!</f>
        <v>#REF!</v>
      </c>
      <c r="W773" s="89" t="e">
        <f>#REF!</f>
        <v>#REF!</v>
      </c>
      <c r="X773" s="89" t="e">
        <f>#REF!</f>
        <v>#REF!</v>
      </c>
      <c r="Y773" s="89" t="e">
        <f>#REF!</f>
        <v>#REF!</v>
      </c>
      <c r="Z773" s="89" t="e">
        <f>#REF!</f>
        <v>#REF!</v>
      </c>
      <c r="AA773" s="89" t="e">
        <f>#REF!</f>
        <v>#REF!</v>
      </c>
      <c r="AB773" s="89" t="e">
        <f>#REF!</f>
        <v>#REF!</v>
      </c>
      <c r="AC773" s="89" t="e">
        <f>#REF!</f>
        <v>#REF!</v>
      </c>
      <c r="AD773" s="89" t="e">
        <f>#REF!</f>
        <v>#REF!</v>
      </c>
      <c r="AE773" s="89" t="e">
        <f>#REF!</f>
        <v>#REF!</v>
      </c>
      <c r="AF773" s="89" t="e">
        <f>#REF!</f>
        <v>#REF!</v>
      </c>
      <c r="AG773" s="89" t="e">
        <f>#REF!</f>
        <v>#REF!</v>
      </c>
      <c r="AH773" s="89" t="e">
        <f>#REF!</f>
        <v>#REF!</v>
      </c>
      <c r="AI773" s="89" t="e">
        <f>#REF!</f>
        <v>#REF!</v>
      </c>
      <c r="AJ773" s="89" t="e">
        <f>#REF!</f>
        <v>#REF!</v>
      </c>
      <c r="AK773" s="89" t="e">
        <f>#REF!</f>
        <v>#REF!</v>
      </c>
      <c r="AL773" s="89" t="e">
        <f>#REF!</f>
        <v>#REF!</v>
      </c>
      <c r="AM773" s="89" t="e">
        <f>#REF!</f>
        <v>#REF!</v>
      </c>
      <c r="AN773" s="89" t="e">
        <f>#REF!</f>
        <v>#REF!</v>
      </c>
      <c r="AO773" s="89" t="e">
        <f>#REF!</f>
        <v>#REF!</v>
      </c>
      <c r="AP773" s="89" t="e">
        <f>#REF!</f>
        <v>#REF!</v>
      </c>
      <c r="AQ773" s="89" t="e">
        <f>#REF!</f>
        <v>#REF!</v>
      </c>
      <c r="AR773" s="89" t="e">
        <f>#REF!</f>
        <v>#REF!</v>
      </c>
      <c r="AS773" s="89" t="e">
        <f>#REF!</f>
        <v>#REF!</v>
      </c>
      <c r="AT773" s="89" t="e">
        <f>#REF!</f>
        <v>#REF!</v>
      </c>
      <c r="AU773" s="89" t="e">
        <f>#REF!</f>
        <v>#REF!</v>
      </c>
      <c r="AV773" s="89" t="e">
        <f>#REF!</f>
        <v>#REF!</v>
      </c>
      <c r="AW773" s="89" t="e">
        <f>#REF!</f>
        <v>#REF!</v>
      </c>
      <c r="AX773" s="89" t="e">
        <f>#REF!</f>
        <v>#REF!</v>
      </c>
      <c r="AY773" s="89" t="e">
        <f>#REF!</f>
        <v>#REF!</v>
      </c>
      <c r="AZ773" s="89" t="e">
        <f>#REF!</f>
        <v>#REF!</v>
      </c>
      <c r="BA773" s="89" t="e">
        <f>#REF!</f>
        <v>#REF!</v>
      </c>
      <c r="BB773" s="89" t="e">
        <f>#REF!</f>
        <v>#REF!</v>
      </c>
      <c r="BC773" s="89" t="e">
        <f>#REF!</f>
        <v>#REF!</v>
      </c>
      <c r="BD773" s="89" t="e">
        <f>#REF!</f>
        <v>#REF!</v>
      </c>
      <c r="BE773" s="89" t="e">
        <f>#REF!</f>
        <v>#REF!</v>
      </c>
      <c r="BF773" s="89" t="e">
        <f>#REF!</f>
        <v>#REF!</v>
      </c>
    </row>
    <row r="774" spans="9:58" x14ac:dyDescent="0.25">
      <c r="I774" s="89">
        <f>ABCD!J823</f>
        <v>192.5</v>
      </c>
      <c r="J774" s="89">
        <f>ABCD!K823</f>
        <v>631.4</v>
      </c>
      <c r="K774" s="89">
        <f>ABCD!L823</f>
        <v>-4.4476127677134762</v>
      </c>
      <c r="L774" s="89">
        <f>ABCD!M823</f>
        <v>-0.82996761595642488</v>
      </c>
      <c r="M774" s="89">
        <f>ABCD!N823</f>
        <v>4.5243900776860873</v>
      </c>
      <c r="N774" s="89" t="e">
        <v>#REF!</v>
      </c>
      <c r="O774" s="89" t="e">
        <v>#REF!</v>
      </c>
      <c r="P774" s="89" t="e">
        <v>#REF!</v>
      </c>
      <c r="Q774" s="89" t="e">
        <v>#REF!</v>
      </c>
      <c r="R774" s="89" t="e">
        <v>#REF!</v>
      </c>
      <c r="S774" s="89" t="e">
        <f>#REF!</f>
        <v>#REF!</v>
      </c>
      <c r="T774" s="89" t="e">
        <f>#REF!</f>
        <v>#REF!</v>
      </c>
      <c r="U774" s="89" t="e">
        <f>#REF!</f>
        <v>#REF!</v>
      </c>
      <c r="V774" s="89" t="e">
        <f>#REF!</f>
        <v>#REF!</v>
      </c>
      <c r="W774" s="89" t="e">
        <f>#REF!</f>
        <v>#REF!</v>
      </c>
      <c r="X774" s="89" t="e">
        <f>#REF!</f>
        <v>#REF!</v>
      </c>
      <c r="Y774" s="89" t="e">
        <f>#REF!</f>
        <v>#REF!</v>
      </c>
      <c r="Z774" s="89" t="e">
        <f>#REF!</f>
        <v>#REF!</v>
      </c>
      <c r="AA774" s="89" t="e">
        <f>#REF!</f>
        <v>#REF!</v>
      </c>
      <c r="AB774" s="89" t="e">
        <f>#REF!</f>
        <v>#REF!</v>
      </c>
      <c r="AC774" s="89" t="e">
        <f>#REF!</f>
        <v>#REF!</v>
      </c>
      <c r="AD774" s="89" t="e">
        <f>#REF!</f>
        <v>#REF!</v>
      </c>
      <c r="AE774" s="89" t="e">
        <f>#REF!</f>
        <v>#REF!</v>
      </c>
      <c r="AF774" s="89" t="e">
        <f>#REF!</f>
        <v>#REF!</v>
      </c>
      <c r="AG774" s="89" t="e">
        <f>#REF!</f>
        <v>#REF!</v>
      </c>
      <c r="AH774" s="89" t="e">
        <f>#REF!</f>
        <v>#REF!</v>
      </c>
      <c r="AI774" s="89" t="e">
        <f>#REF!</f>
        <v>#REF!</v>
      </c>
      <c r="AJ774" s="89" t="e">
        <f>#REF!</f>
        <v>#REF!</v>
      </c>
      <c r="AK774" s="89" t="e">
        <f>#REF!</f>
        <v>#REF!</v>
      </c>
      <c r="AL774" s="89" t="e">
        <f>#REF!</f>
        <v>#REF!</v>
      </c>
      <c r="AM774" s="89" t="e">
        <f>#REF!</f>
        <v>#REF!</v>
      </c>
      <c r="AN774" s="89" t="e">
        <f>#REF!</f>
        <v>#REF!</v>
      </c>
      <c r="AO774" s="89" t="e">
        <f>#REF!</f>
        <v>#REF!</v>
      </c>
      <c r="AP774" s="89" t="e">
        <f>#REF!</f>
        <v>#REF!</v>
      </c>
      <c r="AQ774" s="89" t="e">
        <f>#REF!</f>
        <v>#REF!</v>
      </c>
      <c r="AR774" s="89" t="e">
        <f>#REF!</f>
        <v>#REF!</v>
      </c>
      <c r="AS774" s="89" t="e">
        <f>#REF!</f>
        <v>#REF!</v>
      </c>
      <c r="AT774" s="89" t="e">
        <f>#REF!</f>
        <v>#REF!</v>
      </c>
      <c r="AU774" s="89" t="e">
        <f>#REF!</f>
        <v>#REF!</v>
      </c>
      <c r="AV774" s="89" t="e">
        <f>#REF!</f>
        <v>#REF!</v>
      </c>
      <c r="AW774" s="89" t="e">
        <f>#REF!</f>
        <v>#REF!</v>
      </c>
      <c r="AX774" s="89" t="e">
        <f>#REF!</f>
        <v>#REF!</v>
      </c>
      <c r="AY774" s="89" t="e">
        <f>#REF!</f>
        <v>#REF!</v>
      </c>
      <c r="AZ774" s="89" t="e">
        <f>#REF!</f>
        <v>#REF!</v>
      </c>
      <c r="BA774" s="89" t="e">
        <f>#REF!</f>
        <v>#REF!</v>
      </c>
      <c r="BB774" s="89" t="e">
        <f>#REF!</f>
        <v>#REF!</v>
      </c>
      <c r="BC774" s="89" t="e">
        <f>#REF!</f>
        <v>#REF!</v>
      </c>
      <c r="BD774" s="89" t="e">
        <f>#REF!</f>
        <v>#REF!</v>
      </c>
      <c r="BE774" s="89" t="e">
        <f>#REF!</f>
        <v>#REF!</v>
      </c>
      <c r="BF774" s="89" t="e">
        <f>#REF!</f>
        <v>#REF!</v>
      </c>
    </row>
    <row r="775" spans="9:58" x14ac:dyDescent="0.25">
      <c r="I775" s="89">
        <f>ABCD!J824</f>
        <v>192.75</v>
      </c>
      <c r="J775" s="89">
        <f>ABCD!K824</f>
        <v>632.21999999999991</v>
      </c>
      <c r="K775" s="89">
        <f>ABCD!L824</f>
        <v>-4.4112672660393972</v>
      </c>
      <c r="L775" s="89">
        <f>ABCD!M824</f>
        <v>-0.82396199803540882</v>
      </c>
      <c r="M775" s="89">
        <f>ABCD!N824</f>
        <v>4.487559722904777</v>
      </c>
      <c r="N775" s="89" t="e">
        <v>#REF!</v>
      </c>
      <c r="O775" s="89" t="e">
        <v>#REF!</v>
      </c>
      <c r="P775" s="89" t="e">
        <v>#REF!</v>
      </c>
      <c r="Q775" s="89" t="e">
        <v>#REF!</v>
      </c>
      <c r="R775" s="89" t="e">
        <v>#REF!</v>
      </c>
      <c r="S775" s="89" t="e">
        <f>#REF!</f>
        <v>#REF!</v>
      </c>
      <c r="T775" s="89" t="e">
        <f>#REF!</f>
        <v>#REF!</v>
      </c>
      <c r="U775" s="89" t="e">
        <f>#REF!</f>
        <v>#REF!</v>
      </c>
      <c r="V775" s="89" t="e">
        <f>#REF!</f>
        <v>#REF!</v>
      </c>
      <c r="W775" s="89" t="e">
        <f>#REF!</f>
        <v>#REF!</v>
      </c>
      <c r="X775" s="89" t="e">
        <f>#REF!</f>
        <v>#REF!</v>
      </c>
      <c r="Y775" s="89" t="e">
        <f>#REF!</f>
        <v>#REF!</v>
      </c>
      <c r="Z775" s="89" t="e">
        <f>#REF!</f>
        <v>#REF!</v>
      </c>
      <c r="AA775" s="89" t="e">
        <f>#REF!</f>
        <v>#REF!</v>
      </c>
      <c r="AB775" s="89" t="e">
        <f>#REF!</f>
        <v>#REF!</v>
      </c>
      <c r="AC775" s="89" t="e">
        <f>#REF!</f>
        <v>#REF!</v>
      </c>
      <c r="AD775" s="89" t="e">
        <f>#REF!</f>
        <v>#REF!</v>
      </c>
      <c r="AE775" s="89" t="e">
        <f>#REF!</f>
        <v>#REF!</v>
      </c>
      <c r="AF775" s="89" t="e">
        <f>#REF!</f>
        <v>#REF!</v>
      </c>
      <c r="AG775" s="89" t="e">
        <f>#REF!</f>
        <v>#REF!</v>
      </c>
      <c r="AH775" s="89" t="e">
        <f>#REF!</f>
        <v>#REF!</v>
      </c>
      <c r="AI775" s="89" t="e">
        <f>#REF!</f>
        <v>#REF!</v>
      </c>
      <c r="AJ775" s="89" t="e">
        <f>#REF!</f>
        <v>#REF!</v>
      </c>
      <c r="AK775" s="89" t="e">
        <f>#REF!</f>
        <v>#REF!</v>
      </c>
      <c r="AL775" s="89" t="e">
        <f>#REF!</f>
        <v>#REF!</v>
      </c>
      <c r="AM775" s="89" t="e">
        <f>#REF!</f>
        <v>#REF!</v>
      </c>
      <c r="AN775" s="89" t="e">
        <f>#REF!</f>
        <v>#REF!</v>
      </c>
      <c r="AO775" s="89" t="e">
        <f>#REF!</f>
        <v>#REF!</v>
      </c>
      <c r="AP775" s="89" t="e">
        <f>#REF!</f>
        <v>#REF!</v>
      </c>
      <c r="AQ775" s="89" t="e">
        <f>#REF!</f>
        <v>#REF!</v>
      </c>
      <c r="AR775" s="89" t="e">
        <f>#REF!</f>
        <v>#REF!</v>
      </c>
      <c r="AS775" s="89" t="e">
        <f>#REF!</f>
        <v>#REF!</v>
      </c>
      <c r="AT775" s="89" t="e">
        <f>#REF!</f>
        <v>#REF!</v>
      </c>
      <c r="AU775" s="89" t="e">
        <f>#REF!</f>
        <v>#REF!</v>
      </c>
      <c r="AV775" s="89" t="e">
        <f>#REF!</f>
        <v>#REF!</v>
      </c>
      <c r="AW775" s="89" t="e">
        <f>#REF!</f>
        <v>#REF!</v>
      </c>
      <c r="AX775" s="89" t="e">
        <f>#REF!</f>
        <v>#REF!</v>
      </c>
      <c r="AY775" s="89" t="e">
        <f>#REF!</f>
        <v>#REF!</v>
      </c>
      <c r="AZ775" s="89" t="e">
        <f>#REF!</f>
        <v>#REF!</v>
      </c>
      <c r="BA775" s="89" t="e">
        <f>#REF!</f>
        <v>#REF!</v>
      </c>
      <c r="BB775" s="89" t="e">
        <f>#REF!</f>
        <v>#REF!</v>
      </c>
      <c r="BC775" s="89" t="e">
        <f>#REF!</f>
        <v>#REF!</v>
      </c>
      <c r="BD775" s="89" t="e">
        <f>#REF!</f>
        <v>#REF!</v>
      </c>
      <c r="BE775" s="89" t="e">
        <f>#REF!</f>
        <v>#REF!</v>
      </c>
      <c r="BF775" s="89" t="e">
        <f>#REF!</f>
        <v>#REF!</v>
      </c>
    </row>
    <row r="776" spans="9:58" x14ac:dyDescent="0.25">
      <c r="I776" s="89">
        <f>ABCD!J825</f>
        <v>193</v>
      </c>
      <c r="J776" s="89">
        <f>ABCD!K825</f>
        <v>633.04</v>
      </c>
      <c r="K776" s="89">
        <f>ABCD!L825</f>
        <v>-4.3739361589207739</v>
      </c>
      <c r="L776" s="89">
        <f>ABCD!M825</f>
        <v>-0.81777157846507531</v>
      </c>
      <c r="M776" s="89">
        <f>ABCD!N825</f>
        <v>4.4497267193457928</v>
      </c>
      <c r="N776" s="89" t="e">
        <v>#REF!</v>
      </c>
      <c r="O776" s="89" t="e">
        <v>#REF!</v>
      </c>
      <c r="P776" s="89" t="e">
        <v>#REF!</v>
      </c>
      <c r="Q776" s="89" t="e">
        <v>#REF!</v>
      </c>
      <c r="R776" s="89" t="e">
        <v>#REF!</v>
      </c>
      <c r="S776" s="89" t="e">
        <f>#REF!</f>
        <v>#REF!</v>
      </c>
      <c r="T776" s="89" t="e">
        <f>#REF!</f>
        <v>#REF!</v>
      </c>
      <c r="U776" s="89" t="e">
        <f>#REF!</f>
        <v>#REF!</v>
      </c>
      <c r="V776" s="89" t="e">
        <f>#REF!</f>
        <v>#REF!</v>
      </c>
      <c r="W776" s="89" t="e">
        <f>#REF!</f>
        <v>#REF!</v>
      </c>
      <c r="X776" s="89" t="e">
        <f>#REF!</f>
        <v>#REF!</v>
      </c>
      <c r="Y776" s="89" t="e">
        <f>#REF!</f>
        <v>#REF!</v>
      </c>
      <c r="Z776" s="89" t="e">
        <f>#REF!</f>
        <v>#REF!</v>
      </c>
      <c r="AA776" s="89" t="e">
        <f>#REF!</f>
        <v>#REF!</v>
      </c>
      <c r="AB776" s="89" t="e">
        <f>#REF!</f>
        <v>#REF!</v>
      </c>
      <c r="AC776" s="89" t="e">
        <f>#REF!</f>
        <v>#REF!</v>
      </c>
      <c r="AD776" s="89" t="e">
        <f>#REF!</f>
        <v>#REF!</v>
      </c>
      <c r="AE776" s="89" t="e">
        <f>#REF!</f>
        <v>#REF!</v>
      </c>
      <c r="AF776" s="89" t="e">
        <f>#REF!</f>
        <v>#REF!</v>
      </c>
      <c r="AG776" s="89" t="e">
        <f>#REF!</f>
        <v>#REF!</v>
      </c>
      <c r="AH776" s="89" t="e">
        <f>#REF!</f>
        <v>#REF!</v>
      </c>
      <c r="AI776" s="89" t="e">
        <f>#REF!</f>
        <v>#REF!</v>
      </c>
      <c r="AJ776" s="89" t="e">
        <f>#REF!</f>
        <v>#REF!</v>
      </c>
      <c r="AK776" s="89" t="e">
        <f>#REF!</f>
        <v>#REF!</v>
      </c>
      <c r="AL776" s="89" t="e">
        <f>#REF!</f>
        <v>#REF!</v>
      </c>
      <c r="AM776" s="89" t="e">
        <f>#REF!</f>
        <v>#REF!</v>
      </c>
      <c r="AN776" s="89" t="e">
        <f>#REF!</f>
        <v>#REF!</v>
      </c>
      <c r="AO776" s="89" t="e">
        <f>#REF!</f>
        <v>#REF!</v>
      </c>
      <c r="AP776" s="89" t="e">
        <f>#REF!</f>
        <v>#REF!</v>
      </c>
      <c r="AQ776" s="89" t="e">
        <f>#REF!</f>
        <v>#REF!</v>
      </c>
      <c r="AR776" s="89" t="e">
        <f>#REF!</f>
        <v>#REF!</v>
      </c>
      <c r="AS776" s="89" t="e">
        <f>#REF!</f>
        <v>#REF!</v>
      </c>
      <c r="AT776" s="89" t="e">
        <f>#REF!</f>
        <v>#REF!</v>
      </c>
      <c r="AU776" s="89" t="e">
        <f>#REF!</f>
        <v>#REF!</v>
      </c>
      <c r="AV776" s="89" t="e">
        <f>#REF!</f>
        <v>#REF!</v>
      </c>
      <c r="AW776" s="89" t="e">
        <f>#REF!</f>
        <v>#REF!</v>
      </c>
      <c r="AX776" s="89" t="e">
        <f>#REF!</f>
        <v>#REF!</v>
      </c>
      <c r="AY776" s="89" t="e">
        <f>#REF!</f>
        <v>#REF!</v>
      </c>
      <c r="AZ776" s="89" t="e">
        <f>#REF!</f>
        <v>#REF!</v>
      </c>
      <c r="BA776" s="89" t="e">
        <f>#REF!</f>
        <v>#REF!</v>
      </c>
      <c r="BB776" s="89" t="e">
        <f>#REF!</f>
        <v>#REF!</v>
      </c>
      <c r="BC776" s="89" t="e">
        <f>#REF!</f>
        <v>#REF!</v>
      </c>
      <c r="BD776" s="89" t="e">
        <f>#REF!</f>
        <v>#REF!</v>
      </c>
      <c r="BE776" s="89" t="e">
        <f>#REF!</f>
        <v>#REF!</v>
      </c>
      <c r="BF776" s="89" t="e">
        <f>#REF!</f>
        <v>#REF!</v>
      </c>
    </row>
    <row r="777" spans="9:58" x14ac:dyDescent="0.25">
      <c r="I777" s="89">
        <f>ABCD!J826</f>
        <v>193.25</v>
      </c>
      <c r="J777" s="89">
        <f>ABCD!K826</f>
        <v>633.86</v>
      </c>
      <c r="K777" s="89">
        <f>ABCD!L826</f>
        <v>-4.3356289505563739</v>
      </c>
      <c r="L777" s="89">
        <f>ABCD!M826</f>
        <v>-0.81139795249520308</v>
      </c>
      <c r="M777" s="89">
        <f>ABCD!N826</f>
        <v>4.4109007055493743</v>
      </c>
      <c r="N777" s="89" t="e">
        <v>#REF!</v>
      </c>
      <c r="O777" s="89" t="e">
        <v>#REF!</v>
      </c>
      <c r="P777" s="89" t="e">
        <v>#REF!</v>
      </c>
      <c r="Q777" s="89" t="e">
        <v>#REF!</v>
      </c>
      <c r="R777" s="89" t="e">
        <v>#REF!</v>
      </c>
      <c r="S777" s="89" t="e">
        <f>#REF!</f>
        <v>#REF!</v>
      </c>
      <c r="T777" s="89" t="e">
        <f>#REF!</f>
        <v>#REF!</v>
      </c>
      <c r="U777" s="89" t="e">
        <f>#REF!</f>
        <v>#REF!</v>
      </c>
      <c r="V777" s="89" t="e">
        <f>#REF!</f>
        <v>#REF!</v>
      </c>
      <c r="W777" s="89" t="e">
        <f>#REF!</f>
        <v>#REF!</v>
      </c>
      <c r="X777" s="89" t="e">
        <f>#REF!</f>
        <v>#REF!</v>
      </c>
      <c r="Y777" s="89" t="e">
        <f>#REF!</f>
        <v>#REF!</v>
      </c>
      <c r="Z777" s="89" t="e">
        <f>#REF!</f>
        <v>#REF!</v>
      </c>
      <c r="AA777" s="89" t="e">
        <f>#REF!</f>
        <v>#REF!</v>
      </c>
      <c r="AB777" s="89" t="e">
        <f>#REF!</f>
        <v>#REF!</v>
      </c>
      <c r="AC777" s="89" t="e">
        <f>#REF!</f>
        <v>#REF!</v>
      </c>
      <c r="AD777" s="89" t="e">
        <f>#REF!</f>
        <v>#REF!</v>
      </c>
      <c r="AE777" s="89" t="e">
        <f>#REF!</f>
        <v>#REF!</v>
      </c>
      <c r="AF777" s="89" t="e">
        <f>#REF!</f>
        <v>#REF!</v>
      </c>
      <c r="AG777" s="89" t="e">
        <f>#REF!</f>
        <v>#REF!</v>
      </c>
      <c r="AH777" s="89" t="e">
        <f>#REF!</f>
        <v>#REF!</v>
      </c>
      <c r="AI777" s="89" t="e">
        <f>#REF!</f>
        <v>#REF!</v>
      </c>
      <c r="AJ777" s="89" t="e">
        <f>#REF!</f>
        <v>#REF!</v>
      </c>
      <c r="AK777" s="89" t="e">
        <f>#REF!</f>
        <v>#REF!</v>
      </c>
      <c r="AL777" s="89" t="e">
        <f>#REF!</f>
        <v>#REF!</v>
      </c>
      <c r="AM777" s="89" t="e">
        <f>#REF!</f>
        <v>#REF!</v>
      </c>
      <c r="AN777" s="89" t="e">
        <f>#REF!</f>
        <v>#REF!</v>
      </c>
      <c r="AO777" s="89" t="e">
        <f>#REF!</f>
        <v>#REF!</v>
      </c>
      <c r="AP777" s="89" t="e">
        <f>#REF!</f>
        <v>#REF!</v>
      </c>
      <c r="AQ777" s="89" t="e">
        <f>#REF!</f>
        <v>#REF!</v>
      </c>
      <c r="AR777" s="89" t="e">
        <f>#REF!</f>
        <v>#REF!</v>
      </c>
      <c r="AS777" s="89" t="e">
        <f>#REF!</f>
        <v>#REF!</v>
      </c>
      <c r="AT777" s="89" t="e">
        <f>#REF!</f>
        <v>#REF!</v>
      </c>
      <c r="AU777" s="89" t="e">
        <f>#REF!</f>
        <v>#REF!</v>
      </c>
      <c r="AV777" s="89" t="e">
        <f>#REF!</f>
        <v>#REF!</v>
      </c>
      <c r="AW777" s="89" t="e">
        <f>#REF!</f>
        <v>#REF!</v>
      </c>
      <c r="AX777" s="89" t="e">
        <f>#REF!</f>
        <v>#REF!</v>
      </c>
      <c r="AY777" s="89" t="e">
        <f>#REF!</f>
        <v>#REF!</v>
      </c>
      <c r="AZ777" s="89" t="e">
        <f>#REF!</f>
        <v>#REF!</v>
      </c>
      <c r="BA777" s="89" t="e">
        <f>#REF!</f>
        <v>#REF!</v>
      </c>
      <c r="BB777" s="89" t="e">
        <f>#REF!</f>
        <v>#REF!</v>
      </c>
      <c r="BC777" s="89" t="e">
        <f>#REF!</f>
        <v>#REF!</v>
      </c>
      <c r="BD777" s="89" t="e">
        <f>#REF!</f>
        <v>#REF!</v>
      </c>
      <c r="BE777" s="89" t="e">
        <f>#REF!</f>
        <v>#REF!</v>
      </c>
      <c r="BF777" s="89" t="e">
        <f>#REF!</f>
        <v>#REF!</v>
      </c>
    </row>
    <row r="778" spans="9:58" x14ac:dyDescent="0.25">
      <c r="I778" s="89">
        <f>ABCD!J827</f>
        <v>193.5</v>
      </c>
      <c r="J778" s="89">
        <f>ABCD!K827</f>
        <v>634.67999999999995</v>
      </c>
      <c r="K778" s="89">
        <f>ABCD!L827</f>
        <v>-4.2963553619192973</v>
      </c>
      <c r="L778" s="89">
        <f>ABCD!M827</f>
        <v>-0.8048427562320486</v>
      </c>
      <c r="M778" s="89">
        <f>ABCD!N827</f>
        <v>4.3710915408112765</v>
      </c>
      <c r="N778" s="89" t="e">
        <v>#REF!</v>
      </c>
      <c r="O778" s="89" t="e">
        <v>#REF!</v>
      </c>
      <c r="P778" s="89" t="e">
        <v>#REF!</v>
      </c>
      <c r="Q778" s="89" t="e">
        <v>#REF!</v>
      </c>
      <c r="R778" s="89" t="e">
        <v>#REF!</v>
      </c>
      <c r="S778" s="89" t="e">
        <f>#REF!</f>
        <v>#REF!</v>
      </c>
      <c r="T778" s="89" t="e">
        <f>#REF!</f>
        <v>#REF!</v>
      </c>
      <c r="U778" s="89" t="e">
        <f>#REF!</f>
        <v>#REF!</v>
      </c>
      <c r="V778" s="89" t="e">
        <f>#REF!</f>
        <v>#REF!</v>
      </c>
      <c r="W778" s="89" t="e">
        <f>#REF!</f>
        <v>#REF!</v>
      </c>
      <c r="X778" s="89" t="e">
        <f>#REF!</f>
        <v>#REF!</v>
      </c>
      <c r="Y778" s="89" t="e">
        <f>#REF!</f>
        <v>#REF!</v>
      </c>
      <c r="Z778" s="89" t="e">
        <f>#REF!</f>
        <v>#REF!</v>
      </c>
      <c r="AA778" s="89" t="e">
        <f>#REF!</f>
        <v>#REF!</v>
      </c>
      <c r="AB778" s="89" t="e">
        <f>#REF!</f>
        <v>#REF!</v>
      </c>
      <c r="AC778" s="89" t="e">
        <f>#REF!</f>
        <v>#REF!</v>
      </c>
      <c r="AD778" s="89" t="e">
        <f>#REF!</f>
        <v>#REF!</v>
      </c>
      <c r="AE778" s="89" t="e">
        <f>#REF!</f>
        <v>#REF!</v>
      </c>
      <c r="AF778" s="89" t="e">
        <f>#REF!</f>
        <v>#REF!</v>
      </c>
      <c r="AG778" s="89" t="e">
        <f>#REF!</f>
        <v>#REF!</v>
      </c>
      <c r="AH778" s="89" t="e">
        <f>#REF!</f>
        <v>#REF!</v>
      </c>
      <c r="AI778" s="89" t="e">
        <f>#REF!</f>
        <v>#REF!</v>
      </c>
      <c r="AJ778" s="89" t="e">
        <f>#REF!</f>
        <v>#REF!</v>
      </c>
      <c r="AK778" s="89" t="e">
        <f>#REF!</f>
        <v>#REF!</v>
      </c>
      <c r="AL778" s="89" t="e">
        <f>#REF!</f>
        <v>#REF!</v>
      </c>
      <c r="AM778" s="89" t="e">
        <f>#REF!</f>
        <v>#REF!</v>
      </c>
      <c r="AN778" s="89" t="e">
        <f>#REF!</f>
        <v>#REF!</v>
      </c>
      <c r="AO778" s="89" t="e">
        <f>#REF!</f>
        <v>#REF!</v>
      </c>
      <c r="AP778" s="89" t="e">
        <f>#REF!</f>
        <v>#REF!</v>
      </c>
      <c r="AQ778" s="89" t="e">
        <f>#REF!</f>
        <v>#REF!</v>
      </c>
      <c r="AR778" s="89" t="e">
        <f>#REF!</f>
        <v>#REF!</v>
      </c>
      <c r="AS778" s="89" t="e">
        <f>#REF!</f>
        <v>#REF!</v>
      </c>
      <c r="AT778" s="89" t="e">
        <f>#REF!</f>
        <v>#REF!</v>
      </c>
      <c r="AU778" s="89" t="e">
        <f>#REF!</f>
        <v>#REF!</v>
      </c>
      <c r="AV778" s="89" t="e">
        <f>#REF!</f>
        <v>#REF!</v>
      </c>
      <c r="AW778" s="89" t="e">
        <f>#REF!</f>
        <v>#REF!</v>
      </c>
      <c r="AX778" s="89" t="e">
        <f>#REF!</f>
        <v>#REF!</v>
      </c>
      <c r="AY778" s="89" t="e">
        <f>#REF!</f>
        <v>#REF!</v>
      </c>
      <c r="AZ778" s="89" t="e">
        <f>#REF!</f>
        <v>#REF!</v>
      </c>
      <c r="BA778" s="89" t="e">
        <f>#REF!</f>
        <v>#REF!</v>
      </c>
      <c r="BB778" s="89" t="e">
        <f>#REF!</f>
        <v>#REF!</v>
      </c>
      <c r="BC778" s="89" t="e">
        <f>#REF!</f>
        <v>#REF!</v>
      </c>
      <c r="BD778" s="89" t="e">
        <f>#REF!</f>
        <v>#REF!</v>
      </c>
      <c r="BE778" s="89" t="e">
        <f>#REF!</f>
        <v>#REF!</v>
      </c>
      <c r="BF778" s="89" t="e">
        <f>#REF!</f>
        <v>#REF!</v>
      </c>
    </row>
    <row r="779" spans="9:58" x14ac:dyDescent="0.25">
      <c r="I779" s="89">
        <f>ABCD!J828</f>
        <v>193.75</v>
      </c>
      <c r="J779" s="89">
        <f>ABCD!K828</f>
        <v>635.5</v>
      </c>
      <c r="K779" s="89">
        <f>ABCD!L828</f>
        <v>-4.2561253283179736</v>
      </c>
      <c r="L779" s="89">
        <f>ABCD!M828</f>
        <v>-0.79810766622392126</v>
      </c>
      <c r="M779" s="89">
        <f>ABCD!N828</f>
        <v>4.3303093027213624</v>
      </c>
      <c r="N779" s="89" t="e">
        <v>#REF!</v>
      </c>
      <c r="O779" s="89" t="e">
        <v>#REF!</v>
      </c>
      <c r="P779" s="89" t="e">
        <v>#REF!</v>
      </c>
      <c r="Q779" s="89" t="e">
        <v>#REF!</v>
      </c>
      <c r="R779" s="89" t="e">
        <v>#REF!</v>
      </c>
      <c r="S779" s="89" t="e">
        <f>#REF!</f>
        <v>#REF!</v>
      </c>
      <c r="T779" s="89" t="e">
        <f>#REF!</f>
        <v>#REF!</v>
      </c>
      <c r="U779" s="89" t="e">
        <f>#REF!</f>
        <v>#REF!</v>
      </c>
      <c r="V779" s="89" t="e">
        <f>#REF!</f>
        <v>#REF!</v>
      </c>
      <c r="W779" s="89" t="e">
        <f>#REF!</f>
        <v>#REF!</v>
      </c>
      <c r="X779" s="89" t="e">
        <f>#REF!</f>
        <v>#REF!</v>
      </c>
      <c r="Y779" s="89" t="e">
        <f>#REF!</f>
        <v>#REF!</v>
      </c>
      <c r="Z779" s="89" t="e">
        <f>#REF!</f>
        <v>#REF!</v>
      </c>
      <c r="AA779" s="89" t="e">
        <f>#REF!</f>
        <v>#REF!</v>
      </c>
      <c r="AB779" s="89" t="e">
        <f>#REF!</f>
        <v>#REF!</v>
      </c>
      <c r="AC779" s="89" t="e">
        <f>#REF!</f>
        <v>#REF!</v>
      </c>
      <c r="AD779" s="89" t="e">
        <f>#REF!</f>
        <v>#REF!</v>
      </c>
      <c r="AE779" s="89" t="e">
        <f>#REF!</f>
        <v>#REF!</v>
      </c>
      <c r="AF779" s="89" t="e">
        <f>#REF!</f>
        <v>#REF!</v>
      </c>
      <c r="AG779" s="89" t="e">
        <f>#REF!</f>
        <v>#REF!</v>
      </c>
      <c r="AH779" s="89" t="e">
        <f>#REF!</f>
        <v>#REF!</v>
      </c>
      <c r="AI779" s="89" t="e">
        <f>#REF!</f>
        <v>#REF!</v>
      </c>
      <c r="AJ779" s="89" t="e">
        <f>#REF!</f>
        <v>#REF!</v>
      </c>
      <c r="AK779" s="89" t="e">
        <f>#REF!</f>
        <v>#REF!</v>
      </c>
      <c r="AL779" s="89" t="e">
        <f>#REF!</f>
        <v>#REF!</v>
      </c>
      <c r="AM779" s="89" t="e">
        <f>#REF!</f>
        <v>#REF!</v>
      </c>
      <c r="AN779" s="89" t="e">
        <f>#REF!</f>
        <v>#REF!</v>
      </c>
      <c r="AO779" s="89" t="e">
        <f>#REF!</f>
        <v>#REF!</v>
      </c>
      <c r="AP779" s="89" t="e">
        <f>#REF!</f>
        <v>#REF!</v>
      </c>
      <c r="AQ779" s="89" t="e">
        <f>#REF!</f>
        <v>#REF!</v>
      </c>
      <c r="AR779" s="89" t="e">
        <f>#REF!</f>
        <v>#REF!</v>
      </c>
      <c r="AS779" s="89" t="e">
        <f>#REF!</f>
        <v>#REF!</v>
      </c>
      <c r="AT779" s="89" t="e">
        <f>#REF!</f>
        <v>#REF!</v>
      </c>
      <c r="AU779" s="89" t="e">
        <f>#REF!</f>
        <v>#REF!</v>
      </c>
      <c r="AV779" s="89" t="e">
        <f>#REF!</f>
        <v>#REF!</v>
      </c>
      <c r="AW779" s="89" t="e">
        <f>#REF!</f>
        <v>#REF!</v>
      </c>
      <c r="AX779" s="89" t="e">
        <f>#REF!</f>
        <v>#REF!</v>
      </c>
      <c r="AY779" s="89" t="e">
        <f>#REF!</f>
        <v>#REF!</v>
      </c>
      <c r="AZ779" s="89" t="e">
        <f>#REF!</f>
        <v>#REF!</v>
      </c>
      <c r="BA779" s="89" t="e">
        <f>#REF!</f>
        <v>#REF!</v>
      </c>
      <c r="BB779" s="89" t="e">
        <f>#REF!</f>
        <v>#REF!</v>
      </c>
      <c r="BC779" s="89" t="e">
        <f>#REF!</f>
        <v>#REF!</v>
      </c>
      <c r="BD779" s="89" t="e">
        <f>#REF!</f>
        <v>#REF!</v>
      </c>
      <c r="BE779" s="89" t="e">
        <f>#REF!</f>
        <v>#REF!</v>
      </c>
      <c r="BF779" s="89" t="e">
        <f>#REF!</f>
        <v>#REF!</v>
      </c>
    </row>
    <row r="780" spans="9:58" x14ac:dyDescent="0.25">
      <c r="I780" s="89">
        <f>ABCD!J829</f>
        <v>194</v>
      </c>
      <c r="J780" s="89">
        <f>ABCD!K829</f>
        <v>636.31999999999994</v>
      </c>
      <c r="K780" s="89">
        <f>ABCD!L829</f>
        <v>-4.2149489969098424</v>
      </c>
      <c r="L780" s="89">
        <f>ABCD!M829</f>
        <v>-0.79119439903777722</v>
      </c>
      <c r="M780" s="89">
        <f>ABCD!N829</f>
        <v>4.2885642846551848</v>
      </c>
      <c r="N780" s="89" t="e">
        <v>#REF!</v>
      </c>
      <c r="O780" s="89" t="e">
        <v>#REF!</v>
      </c>
      <c r="P780" s="89" t="e">
        <v>#REF!</v>
      </c>
      <c r="Q780" s="89" t="e">
        <v>#REF!</v>
      </c>
      <c r="R780" s="89" t="e">
        <v>#REF!</v>
      </c>
      <c r="S780" s="89" t="e">
        <f>#REF!</f>
        <v>#REF!</v>
      </c>
      <c r="T780" s="89" t="e">
        <f>#REF!</f>
        <v>#REF!</v>
      </c>
      <c r="U780" s="89" t="e">
        <f>#REF!</f>
        <v>#REF!</v>
      </c>
      <c r="V780" s="89" t="e">
        <f>#REF!</f>
        <v>#REF!</v>
      </c>
      <c r="W780" s="89" t="e">
        <f>#REF!</f>
        <v>#REF!</v>
      </c>
      <c r="X780" s="89" t="e">
        <f>#REF!</f>
        <v>#REF!</v>
      </c>
      <c r="Y780" s="89" t="e">
        <f>#REF!</f>
        <v>#REF!</v>
      </c>
      <c r="Z780" s="89" t="e">
        <f>#REF!</f>
        <v>#REF!</v>
      </c>
      <c r="AA780" s="89" t="e">
        <f>#REF!</f>
        <v>#REF!</v>
      </c>
      <c r="AB780" s="89" t="e">
        <f>#REF!</f>
        <v>#REF!</v>
      </c>
      <c r="AC780" s="89" t="e">
        <f>#REF!</f>
        <v>#REF!</v>
      </c>
      <c r="AD780" s="89" t="e">
        <f>#REF!</f>
        <v>#REF!</v>
      </c>
      <c r="AE780" s="89" t="e">
        <f>#REF!</f>
        <v>#REF!</v>
      </c>
      <c r="AF780" s="89" t="e">
        <f>#REF!</f>
        <v>#REF!</v>
      </c>
      <c r="AG780" s="89" t="e">
        <f>#REF!</f>
        <v>#REF!</v>
      </c>
      <c r="AH780" s="89" t="e">
        <f>#REF!</f>
        <v>#REF!</v>
      </c>
      <c r="AI780" s="89" t="e">
        <f>#REF!</f>
        <v>#REF!</v>
      </c>
      <c r="AJ780" s="89" t="e">
        <f>#REF!</f>
        <v>#REF!</v>
      </c>
      <c r="AK780" s="89" t="e">
        <f>#REF!</f>
        <v>#REF!</v>
      </c>
      <c r="AL780" s="89" t="e">
        <f>#REF!</f>
        <v>#REF!</v>
      </c>
      <c r="AM780" s="89" t="e">
        <f>#REF!</f>
        <v>#REF!</v>
      </c>
      <c r="AN780" s="89" t="e">
        <f>#REF!</f>
        <v>#REF!</v>
      </c>
      <c r="AO780" s="89" t="e">
        <f>#REF!</f>
        <v>#REF!</v>
      </c>
      <c r="AP780" s="89" t="e">
        <f>#REF!</f>
        <v>#REF!</v>
      </c>
      <c r="AQ780" s="89" t="e">
        <f>#REF!</f>
        <v>#REF!</v>
      </c>
      <c r="AR780" s="89" t="e">
        <f>#REF!</f>
        <v>#REF!</v>
      </c>
      <c r="AS780" s="89" t="e">
        <f>#REF!</f>
        <v>#REF!</v>
      </c>
      <c r="AT780" s="89" t="e">
        <f>#REF!</f>
        <v>#REF!</v>
      </c>
      <c r="AU780" s="89" t="e">
        <f>#REF!</f>
        <v>#REF!</v>
      </c>
      <c r="AV780" s="89" t="e">
        <f>#REF!</f>
        <v>#REF!</v>
      </c>
      <c r="AW780" s="89" t="e">
        <f>#REF!</f>
        <v>#REF!</v>
      </c>
      <c r="AX780" s="89" t="e">
        <f>#REF!</f>
        <v>#REF!</v>
      </c>
      <c r="AY780" s="89" t="e">
        <f>#REF!</f>
        <v>#REF!</v>
      </c>
      <c r="AZ780" s="89" t="e">
        <f>#REF!</f>
        <v>#REF!</v>
      </c>
      <c r="BA780" s="89" t="e">
        <f>#REF!</f>
        <v>#REF!</v>
      </c>
      <c r="BB780" s="89" t="e">
        <f>#REF!</f>
        <v>#REF!</v>
      </c>
      <c r="BC780" s="89" t="e">
        <f>#REF!</f>
        <v>#REF!</v>
      </c>
      <c r="BD780" s="89" t="e">
        <f>#REF!</f>
        <v>#REF!</v>
      </c>
      <c r="BE780" s="89" t="e">
        <f>#REF!</f>
        <v>#REF!</v>
      </c>
      <c r="BF780" s="89" t="e">
        <f>#REF!</f>
        <v>#REF!</v>
      </c>
    </row>
    <row r="781" spans="9:58" x14ac:dyDescent="0.25">
      <c r="I781" s="89">
        <f>ABCD!J830</f>
        <v>194.25</v>
      </c>
      <c r="J781" s="89">
        <f>ABCD!K830</f>
        <v>637.14</v>
      </c>
      <c r="K781" s="89">
        <f>ABCD!L830</f>
        <v>-4.1728367241684374</v>
      </c>
      <c r="L781" s="89">
        <f>ABCD!M830</f>
        <v>-0.78410471082696498</v>
      </c>
      <c r="M781" s="89">
        <f>ABCD!N830</f>
        <v>4.2458669932193844</v>
      </c>
      <c r="N781" s="89" t="e">
        <v>#REF!</v>
      </c>
      <c r="O781" s="89" t="e">
        <v>#REF!</v>
      </c>
      <c r="P781" s="89" t="e">
        <v>#REF!</v>
      </c>
      <c r="Q781" s="89" t="e">
        <v>#REF!</v>
      </c>
      <c r="R781" s="89" t="e">
        <v>#REF!</v>
      </c>
      <c r="S781" s="89" t="e">
        <f>#REF!</f>
        <v>#REF!</v>
      </c>
      <c r="T781" s="89" t="e">
        <f>#REF!</f>
        <v>#REF!</v>
      </c>
      <c r="U781" s="89" t="e">
        <f>#REF!</f>
        <v>#REF!</v>
      </c>
      <c r="V781" s="89" t="e">
        <f>#REF!</f>
        <v>#REF!</v>
      </c>
      <c r="W781" s="89" t="e">
        <f>#REF!</f>
        <v>#REF!</v>
      </c>
      <c r="X781" s="89" t="e">
        <f>#REF!</f>
        <v>#REF!</v>
      </c>
      <c r="Y781" s="89" t="e">
        <f>#REF!</f>
        <v>#REF!</v>
      </c>
      <c r="Z781" s="89" t="e">
        <f>#REF!</f>
        <v>#REF!</v>
      </c>
      <c r="AA781" s="89" t="e">
        <f>#REF!</f>
        <v>#REF!</v>
      </c>
      <c r="AB781" s="89" t="e">
        <f>#REF!</f>
        <v>#REF!</v>
      </c>
      <c r="AC781" s="89" t="e">
        <f>#REF!</f>
        <v>#REF!</v>
      </c>
      <c r="AD781" s="89" t="e">
        <f>#REF!</f>
        <v>#REF!</v>
      </c>
      <c r="AE781" s="89" t="e">
        <f>#REF!</f>
        <v>#REF!</v>
      </c>
      <c r="AF781" s="89" t="e">
        <f>#REF!</f>
        <v>#REF!</v>
      </c>
      <c r="AG781" s="89" t="e">
        <f>#REF!</f>
        <v>#REF!</v>
      </c>
      <c r="AH781" s="89" t="e">
        <f>#REF!</f>
        <v>#REF!</v>
      </c>
      <c r="AI781" s="89" t="e">
        <f>#REF!</f>
        <v>#REF!</v>
      </c>
      <c r="AJ781" s="89" t="e">
        <f>#REF!</f>
        <v>#REF!</v>
      </c>
      <c r="AK781" s="89" t="e">
        <f>#REF!</f>
        <v>#REF!</v>
      </c>
      <c r="AL781" s="89" t="e">
        <f>#REF!</f>
        <v>#REF!</v>
      </c>
      <c r="AM781" s="89" t="e">
        <f>#REF!</f>
        <v>#REF!</v>
      </c>
      <c r="AN781" s="89" t="e">
        <f>#REF!</f>
        <v>#REF!</v>
      </c>
      <c r="AO781" s="89" t="e">
        <f>#REF!</f>
        <v>#REF!</v>
      </c>
      <c r="AP781" s="89" t="e">
        <f>#REF!</f>
        <v>#REF!</v>
      </c>
      <c r="AQ781" s="89" t="e">
        <f>#REF!</f>
        <v>#REF!</v>
      </c>
      <c r="AR781" s="89" t="e">
        <f>#REF!</f>
        <v>#REF!</v>
      </c>
      <c r="AS781" s="89" t="e">
        <f>#REF!</f>
        <v>#REF!</v>
      </c>
      <c r="AT781" s="89" t="e">
        <f>#REF!</f>
        <v>#REF!</v>
      </c>
      <c r="AU781" s="89" t="e">
        <f>#REF!</f>
        <v>#REF!</v>
      </c>
      <c r="AV781" s="89" t="e">
        <f>#REF!</f>
        <v>#REF!</v>
      </c>
      <c r="AW781" s="89" t="e">
        <f>#REF!</f>
        <v>#REF!</v>
      </c>
      <c r="AX781" s="89" t="e">
        <f>#REF!</f>
        <v>#REF!</v>
      </c>
      <c r="AY781" s="89" t="e">
        <f>#REF!</f>
        <v>#REF!</v>
      </c>
      <c r="AZ781" s="89" t="e">
        <f>#REF!</f>
        <v>#REF!</v>
      </c>
      <c r="BA781" s="89" t="e">
        <f>#REF!</f>
        <v>#REF!</v>
      </c>
      <c r="BB781" s="89" t="e">
        <f>#REF!</f>
        <v>#REF!</v>
      </c>
      <c r="BC781" s="89" t="e">
        <f>#REF!</f>
        <v>#REF!</v>
      </c>
      <c r="BD781" s="89" t="e">
        <f>#REF!</f>
        <v>#REF!</v>
      </c>
      <c r="BE781" s="89" t="e">
        <f>#REF!</f>
        <v>#REF!</v>
      </c>
      <c r="BF781" s="89" t="e">
        <f>#REF!</f>
        <v>#REF!</v>
      </c>
    </row>
    <row r="782" spans="9:58" x14ac:dyDescent="0.25">
      <c r="I782" s="89">
        <f>ABCD!J831</f>
        <v>194.5</v>
      </c>
      <c r="J782" s="89">
        <f>ABCD!K831</f>
        <v>637.95999999999992</v>
      </c>
      <c r="K782" s="89">
        <f>ABCD!L831</f>
        <v>-4.1297990733043495</v>
      </c>
      <c r="L782" s="89">
        <f>ABCD!M831</f>
        <v>-0.7768403968902341</v>
      </c>
      <c r="M782" s="89">
        <f>ABCD!N831</f>
        <v>4.2022281456515476</v>
      </c>
      <c r="N782" s="89" t="e">
        <v>#REF!</v>
      </c>
      <c r="O782" s="89" t="e">
        <v>#REF!</v>
      </c>
      <c r="P782" s="89" t="e">
        <v>#REF!</v>
      </c>
      <c r="Q782" s="89" t="e">
        <v>#REF!</v>
      </c>
      <c r="R782" s="89" t="e">
        <v>#REF!</v>
      </c>
      <c r="S782" s="89" t="e">
        <f>#REF!</f>
        <v>#REF!</v>
      </c>
      <c r="T782" s="89" t="e">
        <f>#REF!</f>
        <v>#REF!</v>
      </c>
      <c r="U782" s="89" t="e">
        <f>#REF!</f>
        <v>#REF!</v>
      </c>
      <c r="V782" s="89" t="e">
        <f>#REF!</f>
        <v>#REF!</v>
      </c>
      <c r="W782" s="89" t="e">
        <f>#REF!</f>
        <v>#REF!</v>
      </c>
      <c r="X782" s="89" t="e">
        <f>#REF!</f>
        <v>#REF!</v>
      </c>
      <c r="Y782" s="89" t="e">
        <f>#REF!</f>
        <v>#REF!</v>
      </c>
      <c r="Z782" s="89" t="e">
        <f>#REF!</f>
        <v>#REF!</v>
      </c>
      <c r="AA782" s="89" t="e">
        <f>#REF!</f>
        <v>#REF!</v>
      </c>
      <c r="AB782" s="89" t="e">
        <f>#REF!</f>
        <v>#REF!</v>
      </c>
      <c r="AC782" s="89" t="e">
        <f>#REF!</f>
        <v>#REF!</v>
      </c>
      <c r="AD782" s="89" t="e">
        <f>#REF!</f>
        <v>#REF!</v>
      </c>
      <c r="AE782" s="89" t="e">
        <f>#REF!</f>
        <v>#REF!</v>
      </c>
      <c r="AF782" s="89" t="e">
        <f>#REF!</f>
        <v>#REF!</v>
      </c>
      <c r="AG782" s="89" t="e">
        <f>#REF!</f>
        <v>#REF!</v>
      </c>
      <c r="AH782" s="89" t="e">
        <f>#REF!</f>
        <v>#REF!</v>
      </c>
      <c r="AI782" s="89" t="e">
        <f>#REF!</f>
        <v>#REF!</v>
      </c>
      <c r="AJ782" s="89" t="e">
        <f>#REF!</f>
        <v>#REF!</v>
      </c>
      <c r="AK782" s="89" t="e">
        <f>#REF!</f>
        <v>#REF!</v>
      </c>
      <c r="AL782" s="89" t="e">
        <f>#REF!</f>
        <v>#REF!</v>
      </c>
      <c r="AM782" s="89" t="e">
        <f>#REF!</f>
        <v>#REF!</v>
      </c>
      <c r="AN782" s="89" t="e">
        <f>#REF!</f>
        <v>#REF!</v>
      </c>
      <c r="AO782" s="89" t="e">
        <f>#REF!</f>
        <v>#REF!</v>
      </c>
      <c r="AP782" s="89" t="e">
        <f>#REF!</f>
        <v>#REF!</v>
      </c>
      <c r="AQ782" s="89" t="e">
        <f>#REF!</f>
        <v>#REF!</v>
      </c>
      <c r="AR782" s="89" t="e">
        <f>#REF!</f>
        <v>#REF!</v>
      </c>
      <c r="AS782" s="89" t="e">
        <f>#REF!</f>
        <v>#REF!</v>
      </c>
      <c r="AT782" s="89" t="e">
        <f>#REF!</f>
        <v>#REF!</v>
      </c>
      <c r="AU782" s="89" t="e">
        <f>#REF!</f>
        <v>#REF!</v>
      </c>
      <c r="AV782" s="89" t="e">
        <f>#REF!</f>
        <v>#REF!</v>
      </c>
      <c r="AW782" s="89" t="e">
        <f>#REF!</f>
        <v>#REF!</v>
      </c>
      <c r="AX782" s="89" t="e">
        <f>#REF!</f>
        <v>#REF!</v>
      </c>
      <c r="AY782" s="89" t="e">
        <f>#REF!</f>
        <v>#REF!</v>
      </c>
      <c r="AZ782" s="89" t="e">
        <f>#REF!</f>
        <v>#REF!</v>
      </c>
      <c r="BA782" s="89" t="e">
        <f>#REF!</f>
        <v>#REF!</v>
      </c>
      <c r="BB782" s="89" t="e">
        <f>#REF!</f>
        <v>#REF!</v>
      </c>
      <c r="BC782" s="89" t="e">
        <f>#REF!</f>
        <v>#REF!</v>
      </c>
      <c r="BD782" s="89" t="e">
        <f>#REF!</f>
        <v>#REF!</v>
      </c>
      <c r="BE782" s="89" t="e">
        <f>#REF!</f>
        <v>#REF!</v>
      </c>
      <c r="BF782" s="89" t="e">
        <f>#REF!</f>
        <v>#REF!</v>
      </c>
    </row>
    <row r="783" spans="9:58" x14ac:dyDescent="0.25">
      <c r="I783" s="89">
        <f>ABCD!J832</f>
        <v>194.75</v>
      </c>
      <c r="J783" s="89">
        <f>ABCD!K832</f>
        <v>638.78</v>
      </c>
      <c r="K783" s="89">
        <f>ABCD!L832</f>
        <v>-4.08584681164084</v>
      </c>
      <c r="L783" s="89">
        <f>ABCD!M832</f>
        <v>-0.76940329122207762</v>
      </c>
      <c r="M783" s="89">
        <f>ABCD!N832</f>
        <v>4.157658667175431</v>
      </c>
      <c r="N783" s="89" t="e">
        <v>#REF!</v>
      </c>
      <c r="O783" s="89" t="e">
        <v>#REF!</v>
      </c>
      <c r="P783" s="89" t="e">
        <v>#REF!</v>
      </c>
      <c r="Q783" s="89" t="e">
        <v>#REF!</v>
      </c>
      <c r="R783" s="89" t="e">
        <v>#REF!</v>
      </c>
      <c r="S783" s="89" t="e">
        <f>#REF!</f>
        <v>#REF!</v>
      </c>
      <c r="T783" s="89" t="e">
        <f>#REF!</f>
        <v>#REF!</v>
      </c>
      <c r="U783" s="89" t="e">
        <f>#REF!</f>
        <v>#REF!</v>
      </c>
      <c r="V783" s="89" t="e">
        <f>#REF!</f>
        <v>#REF!</v>
      </c>
      <c r="W783" s="89" t="e">
        <f>#REF!</f>
        <v>#REF!</v>
      </c>
      <c r="X783" s="89" t="e">
        <f>#REF!</f>
        <v>#REF!</v>
      </c>
      <c r="Y783" s="89" t="e">
        <f>#REF!</f>
        <v>#REF!</v>
      </c>
      <c r="Z783" s="89" t="e">
        <f>#REF!</f>
        <v>#REF!</v>
      </c>
      <c r="AA783" s="89" t="e">
        <f>#REF!</f>
        <v>#REF!</v>
      </c>
      <c r="AB783" s="89" t="e">
        <f>#REF!</f>
        <v>#REF!</v>
      </c>
      <c r="AC783" s="89" t="e">
        <f>#REF!</f>
        <v>#REF!</v>
      </c>
      <c r="AD783" s="89" t="e">
        <f>#REF!</f>
        <v>#REF!</v>
      </c>
      <c r="AE783" s="89" t="e">
        <f>#REF!</f>
        <v>#REF!</v>
      </c>
      <c r="AF783" s="89" t="e">
        <f>#REF!</f>
        <v>#REF!</v>
      </c>
      <c r="AG783" s="89" t="e">
        <f>#REF!</f>
        <v>#REF!</v>
      </c>
      <c r="AH783" s="89" t="e">
        <f>#REF!</f>
        <v>#REF!</v>
      </c>
      <c r="AI783" s="89" t="e">
        <f>#REF!</f>
        <v>#REF!</v>
      </c>
      <c r="AJ783" s="89" t="e">
        <f>#REF!</f>
        <v>#REF!</v>
      </c>
      <c r="AK783" s="89" t="e">
        <f>#REF!</f>
        <v>#REF!</v>
      </c>
      <c r="AL783" s="89" t="e">
        <f>#REF!</f>
        <v>#REF!</v>
      </c>
      <c r="AM783" s="89" t="e">
        <f>#REF!</f>
        <v>#REF!</v>
      </c>
      <c r="AN783" s="89" t="e">
        <f>#REF!</f>
        <v>#REF!</v>
      </c>
      <c r="AO783" s="89" t="e">
        <f>#REF!</f>
        <v>#REF!</v>
      </c>
      <c r="AP783" s="89" t="e">
        <f>#REF!</f>
        <v>#REF!</v>
      </c>
      <c r="AQ783" s="89" t="e">
        <f>#REF!</f>
        <v>#REF!</v>
      </c>
      <c r="AR783" s="89" t="e">
        <f>#REF!</f>
        <v>#REF!</v>
      </c>
      <c r="AS783" s="89" t="e">
        <f>#REF!</f>
        <v>#REF!</v>
      </c>
      <c r="AT783" s="89" t="e">
        <f>#REF!</f>
        <v>#REF!</v>
      </c>
      <c r="AU783" s="89" t="e">
        <f>#REF!</f>
        <v>#REF!</v>
      </c>
      <c r="AV783" s="89" t="e">
        <f>#REF!</f>
        <v>#REF!</v>
      </c>
      <c r="AW783" s="89" t="e">
        <f>#REF!</f>
        <v>#REF!</v>
      </c>
      <c r="AX783" s="89" t="e">
        <f>#REF!</f>
        <v>#REF!</v>
      </c>
      <c r="AY783" s="89" t="e">
        <f>#REF!</f>
        <v>#REF!</v>
      </c>
      <c r="AZ783" s="89" t="e">
        <f>#REF!</f>
        <v>#REF!</v>
      </c>
      <c r="BA783" s="89" t="e">
        <f>#REF!</f>
        <v>#REF!</v>
      </c>
      <c r="BB783" s="89" t="e">
        <f>#REF!</f>
        <v>#REF!</v>
      </c>
      <c r="BC783" s="89" t="e">
        <f>#REF!</f>
        <v>#REF!</v>
      </c>
      <c r="BD783" s="89" t="e">
        <f>#REF!</f>
        <v>#REF!</v>
      </c>
      <c r="BE783" s="89" t="e">
        <f>#REF!</f>
        <v>#REF!</v>
      </c>
      <c r="BF783" s="89" t="e">
        <f>#REF!</f>
        <v>#REF!</v>
      </c>
    </row>
    <row r="784" spans="9:58" x14ac:dyDescent="0.25">
      <c r="I784" s="89">
        <f>ABCD!J833</f>
        <v>195</v>
      </c>
      <c r="J784" s="89">
        <f>ABCD!K833</f>
        <v>639.59999999999991</v>
      </c>
      <c r="K784" s="89">
        <f>ABCD!L833</f>
        <v>-4.040990907944682</v>
      </c>
      <c r="L784" s="89">
        <f>ABCD!M833</f>
        <v>-0.7617952660545666</v>
      </c>
      <c r="M784" s="89">
        <f>ABCD!N833</f>
        <v>4.1121696883123304</v>
      </c>
      <c r="N784" s="89" t="e">
        <v>#REF!</v>
      </c>
      <c r="O784" s="89" t="e">
        <v>#REF!</v>
      </c>
      <c r="P784" s="89" t="e">
        <v>#REF!</v>
      </c>
      <c r="Q784" s="89" t="e">
        <v>#REF!</v>
      </c>
      <c r="R784" s="89" t="e">
        <v>#REF!</v>
      </c>
      <c r="S784" s="89" t="e">
        <f>#REF!</f>
        <v>#REF!</v>
      </c>
      <c r="T784" s="89" t="e">
        <f>#REF!</f>
        <v>#REF!</v>
      </c>
      <c r="U784" s="89" t="e">
        <f>#REF!</f>
        <v>#REF!</v>
      </c>
      <c r="V784" s="89" t="e">
        <f>#REF!</f>
        <v>#REF!</v>
      </c>
      <c r="W784" s="89" t="e">
        <f>#REF!</f>
        <v>#REF!</v>
      </c>
      <c r="X784" s="89" t="e">
        <f>#REF!</f>
        <v>#REF!</v>
      </c>
      <c r="Y784" s="89" t="e">
        <f>#REF!</f>
        <v>#REF!</v>
      </c>
      <c r="Z784" s="89" t="e">
        <f>#REF!</f>
        <v>#REF!</v>
      </c>
      <c r="AA784" s="89" t="e">
        <f>#REF!</f>
        <v>#REF!</v>
      </c>
      <c r="AB784" s="89" t="e">
        <f>#REF!</f>
        <v>#REF!</v>
      </c>
      <c r="AC784" s="89" t="e">
        <f>#REF!</f>
        <v>#REF!</v>
      </c>
      <c r="AD784" s="89" t="e">
        <f>#REF!</f>
        <v>#REF!</v>
      </c>
      <c r="AE784" s="89" t="e">
        <f>#REF!</f>
        <v>#REF!</v>
      </c>
      <c r="AF784" s="89" t="e">
        <f>#REF!</f>
        <v>#REF!</v>
      </c>
      <c r="AG784" s="89" t="e">
        <f>#REF!</f>
        <v>#REF!</v>
      </c>
      <c r="AH784" s="89" t="e">
        <f>#REF!</f>
        <v>#REF!</v>
      </c>
      <c r="AI784" s="89" t="e">
        <f>#REF!</f>
        <v>#REF!</v>
      </c>
      <c r="AJ784" s="89" t="e">
        <f>#REF!</f>
        <v>#REF!</v>
      </c>
      <c r="AK784" s="89" t="e">
        <f>#REF!</f>
        <v>#REF!</v>
      </c>
      <c r="AL784" s="89" t="e">
        <f>#REF!</f>
        <v>#REF!</v>
      </c>
      <c r="AM784" s="89" t="e">
        <f>#REF!</f>
        <v>#REF!</v>
      </c>
      <c r="AN784" s="89" t="e">
        <f>#REF!</f>
        <v>#REF!</v>
      </c>
      <c r="AO784" s="89" t="e">
        <f>#REF!</f>
        <v>#REF!</v>
      </c>
      <c r="AP784" s="89" t="e">
        <f>#REF!</f>
        <v>#REF!</v>
      </c>
      <c r="AQ784" s="89" t="e">
        <f>#REF!</f>
        <v>#REF!</v>
      </c>
      <c r="AR784" s="89" t="e">
        <f>#REF!</f>
        <v>#REF!</v>
      </c>
      <c r="AS784" s="89" t="e">
        <f>#REF!</f>
        <v>#REF!</v>
      </c>
      <c r="AT784" s="89" t="e">
        <f>#REF!</f>
        <v>#REF!</v>
      </c>
      <c r="AU784" s="89" t="e">
        <f>#REF!</f>
        <v>#REF!</v>
      </c>
      <c r="AV784" s="89" t="e">
        <f>#REF!</f>
        <v>#REF!</v>
      </c>
      <c r="AW784" s="89" t="e">
        <f>#REF!</f>
        <v>#REF!</v>
      </c>
      <c r="AX784" s="89" t="e">
        <f>#REF!</f>
        <v>#REF!</v>
      </c>
      <c r="AY784" s="89" t="e">
        <f>#REF!</f>
        <v>#REF!</v>
      </c>
      <c r="AZ784" s="89" t="e">
        <f>#REF!</f>
        <v>#REF!</v>
      </c>
      <c r="BA784" s="89" t="e">
        <f>#REF!</f>
        <v>#REF!</v>
      </c>
      <c r="BB784" s="89" t="e">
        <f>#REF!</f>
        <v>#REF!</v>
      </c>
      <c r="BC784" s="89" t="e">
        <f>#REF!</f>
        <v>#REF!</v>
      </c>
      <c r="BD784" s="89" t="e">
        <f>#REF!</f>
        <v>#REF!</v>
      </c>
      <c r="BE784" s="89" t="e">
        <f>#REF!</f>
        <v>#REF!</v>
      </c>
      <c r="BF784" s="89" t="e">
        <f>#REF!</f>
        <v>#REF!</v>
      </c>
    </row>
    <row r="785" spans="9:58" x14ac:dyDescent="0.25">
      <c r="I785" s="89">
        <f>ABCD!J834</f>
        <v>195.25</v>
      </c>
      <c r="J785" s="89">
        <f>ABCD!K834</f>
        <v>640.41999999999996</v>
      </c>
      <c r="K785" s="89">
        <f>ABCD!L834</f>
        <v>-3.9952425297128924</v>
      </c>
      <c r="L785" s="89">
        <f>ABCD!M834</f>
        <v>-0.75401823139076463</v>
      </c>
      <c r="M785" s="89">
        <f>ABCD!N834</f>
        <v>4.0657725421494408</v>
      </c>
      <c r="N785" s="89" t="e">
        <v>#REF!</v>
      </c>
      <c r="O785" s="89" t="e">
        <v>#REF!</v>
      </c>
      <c r="P785" s="89" t="e">
        <v>#REF!</v>
      </c>
      <c r="Q785" s="89" t="e">
        <v>#REF!</v>
      </c>
      <c r="R785" s="89" t="e">
        <v>#REF!</v>
      </c>
      <c r="S785" s="89" t="e">
        <f>#REF!</f>
        <v>#REF!</v>
      </c>
      <c r="T785" s="89" t="e">
        <f>#REF!</f>
        <v>#REF!</v>
      </c>
      <c r="U785" s="89" t="e">
        <f>#REF!</f>
        <v>#REF!</v>
      </c>
      <c r="V785" s="89" t="e">
        <f>#REF!</f>
        <v>#REF!</v>
      </c>
      <c r="W785" s="89" t="e">
        <f>#REF!</f>
        <v>#REF!</v>
      </c>
      <c r="X785" s="89" t="e">
        <f>#REF!</f>
        <v>#REF!</v>
      </c>
      <c r="Y785" s="89" t="e">
        <f>#REF!</f>
        <v>#REF!</v>
      </c>
      <c r="Z785" s="89" t="e">
        <f>#REF!</f>
        <v>#REF!</v>
      </c>
      <c r="AA785" s="89" t="e">
        <f>#REF!</f>
        <v>#REF!</v>
      </c>
      <c r="AB785" s="89" t="e">
        <f>#REF!</f>
        <v>#REF!</v>
      </c>
      <c r="AC785" s="89" t="e">
        <f>#REF!</f>
        <v>#REF!</v>
      </c>
      <c r="AD785" s="89" t="e">
        <f>#REF!</f>
        <v>#REF!</v>
      </c>
      <c r="AE785" s="89" t="e">
        <f>#REF!</f>
        <v>#REF!</v>
      </c>
      <c r="AF785" s="89" t="e">
        <f>#REF!</f>
        <v>#REF!</v>
      </c>
      <c r="AG785" s="89" t="e">
        <f>#REF!</f>
        <v>#REF!</v>
      </c>
      <c r="AH785" s="89" t="e">
        <f>#REF!</f>
        <v>#REF!</v>
      </c>
      <c r="AI785" s="89" t="e">
        <f>#REF!</f>
        <v>#REF!</v>
      </c>
      <c r="AJ785" s="89" t="e">
        <f>#REF!</f>
        <v>#REF!</v>
      </c>
      <c r="AK785" s="89" t="e">
        <f>#REF!</f>
        <v>#REF!</v>
      </c>
      <c r="AL785" s="89" t="e">
        <f>#REF!</f>
        <v>#REF!</v>
      </c>
      <c r="AM785" s="89" t="e">
        <f>#REF!</f>
        <v>#REF!</v>
      </c>
      <c r="AN785" s="89" t="e">
        <f>#REF!</f>
        <v>#REF!</v>
      </c>
      <c r="AO785" s="89" t="e">
        <f>#REF!</f>
        <v>#REF!</v>
      </c>
      <c r="AP785" s="89" t="e">
        <f>#REF!</f>
        <v>#REF!</v>
      </c>
      <c r="AQ785" s="89" t="e">
        <f>#REF!</f>
        <v>#REF!</v>
      </c>
      <c r="AR785" s="89" t="e">
        <f>#REF!</f>
        <v>#REF!</v>
      </c>
      <c r="AS785" s="89" t="e">
        <f>#REF!</f>
        <v>#REF!</v>
      </c>
      <c r="AT785" s="89" t="e">
        <f>#REF!</f>
        <v>#REF!</v>
      </c>
      <c r="AU785" s="89" t="e">
        <f>#REF!</f>
        <v>#REF!</v>
      </c>
      <c r="AV785" s="89" t="e">
        <f>#REF!</f>
        <v>#REF!</v>
      </c>
      <c r="AW785" s="89" t="e">
        <f>#REF!</f>
        <v>#REF!</v>
      </c>
      <c r="AX785" s="89" t="e">
        <f>#REF!</f>
        <v>#REF!</v>
      </c>
      <c r="AY785" s="89" t="e">
        <f>#REF!</f>
        <v>#REF!</v>
      </c>
      <c r="AZ785" s="89" t="e">
        <f>#REF!</f>
        <v>#REF!</v>
      </c>
      <c r="BA785" s="89" t="e">
        <f>#REF!</f>
        <v>#REF!</v>
      </c>
      <c r="BB785" s="89" t="e">
        <f>#REF!</f>
        <v>#REF!</v>
      </c>
      <c r="BC785" s="89" t="e">
        <f>#REF!</f>
        <v>#REF!</v>
      </c>
      <c r="BD785" s="89" t="e">
        <f>#REF!</f>
        <v>#REF!</v>
      </c>
      <c r="BE785" s="89" t="e">
        <f>#REF!</f>
        <v>#REF!</v>
      </c>
      <c r="BF785" s="89" t="e">
        <f>#REF!</f>
        <v>#REF!</v>
      </c>
    </row>
    <row r="786" spans="9:58" x14ac:dyDescent="0.25">
      <c r="I786" s="89">
        <f>ABCD!J835</f>
        <v>195.5</v>
      </c>
      <c r="J786" s="89">
        <f>ABCD!K835</f>
        <v>641.24</v>
      </c>
      <c r="K786" s="89">
        <f>ABCD!L835</f>
        <v>-3.948613040416062</v>
      </c>
      <c r="L786" s="89">
        <f>ABCD!M835</f>
        <v>-0.74607413452983384</v>
      </c>
      <c r="M786" s="89">
        <f>ABCD!N835</f>
        <v>4.0184787615661497</v>
      </c>
      <c r="N786" s="89" t="e">
        <v>#REF!</v>
      </c>
      <c r="O786" s="89" t="e">
        <v>#REF!</v>
      </c>
      <c r="P786" s="89" t="e">
        <v>#REF!</v>
      </c>
      <c r="Q786" s="89" t="e">
        <v>#REF!</v>
      </c>
      <c r="R786" s="89" t="e">
        <v>#REF!</v>
      </c>
      <c r="S786" s="89" t="e">
        <f>#REF!</f>
        <v>#REF!</v>
      </c>
      <c r="T786" s="89" t="e">
        <f>#REF!</f>
        <v>#REF!</v>
      </c>
      <c r="U786" s="89" t="e">
        <f>#REF!</f>
        <v>#REF!</v>
      </c>
      <c r="V786" s="89" t="e">
        <f>#REF!</f>
        <v>#REF!</v>
      </c>
      <c r="W786" s="89" t="e">
        <f>#REF!</f>
        <v>#REF!</v>
      </c>
      <c r="X786" s="89" t="e">
        <f>#REF!</f>
        <v>#REF!</v>
      </c>
      <c r="Y786" s="89" t="e">
        <f>#REF!</f>
        <v>#REF!</v>
      </c>
      <c r="Z786" s="89" t="e">
        <f>#REF!</f>
        <v>#REF!</v>
      </c>
      <c r="AA786" s="89" t="e">
        <f>#REF!</f>
        <v>#REF!</v>
      </c>
      <c r="AB786" s="89" t="e">
        <f>#REF!</f>
        <v>#REF!</v>
      </c>
      <c r="AC786" s="89" t="e">
        <f>#REF!</f>
        <v>#REF!</v>
      </c>
      <c r="AD786" s="89" t="e">
        <f>#REF!</f>
        <v>#REF!</v>
      </c>
      <c r="AE786" s="89" t="e">
        <f>#REF!</f>
        <v>#REF!</v>
      </c>
      <c r="AF786" s="89" t="e">
        <f>#REF!</f>
        <v>#REF!</v>
      </c>
      <c r="AG786" s="89" t="e">
        <f>#REF!</f>
        <v>#REF!</v>
      </c>
      <c r="AH786" s="89" t="e">
        <f>#REF!</f>
        <v>#REF!</v>
      </c>
      <c r="AI786" s="89" t="e">
        <f>#REF!</f>
        <v>#REF!</v>
      </c>
      <c r="AJ786" s="89" t="e">
        <f>#REF!</f>
        <v>#REF!</v>
      </c>
      <c r="AK786" s="89" t="e">
        <f>#REF!</f>
        <v>#REF!</v>
      </c>
      <c r="AL786" s="89" t="e">
        <f>#REF!</f>
        <v>#REF!</v>
      </c>
      <c r="AM786" s="89" t="e">
        <f>#REF!</f>
        <v>#REF!</v>
      </c>
      <c r="AN786" s="89" t="e">
        <f>#REF!</f>
        <v>#REF!</v>
      </c>
      <c r="AO786" s="89" t="e">
        <f>#REF!</f>
        <v>#REF!</v>
      </c>
      <c r="AP786" s="89" t="e">
        <f>#REF!</f>
        <v>#REF!</v>
      </c>
      <c r="AQ786" s="89" t="e">
        <f>#REF!</f>
        <v>#REF!</v>
      </c>
      <c r="AR786" s="89" t="e">
        <f>#REF!</f>
        <v>#REF!</v>
      </c>
      <c r="AS786" s="89" t="e">
        <f>#REF!</f>
        <v>#REF!</v>
      </c>
      <c r="AT786" s="89" t="e">
        <f>#REF!</f>
        <v>#REF!</v>
      </c>
      <c r="AU786" s="89" t="e">
        <f>#REF!</f>
        <v>#REF!</v>
      </c>
      <c r="AV786" s="89" t="e">
        <f>#REF!</f>
        <v>#REF!</v>
      </c>
      <c r="AW786" s="89" t="e">
        <f>#REF!</f>
        <v>#REF!</v>
      </c>
      <c r="AX786" s="89" t="e">
        <f>#REF!</f>
        <v>#REF!</v>
      </c>
      <c r="AY786" s="89" t="e">
        <f>#REF!</f>
        <v>#REF!</v>
      </c>
      <c r="AZ786" s="89" t="e">
        <f>#REF!</f>
        <v>#REF!</v>
      </c>
      <c r="BA786" s="89" t="e">
        <f>#REF!</f>
        <v>#REF!</v>
      </c>
      <c r="BB786" s="89" t="e">
        <f>#REF!</f>
        <v>#REF!</v>
      </c>
      <c r="BC786" s="89" t="e">
        <f>#REF!</f>
        <v>#REF!</v>
      </c>
      <c r="BD786" s="89" t="e">
        <f>#REF!</f>
        <v>#REF!</v>
      </c>
      <c r="BE786" s="89" t="e">
        <f>#REF!</f>
        <v>#REF!</v>
      </c>
      <c r="BF786" s="89" t="e">
        <f>#REF!</f>
        <v>#REF!</v>
      </c>
    </row>
    <row r="787" spans="9:58" x14ac:dyDescent="0.25">
      <c r="I787" s="89">
        <f>ABCD!J836</f>
        <v>195.75</v>
      </c>
      <c r="J787" s="89">
        <f>ABCD!K836</f>
        <v>642.05999999999995</v>
      </c>
      <c r="K787" s="89">
        <f>ABCD!L836</f>
        <v>-3.9011139966988551</v>
      </c>
      <c r="L787" s="89">
        <f>ABCD!M836</f>
        <v>-0.73796495958397368</v>
      </c>
      <c r="M787" s="89">
        <f>ABCD!N836</f>
        <v>3.9703000764190972</v>
      </c>
      <c r="N787" s="89" t="e">
        <v>#REF!</v>
      </c>
      <c r="O787" s="89" t="e">
        <v>#REF!</v>
      </c>
      <c r="P787" s="89" t="e">
        <v>#REF!</v>
      </c>
      <c r="Q787" s="89" t="e">
        <v>#REF!</v>
      </c>
      <c r="R787" s="89" t="e">
        <v>#REF!</v>
      </c>
      <c r="S787" s="89" t="e">
        <f>#REF!</f>
        <v>#REF!</v>
      </c>
      <c r="T787" s="89" t="e">
        <f>#REF!</f>
        <v>#REF!</v>
      </c>
      <c r="U787" s="89" t="e">
        <f>#REF!</f>
        <v>#REF!</v>
      </c>
      <c r="V787" s="89" t="e">
        <f>#REF!</f>
        <v>#REF!</v>
      </c>
      <c r="W787" s="89" t="e">
        <f>#REF!</f>
        <v>#REF!</v>
      </c>
      <c r="X787" s="89" t="e">
        <f>#REF!</f>
        <v>#REF!</v>
      </c>
      <c r="Y787" s="89" t="e">
        <f>#REF!</f>
        <v>#REF!</v>
      </c>
      <c r="Z787" s="89" t="e">
        <f>#REF!</f>
        <v>#REF!</v>
      </c>
      <c r="AA787" s="89" t="e">
        <f>#REF!</f>
        <v>#REF!</v>
      </c>
      <c r="AB787" s="89" t="e">
        <f>#REF!</f>
        <v>#REF!</v>
      </c>
      <c r="AC787" s="89" t="e">
        <f>#REF!</f>
        <v>#REF!</v>
      </c>
      <c r="AD787" s="89" t="e">
        <f>#REF!</f>
        <v>#REF!</v>
      </c>
      <c r="AE787" s="89" t="e">
        <f>#REF!</f>
        <v>#REF!</v>
      </c>
      <c r="AF787" s="89" t="e">
        <f>#REF!</f>
        <v>#REF!</v>
      </c>
      <c r="AG787" s="89" t="e">
        <f>#REF!</f>
        <v>#REF!</v>
      </c>
      <c r="AH787" s="89" t="e">
        <f>#REF!</f>
        <v>#REF!</v>
      </c>
      <c r="AI787" s="89" t="e">
        <f>#REF!</f>
        <v>#REF!</v>
      </c>
      <c r="AJ787" s="89" t="e">
        <f>#REF!</f>
        <v>#REF!</v>
      </c>
      <c r="AK787" s="89" t="e">
        <f>#REF!</f>
        <v>#REF!</v>
      </c>
      <c r="AL787" s="89" t="e">
        <f>#REF!</f>
        <v>#REF!</v>
      </c>
      <c r="AM787" s="89" t="e">
        <f>#REF!</f>
        <v>#REF!</v>
      </c>
      <c r="AN787" s="89" t="e">
        <f>#REF!</f>
        <v>#REF!</v>
      </c>
      <c r="AO787" s="89" t="e">
        <f>#REF!</f>
        <v>#REF!</v>
      </c>
      <c r="AP787" s="89" t="e">
        <f>#REF!</f>
        <v>#REF!</v>
      </c>
      <c r="AQ787" s="89" t="e">
        <f>#REF!</f>
        <v>#REF!</v>
      </c>
      <c r="AR787" s="89" t="e">
        <f>#REF!</f>
        <v>#REF!</v>
      </c>
      <c r="AS787" s="89" t="e">
        <f>#REF!</f>
        <v>#REF!</v>
      </c>
      <c r="AT787" s="89" t="e">
        <f>#REF!</f>
        <v>#REF!</v>
      </c>
      <c r="AU787" s="89" t="e">
        <f>#REF!</f>
        <v>#REF!</v>
      </c>
      <c r="AV787" s="89" t="e">
        <f>#REF!</f>
        <v>#REF!</v>
      </c>
      <c r="AW787" s="89" t="e">
        <f>#REF!</f>
        <v>#REF!</v>
      </c>
      <c r="AX787" s="89" t="e">
        <f>#REF!</f>
        <v>#REF!</v>
      </c>
      <c r="AY787" s="89" t="e">
        <f>#REF!</f>
        <v>#REF!</v>
      </c>
      <c r="AZ787" s="89" t="e">
        <f>#REF!</f>
        <v>#REF!</v>
      </c>
      <c r="BA787" s="89" t="e">
        <f>#REF!</f>
        <v>#REF!</v>
      </c>
      <c r="BB787" s="89" t="e">
        <f>#REF!</f>
        <v>#REF!</v>
      </c>
      <c r="BC787" s="89" t="e">
        <f>#REF!</f>
        <v>#REF!</v>
      </c>
      <c r="BD787" s="89" t="e">
        <f>#REF!</f>
        <v>#REF!</v>
      </c>
      <c r="BE787" s="89" t="e">
        <f>#REF!</f>
        <v>#REF!</v>
      </c>
      <c r="BF787" s="89" t="e">
        <f>#REF!</f>
        <v>#REF!</v>
      </c>
    </row>
    <row r="788" spans="9:58" x14ac:dyDescent="0.25">
      <c r="I788" s="89">
        <f>ABCD!J837</f>
        <v>196</v>
      </c>
      <c r="J788" s="89">
        <f>ABCD!K837</f>
        <v>642.88</v>
      </c>
      <c r="K788" s="89">
        <f>ABCD!L837</f>
        <v>-3.8527571455385345</v>
      </c>
      <c r="L788" s="89">
        <f>ABCD!M837</f>
        <v>-0.72969272698729326</v>
      </c>
      <c r="M788" s="89">
        <f>ABCD!N837</f>
        <v>3.9212484106871361</v>
      </c>
      <c r="N788" s="89" t="e">
        <v>#REF!</v>
      </c>
      <c r="O788" s="89" t="e">
        <v>#REF!</v>
      </c>
      <c r="P788" s="89" t="e">
        <v>#REF!</v>
      </c>
      <c r="Q788" s="89" t="e">
        <v>#REF!</v>
      </c>
      <c r="R788" s="89" t="e">
        <v>#REF!</v>
      </c>
      <c r="S788" s="89" t="e">
        <f>#REF!</f>
        <v>#REF!</v>
      </c>
      <c r="T788" s="89" t="e">
        <f>#REF!</f>
        <v>#REF!</v>
      </c>
      <c r="U788" s="89" t="e">
        <f>#REF!</f>
        <v>#REF!</v>
      </c>
      <c r="V788" s="89" t="e">
        <f>#REF!</f>
        <v>#REF!</v>
      </c>
      <c r="W788" s="89" t="e">
        <f>#REF!</f>
        <v>#REF!</v>
      </c>
      <c r="X788" s="89" t="e">
        <f>#REF!</f>
        <v>#REF!</v>
      </c>
      <c r="Y788" s="89" t="e">
        <f>#REF!</f>
        <v>#REF!</v>
      </c>
      <c r="Z788" s="89" t="e">
        <f>#REF!</f>
        <v>#REF!</v>
      </c>
      <c r="AA788" s="89" t="e">
        <f>#REF!</f>
        <v>#REF!</v>
      </c>
      <c r="AB788" s="89" t="e">
        <f>#REF!</f>
        <v>#REF!</v>
      </c>
      <c r="AC788" s="89" t="e">
        <f>#REF!</f>
        <v>#REF!</v>
      </c>
      <c r="AD788" s="89" t="e">
        <f>#REF!</f>
        <v>#REF!</v>
      </c>
      <c r="AE788" s="89" t="e">
        <f>#REF!</f>
        <v>#REF!</v>
      </c>
      <c r="AF788" s="89" t="e">
        <f>#REF!</f>
        <v>#REF!</v>
      </c>
      <c r="AG788" s="89" t="e">
        <f>#REF!</f>
        <v>#REF!</v>
      </c>
      <c r="AH788" s="89" t="e">
        <f>#REF!</f>
        <v>#REF!</v>
      </c>
      <c r="AI788" s="89" t="e">
        <f>#REF!</f>
        <v>#REF!</v>
      </c>
      <c r="AJ788" s="89" t="e">
        <f>#REF!</f>
        <v>#REF!</v>
      </c>
      <c r="AK788" s="89" t="e">
        <f>#REF!</f>
        <v>#REF!</v>
      </c>
      <c r="AL788" s="89" t="e">
        <f>#REF!</f>
        <v>#REF!</v>
      </c>
      <c r="AM788" s="89" t="e">
        <f>#REF!</f>
        <v>#REF!</v>
      </c>
      <c r="AN788" s="89" t="e">
        <f>#REF!</f>
        <v>#REF!</v>
      </c>
      <c r="AO788" s="89" t="e">
        <f>#REF!</f>
        <v>#REF!</v>
      </c>
      <c r="AP788" s="89" t="e">
        <f>#REF!</f>
        <v>#REF!</v>
      </c>
      <c r="AQ788" s="89" t="e">
        <f>#REF!</f>
        <v>#REF!</v>
      </c>
      <c r="AR788" s="89" t="e">
        <f>#REF!</f>
        <v>#REF!</v>
      </c>
      <c r="AS788" s="89" t="e">
        <f>#REF!</f>
        <v>#REF!</v>
      </c>
      <c r="AT788" s="89" t="e">
        <f>#REF!</f>
        <v>#REF!</v>
      </c>
      <c r="AU788" s="89" t="e">
        <f>#REF!</f>
        <v>#REF!</v>
      </c>
      <c r="AV788" s="89" t="e">
        <f>#REF!</f>
        <v>#REF!</v>
      </c>
      <c r="AW788" s="89" t="e">
        <f>#REF!</f>
        <v>#REF!</v>
      </c>
      <c r="AX788" s="89" t="e">
        <f>#REF!</f>
        <v>#REF!</v>
      </c>
      <c r="AY788" s="89" t="e">
        <f>#REF!</f>
        <v>#REF!</v>
      </c>
      <c r="AZ788" s="89" t="e">
        <f>#REF!</f>
        <v>#REF!</v>
      </c>
      <c r="BA788" s="89" t="e">
        <f>#REF!</f>
        <v>#REF!</v>
      </c>
      <c r="BB788" s="89" t="e">
        <f>#REF!</f>
        <v>#REF!</v>
      </c>
      <c r="BC788" s="89" t="e">
        <f>#REF!</f>
        <v>#REF!</v>
      </c>
      <c r="BD788" s="89" t="e">
        <f>#REF!</f>
        <v>#REF!</v>
      </c>
      <c r="BE788" s="89" t="e">
        <f>#REF!</f>
        <v>#REF!</v>
      </c>
      <c r="BF788" s="89" t="e">
        <f>#REF!</f>
        <v>#REF!</v>
      </c>
    </row>
    <row r="789" spans="9:58" x14ac:dyDescent="0.25">
      <c r="I789" s="89">
        <f>ABCD!J838</f>
        <v>196.25</v>
      </c>
      <c r="J789" s="89">
        <f>ABCD!K838</f>
        <v>643.69999999999993</v>
      </c>
      <c r="K789" s="89">
        <f>ABCD!L838</f>
        <v>-3.803554421362028</v>
      </c>
      <c r="L789" s="89">
        <f>ABCD!M838</f>
        <v>-0.72125949299673064</v>
      </c>
      <c r="M789" s="89">
        <f>ABCD!N838</f>
        <v>3.8713358795770398</v>
      </c>
      <c r="N789" s="89" t="e">
        <v>#REF!</v>
      </c>
      <c r="O789" s="89" t="e">
        <v>#REF!</v>
      </c>
      <c r="P789" s="89" t="e">
        <v>#REF!</v>
      </c>
      <c r="Q789" s="89" t="e">
        <v>#REF!</v>
      </c>
      <c r="R789" s="89" t="e">
        <v>#REF!</v>
      </c>
      <c r="S789" s="89" t="e">
        <f>#REF!</f>
        <v>#REF!</v>
      </c>
      <c r="T789" s="89" t="e">
        <f>#REF!</f>
        <v>#REF!</v>
      </c>
      <c r="U789" s="89" t="e">
        <f>#REF!</f>
        <v>#REF!</v>
      </c>
      <c r="V789" s="89" t="e">
        <f>#REF!</f>
        <v>#REF!</v>
      </c>
      <c r="W789" s="89" t="e">
        <f>#REF!</f>
        <v>#REF!</v>
      </c>
      <c r="X789" s="89" t="e">
        <f>#REF!</f>
        <v>#REF!</v>
      </c>
      <c r="Y789" s="89" t="e">
        <f>#REF!</f>
        <v>#REF!</v>
      </c>
      <c r="Z789" s="89" t="e">
        <f>#REF!</f>
        <v>#REF!</v>
      </c>
      <c r="AA789" s="89" t="e">
        <f>#REF!</f>
        <v>#REF!</v>
      </c>
      <c r="AB789" s="89" t="e">
        <f>#REF!</f>
        <v>#REF!</v>
      </c>
      <c r="AC789" s="89" t="e">
        <f>#REF!</f>
        <v>#REF!</v>
      </c>
      <c r="AD789" s="89" t="e">
        <f>#REF!</f>
        <v>#REF!</v>
      </c>
      <c r="AE789" s="89" t="e">
        <f>#REF!</f>
        <v>#REF!</v>
      </c>
      <c r="AF789" s="89" t="e">
        <f>#REF!</f>
        <v>#REF!</v>
      </c>
      <c r="AG789" s="89" t="e">
        <f>#REF!</f>
        <v>#REF!</v>
      </c>
      <c r="AH789" s="89" t="e">
        <f>#REF!</f>
        <v>#REF!</v>
      </c>
      <c r="AI789" s="89" t="e">
        <f>#REF!</f>
        <v>#REF!</v>
      </c>
      <c r="AJ789" s="89" t="e">
        <f>#REF!</f>
        <v>#REF!</v>
      </c>
      <c r="AK789" s="89" t="e">
        <f>#REF!</f>
        <v>#REF!</v>
      </c>
      <c r="AL789" s="89" t="e">
        <f>#REF!</f>
        <v>#REF!</v>
      </c>
      <c r="AM789" s="89" t="e">
        <f>#REF!</f>
        <v>#REF!</v>
      </c>
      <c r="AN789" s="89" t="e">
        <f>#REF!</f>
        <v>#REF!</v>
      </c>
      <c r="AO789" s="89" t="e">
        <f>#REF!</f>
        <v>#REF!</v>
      </c>
      <c r="AP789" s="89" t="e">
        <f>#REF!</f>
        <v>#REF!</v>
      </c>
      <c r="AQ789" s="89" t="e">
        <f>#REF!</f>
        <v>#REF!</v>
      </c>
      <c r="AR789" s="89" t="e">
        <f>#REF!</f>
        <v>#REF!</v>
      </c>
      <c r="AS789" s="89" t="e">
        <f>#REF!</f>
        <v>#REF!</v>
      </c>
      <c r="AT789" s="89" t="e">
        <f>#REF!</f>
        <v>#REF!</v>
      </c>
      <c r="AU789" s="89" t="e">
        <f>#REF!</f>
        <v>#REF!</v>
      </c>
      <c r="AV789" s="89" t="e">
        <f>#REF!</f>
        <v>#REF!</v>
      </c>
      <c r="AW789" s="89" t="e">
        <f>#REF!</f>
        <v>#REF!</v>
      </c>
      <c r="AX789" s="89" t="e">
        <f>#REF!</f>
        <v>#REF!</v>
      </c>
      <c r="AY789" s="89" t="e">
        <f>#REF!</f>
        <v>#REF!</v>
      </c>
      <c r="AZ789" s="89" t="e">
        <f>#REF!</f>
        <v>#REF!</v>
      </c>
      <c r="BA789" s="89" t="e">
        <f>#REF!</f>
        <v>#REF!</v>
      </c>
      <c r="BB789" s="89" t="e">
        <f>#REF!</f>
        <v>#REF!</v>
      </c>
      <c r="BC789" s="89" t="e">
        <f>#REF!</f>
        <v>#REF!</v>
      </c>
      <c r="BD789" s="89" t="e">
        <f>#REF!</f>
        <v>#REF!</v>
      </c>
      <c r="BE789" s="89" t="e">
        <f>#REF!</f>
        <v>#REF!</v>
      </c>
      <c r="BF789" s="89" t="e">
        <f>#REF!</f>
        <v>#REF!</v>
      </c>
    </row>
    <row r="790" spans="9:58" x14ac:dyDescent="0.25">
      <c r="I790" s="89">
        <f>ABCD!J839</f>
        <v>196.5</v>
      </c>
      <c r="J790" s="89">
        <f>ABCD!K839</f>
        <v>644.52</v>
      </c>
      <c r="K790" s="89">
        <f>ABCD!L839</f>
        <v>-3.7535179431223429</v>
      </c>
      <c r="L790" s="89">
        <f>ABCD!M839</f>
        <v>-0.71266734918516317</v>
      </c>
      <c r="M790" s="89">
        <f>ABCD!N839</f>
        <v>3.8205747865911475</v>
      </c>
      <c r="N790" s="89" t="e">
        <v>#REF!</v>
      </c>
      <c r="O790" s="89" t="e">
        <v>#REF!</v>
      </c>
      <c r="P790" s="89" t="e">
        <v>#REF!</v>
      </c>
      <c r="Q790" s="89" t="e">
        <v>#REF!</v>
      </c>
      <c r="R790" s="89" t="e">
        <v>#REF!</v>
      </c>
      <c r="S790" s="89" t="e">
        <f>#REF!</f>
        <v>#REF!</v>
      </c>
      <c r="T790" s="89" t="e">
        <f>#REF!</f>
        <v>#REF!</v>
      </c>
      <c r="U790" s="89" t="e">
        <f>#REF!</f>
        <v>#REF!</v>
      </c>
      <c r="V790" s="89" t="e">
        <f>#REF!</f>
        <v>#REF!</v>
      </c>
      <c r="W790" s="89" t="e">
        <f>#REF!</f>
        <v>#REF!</v>
      </c>
      <c r="X790" s="89" t="e">
        <f>#REF!</f>
        <v>#REF!</v>
      </c>
      <c r="Y790" s="89" t="e">
        <f>#REF!</f>
        <v>#REF!</v>
      </c>
      <c r="Z790" s="89" t="e">
        <f>#REF!</f>
        <v>#REF!</v>
      </c>
      <c r="AA790" s="89" t="e">
        <f>#REF!</f>
        <v>#REF!</v>
      </c>
      <c r="AB790" s="89" t="e">
        <f>#REF!</f>
        <v>#REF!</v>
      </c>
      <c r="AC790" s="89" t="e">
        <f>#REF!</f>
        <v>#REF!</v>
      </c>
      <c r="AD790" s="89" t="e">
        <f>#REF!</f>
        <v>#REF!</v>
      </c>
      <c r="AE790" s="89" t="e">
        <f>#REF!</f>
        <v>#REF!</v>
      </c>
      <c r="AF790" s="89" t="e">
        <f>#REF!</f>
        <v>#REF!</v>
      </c>
      <c r="AG790" s="89" t="e">
        <f>#REF!</f>
        <v>#REF!</v>
      </c>
      <c r="AH790" s="89" t="e">
        <f>#REF!</f>
        <v>#REF!</v>
      </c>
      <c r="AI790" s="89" t="e">
        <f>#REF!</f>
        <v>#REF!</v>
      </c>
      <c r="AJ790" s="89" t="e">
        <f>#REF!</f>
        <v>#REF!</v>
      </c>
      <c r="AK790" s="89" t="e">
        <f>#REF!</f>
        <v>#REF!</v>
      </c>
      <c r="AL790" s="89" t="e">
        <f>#REF!</f>
        <v>#REF!</v>
      </c>
      <c r="AM790" s="89" t="e">
        <f>#REF!</f>
        <v>#REF!</v>
      </c>
      <c r="AN790" s="89" t="e">
        <f>#REF!</f>
        <v>#REF!</v>
      </c>
      <c r="AO790" s="89" t="e">
        <f>#REF!</f>
        <v>#REF!</v>
      </c>
      <c r="AP790" s="89" t="e">
        <f>#REF!</f>
        <v>#REF!</v>
      </c>
      <c r="AQ790" s="89" t="e">
        <f>#REF!</f>
        <v>#REF!</v>
      </c>
      <c r="AR790" s="89" t="e">
        <f>#REF!</f>
        <v>#REF!</v>
      </c>
      <c r="AS790" s="89" t="e">
        <f>#REF!</f>
        <v>#REF!</v>
      </c>
      <c r="AT790" s="89" t="e">
        <f>#REF!</f>
        <v>#REF!</v>
      </c>
      <c r="AU790" s="89" t="e">
        <f>#REF!</f>
        <v>#REF!</v>
      </c>
      <c r="AV790" s="89" t="e">
        <f>#REF!</f>
        <v>#REF!</v>
      </c>
      <c r="AW790" s="89" t="e">
        <f>#REF!</f>
        <v>#REF!</v>
      </c>
      <c r="AX790" s="89" t="e">
        <f>#REF!</f>
        <v>#REF!</v>
      </c>
      <c r="AY790" s="89" t="e">
        <f>#REF!</f>
        <v>#REF!</v>
      </c>
      <c r="AZ790" s="89" t="e">
        <f>#REF!</f>
        <v>#REF!</v>
      </c>
      <c r="BA790" s="89" t="e">
        <f>#REF!</f>
        <v>#REF!</v>
      </c>
      <c r="BB790" s="89" t="e">
        <f>#REF!</f>
        <v>#REF!</v>
      </c>
      <c r="BC790" s="89" t="e">
        <f>#REF!</f>
        <v>#REF!</v>
      </c>
      <c r="BD790" s="89" t="e">
        <f>#REF!</f>
        <v>#REF!</v>
      </c>
      <c r="BE790" s="89" t="e">
        <f>#REF!</f>
        <v>#REF!</v>
      </c>
      <c r="BF790" s="89" t="e">
        <f>#REF!</f>
        <v>#REF!</v>
      </c>
    </row>
    <row r="791" spans="9:58" x14ac:dyDescent="0.25">
      <c r="I791" s="89">
        <f>ABCD!J840</f>
        <v>196.75</v>
      </c>
      <c r="J791" s="89">
        <f>ABCD!K840</f>
        <v>645.33999999999992</v>
      </c>
      <c r="K791" s="89">
        <f>ABCD!L840</f>
        <v>-3.7026600113350296</v>
      </c>
      <c r="L791" s="89">
        <f>ABCD!M840</f>
        <v>-0.70391842192680243</v>
      </c>
      <c r="M791" s="89">
        <f>ABCD!N840</f>
        <v>3.768977620558053</v>
      </c>
      <c r="N791" s="89" t="e">
        <v>#REF!</v>
      </c>
      <c r="O791" s="89" t="e">
        <v>#REF!</v>
      </c>
      <c r="P791" s="89" t="e">
        <v>#REF!</v>
      </c>
      <c r="Q791" s="89" t="e">
        <v>#REF!</v>
      </c>
      <c r="R791" s="89" t="e">
        <v>#REF!</v>
      </c>
      <c r="S791" s="89" t="e">
        <f>#REF!</f>
        <v>#REF!</v>
      </c>
      <c r="T791" s="89" t="e">
        <f>#REF!</f>
        <v>#REF!</v>
      </c>
      <c r="U791" s="89" t="e">
        <f>#REF!</f>
        <v>#REF!</v>
      </c>
      <c r="V791" s="89" t="e">
        <f>#REF!</f>
        <v>#REF!</v>
      </c>
      <c r="W791" s="89" t="e">
        <f>#REF!</f>
        <v>#REF!</v>
      </c>
      <c r="X791" s="89" t="e">
        <f>#REF!</f>
        <v>#REF!</v>
      </c>
      <c r="Y791" s="89" t="e">
        <f>#REF!</f>
        <v>#REF!</v>
      </c>
      <c r="Z791" s="89" t="e">
        <f>#REF!</f>
        <v>#REF!</v>
      </c>
      <c r="AA791" s="89" t="e">
        <f>#REF!</f>
        <v>#REF!</v>
      </c>
      <c r="AB791" s="89" t="e">
        <f>#REF!</f>
        <v>#REF!</v>
      </c>
      <c r="AC791" s="89" t="e">
        <f>#REF!</f>
        <v>#REF!</v>
      </c>
      <c r="AD791" s="89" t="e">
        <f>#REF!</f>
        <v>#REF!</v>
      </c>
      <c r="AE791" s="89" t="e">
        <f>#REF!</f>
        <v>#REF!</v>
      </c>
      <c r="AF791" s="89" t="e">
        <f>#REF!</f>
        <v>#REF!</v>
      </c>
      <c r="AG791" s="89" t="e">
        <f>#REF!</f>
        <v>#REF!</v>
      </c>
      <c r="AH791" s="89" t="e">
        <f>#REF!</f>
        <v>#REF!</v>
      </c>
      <c r="AI791" s="89" t="e">
        <f>#REF!</f>
        <v>#REF!</v>
      </c>
      <c r="AJ791" s="89" t="e">
        <f>#REF!</f>
        <v>#REF!</v>
      </c>
      <c r="AK791" s="89" t="e">
        <f>#REF!</f>
        <v>#REF!</v>
      </c>
      <c r="AL791" s="89" t="e">
        <f>#REF!</f>
        <v>#REF!</v>
      </c>
      <c r="AM791" s="89" t="e">
        <f>#REF!</f>
        <v>#REF!</v>
      </c>
      <c r="AN791" s="89" t="e">
        <f>#REF!</f>
        <v>#REF!</v>
      </c>
      <c r="AO791" s="89" t="e">
        <f>#REF!</f>
        <v>#REF!</v>
      </c>
      <c r="AP791" s="89" t="e">
        <f>#REF!</f>
        <v>#REF!</v>
      </c>
      <c r="AQ791" s="89" t="e">
        <f>#REF!</f>
        <v>#REF!</v>
      </c>
      <c r="AR791" s="89" t="e">
        <f>#REF!</f>
        <v>#REF!</v>
      </c>
      <c r="AS791" s="89" t="e">
        <f>#REF!</f>
        <v>#REF!</v>
      </c>
      <c r="AT791" s="89" t="e">
        <f>#REF!</f>
        <v>#REF!</v>
      </c>
      <c r="AU791" s="89" t="e">
        <f>#REF!</f>
        <v>#REF!</v>
      </c>
      <c r="AV791" s="89" t="e">
        <f>#REF!</f>
        <v>#REF!</v>
      </c>
      <c r="AW791" s="89" t="e">
        <f>#REF!</f>
        <v>#REF!</v>
      </c>
      <c r="AX791" s="89" t="e">
        <f>#REF!</f>
        <v>#REF!</v>
      </c>
      <c r="AY791" s="89" t="e">
        <f>#REF!</f>
        <v>#REF!</v>
      </c>
      <c r="AZ791" s="89" t="e">
        <f>#REF!</f>
        <v>#REF!</v>
      </c>
      <c r="BA791" s="89" t="e">
        <f>#REF!</f>
        <v>#REF!</v>
      </c>
      <c r="BB791" s="89" t="e">
        <f>#REF!</f>
        <v>#REF!</v>
      </c>
      <c r="BC791" s="89" t="e">
        <f>#REF!</f>
        <v>#REF!</v>
      </c>
      <c r="BD791" s="89" t="e">
        <f>#REF!</f>
        <v>#REF!</v>
      </c>
      <c r="BE791" s="89" t="e">
        <f>#REF!</f>
        <v>#REF!</v>
      </c>
      <c r="BF791" s="89" t="e">
        <f>#REF!</f>
        <v>#REF!</v>
      </c>
    </row>
    <row r="792" spans="9:58" x14ac:dyDescent="0.25">
      <c r="I792" s="89">
        <f>ABCD!J841</f>
        <v>197</v>
      </c>
      <c r="J792" s="89">
        <f>ABCD!K841</f>
        <v>646.16</v>
      </c>
      <c r="K792" s="89">
        <f>ABCD!L841</f>
        <v>-3.6509931050753739</v>
      </c>
      <c r="L792" s="89">
        <f>ABCD!M841</f>
        <v>-0.69501487187505595</v>
      </c>
      <c r="M792" s="89">
        <f>ABCD!N841</f>
        <v>3.7165570526275284</v>
      </c>
      <c r="N792" s="89" t="e">
        <v>#REF!</v>
      </c>
      <c r="O792" s="89" t="e">
        <v>#REF!</v>
      </c>
      <c r="P792" s="89" t="e">
        <v>#REF!</v>
      </c>
      <c r="Q792" s="89" t="e">
        <v>#REF!</v>
      </c>
      <c r="R792" s="89" t="e">
        <v>#REF!</v>
      </c>
      <c r="S792" s="89" t="e">
        <f>#REF!</f>
        <v>#REF!</v>
      </c>
      <c r="T792" s="89" t="e">
        <f>#REF!</f>
        <v>#REF!</v>
      </c>
      <c r="U792" s="89" t="e">
        <f>#REF!</f>
        <v>#REF!</v>
      </c>
      <c r="V792" s="89" t="e">
        <f>#REF!</f>
        <v>#REF!</v>
      </c>
      <c r="W792" s="89" t="e">
        <f>#REF!</f>
        <v>#REF!</v>
      </c>
      <c r="X792" s="89" t="e">
        <f>#REF!</f>
        <v>#REF!</v>
      </c>
      <c r="Y792" s="89" t="e">
        <f>#REF!</f>
        <v>#REF!</v>
      </c>
      <c r="Z792" s="89" t="e">
        <f>#REF!</f>
        <v>#REF!</v>
      </c>
      <c r="AA792" s="89" t="e">
        <f>#REF!</f>
        <v>#REF!</v>
      </c>
      <c r="AB792" s="89" t="e">
        <f>#REF!</f>
        <v>#REF!</v>
      </c>
      <c r="AC792" s="89" t="e">
        <f>#REF!</f>
        <v>#REF!</v>
      </c>
      <c r="AD792" s="89" t="e">
        <f>#REF!</f>
        <v>#REF!</v>
      </c>
      <c r="AE792" s="89" t="e">
        <f>#REF!</f>
        <v>#REF!</v>
      </c>
      <c r="AF792" s="89" t="e">
        <f>#REF!</f>
        <v>#REF!</v>
      </c>
      <c r="AG792" s="89" t="e">
        <f>#REF!</f>
        <v>#REF!</v>
      </c>
      <c r="AH792" s="89" t="e">
        <f>#REF!</f>
        <v>#REF!</v>
      </c>
      <c r="AI792" s="89" t="e">
        <f>#REF!</f>
        <v>#REF!</v>
      </c>
      <c r="AJ792" s="89" t="e">
        <f>#REF!</f>
        <v>#REF!</v>
      </c>
      <c r="AK792" s="89" t="e">
        <f>#REF!</f>
        <v>#REF!</v>
      </c>
      <c r="AL792" s="89" t="e">
        <f>#REF!</f>
        <v>#REF!</v>
      </c>
      <c r="AM792" s="89" t="e">
        <f>#REF!</f>
        <v>#REF!</v>
      </c>
      <c r="AN792" s="89" t="e">
        <f>#REF!</f>
        <v>#REF!</v>
      </c>
      <c r="AO792" s="89" t="e">
        <f>#REF!</f>
        <v>#REF!</v>
      </c>
      <c r="AP792" s="89" t="e">
        <f>#REF!</f>
        <v>#REF!</v>
      </c>
      <c r="AQ792" s="89" t="e">
        <f>#REF!</f>
        <v>#REF!</v>
      </c>
      <c r="AR792" s="89" t="e">
        <f>#REF!</f>
        <v>#REF!</v>
      </c>
      <c r="AS792" s="89" t="e">
        <f>#REF!</f>
        <v>#REF!</v>
      </c>
      <c r="AT792" s="89" t="e">
        <f>#REF!</f>
        <v>#REF!</v>
      </c>
      <c r="AU792" s="89" t="e">
        <f>#REF!</f>
        <v>#REF!</v>
      </c>
      <c r="AV792" s="89" t="e">
        <f>#REF!</f>
        <v>#REF!</v>
      </c>
      <c r="AW792" s="89" t="e">
        <f>#REF!</f>
        <v>#REF!</v>
      </c>
      <c r="AX792" s="89" t="e">
        <f>#REF!</f>
        <v>#REF!</v>
      </c>
      <c r="AY792" s="89" t="e">
        <f>#REF!</f>
        <v>#REF!</v>
      </c>
      <c r="AZ792" s="89" t="e">
        <f>#REF!</f>
        <v>#REF!</v>
      </c>
      <c r="BA792" s="89" t="e">
        <f>#REF!</f>
        <v>#REF!</v>
      </c>
      <c r="BB792" s="89" t="e">
        <f>#REF!</f>
        <v>#REF!</v>
      </c>
      <c r="BC792" s="89" t="e">
        <f>#REF!</f>
        <v>#REF!</v>
      </c>
      <c r="BD792" s="89" t="e">
        <f>#REF!</f>
        <v>#REF!</v>
      </c>
      <c r="BE792" s="89" t="e">
        <f>#REF!</f>
        <v>#REF!</v>
      </c>
      <c r="BF792" s="89" t="e">
        <f>#REF!</f>
        <v>#REF!</v>
      </c>
    </row>
    <row r="793" spans="9:58" x14ac:dyDescent="0.25">
      <c r="I793" s="89">
        <f>ABCD!J842</f>
        <v>197.25</v>
      </c>
      <c r="J793" s="89">
        <f>ABCD!K842</f>
        <v>646.98</v>
      </c>
      <c r="K793" s="89">
        <f>ABCD!L842</f>
        <v>-3.5985298789370663</v>
      </c>
      <c r="L793" s="89">
        <f>ABCD!M842</f>
        <v>-0.68595889343290284</v>
      </c>
      <c r="M793" s="89">
        <f>ABCD!N842</f>
        <v>3.6633259332309636</v>
      </c>
      <c r="N793" s="89" t="e">
        <v>#REF!</v>
      </c>
      <c r="O793" s="89" t="e">
        <v>#REF!</v>
      </c>
      <c r="P793" s="89" t="e">
        <v>#REF!</v>
      </c>
      <c r="Q793" s="89" t="e">
        <v>#REF!</v>
      </c>
      <c r="R793" s="89" t="e">
        <v>#REF!</v>
      </c>
      <c r="S793" s="89" t="e">
        <f>#REF!</f>
        <v>#REF!</v>
      </c>
      <c r="T793" s="89" t="e">
        <f>#REF!</f>
        <v>#REF!</v>
      </c>
      <c r="U793" s="89" t="e">
        <f>#REF!</f>
        <v>#REF!</v>
      </c>
      <c r="V793" s="89" t="e">
        <f>#REF!</f>
        <v>#REF!</v>
      </c>
      <c r="W793" s="89" t="e">
        <f>#REF!</f>
        <v>#REF!</v>
      </c>
      <c r="X793" s="89" t="e">
        <f>#REF!</f>
        <v>#REF!</v>
      </c>
      <c r="Y793" s="89" t="e">
        <f>#REF!</f>
        <v>#REF!</v>
      </c>
      <c r="Z793" s="89" t="e">
        <f>#REF!</f>
        <v>#REF!</v>
      </c>
      <c r="AA793" s="89" t="e">
        <f>#REF!</f>
        <v>#REF!</v>
      </c>
      <c r="AB793" s="89" t="e">
        <f>#REF!</f>
        <v>#REF!</v>
      </c>
      <c r="AC793" s="89" t="e">
        <f>#REF!</f>
        <v>#REF!</v>
      </c>
      <c r="AD793" s="89" t="e">
        <f>#REF!</f>
        <v>#REF!</v>
      </c>
      <c r="AE793" s="89" t="e">
        <f>#REF!</f>
        <v>#REF!</v>
      </c>
      <c r="AF793" s="89" t="e">
        <f>#REF!</f>
        <v>#REF!</v>
      </c>
      <c r="AG793" s="89" t="e">
        <f>#REF!</f>
        <v>#REF!</v>
      </c>
      <c r="AH793" s="89" t="e">
        <f>#REF!</f>
        <v>#REF!</v>
      </c>
      <c r="AI793" s="89" t="e">
        <f>#REF!</f>
        <v>#REF!</v>
      </c>
      <c r="AJ793" s="89" t="e">
        <f>#REF!</f>
        <v>#REF!</v>
      </c>
      <c r="AK793" s="89" t="e">
        <f>#REF!</f>
        <v>#REF!</v>
      </c>
      <c r="AL793" s="89" t="e">
        <f>#REF!</f>
        <v>#REF!</v>
      </c>
      <c r="AM793" s="89" t="e">
        <f>#REF!</f>
        <v>#REF!</v>
      </c>
      <c r="AN793" s="89" t="e">
        <f>#REF!</f>
        <v>#REF!</v>
      </c>
      <c r="AO793" s="89" t="e">
        <f>#REF!</f>
        <v>#REF!</v>
      </c>
      <c r="AP793" s="89" t="e">
        <f>#REF!</f>
        <v>#REF!</v>
      </c>
      <c r="AQ793" s="89" t="e">
        <f>#REF!</f>
        <v>#REF!</v>
      </c>
      <c r="AR793" s="89" t="e">
        <f>#REF!</f>
        <v>#REF!</v>
      </c>
      <c r="AS793" s="89" t="e">
        <f>#REF!</f>
        <v>#REF!</v>
      </c>
      <c r="AT793" s="89" t="e">
        <f>#REF!</f>
        <v>#REF!</v>
      </c>
      <c r="AU793" s="89" t="e">
        <f>#REF!</f>
        <v>#REF!</v>
      </c>
      <c r="AV793" s="89" t="e">
        <f>#REF!</f>
        <v>#REF!</v>
      </c>
      <c r="AW793" s="89" t="e">
        <f>#REF!</f>
        <v>#REF!</v>
      </c>
      <c r="AX793" s="89" t="e">
        <f>#REF!</f>
        <v>#REF!</v>
      </c>
      <c r="AY793" s="89" t="e">
        <f>#REF!</f>
        <v>#REF!</v>
      </c>
      <c r="AZ793" s="89" t="e">
        <f>#REF!</f>
        <v>#REF!</v>
      </c>
      <c r="BA793" s="89" t="e">
        <f>#REF!</f>
        <v>#REF!</v>
      </c>
      <c r="BB793" s="89" t="e">
        <f>#REF!</f>
        <v>#REF!</v>
      </c>
      <c r="BC793" s="89" t="e">
        <f>#REF!</f>
        <v>#REF!</v>
      </c>
      <c r="BD793" s="89" t="e">
        <f>#REF!</f>
        <v>#REF!</v>
      </c>
      <c r="BE793" s="89" t="e">
        <f>#REF!</f>
        <v>#REF!</v>
      </c>
      <c r="BF793" s="89" t="e">
        <f>#REF!</f>
        <v>#REF!</v>
      </c>
    </row>
    <row r="794" spans="9:58" x14ac:dyDescent="0.25">
      <c r="I794" s="89">
        <f>ABCD!J843</f>
        <v>197.5</v>
      </c>
      <c r="J794" s="89">
        <f>ABCD!K843</f>
        <v>647.79999999999995</v>
      </c>
      <c r="K794" s="89">
        <f>ABCD!L843</f>
        <v>-3.5452831599531431</v>
      </c>
      <c r="L794" s="89">
        <f>ABCD!M843</f>
        <v>-0.67675271421598482</v>
      </c>
      <c r="M794" s="89">
        <f>ABCD!N843</f>
        <v>3.6092972890087687</v>
      </c>
      <c r="N794" s="89" t="e">
        <v>#REF!</v>
      </c>
      <c r="O794" s="89" t="e">
        <v>#REF!</v>
      </c>
      <c r="P794" s="89" t="e">
        <v>#REF!</v>
      </c>
      <c r="Q794" s="89" t="e">
        <v>#REF!</v>
      </c>
      <c r="R794" s="89" t="e">
        <v>#REF!</v>
      </c>
      <c r="S794" s="89" t="e">
        <f>#REF!</f>
        <v>#REF!</v>
      </c>
      <c r="T794" s="89" t="e">
        <f>#REF!</f>
        <v>#REF!</v>
      </c>
      <c r="U794" s="89" t="e">
        <f>#REF!</f>
        <v>#REF!</v>
      </c>
      <c r="V794" s="89" t="e">
        <f>#REF!</f>
        <v>#REF!</v>
      </c>
      <c r="W794" s="89" t="e">
        <f>#REF!</f>
        <v>#REF!</v>
      </c>
      <c r="X794" s="89" t="e">
        <f>#REF!</f>
        <v>#REF!</v>
      </c>
      <c r="Y794" s="89" t="e">
        <f>#REF!</f>
        <v>#REF!</v>
      </c>
      <c r="Z794" s="89" t="e">
        <f>#REF!</f>
        <v>#REF!</v>
      </c>
      <c r="AA794" s="89" t="e">
        <f>#REF!</f>
        <v>#REF!</v>
      </c>
      <c r="AB794" s="89" t="e">
        <f>#REF!</f>
        <v>#REF!</v>
      </c>
      <c r="AC794" s="89" t="e">
        <f>#REF!</f>
        <v>#REF!</v>
      </c>
      <c r="AD794" s="89" t="e">
        <f>#REF!</f>
        <v>#REF!</v>
      </c>
      <c r="AE794" s="89" t="e">
        <f>#REF!</f>
        <v>#REF!</v>
      </c>
      <c r="AF794" s="89" t="e">
        <f>#REF!</f>
        <v>#REF!</v>
      </c>
      <c r="AG794" s="89" t="e">
        <f>#REF!</f>
        <v>#REF!</v>
      </c>
      <c r="AH794" s="89" t="e">
        <f>#REF!</f>
        <v>#REF!</v>
      </c>
      <c r="AI794" s="89" t="e">
        <f>#REF!</f>
        <v>#REF!</v>
      </c>
      <c r="AJ794" s="89" t="e">
        <f>#REF!</f>
        <v>#REF!</v>
      </c>
      <c r="AK794" s="89" t="e">
        <f>#REF!</f>
        <v>#REF!</v>
      </c>
      <c r="AL794" s="89" t="e">
        <f>#REF!</f>
        <v>#REF!</v>
      </c>
      <c r="AM794" s="89" t="e">
        <f>#REF!</f>
        <v>#REF!</v>
      </c>
      <c r="AN794" s="89" t="e">
        <f>#REF!</f>
        <v>#REF!</v>
      </c>
      <c r="AO794" s="89" t="e">
        <f>#REF!</f>
        <v>#REF!</v>
      </c>
      <c r="AP794" s="89" t="e">
        <f>#REF!</f>
        <v>#REF!</v>
      </c>
      <c r="AQ794" s="89" t="e">
        <f>#REF!</f>
        <v>#REF!</v>
      </c>
      <c r="AR794" s="89" t="e">
        <f>#REF!</f>
        <v>#REF!</v>
      </c>
      <c r="AS794" s="89" t="e">
        <f>#REF!</f>
        <v>#REF!</v>
      </c>
      <c r="AT794" s="89" t="e">
        <f>#REF!</f>
        <v>#REF!</v>
      </c>
      <c r="AU794" s="89" t="e">
        <f>#REF!</f>
        <v>#REF!</v>
      </c>
      <c r="AV794" s="89" t="e">
        <f>#REF!</f>
        <v>#REF!</v>
      </c>
      <c r="AW794" s="89" t="e">
        <f>#REF!</f>
        <v>#REF!</v>
      </c>
      <c r="AX794" s="89" t="e">
        <f>#REF!</f>
        <v>#REF!</v>
      </c>
      <c r="AY794" s="89" t="e">
        <f>#REF!</f>
        <v>#REF!</v>
      </c>
      <c r="AZ794" s="89" t="e">
        <f>#REF!</f>
        <v>#REF!</v>
      </c>
      <c r="BA794" s="89" t="e">
        <f>#REF!</f>
        <v>#REF!</v>
      </c>
      <c r="BB794" s="89" t="e">
        <f>#REF!</f>
        <v>#REF!</v>
      </c>
      <c r="BC794" s="89" t="e">
        <f>#REF!</f>
        <v>#REF!</v>
      </c>
      <c r="BD794" s="89" t="e">
        <f>#REF!</f>
        <v>#REF!</v>
      </c>
      <c r="BE794" s="89" t="e">
        <f>#REF!</f>
        <v>#REF!</v>
      </c>
      <c r="BF794" s="89" t="e">
        <f>#REF!</f>
        <v>#REF!</v>
      </c>
    </row>
    <row r="795" spans="9:58" x14ac:dyDescent="0.25">
      <c r="I795" s="89">
        <f>ABCD!J844</f>
        <v>197.75</v>
      </c>
      <c r="J795" s="89">
        <f>ABCD!K844</f>
        <v>648.62</v>
      </c>
      <c r="K795" s="89">
        <f>ABCD!L844</f>
        <v>-3.4912659444798271</v>
      </c>
      <c r="L795" s="89">
        <f>ABCD!M844</f>
        <v>-0.66739859450850281</v>
      </c>
      <c r="M795" s="89">
        <f>ABCD!N844</f>
        <v>3.5544843197061011</v>
      </c>
      <c r="N795" s="89" t="e">
        <v>#REF!</v>
      </c>
      <c r="O795" s="89" t="e">
        <v>#REF!</v>
      </c>
      <c r="P795" s="89" t="e">
        <v>#REF!</v>
      </c>
      <c r="Q795" s="89" t="e">
        <v>#REF!</v>
      </c>
      <c r="R795" s="89" t="e">
        <v>#REF!</v>
      </c>
      <c r="S795" s="89" t="e">
        <f>#REF!</f>
        <v>#REF!</v>
      </c>
      <c r="T795" s="89" t="e">
        <f>#REF!</f>
        <v>#REF!</v>
      </c>
      <c r="U795" s="89" t="e">
        <f>#REF!</f>
        <v>#REF!</v>
      </c>
      <c r="V795" s="89" t="e">
        <f>#REF!</f>
        <v>#REF!</v>
      </c>
      <c r="W795" s="89" t="e">
        <f>#REF!</f>
        <v>#REF!</v>
      </c>
      <c r="X795" s="89" t="e">
        <f>#REF!</f>
        <v>#REF!</v>
      </c>
      <c r="Y795" s="89" t="e">
        <f>#REF!</f>
        <v>#REF!</v>
      </c>
      <c r="Z795" s="89" t="e">
        <f>#REF!</f>
        <v>#REF!</v>
      </c>
      <c r="AA795" s="89" t="e">
        <f>#REF!</f>
        <v>#REF!</v>
      </c>
      <c r="AB795" s="89" t="e">
        <f>#REF!</f>
        <v>#REF!</v>
      </c>
      <c r="AC795" s="89" t="e">
        <f>#REF!</f>
        <v>#REF!</v>
      </c>
      <c r="AD795" s="89" t="e">
        <f>#REF!</f>
        <v>#REF!</v>
      </c>
      <c r="AE795" s="89" t="e">
        <f>#REF!</f>
        <v>#REF!</v>
      </c>
      <c r="AF795" s="89" t="e">
        <f>#REF!</f>
        <v>#REF!</v>
      </c>
      <c r="AG795" s="89" t="e">
        <f>#REF!</f>
        <v>#REF!</v>
      </c>
      <c r="AH795" s="89" t="e">
        <f>#REF!</f>
        <v>#REF!</v>
      </c>
      <c r="AI795" s="89" t="e">
        <f>#REF!</f>
        <v>#REF!</v>
      </c>
      <c r="AJ795" s="89" t="e">
        <f>#REF!</f>
        <v>#REF!</v>
      </c>
      <c r="AK795" s="89" t="e">
        <f>#REF!</f>
        <v>#REF!</v>
      </c>
      <c r="AL795" s="89" t="e">
        <f>#REF!</f>
        <v>#REF!</v>
      </c>
      <c r="AM795" s="89" t="e">
        <f>#REF!</f>
        <v>#REF!</v>
      </c>
      <c r="AN795" s="89" t="e">
        <f>#REF!</f>
        <v>#REF!</v>
      </c>
      <c r="AO795" s="89" t="e">
        <f>#REF!</f>
        <v>#REF!</v>
      </c>
      <c r="AP795" s="89" t="e">
        <f>#REF!</f>
        <v>#REF!</v>
      </c>
      <c r="AQ795" s="89" t="e">
        <f>#REF!</f>
        <v>#REF!</v>
      </c>
      <c r="AR795" s="89" t="e">
        <f>#REF!</f>
        <v>#REF!</v>
      </c>
      <c r="AS795" s="89" t="e">
        <f>#REF!</f>
        <v>#REF!</v>
      </c>
      <c r="AT795" s="89" t="e">
        <f>#REF!</f>
        <v>#REF!</v>
      </c>
      <c r="AU795" s="89" t="e">
        <f>#REF!</f>
        <v>#REF!</v>
      </c>
      <c r="AV795" s="89" t="e">
        <f>#REF!</f>
        <v>#REF!</v>
      </c>
      <c r="AW795" s="89" t="e">
        <f>#REF!</f>
        <v>#REF!</v>
      </c>
      <c r="AX795" s="89" t="e">
        <f>#REF!</f>
        <v>#REF!</v>
      </c>
      <c r="AY795" s="89" t="e">
        <f>#REF!</f>
        <v>#REF!</v>
      </c>
      <c r="AZ795" s="89" t="e">
        <f>#REF!</f>
        <v>#REF!</v>
      </c>
      <c r="BA795" s="89" t="e">
        <f>#REF!</f>
        <v>#REF!</v>
      </c>
      <c r="BB795" s="89" t="e">
        <f>#REF!</f>
        <v>#REF!</v>
      </c>
      <c r="BC795" s="89" t="e">
        <f>#REF!</f>
        <v>#REF!</v>
      </c>
      <c r="BD795" s="89" t="e">
        <f>#REF!</f>
        <v>#REF!</v>
      </c>
      <c r="BE795" s="89" t="e">
        <f>#REF!</f>
        <v>#REF!</v>
      </c>
      <c r="BF795" s="89" t="e">
        <f>#REF!</f>
        <v>#REF!</v>
      </c>
    </row>
    <row r="796" spans="9:58" x14ac:dyDescent="0.25">
      <c r="I796" s="89">
        <f>ABCD!J845</f>
        <v>198</v>
      </c>
      <c r="J796" s="89">
        <f>ABCD!K845</f>
        <v>649.43999999999994</v>
      </c>
      <c r="K796" s="89">
        <f>ABCD!L845</f>
        <v>-3.4364913950441287</v>
      </c>
      <c r="L796" s="89">
        <f>ABCD!M845</f>
        <v>-0.65789882671204802</v>
      </c>
      <c r="M796" s="89">
        <f>ABCD!N845</f>
        <v>3.4989003950386226</v>
      </c>
      <c r="N796" s="89" t="e">
        <v>#REF!</v>
      </c>
      <c r="O796" s="89" t="e">
        <v>#REF!</v>
      </c>
      <c r="P796" s="89" t="e">
        <v>#REF!</v>
      </c>
      <c r="Q796" s="89" t="e">
        <v>#REF!</v>
      </c>
      <c r="R796" s="89" t="e">
        <v>#REF!</v>
      </c>
      <c r="S796" s="89" t="e">
        <f>#REF!</f>
        <v>#REF!</v>
      </c>
      <c r="T796" s="89" t="e">
        <f>#REF!</f>
        <v>#REF!</v>
      </c>
      <c r="U796" s="89" t="e">
        <f>#REF!</f>
        <v>#REF!</v>
      </c>
      <c r="V796" s="89" t="e">
        <f>#REF!</f>
        <v>#REF!</v>
      </c>
      <c r="W796" s="89" t="e">
        <f>#REF!</f>
        <v>#REF!</v>
      </c>
      <c r="X796" s="89" t="e">
        <f>#REF!</f>
        <v>#REF!</v>
      </c>
      <c r="Y796" s="89" t="e">
        <f>#REF!</f>
        <v>#REF!</v>
      </c>
      <c r="Z796" s="89" t="e">
        <f>#REF!</f>
        <v>#REF!</v>
      </c>
      <c r="AA796" s="89" t="e">
        <f>#REF!</f>
        <v>#REF!</v>
      </c>
      <c r="AB796" s="89" t="e">
        <f>#REF!</f>
        <v>#REF!</v>
      </c>
      <c r="AC796" s="89" t="e">
        <f>#REF!</f>
        <v>#REF!</v>
      </c>
      <c r="AD796" s="89" t="e">
        <f>#REF!</f>
        <v>#REF!</v>
      </c>
      <c r="AE796" s="89" t="e">
        <f>#REF!</f>
        <v>#REF!</v>
      </c>
      <c r="AF796" s="89" t="e">
        <f>#REF!</f>
        <v>#REF!</v>
      </c>
      <c r="AG796" s="89" t="e">
        <f>#REF!</f>
        <v>#REF!</v>
      </c>
      <c r="AH796" s="89" t="e">
        <f>#REF!</f>
        <v>#REF!</v>
      </c>
      <c r="AI796" s="89" t="e">
        <f>#REF!</f>
        <v>#REF!</v>
      </c>
      <c r="AJ796" s="89" t="e">
        <f>#REF!</f>
        <v>#REF!</v>
      </c>
      <c r="AK796" s="89" t="e">
        <f>#REF!</f>
        <v>#REF!</v>
      </c>
      <c r="AL796" s="89" t="e">
        <f>#REF!</f>
        <v>#REF!</v>
      </c>
      <c r="AM796" s="89" t="e">
        <f>#REF!</f>
        <v>#REF!</v>
      </c>
      <c r="AN796" s="89" t="e">
        <f>#REF!</f>
        <v>#REF!</v>
      </c>
      <c r="AO796" s="89" t="e">
        <f>#REF!</f>
        <v>#REF!</v>
      </c>
      <c r="AP796" s="89" t="e">
        <f>#REF!</f>
        <v>#REF!</v>
      </c>
      <c r="AQ796" s="89" t="e">
        <f>#REF!</f>
        <v>#REF!</v>
      </c>
      <c r="AR796" s="89" t="e">
        <f>#REF!</f>
        <v>#REF!</v>
      </c>
      <c r="AS796" s="89" t="e">
        <f>#REF!</f>
        <v>#REF!</v>
      </c>
      <c r="AT796" s="89" t="e">
        <f>#REF!</f>
        <v>#REF!</v>
      </c>
      <c r="AU796" s="89" t="e">
        <f>#REF!</f>
        <v>#REF!</v>
      </c>
      <c r="AV796" s="89" t="e">
        <f>#REF!</f>
        <v>#REF!</v>
      </c>
      <c r="AW796" s="89" t="e">
        <f>#REF!</f>
        <v>#REF!</v>
      </c>
      <c r="AX796" s="89" t="e">
        <f>#REF!</f>
        <v>#REF!</v>
      </c>
      <c r="AY796" s="89" t="e">
        <f>#REF!</f>
        <v>#REF!</v>
      </c>
      <c r="AZ796" s="89" t="e">
        <f>#REF!</f>
        <v>#REF!</v>
      </c>
      <c r="BA796" s="89" t="e">
        <f>#REF!</f>
        <v>#REF!</v>
      </c>
      <c r="BB796" s="89" t="e">
        <f>#REF!</f>
        <v>#REF!</v>
      </c>
      <c r="BC796" s="89" t="e">
        <f>#REF!</f>
        <v>#REF!</v>
      </c>
      <c r="BD796" s="89" t="e">
        <f>#REF!</f>
        <v>#REF!</v>
      </c>
      <c r="BE796" s="89" t="e">
        <f>#REF!</f>
        <v>#REF!</v>
      </c>
      <c r="BF796" s="89" t="e">
        <f>#REF!</f>
        <v>#REF!</v>
      </c>
    </row>
    <row r="797" spans="9:58" x14ac:dyDescent="0.25">
      <c r="I797" s="89">
        <f>ABCD!J846</f>
        <v>198.25</v>
      </c>
      <c r="J797" s="89">
        <f>ABCD!K846</f>
        <v>650.26</v>
      </c>
      <c r="K797" s="89">
        <f>ABCD!L846</f>
        <v>-3.3809728371558911</v>
      </c>
      <c r="L797" s="89">
        <f>ABCD!M846</f>
        <v>-0.64825573478755016</v>
      </c>
      <c r="M797" s="89">
        <f>ABCD!N846</f>
        <v>3.4425590515299667</v>
      </c>
      <c r="N797" s="89" t="e">
        <v>#REF!</v>
      </c>
      <c r="O797" s="89" t="e">
        <v>#REF!</v>
      </c>
      <c r="P797" s="89" t="e">
        <v>#REF!</v>
      </c>
      <c r="Q797" s="89" t="e">
        <v>#REF!</v>
      </c>
      <c r="R797" s="89" t="e">
        <v>#REF!</v>
      </c>
      <c r="S797" s="89" t="e">
        <f>#REF!</f>
        <v>#REF!</v>
      </c>
      <c r="T797" s="89" t="e">
        <f>#REF!</f>
        <v>#REF!</v>
      </c>
      <c r="U797" s="89" t="e">
        <f>#REF!</f>
        <v>#REF!</v>
      </c>
      <c r="V797" s="89" t="e">
        <f>#REF!</f>
        <v>#REF!</v>
      </c>
      <c r="W797" s="89" t="e">
        <f>#REF!</f>
        <v>#REF!</v>
      </c>
      <c r="X797" s="89" t="e">
        <f>#REF!</f>
        <v>#REF!</v>
      </c>
      <c r="Y797" s="89" t="e">
        <f>#REF!</f>
        <v>#REF!</v>
      </c>
      <c r="Z797" s="89" t="e">
        <f>#REF!</f>
        <v>#REF!</v>
      </c>
      <c r="AA797" s="89" t="e">
        <f>#REF!</f>
        <v>#REF!</v>
      </c>
      <c r="AB797" s="89" t="e">
        <f>#REF!</f>
        <v>#REF!</v>
      </c>
      <c r="AC797" s="89" t="e">
        <f>#REF!</f>
        <v>#REF!</v>
      </c>
      <c r="AD797" s="89" t="e">
        <f>#REF!</f>
        <v>#REF!</v>
      </c>
      <c r="AE797" s="89" t="e">
        <f>#REF!</f>
        <v>#REF!</v>
      </c>
      <c r="AF797" s="89" t="e">
        <f>#REF!</f>
        <v>#REF!</v>
      </c>
      <c r="AG797" s="89" t="e">
        <f>#REF!</f>
        <v>#REF!</v>
      </c>
      <c r="AH797" s="89" t="e">
        <f>#REF!</f>
        <v>#REF!</v>
      </c>
      <c r="AI797" s="89" t="e">
        <f>#REF!</f>
        <v>#REF!</v>
      </c>
      <c r="AJ797" s="89" t="e">
        <f>#REF!</f>
        <v>#REF!</v>
      </c>
      <c r="AK797" s="89" t="e">
        <f>#REF!</f>
        <v>#REF!</v>
      </c>
      <c r="AL797" s="89" t="e">
        <f>#REF!</f>
        <v>#REF!</v>
      </c>
      <c r="AM797" s="89" t="e">
        <f>#REF!</f>
        <v>#REF!</v>
      </c>
      <c r="AN797" s="89" t="e">
        <f>#REF!</f>
        <v>#REF!</v>
      </c>
      <c r="AO797" s="89" t="e">
        <f>#REF!</f>
        <v>#REF!</v>
      </c>
      <c r="AP797" s="89" t="e">
        <f>#REF!</f>
        <v>#REF!</v>
      </c>
      <c r="AQ797" s="89" t="e">
        <f>#REF!</f>
        <v>#REF!</v>
      </c>
      <c r="AR797" s="89" t="e">
        <f>#REF!</f>
        <v>#REF!</v>
      </c>
      <c r="AS797" s="89" t="e">
        <f>#REF!</f>
        <v>#REF!</v>
      </c>
      <c r="AT797" s="89" t="e">
        <f>#REF!</f>
        <v>#REF!</v>
      </c>
      <c r="AU797" s="89" t="e">
        <f>#REF!</f>
        <v>#REF!</v>
      </c>
      <c r="AV797" s="89" t="e">
        <f>#REF!</f>
        <v>#REF!</v>
      </c>
      <c r="AW797" s="89" t="e">
        <f>#REF!</f>
        <v>#REF!</v>
      </c>
      <c r="AX797" s="89" t="e">
        <f>#REF!</f>
        <v>#REF!</v>
      </c>
      <c r="AY797" s="89" t="e">
        <f>#REF!</f>
        <v>#REF!</v>
      </c>
      <c r="AZ797" s="89" t="e">
        <f>#REF!</f>
        <v>#REF!</v>
      </c>
      <c r="BA797" s="89" t="e">
        <f>#REF!</f>
        <v>#REF!</v>
      </c>
      <c r="BB797" s="89" t="e">
        <f>#REF!</f>
        <v>#REF!</v>
      </c>
      <c r="BC797" s="89" t="e">
        <f>#REF!</f>
        <v>#REF!</v>
      </c>
      <c r="BD797" s="89" t="e">
        <f>#REF!</f>
        <v>#REF!</v>
      </c>
      <c r="BE797" s="89" t="e">
        <f>#REF!</f>
        <v>#REF!</v>
      </c>
      <c r="BF797" s="89" t="e">
        <f>#REF!</f>
        <v>#REF!</v>
      </c>
    </row>
    <row r="798" spans="9:58" x14ac:dyDescent="0.25">
      <c r="I798" s="89">
        <f>ABCD!J847</f>
        <v>198.5</v>
      </c>
      <c r="J798" s="89">
        <f>ABCD!K847</f>
        <v>651.07999999999993</v>
      </c>
      <c r="K798" s="89">
        <f>ABCD!L847</f>
        <v>-3.3247237560851088</v>
      </c>
      <c r="L798" s="89">
        <f>ABCD!M847</f>
        <v>-0.6384716736904088</v>
      </c>
      <c r="M798" s="89">
        <f>ABCD!N847</f>
        <v>3.3854739893228696</v>
      </c>
      <c r="N798" s="89" t="e">
        <v>#REF!</v>
      </c>
      <c r="O798" s="89" t="e">
        <v>#REF!</v>
      </c>
      <c r="P798" s="89" t="e">
        <v>#REF!</v>
      </c>
      <c r="Q798" s="89" t="e">
        <v>#REF!</v>
      </c>
      <c r="R798" s="89" t="e">
        <v>#REF!</v>
      </c>
      <c r="S798" s="89" t="e">
        <f>#REF!</f>
        <v>#REF!</v>
      </c>
      <c r="T798" s="89" t="e">
        <f>#REF!</f>
        <v>#REF!</v>
      </c>
      <c r="U798" s="89" t="e">
        <f>#REF!</f>
        <v>#REF!</v>
      </c>
      <c r="V798" s="89" t="e">
        <f>#REF!</f>
        <v>#REF!</v>
      </c>
      <c r="W798" s="89" t="e">
        <f>#REF!</f>
        <v>#REF!</v>
      </c>
      <c r="X798" s="89" t="e">
        <f>#REF!</f>
        <v>#REF!</v>
      </c>
      <c r="Y798" s="89" t="e">
        <f>#REF!</f>
        <v>#REF!</v>
      </c>
      <c r="Z798" s="89" t="e">
        <f>#REF!</f>
        <v>#REF!</v>
      </c>
      <c r="AA798" s="89" t="e">
        <f>#REF!</f>
        <v>#REF!</v>
      </c>
      <c r="AB798" s="89" t="e">
        <f>#REF!</f>
        <v>#REF!</v>
      </c>
      <c r="AC798" s="89" t="e">
        <f>#REF!</f>
        <v>#REF!</v>
      </c>
      <c r="AD798" s="89" t="e">
        <f>#REF!</f>
        <v>#REF!</v>
      </c>
      <c r="AE798" s="89" t="e">
        <f>#REF!</f>
        <v>#REF!</v>
      </c>
      <c r="AF798" s="89" t="e">
        <f>#REF!</f>
        <v>#REF!</v>
      </c>
      <c r="AG798" s="89" t="e">
        <f>#REF!</f>
        <v>#REF!</v>
      </c>
      <c r="AH798" s="89" t="e">
        <f>#REF!</f>
        <v>#REF!</v>
      </c>
      <c r="AI798" s="89" t="e">
        <f>#REF!</f>
        <v>#REF!</v>
      </c>
      <c r="AJ798" s="89" t="e">
        <f>#REF!</f>
        <v>#REF!</v>
      </c>
      <c r="AK798" s="89" t="e">
        <f>#REF!</f>
        <v>#REF!</v>
      </c>
      <c r="AL798" s="89" t="e">
        <f>#REF!</f>
        <v>#REF!</v>
      </c>
      <c r="AM798" s="89" t="e">
        <f>#REF!</f>
        <v>#REF!</v>
      </c>
      <c r="AN798" s="89" t="e">
        <f>#REF!</f>
        <v>#REF!</v>
      </c>
      <c r="AO798" s="89" t="e">
        <f>#REF!</f>
        <v>#REF!</v>
      </c>
      <c r="AP798" s="89" t="e">
        <f>#REF!</f>
        <v>#REF!</v>
      </c>
      <c r="AQ798" s="89" t="e">
        <f>#REF!</f>
        <v>#REF!</v>
      </c>
      <c r="AR798" s="89" t="e">
        <f>#REF!</f>
        <v>#REF!</v>
      </c>
      <c r="AS798" s="89" t="e">
        <f>#REF!</f>
        <v>#REF!</v>
      </c>
      <c r="AT798" s="89" t="e">
        <f>#REF!</f>
        <v>#REF!</v>
      </c>
      <c r="AU798" s="89" t="e">
        <f>#REF!</f>
        <v>#REF!</v>
      </c>
      <c r="AV798" s="89" t="e">
        <f>#REF!</f>
        <v>#REF!</v>
      </c>
      <c r="AW798" s="89" t="e">
        <f>#REF!</f>
        <v>#REF!</v>
      </c>
      <c r="AX798" s="89" t="e">
        <f>#REF!</f>
        <v>#REF!</v>
      </c>
      <c r="AY798" s="89" t="e">
        <f>#REF!</f>
        <v>#REF!</v>
      </c>
      <c r="AZ798" s="89" t="e">
        <f>#REF!</f>
        <v>#REF!</v>
      </c>
      <c r="BA798" s="89" t="e">
        <f>#REF!</f>
        <v>#REF!</v>
      </c>
      <c r="BB798" s="89" t="e">
        <f>#REF!</f>
        <v>#REF!</v>
      </c>
      <c r="BC798" s="89" t="e">
        <f>#REF!</f>
        <v>#REF!</v>
      </c>
      <c r="BD798" s="89" t="e">
        <f>#REF!</f>
        <v>#REF!</v>
      </c>
      <c r="BE798" s="89" t="e">
        <f>#REF!</f>
        <v>#REF!</v>
      </c>
      <c r="BF798" s="89" t="e">
        <f>#REF!</f>
        <v>#REF!</v>
      </c>
    </row>
    <row r="799" spans="9:58" x14ac:dyDescent="0.25">
      <c r="I799" s="89">
        <f>ABCD!J848</f>
        <v>198.75</v>
      </c>
      <c r="J799" s="89">
        <f>ABCD!K848</f>
        <v>651.9</v>
      </c>
      <c r="K799" s="89">
        <f>ABCD!L848</f>
        <v>-3.2677577936052571</v>
      </c>
      <c r="L799" s="89">
        <f>ABCD!M848</f>
        <v>-0.6285490287989921</v>
      </c>
      <c r="M799" s="89">
        <f>ABCD!N848</f>
        <v>3.3276590689660583</v>
      </c>
      <c r="N799" s="89" t="e">
        <v>#REF!</v>
      </c>
      <c r="O799" s="89" t="e">
        <v>#REF!</v>
      </c>
      <c r="P799" s="89" t="e">
        <v>#REF!</v>
      </c>
      <c r="Q799" s="89" t="e">
        <v>#REF!</v>
      </c>
      <c r="R799" s="89" t="e">
        <v>#REF!</v>
      </c>
      <c r="S799" s="89" t="e">
        <f>#REF!</f>
        <v>#REF!</v>
      </c>
      <c r="T799" s="89" t="e">
        <f>#REF!</f>
        <v>#REF!</v>
      </c>
      <c r="U799" s="89" t="e">
        <f>#REF!</f>
        <v>#REF!</v>
      </c>
      <c r="V799" s="89" t="e">
        <f>#REF!</f>
        <v>#REF!</v>
      </c>
      <c r="W799" s="89" t="e">
        <f>#REF!</f>
        <v>#REF!</v>
      </c>
      <c r="X799" s="89" t="e">
        <f>#REF!</f>
        <v>#REF!</v>
      </c>
      <c r="Y799" s="89" t="e">
        <f>#REF!</f>
        <v>#REF!</v>
      </c>
      <c r="Z799" s="89" t="e">
        <f>#REF!</f>
        <v>#REF!</v>
      </c>
      <c r="AA799" s="89" t="e">
        <f>#REF!</f>
        <v>#REF!</v>
      </c>
      <c r="AB799" s="89" t="e">
        <f>#REF!</f>
        <v>#REF!</v>
      </c>
      <c r="AC799" s="89" t="e">
        <f>#REF!</f>
        <v>#REF!</v>
      </c>
      <c r="AD799" s="89" t="e">
        <f>#REF!</f>
        <v>#REF!</v>
      </c>
      <c r="AE799" s="89" t="e">
        <f>#REF!</f>
        <v>#REF!</v>
      </c>
      <c r="AF799" s="89" t="e">
        <f>#REF!</f>
        <v>#REF!</v>
      </c>
      <c r="AG799" s="89" t="e">
        <f>#REF!</f>
        <v>#REF!</v>
      </c>
      <c r="AH799" s="89" t="e">
        <f>#REF!</f>
        <v>#REF!</v>
      </c>
      <c r="AI799" s="89" t="e">
        <f>#REF!</f>
        <v>#REF!</v>
      </c>
      <c r="AJ799" s="89" t="e">
        <f>#REF!</f>
        <v>#REF!</v>
      </c>
      <c r="AK799" s="89" t="e">
        <f>#REF!</f>
        <v>#REF!</v>
      </c>
      <c r="AL799" s="89" t="e">
        <f>#REF!</f>
        <v>#REF!</v>
      </c>
      <c r="AM799" s="89" t="e">
        <f>#REF!</f>
        <v>#REF!</v>
      </c>
      <c r="AN799" s="89" t="e">
        <f>#REF!</f>
        <v>#REF!</v>
      </c>
      <c r="AO799" s="89" t="e">
        <f>#REF!</f>
        <v>#REF!</v>
      </c>
      <c r="AP799" s="89" t="e">
        <f>#REF!</f>
        <v>#REF!</v>
      </c>
      <c r="AQ799" s="89" t="e">
        <f>#REF!</f>
        <v>#REF!</v>
      </c>
      <c r="AR799" s="89" t="e">
        <f>#REF!</f>
        <v>#REF!</v>
      </c>
      <c r="AS799" s="89" t="e">
        <f>#REF!</f>
        <v>#REF!</v>
      </c>
      <c r="AT799" s="89" t="e">
        <f>#REF!</f>
        <v>#REF!</v>
      </c>
      <c r="AU799" s="89" t="e">
        <f>#REF!</f>
        <v>#REF!</v>
      </c>
      <c r="AV799" s="89" t="e">
        <f>#REF!</f>
        <v>#REF!</v>
      </c>
      <c r="AW799" s="89" t="e">
        <f>#REF!</f>
        <v>#REF!</v>
      </c>
      <c r="AX799" s="89" t="e">
        <f>#REF!</f>
        <v>#REF!</v>
      </c>
      <c r="AY799" s="89" t="e">
        <f>#REF!</f>
        <v>#REF!</v>
      </c>
      <c r="AZ799" s="89" t="e">
        <f>#REF!</f>
        <v>#REF!</v>
      </c>
      <c r="BA799" s="89" t="e">
        <f>#REF!</f>
        <v>#REF!</v>
      </c>
      <c r="BB799" s="89" t="e">
        <f>#REF!</f>
        <v>#REF!</v>
      </c>
      <c r="BC799" s="89" t="e">
        <f>#REF!</f>
        <v>#REF!</v>
      </c>
      <c r="BD799" s="89" t="e">
        <f>#REF!</f>
        <v>#REF!</v>
      </c>
      <c r="BE799" s="89" t="e">
        <f>#REF!</f>
        <v>#REF!</v>
      </c>
      <c r="BF799" s="89" t="e">
        <f>#REF!</f>
        <v>#REF!</v>
      </c>
    </row>
    <row r="800" spans="9:58" x14ac:dyDescent="0.25">
      <c r="I800" s="89">
        <f>ABCD!J849</f>
        <v>199</v>
      </c>
      <c r="J800" s="89">
        <f>ABCD!K849</f>
        <v>652.71999999999991</v>
      </c>
      <c r="K800" s="89">
        <f>ABCD!L849</f>
        <v>-3.2100887447033886</v>
      </c>
      <c r="L800" s="89">
        <f>ABCD!M849</f>
        <v>-0.61849021533662407</v>
      </c>
      <c r="M800" s="89">
        <f>ABCD!N849</f>
        <v>3.2691283081791878</v>
      </c>
      <c r="N800" s="89" t="e">
        <v>#REF!</v>
      </c>
      <c r="O800" s="89" t="e">
        <v>#REF!</v>
      </c>
      <c r="P800" s="89" t="e">
        <v>#REF!</v>
      </c>
      <c r="Q800" s="89" t="e">
        <v>#REF!</v>
      </c>
      <c r="R800" s="89" t="e">
        <v>#REF!</v>
      </c>
      <c r="S800" s="89" t="e">
        <f>#REF!</f>
        <v>#REF!</v>
      </c>
      <c r="T800" s="89" t="e">
        <f>#REF!</f>
        <v>#REF!</v>
      </c>
      <c r="U800" s="89" t="e">
        <f>#REF!</f>
        <v>#REF!</v>
      </c>
      <c r="V800" s="89" t="e">
        <f>#REF!</f>
        <v>#REF!</v>
      </c>
      <c r="W800" s="89" t="e">
        <f>#REF!</f>
        <v>#REF!</v>
      </c>
      <c r="X800" s="89" t="e">
        <f>#REF!</f>
        <v>#REF!</v>
      </c>
      <c r="Y800" s="89" t="e">
        <f>#REF!</f>
        <v>#REF!</v>
      </c>
      <c r="Z800" s="89" t="e">
        <f>#REF!</f>
        <v>#REF!</v>
      </c>
      <c r="AA800" s="89" t="e">
        <f>#REF!</f>
        <v>#REF!</v>
      </c>
      <c r="AB800" s="89" t="e">
        <f>#REF!</f>
        <v>#REF!</v>
      </c>
      <c r="AC800" s="89" t="e">
        <f>#REF!</f>
        <v>#REF!</v>
      </c>
      <c r="AD800" s="89" t="e">
        <f>#REF!</f>
        <v>#REF!</v>
      </c>
      <c r="AE800" s="89" t="e">
        <f>#REF!</f>
        <v>#REF!</v>
      </c>
      <c r="AF800" s="89" t="e">
        <f>#REF!</f>
        <v>#REF!</v>
      </c>
      <c r="AG800" s="89" t="e">
        <f>#REF!</f>
        <v>#REF!</v>
      </c>
      <c r="AH800" s="89" t="e">
        <f>#REF!</f>
        <v>#REF!</v>
      </c>
      <c r="AI800" s="89" t="e">
        <f>#REF!</f>
        <v>#REF!</v>
      </c>
      <c r="AJ800" s="89" t="e">
        <f>#REF!</f>
        <v>#REF!</v>
      </c>
      <c r="AK800" s="89" t="e">
        <f>#REF!</f>
        <v>#REF!</v>
      </c>
      <c r="AL800" s="89" t="e">
        <f>#REF!</f>
        <v>#REF!</v>
      </c>
      <c r="AM800" s="89" t="e">
        <f>#REF!</f>
        <v>#REF!</v>
      </c>
      <c r="AN800" s="89" t="e">
        <f>#REF!</f>
        <v>#REF!</v>
      </c>
      <c r="AO800" s="89" t="e">
        <f>#REF!</f>
        <v>#REF!</v>
      </c>
      <c r="AP800" s="89" t="e">
        <f>#REF!</f>
        <v>#REF!</v>
      </c>
      <c r="AQ800" s="89" t="e">
        <f>#REF!</f>
        <v>#REF!</v>
      </c>
      <c r="AR800" s="89" t="e">
        <f>#REF!</f>
        <v>#REF!</v>
      </c>
      <c r="AS800" s="89" t="e">
        <f>#REF!</f>
        <v>#REF!</v>
      </c>
      <c r="AT800" s="89" t="e">
        <f>#REF!</f>
        <v>#REF!</v>
      </c>
      <c r="AU800" s="89" t="e">
        <f>#REF!</f>
        <v>#REF!</v>
      </c>
      <c r="AV800" s="89" t="e">
        <f>#REF!</f>
        <v>#REF!</v>
      </c>
      <c r="AW800" s="89" t="e">
        <f>#REF!</f>
        <v>#REF!</v>
      </c>
      <c r="AX800" s="89" t="e">
        <f>#REF!</f>
        <v>#REF!</v>
      </c>
      <c r="AY800" s="89" t="e">
        <f>#REF!</f>
        <v>#REF!</v>
      </c>
      <c r="AZ800" s="89" t="e">
        <f>#REF!</f>
        <v>#REF!</v>
      </c>
      <c r="BA800" s="89" t="e">
        <f>#REF!</f>
        <v>#REF!</v>
      </c>
      <c r="BB800" s="89" t="e">
        <f>#REF!</f>
        <v>#REF!</v>
      </c>
      <c r="BC800" s="89" t="e">
        <f>#REF!</f>
        <v>#REF!</v>
      </c>
      <c r="BD800" s="89" t="e">
        <f>#REF!</f>
        <v>#REF!</v>
      </c>
      <c r="BE800" s="89" t="e">
        <f>#REF!</f>
        <v>#REF!</v>
      </c>
      <c r="BF800" s="89" t="e">
        <f>#REF!</f>
        <v>#REF!</v>
      </c>
    </row>
    <row r="801" spans="9:58" x14ac:dyDescent="0.25">
      <c r="I801" s="89">
        <f>ABCD!J850</f>
        <v>199.25</v>
      </c>
      <c r="J801" s="89">
        <f>ABCD!K850</f>
        <v>653.54</v>
      </c>
      <c r="K801" s="89">
        <f>ABCD!L850</f>
        <v>-3.1517305542579113</v>
      </c>
      <c r="L801" s="89">
        <f>ABCD!M850</f>
        <v>-0.60829767778720334</v>
      </c>
      <c r="M801" s="89">
        <f>ABCD!N850</f>
        <v>3.2098958785985858</v>
      </c>
      <c r="N801" s="89" t="e">
        <v>#REF!</v>
      </c>
      <c r="O801" s="89" t="e">
        <v>#REF!</v>
      </c>
      <c r="P801" s="89" t="e">
        <v>#REF!</v>
      </c>
      <c r="Q801" s="89" t="e">
        <v>#REF!</v>
      </c>
      <c r="R801" s="89" t="e">
        <v>#REF!</v>
      </c>
      <c r="S801" s="89" t="e">
        <f>#REF!</f>
        <v>#REF!</v>
      </c>
      <c r="T801" s="89" t="e">
        <f>#REF!</f>
        <v>#REF!</v>
      </c>
      <c r="U801" s="89" t="e">
        <f>#REF!</f>
        <v>#REF!</v>
      </c>
      <c r="V801" s="89" t="e">
        <f>#REF!</f>
        <v>#REF!</v>
      </c>
      <c r="W801" s="89" t="e">
        <f>#REF!</f>
        <v>#REF!</v>
      </c>
      <c r="X801" s="89" t="e">
        <f>#REF!</f>
        <v>#REF!</v>
      </c>
      <c r="Y801" s="89" t="e">
        <f>#REF!</f>
        <v>#REF!</v>
      </c>
      <c r="Z801" s="89" t="e">
        <f>#REF!</f>
        <v>#REF!</v>
      </c>
      <c r="AA801" s="89" t="e">
        <f>#REF!</f>
        <v>#REF!</v>
      </c>
      <c r="AB801" s="89" t="e">
        <f>#REF!</f>
        <v>#REF!</v>
      </c>
      <c r="AC801" s="89" t="e">
        <f>#REF!</f>
        <v>#REF!</v>
      </c>
      <c r="AD801" s="89" t="e">
        <f>#REF!</f>
        <v>#REF!</v>
      </c>
      <c r="AE801" s="89" t="e">
        <f>#REF!</f>
        <v>#REF!</v>
      </c>
      <c r="AF801" s="89" t="e">
        <f>#REF!</f>
        <v>#REF!</v>
      </c>
      <c r="AG801" s="89" t="e">
        <f>#REF!</f>
        <v>#REF!</v>
      </c>
      <c r="AH801" s="89" t="e">
        <f>#REF!</f>
        <v>#REF!</v>
      </c>
      <c r="AI801" s="89" t="e">
        <f>#REF!</f>
        <v>#REF!</v>
      </c>
      <c r="AJ801" s="89" t="e">
        <f>#REF!</f>
        <v>#REF!</v>
      </c>
      <c r="AK801" s="89" t="e">
        <f>#REF!</f>
        <v>#REF!</v>
      </c>
      <c r="AL801" s="89" t="e">
        <f>#REF!</f>
        <v>#REF!</v>
      </c>
      <c r="AM801" s="89" t="e">
        <f>#REF!</f>
        <v>#REF!</v>
      </c>
      <c r="AN801" s="89" t="e">
        <f>#REF!</f>
        <v>#REF!</v>
      </c>
      <c r="AO801" s="89" t="e">
        <f>#REF!</f>
        <v>#REF!</v>
      </c>
      <c r="AP801" s="89" t="e">
        <f>#REF!</f>
        <v>#REF!</v>
      </c>
      <c r="AQ801" s="89" t="e">
        <f>#REF!</f>
        <v>#REF!</v>
      </c>
      <c r="AR801" s="89" t="e">
        <f>#REF!</f>
        <v>#REF!</v>
      </c>
      <c r="AS801" s="89" t="e">
        <f>#REF!</f>
        <v>#REF!</v>
      </c>
      <c r="AT801" s="89" t="e">
        <f>#REF!</f>
        <v>#REF!</v>
      </c>
      <c r="AU801" s="89" t="e">
        <f>#REF!</f>
        <v>#REF!</v>
      </c>
      <c r="AV801" s="89" t="e">
        <f>#REF!</f>
        <v>#REF!</v>
      </c>
      <c r="AW801" s="89" t="e">
        <f>#REF!</f>
        <v>#REF!</v>
      </c>
      <c r="AX801" s="89" t="e">
        <f>#REF!</f>
        <v>#REF!</v>
      </c>
      <c r="AY801" s="89" t="e">
        <f>#REF!</f>
        <v>#REF!</v>
      </c>
      <c r="AZ801" s="89" t="e">
        <f>#REF!</f>
        <v>#REF!</v>
      </c>
      <c r="BA801" s="89" t="e">
        <f>#REF!</f>
        <v>#REF!</v>
      </c>
      <c r="BB801" s="89" t="e">
        <f>#REF!</f>
        <v>#REF!</v>
      </c>
      <c r="BC801" s="89" t="e">
        <f>#REF!</f>
        <v>#REF!</v>
      </c>
      <c r="BD801" s="89" t="e">
        <f>#REF!</f>
        <v>#REF!</v>
      </c>
      <c r="BE801" s="89" t="e">
        <f>#REF!</f>
        <v>#REF!</v>
      </c>
      <c r="BF801" s="89" t="e">
        <f>#REF!</f>
        <v>#REF!</v>
      </c>
    </row>
    <row r="802" spans="9:58" x14ac:dyDescent="0.25">
      <c r="I802" s="89">
        <f>ABCD!J851</f>
        <v>199.5</v>
      </c>
      <c r="J802" s="89">
        <f>ABCD!K851</f>
        <v>654.36</v>
      </c>
      <c r="K802" s="89">
        <f>ABCD!L851</f>
        <v>-3.0926973136846465</v>
      </c>
      <c r="L802" s="89">
        <f>ABCD!M851</f>
        <v>-0.59797388930460005</v>
      </c>
      <c r="M802" s="89">
        <f>ABCD!N851</f>
        <v>3.1499761025065411</v>
      </c>
      <c r="N802" s="89" t="e">
        <v>#REF!</v>
      </c>
      <c r="O802" s="89" t="e">
        <v>#REF!</v>
      </c>
      <c r="P802" s="89" t="e">
        <v>#REF!</v>
      </c>
      <c r="Q802" s="89" t="e">
        <v>#REF!</v>
      </c>
      <c r="R802" s="89" t="e">
        <v>#REF!</v>
      </c>
      <c r="S802" s="89" t="e">
        <f>#REF!</f>
        <v>#REF!</v>
      </c>
      <c r="T802" s="89" t="e">
        <f>#REF!</f>
        <v>#REF!</v>
      </c>
      <c r="U802" s="89" t="e">
        <f>#REF!</f>
        <v>#REF!</v>
      </c>
      <c r="V802" s="89" t="e">
        <f>#REF!</f>
        <v>#REF!</v>
      </c>
      <c r="W802" s="89" t="e">
        <f>#REF!</f>
        <v>#REF!</v>
      </c>
      <c r="X802" s="89" t="e">
        <f>#REF!</f>
        <v>#REF!</v>
      </c>
      <c r="Y802" s="89" t="e">
        <f>#REF!</f>
        <v>#REF!</v>
      </c>
      <c r="Z802" s="89" t="e">
        <f>#REF!</f>
        <v>#REF!</v>
      </c>
      <c r="AA802" s="89" t="e">
        <f>#REF!</f>
        <v>#REF!</v>
      </c>
      <c r="AB802" s="89" t="e">
        <f>#REF!</f>
        <v>#REF!</v>
      </c>
      <c r="AC802" s="89" t="e">
        <f>#REF!</f>
        <v>#REF!</v>
      </c>
      <c r="AD802" s="89" t="e">
        <f>#REF!</f>
        <v>#REF!</v>
      </c>
      <c r="AE802" s="89" t="e">
        <f>#REF!</f>
        <v>#REF!</v>
      </c>
      <c r="AF802" s="89" t="e">
        <f>#REF!</f>
        <v>#REF!</v>
      </c>
      <c r="AG802" s="89" t="e">
        <f>#REF!</f>
        <v>#REF!</v>
      </c>
      <c r="AH802" s="89" t="e">
        <f>#REF!</f>
        <v>#REF!</v>
      </c>
      <c r="AI802" s="89" t="e">
        <f>#REF!</f>
        <v>#REF!</v>
      </c>
      <c r="AJ802" s="89" t="e">
        <f>#REF!</f>
        <v>#REF!</v>
      </c>
      <c r="AK802" s="89" t="e">
        <f>#REF!</f>
        <v>#REF!</v>
      </c>
      <c r="AL802" s="89" t="e">
        <f>#REF!</f>
        <v>#REF!</v>
      </c>
      <c r="AM802" s="89" t="e">
        <f>#REF!</f>
        <v>#REF!</v>
      </c>
      <c r="AN802" s="89" t="e">
        <f>#REF!</f>
        <v>#REF!</v>
      </c>
      <c r="AO802" s="89" t="e">
        <f>#REF!</f>
        <v>#REF!</v>
      </c>
      <c r="AP802" s="89" t="e">
        <f>#REF!</f>
        <v>#REF!</v>
      </c>
      <c r="AQ802" s="89" t="e">
        <f>#REF!</f>
        <v>#REF!</v>
      </c>
      <c r="AR802" s="89" t="e">
        <f>#REF!</f>
        <v>#REF!</v>
      </c>
      <c r="AS802" s="89" t="e">
        <f>#REF!</f>
        <v>#REF!</v>
      </c>
      <c r="AT802" s="89" t="e">
        <f>#REF!</f>
        <v>#REF!</v>
      </c>
      <c r="AU802" s="89" t="e">
        <f>#REF!</f>
        <v>#REF!</v>
      </c>
      <c r="AV802" s="89" t="e">
        <f>#REF!</f>
        <v>#REF!</v>
      </c>
      <c r="AW802" s="89" t="e">
        <f>#REF!</f>
        <v>#REF!</v>
      </c>
      <c r="AX802" s="89" t="e">
        <f>#REF!</f>
        <v>#REF!</v>
      </c>
      <c r="AY802" s="89" t="e">
        <f>#REF!</f>
        <v>#REF!</v>
      </c>
      <c r="AZ802" s="89" t="e">
        <f>#REF!</f>
        <v>#REF!</v>
      </c>
      <c r="BA802" s="89" t="e">
        <f>#REF!</f>
        <v>#REF!</v>
      </c>
      <c r="BB802" s="89" t="e">
        <f>#REF!</f>
        <v>#REF!</v>
      </c>
      <c r="BC802" s="89" t="e">
        <f>#REF!</f>
        <v>#REF!</v>
      </c>
      <c r="BD802" s="89" t="e">
        <f>#REF!</f>
        <v>#REF!</v>
      </c>
      <c r="BE802" s="89" t="e">
        <f>#REF!</f>
        <v>#REF!</v>
      </c>
      <c r="BF802" s="89" t="e">
        <f>#REF!</f>
        <v>#REF!</v>
      </c>
    </row>
    <row r="803" spans="9:58" x14ac:dyDescent="0.25">
      <c r="I803" s="89">
        <f>ABCD!J852</f>
        <v>199.75</v>
      </c>
      <c r="J803" s="89">
        <f>ABCD!K852</f>
        <v>655.17999999999995</v>
      </c>
      <c r="K803" s="89">
        <f>ABCD!L852</f>
        <v>-3.0330032575521466</v>
      </c>
      <c r="L803" s="89">
        <f>ABCD!M852</f>
        <v>-0.58752135111595027</v>
      </c>
      <c r="M803" s="89">
        <f>ABCD!N852</f>
        <v>3.0893834495476673</v>
      </c>
      <c r="N803" s="89" t="e">
        <v>#REF!</v>
      </c>
      <c r="O803" s="89" t="e">
        <v>#REF!</v>
      </c>
      <c r="P803" s="89" t="e">
        <v>#REF!</v>
      </c>
      <c r="Q803" s="89" t="e">
        <v>#REF!</v>
      </c>
      <c r="R803" s="89" t="e">
        <v>#REF!</v>
      </c>
      <c r="S803" s="89" t="e">
        <f>#REF!</f>
        <v>#REF!</v>
      </c>
      <c r="T803" s="89" t="e">
        <f>#REF!</f>
        <v>#REF!</v>
      </c>
      <c r="U803" s="89" t="e">
        <f>#REF!</f>
        <v>#REF!</v>
      </c>
      <c r="V803" s="89" t="e">
        <f>#REF!</f>
        <v>#REF!</v>
      </c>
      <c r="W803" s="89" t="e">
        <f>#REF!</f>
        <v>#REF!</v>
      </c>
      <c r="X803" s="89" t="e">
        <f>#REF!</f>
        <v>#REF!</v>
      </c>
      <c r="Y803" s="89" t="e">
        <f>#REF!</f>
        <v>#REF!</v>
      </c>
      <c r="Z803" s="89" t="e">
        <f>#REF!</f>
        <v>#REF!</v>
      </c>
      <c r="AA803" s="89" t="e">
        <f>#REF!</f>
        <v>#REF!</v>
      </c>
      <c r="AB803" s="89" t="e">
        <f>#REF!</f>
        <v>#REF!</v>
      </c>
      <c r="AC803" s="89" t="e">
        <f>#REF!</f>
        <v>#REF!</v>
      </c>
      <c r="AD803" s="89" t="e">
        <f>#REF!</f>
        <v>#REF!</v>
      </c>
      <c r="AE803" s="89" t="e">
        <f>#REF!</f>
        <v>#REF!</v>
      </c>
      <c r="AF803" s="89" t="e">
        <f>#REF!</f>
        <v>#REF!</v>
      </c>
      <c r="AG803" s="89" t="e">
        <f>#REF!</f>
        <v>#REF!</v>
      </c>
      <c r="AH803" s="89" t="e">
        <f>#REF!</f>
        <v>#REF!</v>
      </c>
      <c r="AI803" s="89" t="e">
        <f>#REF!</f>
        <v>#REF!</v>
      </c>
      <c r="AJ803" s="89" t="e">
        <f>#REF!</f>
        <v>#REF!</v>
      </c>
      <c r="AK803" s="89" t="e">
        <f>#REF!</f>
        <v>#REF!</v>
      </c>
      <c r="AL803" s="89" t="e">
        <f>#REF!</f>
        <v>#REF!</v>
      </c>
      <c r="AM803" s="89" t="e">
        <f>#REF!</f>
        <v>#REF!</v>
      </c>
      <c r="AN803" s="89" t="e">
        <f>#REF!</f>
        <v>#REF!</v>
      </c>
      <c r="AO803" s="89" t="e">
        <f>#REF!</f>
        <v>#REF!</v>
      </c>
      <c r="AP803" s="89" t="e">
        <f>#REF!</f>
        <v>#REF!</v>
      </c>
      <c r="AQ803" s="89" t="e">
        <f>#REF!</f>
        <v>#REF!</v>
      </c>
      <c r="AR803" s="89" t="e">
        <f>#REF!</f>
        <v>#REF!</v>
      </c>
      <c r="AS803" s="89" t="e">
        <f>#REF!</f>
        <v>#REF!</v>
      </c>
      <c r="AT803" s="89" t="e">
        <f>#REF!</f>
        <v>#REF!</v>
      </c>
      <c r="AU803" s="89" t="e">
        <f>#REF!</f>
        <v>#REF!</v>
      </c>
      <c r="AV803" s="89" t="e">
        <f>#REF!</f>
        <v>#REF!</v>
      </c>
      <c r="AW803" s="89" t="e">
        <f>#REF!</f>
        <v>#REF!</v>
      </c>
      <c r="AX803" s="89" t="e">
        <f>#REF!</f>
        <v>#REF!</v>
      </c>
      <c r="AY803" s="89" t="e">
        <f>#REF!</f>
        <v>#REF!</v>
      </c>
      <c r="AZ803" s="89" t="e">
        <f>#REF!</f>
        <v>#REF!</v>
      </c>
      <c r="BA803" s="89" t="e">
        <f>#REF!</f>
        <v>#REF!</v>
      </c>
      <c r="BB803" s="89" t="e">
        <f>#REF!</f>
        <v>#REF!</v>
      </c>
      <c r="BC803" s="89" t="e">
        <f>#REF!</f>
        <v>#REF!</v>
      </c>
      <c r="BD803" s="89" t="e">
        <f>#REF!</f>
        <v>#REF!</v>
      </c>
      <c r="BE803" s="89" t="e">
        <f>#REF!</f>
        <v>#REF!</v>
      </c>
      <c r="BF803" s="89" t="e">
        <f>#REF!</f>
        <v>#REF!</v>
      </c>
    </row>
    <row r="804" spans="9:58" x14ac:dyDescent="0.25">
      <c r="I804" s="89">
        <f>ABCD!J853</f>
        <v>200</v>
      </c>
      <c r="J804" s="89">
        <f>ABCD!K853</f>
        <v>656</v>
      </c>
      <c r="K804" s="89">
        <f>ABCD!L853</f>
        <v>-2.9726627601669913</v>
      </c>
      <c r="L804" s="89">
        <f>ABCD!M853</f>
        <v>-0.5769425919190212</v>
      </c>
      <c r="M804" s="89">
        <f>ABCD!N853</f>
        <v>3.0281325334360569</v>
      </c>
      <c r="N804" s="89" t="e">
        <v>#REF!</v>
      </c>
      <c r="O804" s="89" t="e">
        <v>#REF!</v>
      </c>
      <c r="P804" s="89" t="e">
        <v>#REF!</v>
      </c>
      <c r="Q804" s="89" t="e">
        <v>#REF!</v>
      </c>
      <c r="R804" s="89" t="e">
        <v>#REF!</v>
      </c>
      <c r="S804" s="89" t="e">
        <f>#REF!</f>
        <v>#REF!</v>
      </c>
      <c r="T804" s="89" t="e">
        <f>#REF!</f>
        <v>#REF!</v>
      </c>
      <c r="U804" s="89" t="e">
        <f>#REF!</f>
        <v>#REF!</v>
      </c>
      <c r="V804" s="89" t="e">
        <f>#REF!</f>
        <v>#REF!</v>
      </c>
      <c r="W804" s="89" t="e">
        <f>#REF!</f>
        <v>#REF!</v>
      </c>
      <c r="X804" s="89" t="e">
        <f>#REF!</f>
        <v>#REF!</v>
      </c>
      <c r="Y804" s="89" t="e">
        <f>#REF!</f>
        <v>#REF!</v>
      </c>
      <c r="Z804" s="89" t="e">
        <f>#REF!</f>
        <v>#REF!</v>
      </c>
      <c r="AA804" s="89" t="e">
        <f>#REF!</f>
        <v>#REF!</v>
      </c>
      <c r="AB804" s="89" t="e">
        <f>#REF!</f>
        <v>#REF!</v>
      </c>
      <c r="AC804" s="89" t="e">
        <f>#REF!</f>
        <v>#REF!</v>
      </c>
      <c r="AD804" s="89" t="e">
        <f>#REF!</f>
        <v>#REF!</v>
      </c>
      <c r="AE804" s="89" t="e">
        <f>#REF!</f>
        <v>#REF!</v>
      </c>
      <c r="AF804" s="89" t="e">
        <f>#REF!</f>
        <v>#REF!</v>
      </c>
      <c r="AG804" s="89" t="e">
        <f>#REF!</f>
        <v>#REF!</v>
      </c>
      <c r="AH804" s="89" t="e">
        <f>#REF!</f>
        <v>#REF!</v>
      </c>
      <c r="AI804" s="89" t="e">
        <f>#REF!</f>
        <v>#REF!</v>
      </c>
      <c r="AJ804" s="89" t="e">
        <f>#REF!</f>
        <v>#REF!</v>
      </c>
      <c r="AK804" s="89" t="e">
        <f>#REF!</f>
        <v>#REF!</v>
      </c>
      <c r="AL804" s="89" t="e">
        <f>#REF!</f>
        <v>#REF!</v>
      </c>
      <c r="AM804" s="89" t="e">
        <f>#REF!</f>
        <v>#REF!</v>
      </c>
      <c r="AN804" s="89" t="e">
        <f>#REF!</f>
        <v>#REF!</v>
      </c>
      <c r="AO804" s="89" t="e">
        <f>#REF!</f>
        <v>#REF!</v>
      </c>
      <c r="AP804" s="89" t="e">
        <f>#REF!</f>
        <v>#REF!</v>
      </c>
      <c r="AQ804" s="89" t="e">
        <f>#REF!</f>
        <v>#REF!</v>
      </c>
      <c r="AR804" s="89" t="e">
        <f>#REF!</f>
        <v>#REF!</v>
      </c>
      <c r="AS804" s="89" t="e">
        <f>#REF!</f>
        <v>#REF!</v>
      </c>
      <c r="AT804" s="89" t="e">
        <f>#REF!</f>
        <v>#REF!</v>
      </c>
      <c r="AU804" s="89" t="e">
        <f>#REF!</f>
        <v>#REF!</v>
      </c>
      <c r="AV804" s="89" t="e">
        <f>#REF!</f>
        <v>#REF!</v>
      </c>
      <c r="AW804" s="89" t="e">
        <f>#REF!</f>
        <v>#REF!</v>
      </c>
      <c r="AX804" s="89" t="e">
        <f>#REF!</f>
        <v>#REF!</v>
      </c>
      <c r="AY804" s="89" t="e">
        <f>#REF!</f>
        <v>#REF!</v>
      </c>
      <c r="AZ804" s="89" t="e">
        <f>#REF!</f>
        <v>#REF!</v>
      </c>
      <c r="BA804" s="89" t="e">
        <f>#REF!</f>
        <v>#REF!</v>
      </c>
      <c r="BB804" s="89" t="e">
        <f>#REF!</f>
        <v>#REF!</v>
      </c>
      <c r="BC804" s="89" t="e">
        <f>#REF!</f>
        <v>#REF!</v>
      </c>
      <c r="BD804" s="89" t="e">
        <f>#REF!</f>
        <v>#REF!</v>
      </c>
      <c r="BE804" s="89" t="e">
        <f>#REF!</f>
        <v>#REF!</v>
      </c>
      <c r="BF804" s="89" t="e">
        <f>#REF!</f>
        <v>#REF!</v>
      </c>
    </row>
    <row r="805" spans="9:58" x14ac:dyDescent="0.25">
      <c r="I805" s="89"/>
      <c r="J805" s="89"/>
      <c r="K805" s="89"/>
      <c r="L805" s="89"/>
      <c r="M805" s="89"/>
      <c r="N805" s="89"/>
      <c r="O805" s="89"/>
      <c r="P805" s="89"/>
      <c r="Q805" s="89"/>
      <c r="R805" s="89"/>
      <c r="S805" s="89"/>
      <c r="T805" s="89"/>
      <c r="U805" s="89"/>
      <c r="V805" s="89"/>
      <c r="W805" s="89"/>
      <c r="X805" s="89"/>
      <c r="Y805" s="89"/>
      <c r="Z805" s="89"/>
      <c r="AA805" s="89"/>
      <c r="AB805" s="89"/>
      <c r="AC805" s="89"/>
      <c r="AD805" s="89"/>
      <c r="AE805" s="89"/>
      <c r="AF805" s="89"/>
      <c r="AG805" s="89"/>
      <c r="AH805" s="89"/>
      <c r="AI805" s="89"/>
      <c r="AJ805" s="89"/>
      <c r="AK805" s="89"/>
      <c r="AL805" s="89"/>
      <c r="AM805" s="89"/>
      <c r="AN805" s="89"/>
      <c r="AO805" s="89"/>
      <c r="AP805" s="89"/>
      <c r="AQ805" s="89"/>
      <c r="AR805" s="89"/>
      <c r="AS805" s="89"/>
      <c r="AT805" s="89"/>
      <c r="AU805" s="89"/>
      <c r="AV805" s="89"/>
      <c r="AW805" s="89"/>
      <c r="AX805" s="89"/>
      <c r="AY805" s="89"/>
      <c r="AZ805" s="89"/>
      <c r="BA805" s="89"/>
      <c r="BB805" s="89"/>
      <c r="BC805" s="89"/>
      <c r="BD805" s="89"/>
      <c r="BE805" s="89"/>
      <c r="BF805" s="89"/>
    </row>
    <row r="806" spans="9:58" x14ac:dyDescent="0.25">
      <c r="I806" s="89"/>
      <c r="J806" s="89"/>
      <c r="K806" s="89"/>
      <c r="L806" s="89"/>
      <c r="M806" s="89"/>
      <c r="N806" s="89"/>
      <c r="O806" s="89"/>
      <c r="P806" s="89"/>
      <c r="Q806" s="89"/>
      <c r="R806" s="89"/>
      <c r="S806" s="89"/>
      <c r="T806" s="89"/>
      <c r="U806" s="89"/>
      <c r="V806" s="89"/>
      <c r="W806" s="89"/>
      <c r="X806" s="89"/>
      <c r="Y806" s="89"/>
      <c r="Z806" s="89"/>
      <c r="AA806" s="89"/>
      <c r="AB806" s="89"/>
      <c r="AC806" s="89"/>
      <c r="AD806" s="89"/>
      <c r="AE806" s="89"/>
      <c r="AF806" s="89"/>
      <c r="AG806" s="89"/>
      <c r="AH806" s="89"/>
      <c r="AI806" s="89"/>
      <c r="AJ806" s="89"/>
      <c r="AK806" s="89"/>
      <c r="AL806" s="89"/>
      <c r="AM806" s="89"/>
      <c r="AN806" s="89"/>
      <c r="AO806" s="89"/>
      <c r="AP806" s="89"/>
      <c r="AQ806" s="89"/>
      <c r="AR806" s="89"/>
      <c r="AS806" s="89"/>
      <c r="AT806" s="89"/>
      <c r="AU806" s="89"/>
      <c r="AV806" s="89"/>
      <c r="AW806" s="89"/>
      <c r="AX806" s="89"/>
      <c r="AY806" s="89"/>
      <c r="AZ806" s="89"/>
      <c r="BA806" s="89"/>
      <c r="BB806" s="89"/>
      <c r="BC806" s="89"/>
      <c r="BD806" s="89"/>
      <c r="BE806" s="89"/>
      <c r="BF806" s="89"/>
    </row>
    <row r="807" spans="9:58" x14ac:dyDescent="0.25">
      <c r="I807" s="89"/>
      <c r="J807" s="89"/>
      <c r="K807" s="89"/>
      <c r="L807" s="89"/>
      <c r="M807" s="89"/>
      <c r="N807" s="89"/>
      <c r="O807" s="89"/>
      <c r="P807" s="89"/>
      <c r="Q807" s="89"/>
      <c r="R807" s="89"/>
      <c r="S807" s="89"/>
      <c r="T807" s="89"/>
      <c r="U807" s="89"/>
      <c r="V807" s="89"/>
      <c r="W807" s="89"/>
      <c r="X807" s="89"/>
      <c r="Y807" s="89"/>
      <c r="Z807" s="89"/>
      <c r="AA807" s="89"/>
      <c r="AB807" s="89"/>
      <c r="AC807" s="89"/>
      <c r="AD807" s="89"/>
      <c r="AE807" s="89"/>
      <c r="AF807" s="89"/>
      <c r="AG807" s="89"/>
      <c r="AH807" s="89"/>
      <c r="AI807" s="89"/>
      <c r="AJ807" s="89"/>
      <c r="AK807" s="89"/>
      <c r="AL807" s="89"/>
      <c r="AM807" s="89"/>
      <c r="AN807" s="89"/>
      <c r="AO807" s="89"/>
      <c r="AP807" s="89"/>
      <c r="AQ807" s="89"/>
      <c r="AR807" s="89"/>
      <c r="AS807" s="89"/>
      <c r="AT807" s="89"/>
      <c r="AU807" s="89"/>
      <c r="AV807" s="89"/>
      <c r="AW807" s="89"/>
      <c r="AX807" s="89"/>
      <c r="AY807" s="89"/>
      <c r="AZ807" s="89"/>
      <c r="BA807" s="89"/>
      <c r="BB807" s="89"/>
      <c r="BC807" s="89"/>
      <c r="BD807" s="89"/>
      <c r="BE807" s="89"/>
      <c r="BF807" s="89"/>
    </row>
    <row r="808" spans="9:58" x14ac:dyDescent="0.25">
      <c r="I808" s="89"/>
      <c r="J808" s="89"/>
      <c r="K808" s="89"/>
      <c r="L808" s="89"/>
      <c r="M808" s="89"/>
      <c r="N808" s="89"/>
      <c r="O808" s="89"/>
      <c r="P808" s="89"/>
      <c r="Q808" s="89"/>
      <c r="R808" s="89"/>
      <c r="S808" s="89"/>
      <c r="T808" s="89"/>
      <c r="U808" s="89"/>
      <c r="V808" s="89"/>
      <c r="W808" s="89"/>
      <c r="X808" s="89"/>
      <c r="Y808" s="89"/>
      <c r="Z808" s="89"/>
      <c r="AA808" s="89"/>
      <c r="AB808" s="89"/>
      <c r="AC808" s="89"/>
      <c r="AD808" s="89"/>
      <c r="AE808" s="89"/>
      <c r="AF808" s="89"/>
      <c r="AG808" s="89"/>
      <c r="AH808" s="89"/>
      <c r="AI808" s="89"/>
      <c r="AJ808" s="89"/>
      <c r="AK808" s="89"/>
      <c r="AL808" s="89"/>
      <c r="AM808" s="89"/>
      <c r="AN808" s="89"/>
      <c r="AO808" s="89"/>
      <c r="AP808" s="89"/>
      <c r="AQ808" s="89"/>
      <c r="AR808" s="89"/>
      <c r="AS808" s="89"/>
      <c r="AT808" s="89"/>
      <c r="AU808" s="89"/>
      <c r="AV808" s="89"/>
      <c r="AW808" s="89"/>
      <c r="AX808" s="89"/>
      <c r="AY808" s="89"/>
      <c r="AZ808" s="89"/>
      <c r="BA808" s="89"/>
      <c r="BB808" s="89"/>
      <c r="BC808" s="89"/>
      <c r="BD808" s="89"/>
      <c r="BE808" s="89"/>
      <c r="BF808" s="89"/>
    </row>
    <row r="809" spans="9:58" x14ac:dyDescent="0.25">
      <c r="I809" s="89"/>
      <c r="J809" s="89"/>
      <c r="K809" s="89"/>
      <c r="L809" s="89"/>
      <c r="M809" s="89"/>
      <c r="N809" s="89"/>
      <c r="O809" s="89"/>
      <c r="P809" s="89"/>
      <c r="Q809" s="89"/>
      <c r="R809" s="89"/>
      <c r="S809" s="89"/>
      <c r="T809" s="89"/>
      <c r="U809" s="89"/>
      <c r="V809" s="89"/>
      <c r="W809" s="89"/>
      <c r="X809" s="89"/>
      <c r="Y809" s="89"/>
      <c r="Z809" s="89"/>
      <c r="AA809" s="89"/>
      <c r="AB809" s="89"/>
      <c r="AC809" s="89"/>
      <c r="AD809" s="89"/>
      <c r="AE809" s="89"/>
      <c r="AF809" s="89"/>
      <c r="AG809" s="89"/>
      <c r="AH809" s="89"/>
      <c r="AI809" s="89"/>
      <c r="AJ809" s="89"/>
      <c r="AK809" s="89"/>
      <c r="AL809" s="89"/>
      <c r="AM809" s="89"/>
      <c r="AN809" s="89"/>
      <c r="AO809" s="89"/>
      <c r="AP809" s="89"/>
      <c r="AQ809" s="89"/>
      <c r="AR809" s="89"/>
      <c r="AS809" s="89"/>
      <c r="AT809" s="89"/>
      <c r="AU809" s="89"/>
      <c r="AV809" s="89"/>
      <c r="AW809" s="89"/>
      <c r="AX809" s="89"/>
      <c r="AY809" s="89"/>
      <c r="AZ809" s="89"/>
      <c r="BA809" s="89"/>
      <c r="BB809" s="89"/>
      <c r="BC809" s="89"/>
      <c r="BD809" s="89"/>
      <c r="BE809" s="89"/>
      <c r="BF809" s="89"/>
    </row>
    <row r="810" spans="9:58" x14ac:dyDescent="0.25">
      <c r="I810" s="89"/>
      <c r="J810" s="89"/>
      <c r="K810" s="89"/>
      <c r="L810" s="89"/>
      <c r="M810" s="89"/>
      <c r="N810" s="89"/>
      <c r="O810" s="89"/>
      <c r="P810" s="89"/>
      <c r="Q810" s="89"/>
      <c r="R810" s="89"/>
      <c r="S810" s="89"/>
      <c r="T810" s="89"/>
      <c r="U810" s="89"/>
      <c r="V810" s="89"/>
      <c r="W810" s="89"/>
      <c r="X810" s="89"/>
      <c r="Y810" s="89"/>
      <c r="Z810" s="89"/>
      <c r="AA810" s="89"/>
      <c r="AB810" s="89"/>
      <c r="AC810" s="89"/>
      <c r="AD810" s="89"/>
      <c r="AE810" s="89"/>
      <c r="AF810" s="89"/>
      <c r="AG810" s="89"/>
      <c r="AH810" s="89"/>
      <c r="AI810" s="89"/>
      <c r="AJ810" s="89"/>
      <c r="AK810" s="89"/>
      <c r="AL810" s="89"/>
      <c r="AM810" s="89"/>
      <c r="AN810" s="89"/>
      <c r="AO810" s="89"/>
      <c r="AP810" s="89"/>
      <c r="AQ810" s="89"/>
      <c r="AR810" s="89"/>
      <c r="AS810" s="89"/>
      <c r="AT810" s="89"/>
      <c r="AU810" s="89"/>
      <c r="AV810" s="89"/>
      <c r="AW810" s="89"/>
      <c r="AX810" s="89"/>
      <c r="AY810" s="89"/>
      <c r="AZ810" s="89"/>
      <c r="BA810" s="89"/>
      <c r="BB810" s="89"/>
      <c r="BC810" s="89"/>
      <c r="BD810" s="89"/>
      <c r="BE810" s="89"/>
      <c r="BF810" s="89"/>
    </row>
    <row r="811" spans="9:58" x14ac:dyDescent="0.25">
      <c r="I811" s="89"/>
      <c r="J811" s="89"/>
      <c r="K811" s="89"/>
      <c r="L811" s="89"/>
      <c r="M811" s="89"/>
      <c r="N811" s="89"/>
      <c r="O811" s="89"/>
      <c r="P811" s="89"/>
      <c r="Q811" s="89"/>
      <c r="R811" s="89"/>
      <c r="S811" s="89"/>
      <c r="T811" s="89"/>
      <c r="U811" s="89"/>
      <c r="V811" s="89"/>
      <c r="W811" s="89"/>
      <c r="X811" s="89"/>
      <c r="Y811" s="89"/>
      <c r="Z811" s="89"/>
      <c r="AA811" s="89"/>
      <c r="AB811" s="89"/>
      <c r="AC811" s="89"/>
      <c r="AD811" s="89"/>
      <c r="AE811" s="89"/>
      <c r="AF811" s="89"/>
      <c r="AG811" s="89"/>
      <c r="AH811" s="89"/>
      <c r="AI811" s="89"/>
      <c r="AJ811" s="89"/>
      <c r="AK811" s="89"/>
      <c r="AL811" s="89"/>
      <c r="AM811" s="89"/>
      <c r="AN811" s="89"/>
      <c r="AO811" s="89"/>
      <c r="AP811" s="89"/>
      <c r="AQ811" s="89"/>
      <c r="AR811" s="89"/>
      <c r="AS811" s="89"/>
      <c r="AT811" s="89"/>
      <c r="AU811" s="89"/>
      <c r="AV811" s="89"/>
      <c r="AW811" s="89"/>
      <c r="AX811" s="89"/>
      <c r="AY811" s="89"/>
      <c r="AZ811" s="89"/>
      <c r="BA811" s="89"/>
      <c r="BB811" s="89"/>
      <c r="BC811" s="89"/>
      <c r="BD811" s="89"/>
      <c r="BE811" s="89"/>
      <c r="BF811" s="89"/>
    </row>
    <row r="812" spans="9:58" x14ac:dyDescent="0.25">
      <c r="I812" s="89"/>
      <c r="J812" s="89"/>
      <c r="K812" s="89"/>
      <c r="L812" s="89"/>
      <c r="M812" s="89"/>
      <c r="N812" s="89"/>
      <c r="O812" s="89"/>
      <c r="P812" s="89"/>
      <c r="Q812" s="89"/>
      <c r="R812" s="89"/>
      <c r="S812" s="89"/>
      <c r="T812" s="89"/>
      <c r="U812" s="89"/>
      <c r="V812" s="89"/>
      <c r="W812" s="89"/>
      <c r="X812" s="89"/>
      <c r="Y812" s="89"/>
      <c r="Z812" s="89"/>
      <c r="AA812" s="89"/>
      <c r="AB812" s="89"/>
      <c r="AC812" s="89"/>
      <c r="AD812" s="89"/>
      <c r="AE812" s="89"/>
      <c r="AF812" s="89"/>
      <c r="AG812" s="89"/>
      <c r="AH812" s="89"/>
      <c r="AI812" s="89"/>
      <c r="AJ812" s="89"/>
      <c r="AK812" s="89"/>
      <c r="AL812" s="89"/>
      <c r="AM812" s="89"/>
      <c r="AN812" s="89"/>
      <c r="AO812" s="89"/>
      <c r="AP812" s="89"/>
      <c r="AQ812" s="89"/>
      <c r="AR812" s="89"/>
      <c r="AS812" s="89"/>
      <c r="AT812" s="89"/>
      <c r="AU812" s="89"/>
      <c r="AV812" s="89"/>
      <c r="AW812" s="89"/>
      <c r="AX812" s="89"/>
      <c r="AY812" s="89"/>
      <c r="AZ812" s="89"/>
      <c r="BA812" s="89"/>
      <c r="BB812" s="89"/>
      <c r="BC812" s="89"/>
      <c r="BD812" s="89"/>
      <c r="BE812" s="89"/>
      <c r="BF812" s="89"/>
    </row>
    <row r="813" spans="9:58" x14ac:dyDescent="0.25">
      <c r="I813" s="89"/>
      <c r="J813" s="89"/>
      <c r="K813" s="89"/>
      <c r="L813" s="89"/>
      <c r="M813" s="89"/>
      <c r="N813" s="89"/>
      <c r="O813" s="89"/>
      <c r="P813" s="89"/>
      <c r="Q813" s="89"/>
      <c r="R813" s="89"/>
      <c r="S813" s="89"/>
      <c r="T813" s="89"/>
      <c r="U813" s="89"/>
      <c r="V813" s="89"/>
      <c r="W813" s="89"/>
      <c r="X813" s="89"/>
      <c r="Y813" s="89"/>
      <c r="Z813" s="89"/>
      <c r="AA813" s="89"/>
      <c r="AB813" s="89"/>
      <c r="AC813" s="89"/>
      <c r="AD813" s="89"/>
      <c r="AE813" s="89"/>
      <c r="AF813" s="89"/>
      <c r="AG813" s="89"/>
      <c r="AH813" s="89"/>
      <c r="AI813" s="89"/>
      <c r="AJ813" s="89"/>
      <c r="AK813" s="89"/>
      <c r="AL813" s="89"/>
      <c r="AM813" s="89"/>
      <c r="AN813" s="89"/>
      <c r="AO813" s="89"/>
      <c r="AP813" s="89"/>
      <c r="AQ813" s="89"/>
      <c r="AR813" s="89"/>
      <c r="AS813" s="89"/>
      <c r="AT813" s="89"/>
      <c r="AU813" s="89"/>
      <c r="AV813" s="89"/>
      <c r="AW813" s="89"/>
      <c r="AX813" s="89"/>
      <c r="AY813" s="89"/>
      <c r="AZ813" s="89"/>
      <c r="BA813" s="89"/>
      <c r="BB813" s="89"/>
      <c r="BC813" s="89"/>
      <c r="BD813" s="89"/>
      <c r="BE813" s="89"/>
      <c r="BF813" s="89"/>
    </row>
    <row r="814" spans="9:58" x14ac:dyDescent="0.25">
      <c r="I814" s="89"/>
      <c r="J814" s="89"/>
      <c r="K814" s="89"/>
      <c r="L814" s="89"/>
      <c r="M814" s="89"/>
      <c r="N814" s="89"/>
      <c r="O814" s="89"/>
      <c r="P814" s="89"/>
      <c r="Q814" s="89"/>
      <c r="R814" s="89"/>
      <c r="S814" s="89"/>
      <c r="T814" s="89"/>
      <c r="U814" s="89"/>
      <c r="V814" s="89"/>
      <c r="W814" s="89"/>
      <c r="X814" s="89"/>
      <c r="Y814" s="89"/>
      <c r="Z814" s="89"/>
      <c r="AA814" s="89"/>
      <c r="AB814" s="89"/>
      <c r="AC814" s="89"/>
      <c r="AD814" s="89"/>
      <c r="AE814" s="89"/>
      <c r="AF814" s="89"/>
      <c r="AG814" s="89"/>
      <c r="AH814" s="89"/>
      <c r="AI814" s="89"/>
      <c r="AJ814" s="89"/>
      <c r="AK814" s="89"/>
      <c r="AL814" s="89"/>
      <c r="AM814" s="89"/>
      <c r="AN814" s="89"/>
      <c r="AO814" s="89"/>
      <c r="AP814" s="89"/>
      <c r="AQ814" s="89"/>
      <c r="AR814" s="89"/>
      <c r="AS814" s="89"/>
      <c r="AT814" s="89"/>
      <c r="AU814" s="89"/>
      <c r="AV814" s="89"/>
      <c r="AW814" s="89"/>
      <c r="AX814" s="89"/>
      <c r="AY814" s="89"/>
      <c r="AZ814" s="89"/>
      <c r="BA814" s="89"/>
      <c r="BB814" s="89"/>
      <c r="BC814" s="89"/>
      <c r="BD814" s="89"/>
      <c r="BE814" s="89"/>
      <c r="BF814" s="89"/>
    </row>
    <row r="815" spans="9:58" x14ac:dyDescent="0.25">
      <c r="I815" s="89"/>
      <c r="J815" s="89"/>
      <c r="K815" s="89"/>
      <c r="L815" s="89"/>
      <c r="M815" s="89"/>
      <c r="N815" s="89"/>
      <c r="O815" s="89"/>
      <c r="P815" s="89"/>
      <c r="Q815" s="89"/>
      <c r="R815" s="89"/>
      <c r="S815" s="89"/>
      <c r="T815" s="89"/>
      <c r="U815" s="89"/>
      <c r="V815" s="89"/>
      <c r="W815" s="89"/>
      <c r="X815" s="89"/>
      <c r="Y815" s="89"/>
      <c r="Z815" s="89"/>
      <c r="AA815" s="89"/>
      <c r="AB815" s="89"/>
      <c r="AC815" s="89"/>
      <c r="AD815" s="89"/>
      <c r="AE815" s="89"/>
      <c r="AF815" s="89"/>
      <c r="AG815" s="89"/>
      <c r="AH815" s="89"/>
      <c r="AI815" s="89"/>
      <c r="AJ815" s="89"/>
      <c r="AK815" s="89"/>
      <c r="AL815" s="89"/>
      <c r="AM815" s="89"/>
      <c r="AN815" s="89"/>
      <c r="AO815" s="89"/>
      <c r="AP815" s="89"/>
      <c r="AQ815" s="89"/>
      <c r="AR815" s="89"/>
      <c r="AS815" s="89"/>
      <c r="AT815" s="89"/>
      <c r="AU815" s="89"/>
      <c r="AV815" s="89"/>
      <c r="AW815" s="89"/>
      <c r="AX815" s="89"/>
      <c r="AY815" s="89"/>
      <c r="AZ815" s="89"/>
      <c r="BA815" s="89"/>
      <c r="BB815" s="89"/>
      <c r="BC815" s="89"/>
      <c r="BD815" s="89"/>
      <c r="BE815" s="89"/>
      <c r="BF815" s="89"/>
    </row>
    <row r="816" spans="9:58" x14ac:dyDescent="0.25">
      <c r="I816" s="89"/>
      <c r="J816" s="89"/>
      <c r="K816" s="89"/>
      <c r="L816" s="89"/>
      <c r="M816" s="89"/>
      <c r="N816" s="89"/>
      <c r="O816" s="89"/>
      <c r="P816" s="89"/>
      <c r="Q816" s="89"/>
      <c r="R816" s="89"/>
      <c r="S816" s="89"/>
      <c r="T816" s="89"/>
      <c r="U816" s="89"/>
      <c r="V816" s="89"/>
      <c r="W816" s="89"/>
      <c r="X816" s="89"/>
      <c r="Y816" s="89"/>
      <c r="Z816" s="89"/>
      <c r="AA816" s="89"/>
      <c r="AB816" s="89"/>
      <c r="AC816" s="89"/>
      <c r="AD816" s="89"/>
      <c r="AE816" s="89"/>
      <c r="AF816" s="89"/>
      <c r="AG816" s="89"/>
      <c r="AH816" s="89"/>
      <c r="AI816" s="89"/>
      <c r="AJ816" s="89"/>
      <c r="AK816" s="89"/>
      <c r="AL816" s="89"/>
      <c r="AM816" s="89"/>
      <c r="AN816" s="89"/>
      <c r="AO816" s="89"/>
      <c r="AP816" s="89"/>
      <c r="AQ816" s="89"/>
      <c r="AR816" s="89"/>
      <c r="AS816" s="89"/>
      <c r="AT816" s="89"/>
      <c r="AU816" s="89"/>
      <c r="AV816" s="89"/>
      <c r="AW816" s="89"/>
      <c r="AX816" s="89"/>
      <c r="AY816" s="89"/>
      <c r="AZ816" s="89"/>
      <c r="BA816" s="89"/>
      <c r="BB816" s="89"/>
      <c r="BC816" s="89"/>
      <c r="BD816" s="89"/>
      <c r="BE816" s="89"/>
      <c r="BF816" s="89"/>
    </row>
    <row r="817" spans="9:58" x14ac:dyDescent="0.25">
      <c r="I817" s="89"/>
      <c r="J817" s="89"/>
      <c r="K817" s="89"/>
      <c r="L817" s="89"/>
      <c r="M817" s="89"/>
      <c r="N817" s="89"/>
      <c r="O817" s="89"/>
      <c r="P817" s="89"/>
      <c r="Q817" s="89"/>
      <c r="R817" s="89"/>
      <c r="S817" s="89"/>
      <c r="T817" s="89"/>
      <c r="U817" s="89"/>
      <c r="V817" s="89"/>
      <c r="W817" s="89"/>
      <c r="X817" s="89"/>
      <c r="Y817" s="89"/>
      <c r="Z817" s="89"/>
      <c r="AA817" s="89"/>
      <c r="AB817" s="89"/>
      <c r="AC817" s="89"/>
      <c r="AD817" s="89"/>
      <c r="AE817" s="89"/>
      <c r="AF817" s="89"/>
      <c r="AG817" s="89"/>
      <c r="AH817" s="89"/>
      <c r="AI817" s="89"/>
      <c r="AJ817" s="89"/>
      <c r="AK817" s="89"/>
      <c r="AL817" s="89"/>
      <c r="AM817" s="89"/>
      <c r="AN817" s="89"/>
      <c r="AO817" s="89"/>
      <c r="AP817" s="89"/>
      <c r="AQ817" s="89"/>
      <c r="AR817" s="89"/>
      <c r="AS817" s="89"/>
      <c r="AT817" s="89"/>
      <c r="AU817" s="89"/>
      <c r="AV817" s="89"/>
      <c r="AW817" s="89"/>
      <c r="AX817" s="89"/>
      <c r="AY817" s="89"/>
      <c r="AZ817" s="89"/>
      <c r="BA817" s="89"/>
      <c r="BB817" s="89"/>
      <c r="BC817" s="89"/>
      <c r="BD817" s="89"/>
      <c r="BE817" s="89"/>
      <c r="BF817" s="89"/>
    </row>
    <row r="818" spans="9:58" x14ac:dyDescent="0.25">
      <c r="I818" s="89"/>
      <c r="J818" s="89"/>
      <c r="K818" s="89"/>
      <c r="L818" s="89"/>
      <c r="M818" s="89"/>
      <c r="N818" s="89"/>
      <c r="O818" s="89"/>
      <c r="P818" s="89"/>
      <c r="Q818" s="89"/>
      <c r="R818" s="89"/>
      <c r="S818" s="89"/>
      <c r="T818" s="89"/>
      <c r="U818" s="89"/>
      <c r="V818" s="89"/>
      <c r="W818" s="89"/>
      <c r="X818" s="89"/>
      <c r="Y818" s="89"/>
      <c r="Z818" s="89"/>
      <c r="AA818" s="89"/>
      <c r="AB818" s="89"/>
      <c r="AC818" s="89"/>
      <c r="AD818" s="89"/>
      <c r="AE818" s="89"/>
      <c r="AF818" s="89"/>
      <c r="AG818" s="89"/>
      <c r="AH818" s="89"/>
      <c r="AI818" s="89"/>
      <c r="AJ818" s="89"/>
      <c r="AK818" s="89"/>
      <c r="AL818" s="89"/>
      <c r="AM818" s="89"/>
      <c r="AN818" s="89"/>
      <c r="AO818" s="89"/>
      <c r="AP818" s="89"/>
      <c r="AQ818" s="89"/>
      <c r="AR818" s="89"/>
      <c r="AS818" s="89"/>
      <c r="AT818" s="89"/>
      <c r="AU818" s="89"/>
      <c r="AV818" s="89"/>
      <c r="AW818" s="89"/>
      <c r="AX818" s="89"/>
      <c r="AY818" s="89"/>
      <c r="AZ818" s="89"/>
      <c r="BA818" s="89"/>
      <c r="BB818" s="89"/>
      <c r="BC818" s="89"/>
      <c r="BD818" s="89"/>
      <c r="BE818" s="89"/>
      <c r="BF818" s="89"/>
    </row>
    <row r="819" spans="9:58" x14ac:dyDescent="0.25">
      <c r="I819" s="89"/>
      <c r="J819" s="89"/>
      <c r="K819" s="89"/>
      <c r="L819" s="89"/>
      <c r="M819" s="89"/>
      <c r="N819" s="89"/>
      <c r="O819" s="89"/>
      <c r="P819" s="89"/>
      <c r="Q819" s="89"/>
      <c r="R819" s="89"/>
      <c r="S819" s="89"/>
      <c r="T819" s="89"/>
      <c r="U819" s="89"/>
      <c r="V819" s="89"/>
      <c r="W819" s="89"/>
      <c r="X819" s="89"/>
      <c r="Y819" s="89"/>
      <c r="Z819" s="89"/>
      <c r="AA819" s="89"/>
      <c r="AB819" s="89"/>
      <c r="AC819" s="89"/>
      <c r="AD819" s="89"/>
      <c r="AE819" s="89"/>
      <c r="AF819" s="89"/>
      <c r="AG819" s="89"/>
      <c r="AH819" s="89"/>
      <c r="AI819" s="89"/>
      <c r="AJ819" s="89"/>
      <c r="AK819" s="89"/>
      <c r="AL819" s="89"/>
      <c r="AM819" s="89"/>
      <c r="AN819" s="89"/>
      <c r="AO819" s="89"/>
      <c r="AP819" s="89"/>
      <c r="AQ819" s="89"/>
      <c r="AR819" s="89"/>
      <c r="AS819" s="89"/>
      <c r="AT819" s="89"/>
      <c r="AU819" s="89"/>
      <c r="AV819" s="89"/>
      <c r="AW819" s="89"/>
      <c r="AX819" s="89"/>
      <c r="AY819" s="89"/>
      <c r="AZ819" s="89"/>
      <c r="BA819" s="89"/>
      <c r="BB819" s="89"/>
      <c r="BC819" s="89"/>
      <c r="BD819" s="89"/>
      <c r="BE819" s="89"/>
      <c r="BF819" s="89"/>
    </row>
    <row r="820" spans="9:58" x14ac:dyDescent="0.25">
      <c r="I820" s="89"/>
      <c r="J820" s="89"/>
      <c r="K820" s="89"/>
      <c r="L820" s="89"/>
      <c r="M820" s="89"/>
      <c r="N820" s="89"/>
      <c r="O820" s="89"/>
      <c r="P820" s="89"/>
      <c r="Q820" s="89"/>
      <c r="R820" s="89"/>
      <c r="S820" s="89"/>
      <c r="T820" s="89"/>
      <c r="U820" s="89"/>
      <c r="V820" s="89"/>
      <c r="W820" s="89"/>
      <c r="X820" s="89"/>
      <c r="Y820" s="89"/>
      <c r="Z820" s="89"/>
      <c r="AA820" s="89"/>
      <c r="AB820" s="89"/>
      <c r="AC820" s="89"/>
      <c r="AD820" s="89"/>
      <c r="AE820" s="89"/>
      <c r="AF820" s="89"/>
      <c r="AG820" s="89"/>
      <c r="AH820" s="89"/>
      <c r="AI820" s="89"/>
      <c r="AJ820" s="89"/>
      <c r="AK820" s="89"/>
      <c r="AL820" s="89"/>
      <c r="AM820" s="89"/>
      <c r="AN820" s="89"/>
      <c r="AO820" s="89"/>
      <c r="AP820" s="89"/>
      <c r="AQ820" s="89"/>
      <c r="AR820" s="89"/>
      <c r="AS820" s="89"/>
      <c r="AT820" s="89"/>
      <c r="AU820" s="89"/>
      <c r="AV820" s="89"/>
      <c r="AW820" s="89"/>
      <c r="AX820" s="89"/>
      <c r="AY820" s="89"/>
      <c r="AZ820" s="89"/>
      <c r="BA820" s="89"/>
      <c r="BB820" s="89"/>
      <c r="BC820" s="89"/>
      <c r="BD820" s="89"/>
      <c r="BE820" s="89"/>
      <c r="BF820" s="89"/>
    </row>
    <row r="821" spans="9:58" x14ac:dyDescent="0.25">
      <c r="I821" s="89"/>
      <c r="J821" s="89"/>
      <c r="K821" s="89"/>
      <c r="L821" s="89"/>
      <c r="M821" s="89"/>
      <c r="N821" s="89"/>
      <c r="O821" s="89"/>
      <c r="P821" s="89"/>
      <c r="Q821" s="89"/>
      <c r="R821" s="89"/>
      <c r="S821" s="89"/>
      <c r="T821" s="89"/>
      <c r="U821" s="89"/>
      <c r="V821" s="89"/>
      <c r="W821" s="89"/>
      <c r="X821" s="89"/>
      <c r="Y821" s="89"/>
      <c r="Z821" s="89"/>
      <c r="AA821" s="89"/>
      <c r="AB821" s="89"/>
      <c r="AC821" s="89"/>
      <c r="AD821" s="89"/>
      <c r="AE821" s="89"/>
      <c r="AF821" s="89"/>
      <c r="AG821" s="89"/>
      <c r="AH821" s="89"/>
      <c r="AI821" s="89"/>
      <c r="AJ821" s="89"/>
      <c r="AK821" s="89"/>
      <c r="AL821" s="89"/>
      <c r="AM821" s="89"/>
      <c r="AN821" s="89"/>
      <c r="AO821" s="89"/>
      <c r="AP821" s="89"/>
      <c r="AQ821" s="89"/>
      <c r="AR821" s="89"/>
      <c r="AS821" s="89"/>
      <c r="AT821" s="89"/>
      <c r="AU821" s="89"/>
      <c r="AV821" s="89"/>
      <c r="AW821" s="89"/>
      <c r="AX821" s="89"/>
      <c r="AY821" s="89"/>
      <c r="AZ821" s="89"/>
      <c r="BA821" s="89"/>
      <c r="BB821" s="89"/>
      <c r="BC821" s="89"/>
      <c r="BD821" s="89"/>
      <c r="BE821" s="89"/>
      <c r="BF821" s="89"/>
    </row>
    <row r="822" spans="9:58" x14ac:dyDescent="0.25">
      <c r="I822" s="89"/>
      <c r="J822" s="89"/>
      <c r="K822" s="89"/>
      <c r="L822" s="89"/>
      <c r="M822" s="89"/>
      <c r="N822" s="89"/>
      <c r="O822" s="89"/>
      <c r="P822" s="89"/>
      <c r="Q822" s="89"/>
      <c r="R822" s="89"/>
      <c r="S822" s="89"/>
      <c r="T822" s="89"/>
      <c r="U822" s="89"/>
      <c r="V822" s="89"/>
      <c r="W822" s="89"/>
      <c r="X822" s="89"/>
      <c r="Y822" s="89"/>
      <c r="Z822" s="89"/>
      <c r="AA822" s="89"/>
      <c r="AB822" s="89"/>
      <c r="AC822" s="89"/>
      <c r="AD822" s="89"/>
      <c r="AE822" s="89"/>
      <c r="AF822" s="89"/>
      <c r="AG822" s="89"/>
      <c r="AH822" s="89"/>
      <c r="AI822" s="89"/>
      <c r="AJ822" s="89"/>
      <c r="AK822" s="89"/>
      <c r="AL822" s="89"/>
      <c r="AM822" s="89"/>
      <c r="AN822" s="89"/>
      <c r="AO822" s="89"/>
      <c r="AP822" s="89"/>
      <c r="AQ822" s="89"/>
      <c r="AR822" s="89"/>
      <c r="AS822" s="89"/>
      <c r="AT822" s="89"/>
      <c r="AU822" s="89"/>
      <c r="AV822" s="89"/>
      <c r="AW822" s="89"/>
      <c r="AX822" s="89"/>
      <c r="AY822" s="89"/>
      <c r="AZ822" s="89"/>
      <c r="BA822" s="89"/>
      <c r="BB822" s="89"/>
      <c r="BC822" s="89"/>
      <c r="BD822" s="89"/>
      <c r="BE822" s="89"/>
      <c r="BF822" s="89"/>
    </row>
    <row r="823" spans="9:58" x14ac:dyDescent="0.25">
      <c r="I823" s="89"/>
      <c r="J823" s="89"/>
      <c r="K823" s="89"/>
      <c r="L823" s="89"/>
      <c r="M823" s="89"/>
      <c r="N823" s="89"/>
      <c r="O823" s="89"/>
      <c r="P823" s="89"/>
      <c r="Q823" s="89"/>
      <c r="R823" s="89"/>
      <c r="S823" s="89"/>
      <c r="T823" s="89"/>
      <c r="U823" s="89"/>
      <c r="V823" s="89"/>
      <c r="W823" s="89"/>
      <c r="X823" s="89"/>
      <c r="Y823" s="89"/>
      <c r="Z823" s="89"/>
      <c r="AA823" s="89"/>
      <c r="AB823" s="89"/>
      <c r="AC823" s="89"/>
      <c r="AD823" s="89"/>
      <c r="AE823" s="89"/>
      <c r="AF823" s="89"/>
      <c r="AG823" s="89"/>
      <c r="AH823" s="89"/>
      <c r="AI823" s="89"/>
      <c r="AJ823" s="89"/>
      <c r="AK823" s="89"/>
      <c r="AL823" s="89"/>
      <c r="AM823" s="89"/>
      <c r="AN823" s="89"/>
      <c r="AO823" s="89"/>
      <c r="AP823" s="89"/>
      <c r="AQ823" s="89"/>
      <c r="AR823" s="89"/>
      <c r="AS823" s="89"/>
      <c r="AT823" s="89"/>
      <c r="AU823" s="89"/>
      <c r="AV823" s="89"/>
      <c r="AW823" s="89"/>
      <c r="AX823" s="89"/>
      <c r="AY823" s="89"/>
      <c r="AZ823" s="89"/>
      <c r="BA823" s="89"/>
      <c r="BB823" s="89"/>
      <c r="BC823" s="89"/>
      <c r="BD823" s="89"/>
      <c r="BE823" s="89"/>
      <c r="BF823" s="89"/>
    </row>
    <row r="824" spans="9:58" x14ac:dyDescent="0.25">
      <c r="I824" s="89"/>
      <c r="J824" s="89"/>
      <c r="K824" s="89"/>
      <c r="L824" s="89"/>
      <c r="M824" s="89"/>
      <c r="N824" s="89"/>
      <c r="O824" s="89"/>
      <c r="P824" s="89"/>
      <c r="Q824" s="89"/>
      <c r="R824" s="89"/>
      <c r="S824" s="89"/>
      <c r="T824" s="89"/>
      <c r="U824" s="89"/>
      <c r="V824" s="89"/>
      <c r="W824" s="89"/>
      <c r="X824" s="89"/>
      <c r="Y824" s="89"/>
      <c r="Z824" s="89"/>
      <c r="AA824" s="89"/>
      <c r="AB824" s="89"/>
      <c r="AC824" s="89"/>
      <c r="AD824" s="89"/>
      <c r="AE824" s="89"/>
      <c r="AF824" s="89"/>
      <c r="AG824" s="89"/>
      <c r="AH824" s="89"/>
      <c r="AI824" s="89"/>
      <c r="AJ824" s="89"/>
      <c r="AK824" s="89"/>
      <c r="AL824" s="89"/>
      <c r="AM824" s="89"/>
      <c r="AN824" s="89"/>
      <c r="AO824" s="89"/>
      <c r="AP824" s="89"/>
      <c r="AQ824" s="89"/>
      <c r="AR824" s="89"/>
      <c r="AS824" s="89"/>
      <c r="AT824" s="89"/>
      <c r="AU824" s="89"/>
      <c r="AV824" s="89"/>
      <c r="AW824" s="89"/>
      <c r="AX824" s="89"/>
      <c r="AY824" s="89"/>
      <c r="AZ824" s="89"/>
      <c r="BA824" s="89"/>
      <c r="BB824" s="89"/>
      <c r="BC824" s="89"/>
      <c r="BD824" s="89"/>
      <c r="BE824" s="89"/>
      <c r="BF824" s="89"/>
    </row>
    <row r="825" spans="9:58" x14ac:dyDescent="0.25">
      <c r="I825" s="89"/>
      <c r="J825" s="89"/>
      <c r="K825" s="89"/>
      <c r="L825" s="89"/>
      <c r="M825" s="89"/>
      <c r="N825" s="89"/>
      <c r="O825" s="89"/>
      <c r="P825" s="89"/>
      <c r="Q825" s="89"/>
      <c r="R825" s="89"/>
      <c r="S825" s="89"/>
      <c r="T825" s="89"/>
      <c r="U825" s="89"/>
      <c r="V825" s="89"/>
      <c r="W825" s="89"/>
      <c r="X825" s="89"/>
      <c r="Y825" s="89"/>
      <c r="Z825" s="89"/>
      <c r="AA825" s="89"/>
      <c r="AB825" s="89"/>
      <c r="AC825" s="89"/>
      <c r="AD825" s="89"/>
      <c r="AE825" s="89"/>
      <c r="AF825" s="89"/>
      <c r="AG825" s="89"/>
      <c r="AH825" s="89"/>
      <c r="AI825" s="89"/>
      <c r="AJ825" s="89"/>
      <c r="AK825" s="89"/>
      <c r="AL825" s="89"/>
      <c r="AM825" s="89"/>
      <c r="AN825" s="89"/>
      <c r="AO825" s="89"/>
      <c r="AP825" s="89"/>
      <c r="AQ825" s="89"/>
      <c r="AR825" s="89"/>
      <c r="AS825" s="89"/>
      <c r="AT825" s="89"/>
      <c r="AU825" s="89"/>
      <c r="AV825" s="89"/>
      <c r="AW825" s="89"/>
      <c r="AX825" s="89"/>
      <c r="AY825" s="89"/>
      <c r="AZ825" s="89"/>
      <c r="BA825" s="89"/>
      <c r="BB825" s="89"/>
      <c r="BC825" s="89"/>
      <c r="BD825" s="89"/>
      <c r="BE825" s="89"/>
      <c r="BF825" s="89"/>
    </row>
    <row r="826" spans="9:58" x14ac:dyDescent="0.25">
      <c r="I826" s="89"/>
      <c r="J826" s="89"/>
      <c r="K826" s="89"/>
      <c r="L826" s="89"/>
      <c r="M826" s="89"/>
      <c r="N826" s="89"/>
      <c r="O826" s="89"/>
      <c r="P826" s="89"/>
      <c r="Q826" s="89"/>
      <c r="R826" s="89"/>
      <c r="S826" s="89"/>
      <c r="T826" s="89"/>
      <c r="U826" s="89"/>
      <c r="V826" s="89"/>
      <c r="W826" s="89"/>
      <c r="X826" s="89"/>
      <c r="Y826" s="89"/>
      <c r="Z826" s="89"/>
      <c r="AA826" s="89"/>
      <c r="AB826" s="89"/>
      <c r="AC826" s="89"/>
      <c r="AD826" s="89"/>
      <c r="AE826" s="89"/>
      <c r="AF826" s="89"/>
      <c r="AG826" s="89"/>
      <c r="AH826" s="89"/>
      <c r="AI826" s="89"/>
      <c r="AJ826" s="89"/>
      <c r="AK826" s="89"/>
      <c r="AL826" s="89"/>
      <c r="AM826" s="89"/>
      <c r="AN826" s="89"/>
      <c r="AO826" s="89"/>
      <c r="AP826" s="89"/>
      <c r="AQ826" s="89"/>
      <c r="AR826" s="89"/>
      <c r="AS826" s="89"/>
      <c r="AT826" s="89"/>
      <c r="AU826" s="89"/>
      <c r="AV826" s="89"/>
      <c r="AW826" s="89"/>
      <c r="AX826" s="89"/>
      <c r="AY826" s="89"/>
      <c r="AZ826" s="89"/>
      <c r="BA826" s="89"/>
      <c r="BB826" s="89"/>
      <c r="BC826" s="89"/>
      <c r="BD826" s="89"/>
      <c r="BE826" s="89"/>
      <c r="BF826" s="89"/>
    </row>
    <row r="827" spans="9:58" x14ac:dyDescent="0.25">
      <c r="I827" s="89"/>
      <c r="J827" s="89"/>
      <c r="K827" s="89"/>
      <c r="L827" s="89"/>
      <c r="M827" s="89"/>
      <c r="N827" s="89"/>
      <c r="O827" s="89"/>
      <c r="P827" s="89"/>
      <c r="Q827" s="89"/>
      <c r="R827" s="89"/>
      <c r="S827" s="89"/>
      <c r="T827" s="89"/>
      <c r="U827" s="89"/>
      <c r="V827" s="89"/>
      <c r="W827" s="89"/>
      <c r="X827" s="89"/>
      <c r="Y827" s="89"/>
      <c r="Z827" s="89"/>
      <c r="AA827" s="89"/>
      <c r="AB827" s="89"/>
      <c r="AC827" s="89"/>
      <c r="AD827" s="89"/>
      <c r="AE827" s="89"/>
      <c r="AF827" s="89"/>
      <c r="AG827" s="89"/>
      <c r="AH827" s="89"/>
      <c r="AI827" s="89"/>
      <c r="AJ827" s="89"/>
      <c r="AK827" s="89"/>
      <c r="AL827" s="89"/>
      <c r="AM827" s="89"/>
      <c r="AN827" s="89"/>
      <c r="AO827" s="89"/>
      <c r="AP827" s="89"/>
      <c r="AQ827" s="89"/>
      <c r="AR827" s="89"/>
      <c r="AS827" s="89"/>
      <c r="AT827" s="89"/>
      <c r="AU827" s="89"/>
      <c r="AV827" s="89"/>
      <c r="AW827" s="89"/>
      <c r="AX827" s="89"/>
      <c r="AY827" s="89"/>
      <c r="AZ827" s="89"/>
      <c r="BA827" s="89"/>
      <c r="BB827" s="89"/>
      <c r="BC827" s="89"/>
      <c r="BD827" s="89"/>
      <c r="BE827" s="89"/>
      <c r="BF827" s="89"/>
    </row>
    <row r="828" spans="9:58" x14ac:dyDescent="0.25">
      <c r="I828" s="89"/>
      <c r="J828" s="89"/>
      <c r="K828" s="89"/>
      <c r="L828" s="89"/>
      <c r="M828" s="89"/>
      <c r="N828" s="89"/>
      <c r="O828" s="89"/>
      <c r="P828" s="89"/>
      <c r="Q828" s="89"/>
      <c r="R828" s="89"/>
      <c r="S828" s="89"/>
      <c r="T828" s="89"/>
      <c r="U828" s="89"/>
      <c r="V828" s="89"/>
      <c r="W828" s="89"/>
      <c r="X828" s="89"/>
      <c r="Y828" s="89"/>
      <c r="Z828" s="89"/>
      <c r="AA828" s="89"/>
      <c r="AB828" s="89"/>
      <c r="AC828" s="89"/>
      <c r="AD828" s="89"/>
      <c r="AE828" s="89"/>
      <c r="AF828" s="89"/>
      <c r="AG828" s="89"/>
      <c r="AH828" s="89"/>
      <c r="AI828" s="89"/>
      <c r="AJ828" s="89"/>
      <c r="AK828" s="89"/>
      <c r="AL828" s="89"/>
      <c r="AM828" s="89"/>
      <c r="AN828" s="89"/>
      <c r="AO828" s="89"/>
      <c r="AP828" s="89"/>
      <c r="AQ828" s="89"/>
      <c r="AR828" s="89"/>
      <c r="AS828" s="89"/>
      <c r="AT828" s="89"/>
      <c r="AU828" s="89"/>
      <c r="AV828" s="89"/>
      <c r="AW828" s="89"/>
      <c r="AX828" s="89"/>
      <c r="AY828" s="89"/>
      <c r="AZ828" s="89"/>
      <c r="BA828" s="89"/>
      <c r="BB828" s="89"/>
      <c r="BC828" s="89"/>
      <c r="BD828" s="89"/>
      <c r="BE828" s="89"/>
      <c r="BF828" s="89"/>
    </row>
    <row r="829" spans="9:58" x14ac:dyDescent="0.25">
      <c r="I829" s="89"/>
      <c r="J829" s="89"/>
      <c r="K829" s="89"/>
      <c r="L829" s="89"/>
      <c r="M829" s="89"/>
      <c r="N829" s="89"/>
      <c r="O829" s="89"/>
      <c r="P829" s="89"/>
      <c r="Q829" s="89"/>
      <c r="R829" s="89"/>
      <c r="S829" s="89"/>
      <c r="T829" s="89"/>
      <c r="U829" s="89"/>
      <c r="V829" s="89"/>
      <c r="W829" s="89"/>
      <c r="X829" s="89"/>
      <c r="Y829" s="89"/>
      <c r="Z829" s="89"/>
      <c r="AA829" s="89"/>
      <c r="AB829" s="89"/>
      <c r="AC829" s="89"/>
      <c r="AD829" s="89"/>
      <c r="AE829" s="89"/>
      <c r="AF829" s="89"/>
      <c r="AG829" s="89"/>
      <c r="AH829" s="89"/>
      <c r="AI829" s="89"/>
      <c r="AJ829" s="89"/>
      <c r="AK829" s="89"/>
      <c r="AL829" s="89"/>
      <c r="AM829" s="89"/>
      <c r="AN829" s="89"/>
      <c r="AO829" s="89"/>
      <c r="AP829" s="89"/>
      <c r="AQ829" s="89"/>
      <c r="AR829" s="89"/>
      <c r="AS829" s="89"/>
      <c r="AT829" s="89"/>
      <c r="AU829" s="89"/>
      <c r="AV829" s="89"/>
      <c r="AW829" s="89"/>
      <c r="AX829" s="89"/>
      <c r="AY829" s="89"/>
      <c r="AZ829" s="89"/>
      <c r="BA829" s="89"/>
      <c r="BB829" s="89"/>
      <c r="BC829" s="89"/>
      <c r="BD829" s="89"/>
      <c r="BE829" s="89"/>
      <c r="BF829" s="89"/>
    </row>
    <row r="830" spans="9:58" x14ac:dyDescent="0.25">
      <c r="I830" s="89"/>
      <c r="J830" s="89"/>
      <c r="K830" s="89"/>
      <c r="L830" s="89"/>
      <c r="M830" s="89"/>
      <c r="N830" s="89"/>
      <c r="O830" s="89"/>
      <c r="P830" s="89"/>
      <c r="Q830" s="89"/>
      <c r="R830" s="89"/>
      <c r="S830" s="89"/>
      <c r="T830" s="89"/>
      <c r="U830" s="89"/>
      <c r="V830" s="89"/>
      <c r="W830" s="89"/>
      <c r="X830" s="89"/>
      <c r="Y830" s="89"/>
      <c r="Z830" s="89"/>
      <c r="AA830" s="89"/>
      <c r="AB830" s="89"/>
      <c r="AC830" s="89"/>
      <c r="AD830" s="89"/>
      <c r="AE830" s="89"/>
      <c r="AF830" s="89"/>
      <c r="AG830" s="89"/>
      <c r="AH830" s="89"/>
      <c r="AI830" s="89"/>
      <c r="AJ830" s="89"/>
      <c r="AK830" s="89"/>
      <c r="AL830" s="89"/>
      <c r="AM830" s="89"/>
      <c r="AN830" s="89"/>
      <c r="AO830" s="89"/>
      <c r="AP830" s="89"/>
      <c r="AQ830" s="89"/>
      <c r="AR830" s="89"/>
      <c r="AS830" s="89"/>
      <c r="AT830" s="89"/>
      <c r="AU830" s="89"/>
      <c r="AV830" s="89"/>
      <c r="AW830" s="89"/>
      <c r="AX830" s="89"/>
      <c r="AY830" s="89"/>
      <c r="AZ830" s="89"/>
      <c r="BA830" s="89"/>
      <c r="BB830" s="89"/>
      <c r="BC830" s="89"/>
      <c r="BD830" s="89"/>
      <c r="BE830" s="89"/>
      <c r="BF830" s="89"/>
    </row>
    <row r="831" spans="9:58" x14ac:dyDescent="0.25">
      <c r="I831" s="89"/>
      <c r="J831" s="89"/>
      <c r="K831" s="89"/>
      <c r="L831" s="89"/>
      <c r="M831" s="89"/>
      <c r="N831" s="89"/>
      <c r="O831" s="89"/>
      <c r="P831" s="89"/>
      <c r="Q831" s="89"/>
      <c r="R831" s="89"/>
      <c r="S831" s="89"/>
      <c r="T831" s="89"/>
      <c r="U831" s="89"/>
      <c r="V831" s="89"/>
      <c r="W831" s="89"/>
      <c r="X831" s="89"/>
      <c r="Y831" s="89"/>
      <c r="Z831" s="89"/>
      <c r="AA831" s="89"/>
      <c r="AB831" s="89"/>
      <c r="AC831" s="89"/>
      <c r="AD831" s="89"/>
      <c r="AE831" s="89"/>
      <c r="AF831" s="89"/>
      <c r="AG831" s="89"/>
      <c r="AH831" s="89"/>
      <c r="AI831" s="89"/>
      <c r="AJ831" s="89"/>
      <c r="AK831" s="89"/>
      <c r="AL831" s="89"/>
      <c r="AM831" s="89"/>
      <c r="AN831" s="89"/>
      <c r="AO831" s="89"/>
      <c r="AP831" s="89"/>
      <c r="AQ831" s="89"/>
      <c r="AR831" s="89"/>
      <c r="AS831" s="89"/>
      <c r="AT831" s="89"/>
      <c r="AU831" s="89"/>
      <c r="AV831" s="89"/>
      <c r="AW831" s="89"/>
      <c r="AX831" s="89"/>
      <c r="AY831" s="89"/>
      <c r="AZ831" s="89"/>
      <c r="BA831" s="89"/>
      <c r="BB831" s="89"/>
      <c r="BC831" s="89"/>
      <c r="BD831" s="89"/>
      <c r="BE831" s="89"/>
      <c r="BF831" s="89"/>
    </row>
    <row r="832" spans="9:58" x14ac:dyDescent="0.25">
      <c r="I832" s="89"/>
      <c r="J832" s="89"/>
      <c r="K832" s="89"/>
      <c r="L832" s="89"/>
      <c r="M832" s="89"/>
      <c r="N832" s="89"/>
      <c r="O832" s="89"/>
      <c r="P832" s="89"/>
      <c r="Q832" s="89"/>
      <c r="R832" s="89"/>
      <c r="S832" s="89"/>
      <c r="T832" s="89"/>
      <c r="U832" s="89"/>
      <c r="V832" s="89"/>
      <c r="W832" s="89"/>
      <c r="X832" s="89"/>
      <c r="Y832" s="89"/>
      <c r="Z832" s="89"/>
      <c r="AA832" s="89"/>
      <c r="AB832" s="89"/>
      <c r="AC832" s="89"/>
      <c r="AD832" s="89"/>
      <c r="AE832" s="89"/>
      <c r="AF832" s="89"/>
      <c r="AG832" s="89"/>
      <c r="AH832" s="89"/>
      <c r="AI832" s="89"/>
      <c r="AJ832" s="89"/>
      <c r="AK832" s="89"/>
      <c r="AL832" s="89"/>
      <c r="AM832" s="89"/>
      <c r="AN832" s="89"/>
      <c r="AO832" s="89"/>
      <c r="AP832" s="89"/>
      <c r="AQ832" s="89"/>
      <c r="AR832" s="89"/>
      <c r="AS832" s="89"/>
      <c r="AT832" s="89"/>
      <c r="AU832" s="89"/>
      <c r="AV832" s="89"/>
      <c r="AW832" s="89"/>
      <c r="AX832" s="89"/>
      <c r="AY832" s="89"/>
      <c r="AZ832" s="89"/>
      <c r="BA832" s="89"/>
      <c r="BB832" s="89"/>
      <c r="BC832" s="89"/>
      <c r="BD832" s="89"/>
      <c r="BE832" s="89"/>
      <c r="BF832" s="89"/>
    </row>
    <row r="833" spans="9:58" x14ac:dyDescent="0.25">
      <c r="I833" s="89"/>
      <c r="J833" s="89"/>
      <c r="K833" s="89"/>
      <c r="L833" s="89"/>
      <c r="M833" s="89"/>
      <c r="N833" s="89"/>
      <c r="O833" s="89"/>
      <c r="P833" s="89"/>
      <c r="Q833" s="89"/>
      <c r="R833" s="89"/>
      <c r="S833" s="89"/>
      <c r="T833" s="89"/>
      <c r="U833" s="89"/>
      <c r="V833" s="89"/>
      <c r="W833" s="89"/>
      <c r="X833" s="89"/>
      <c r="Y833" s="89"/>
      <c r="Z833" s="89"/>
      <c r="AA833" s="89"/>
      <c r="AB833" s="89"/>
      <c r="AC833" s="89"/>
      <c r="AD833" s="89"/>
      <c r="AE833" s="89"/>
      <c r="AF833" s="89"/>
      <c r="AG833" s="89"/>
      <c r="AH833" s="89"/>
      <c r="AI833" s="89"/>
      <c r="AJ833" s="89"/>
      <c r="AK833" s="89"/>
      <c r="AL833" s="89"/>
      <c r="AM833" s="89"/>
      <c r="AN833" s="89"/>
      <c r="AO833" s="89"/>
      <c r="AP833" s="89"/>
      <c r="AQ833" s="89"/>
      <c r="AR833" s="89"/>
      <c r="AS833" s="89"/>
      <c r="AT833" s="89"/>
      <c r="AU833" s="89"/>
      <c r="AV833" s="89"/>
      <c r="AW833" s="89"/>
      <c r="AX833" s="89"/>
      <c r="AY833" s="89"/>
      <c r="AZ833" s="89"/>
      <c r="BA833" s="89"/>
      <c r="BB833" s="89"/>
      <c r="BC833" s="89"/>
      <c r="BD833" s="89"/>
      <c r="BE833" s="89"/>
      <c r="BF833" s="89"/>
    </row>
    <row r="834" spans="9:58" x14ac:dyDescent="0.25">
      <c r="I834" s="89"/>
      <c r="J834" s="89"/>
      <c r="K834" s="89"/>
      <c r="L834" s="89"/>
      <c r="M834" s="89"/>
      <c r="N834" s="89"/>
      <c r="O834" s="89"/>
      <c r="P834" s="89"/>
      <c r="Q834" s="89"/>
      <c r="R834" s="89"/>
      <c r="S834" s="89"/>
      <c r="T834" s="89"/>
      <c r="U834" s="89"/>
      <c r="V834" s="89"/>
      <c r="W834" s="89"/>
      <c r="X834" s="89"/>
      <c r="Y834" s="89"/>
      <c r="Z834" s="89"/>
      <c r="AA834" s="89"/>
      <c r="AB834" s="89"/>
      <c r="AC834" s="89"/>
      <c r="AD834" s="89"/>
      <c r="AE834" s="89"/>
      <c r="AF834" s="89"/>
      <c r="AG834" s="89"/>
      <c r="AH834" s="89"/>
      <c r="AI834" s="89"/>
      <c r="AJ834" s="89"/>
      <c r="AK834" s="89"/>
      <c r="AL834" s="89"/>
      <c r="AM834" s="89"/>
      <c r="AN834" s="89"/>
      <c r="AO834" s="89"/>
      <c r="AP834" s="89"/>
      <c r="AQ834" s="89"/>
      <c r="AR834" s="89"/>
      <c r="AS834" s="89"/>
      <c r="AT834" s="89"/>
      <c r="AU834" s="89"/>
      <c r="AV834" s="89"/>
      <c r="AW834" s="89"/>
      <c r="AX834" s="89"/>
      <c r="AY834" s="89"/>
      <c r="AZ834" s="89"/>
      <c r="BA834" s="89"/>
      <c r="BB834" s="89"/>
      <c r="BC834" s="89"/>
      <c r="BD834" s="89"/>
      <c r="BE834" s="89"/>
      <c r="BF834" s="89"/>
    </row>
    <row r="835" spans="9:58" x14ac:dyDescent="0.25">
      <c r="I835" s="89"/>
      <c r="J835" s="89"/>
      <c r="K835" s="89"/>
      <c r="L835" s="89"/>
      <c r="M835" s="89"/>
      <c r="N835" s="89"/>
      <c r="O835" s="89"/>
      <c r="P835" s="89"/>
      <c r="Q835" s="89"/>
      <c r="R835" s="89"/>
      <c r="S835" s="89"/>
      <c r="T835" s="89"/>
      <c r="U835" s="89"/>
      <c r="V835" s="89"/>
      <c r="W835" s="89"/>
      <c r="X835" s="89"/>
      <c r="Y835" s="89"/>
      <c r="Z835" s="89"/>
      <c r="AA835" s="89"/>
      <c r="AB835" s="89"/>
      <c r="AC835" s="89"/>
      <c r="AD835" s="89"/>
      <c r="AE835" s="89"/>
      <c r="AF835" s="89"/>
      <c r="AG835" s="89"/>
      <c r="AH835" s="89"/>
      <c r="AI835" s="89"/>
      <c r="AJ835" s="89"/>
      <c r="AK835" s="89"/>
      <c r="AL835" s="89"/>
      <c r="AM835" s="89"/>
      <c r="AN835" s="89"/>
      <c r="AO835" s="89"/>
      <c r="AP835" s="89"/>
      <c r="AQ835" s="89"/>
      <c r="AR835" s="89"/>
      <c r="AS835" s="89"/>
      <c r="AT835" s="89"/>
      <c r="AU835" s="89"/>
      <c r="AV835" s="89"/>
      <c r="AW835" s="89"/>
      <c r="AX835" s="89"/>
      <c r="AY835" s="89"/>
      <c r="AZ835" s="89"/>
      <c r="BA835" s="89"/>
      <c r="BB835" s="89"/>
      <c r="BC835" s="89"/>
      <c r="BD835" s="89"/>
      <c r="BE835" s="89"/>
      <c r="BF835" s="89"/>
    </row>
    <row r="836" spans="9:58" x14ac:dyDescent="0.25">
      <c r="I836" s="89"/>
      <c r="J836" s="89"/>
      <c r="K836" s="89"/>
      <c r="L836" s="89"/>
      <c r="M836" s="89"/>
      <c r="N836" s="89"/>
      <c r="O836" s="89"/>
      <c r="P836" s="89"/>
      <c r="Q836" s="89"/>
      <c r="R836" s="89"/>
      <c r="S836" s="89"/>
      <c r="T836" s="89"/>
      <c r="U836" s="89"/>
      <c r="V836" s="89"/>
      <c r="W836" s="89"/>
      <c r="X836" s="89"/>
      <c r="Y836" s="89"/>
      <c r="Z836" s="89"/>
      <c r="AA836" s="89"/>
      <c r="AB836" s="89"/>
      <c r="AC836" s="89"/>
      <c r="AD836" s="89"/>
      <c r="AE836" s="89"/>
      <c r="AF836" s="89"/>
      <c r="AG836" s="89"/>
      <c r="AH836" s="89"/>
      <c r="AI836" s="89"/>
      <c r="AJ836" s="89"/>
      <c r="AK836" s="89"/>
      <c r="AL836" s="89"/>
      <c r="AM836" s="89"/>
      <c r="AN836" s="89"/>
      <c r="AO836" s="89"/>
      <c r="AP836" s="89"/>
      <c r="AQ836" s="89"/>
      <c r="AR836" s="89"/>
      <c r="AS836" s="89"/>
      <c r="AT836" s="89"/>
      <c r="AU836" s="89"/>
      <c r="AV836" s="89"/>
      <c r="AW836" s="89"/>
      <c r="AX836" s="89"/>
      <c r="AY836" s="89"/>
      <c r="AZ836" s="89"/>
      <c r="BA836" s="89"/>
      <c r="BB836" s="89"/>
      <c r="BC836" s="89"/>
      <c r="BD836" s="89"/>
      <c r="BE836" s="89"/>
      <c r="BF836" s="89"/>
    </row>
    <row r="837" spans="9:58" x14ac:dyDescent="0.25">
      <c r="I837" s="89"/>
      <c r="J837" s="89"/>
      <c r="K837" s="89"/>
      <c r="L837" s="89"/>
      <c r="M837" s="89"/>
      <c r="N837" s="89"/>
      <c r="O837" s="89"/>
      <c r="P837" s="89"/>
      <c r="Q837" s="89"/>
      <c r="R837" s="89"/>
      <c r="S837" s="89"/>
      <c r="T837" s="89"/>
      <c r="U837" s="89"/>
      <c r="V837" s="89"/>
      <c r="W837" s="89"/>
      <c r="X837" s="89"/>
      <c r="Y837" s="89"/>
      <c r="Z837" s="89"/>
      <c r="AA837" s="89"/>
      <c r="AB837" s="89"/>
      <c r="AC837" s="89"/>
      <c r="AD837" s="89"/>
      <c r="AE837" s="89"/>
      <c r="AF837" s="89"/>
      <c r="AG837" s="89"/>
      <c r="AH837" s="89"/>
      <c r="AI837" s="89"/>
      <c r="AJ837" s="89"/>
      <c r="AK837" s="89"/>
      <c r="AL837" s="89"/>
      <c r="AM837" s="89"/>
      <c r="AN837" s="89"/>
      <c r="AO837" s="89"/>
      <c r="AP837" s="89"/>
      <c r="AQ837" s="89"/>
      <c r="AR837" s="89"/>
      <c r="AS837" s="89"/>
      <c r="AT837" s="89"/>
      <c r="AU837" s="89"/>
      <c r="AV837" s="89"/>
      <c r="AW837" s="89"/>
      <c r="AX837" s="89"/>
      <c r="AY837" s="89"/>
      <c r="AZ837" s="89"/>
      <c r="BA837" s="89"/>
      <c r="BB837" s="89"/>
      <c r="BC837" s="89"/>
      <c r="BD837" s="89"/>
      <c r="BE837" s="89"/>
      <c r="BF837" s="89"/>
    </row>
    <row r="838" spans="9:58" x14ac:dyDescent="0.25">
      <c r="I838" s="89"/>
      <c r="J838" s="89"/>
      <c r="K838" s="89"/>
      <c r="L838" s="89"/>
      <c r="M838" s="89"/>
      <c r="N838" s="89"/>
      <c r="O838" s="89"/>
      <c r="P838" s="89"/>
      <c r="Q838" s="89"/>
      <c r="R838" s="89"/>
      <c r="S838" s="89"/>
      <c r="T838" s="89"/>
      <c r="U838" s="89"/>
      <c r="V838" s="89"/>
      <c r="W838" s="89"/>
      <c r="X838" s="89"/>
      <c r="Y838" s="89"/>
      <c r="Z838" s="89"/>
      <c r="AA838" s="89"/>
      <c r="AB838" s="89"/>
      <c r="AC838" s="89"/>
      <c r="AD838" s="89"/>
      <c r="AE838" s="89"/>
      <c r="AF838" s="89"/>
      <c r="AG838" s="89"/>
      <c r="AH838" s="89"/>
      <c r="AI838" s="89"/>
      <c r="AJ838" s="89"/>
      <c r="AK838" s="89"/>
      <c r="AL838" s="89"/>
      <c r="AM838" s="89"/>
      <c r="AN838" s="89"/>
      <c r="AO838" s="89"/>
      <c r="AP838" s="89"/>
      <c r="AQ838" s="89"/>
      <c r="AR838" s="89"/>
      <c r="AS838" s="89"/>
      <c r="AT838" s="89"/>
      <c r="AU838" s="89"/>
      <c r="AV838" s="89"/>
      <c r="AW838" s="89"/>
      <c r="AX838" s="89"/>
      <c r="AY838" s="89"/>
      <c r="AZ838" s="89"/>
      <c r="BA838" s="89"/>
      <c r="BB838" s="89"/>
      <c r="BC838" s="89"/>
      <c r="BD838" s="89"/>
      <c r="BE838" s="89"/>
      <c r="BF838" s="89"/>
    </row>
    <row r="839" spans="9:58" x14ac:dyDescent="0.25">
      <c r="I839" s="89"/>
      <c r="J839" s="89"/>
      <c r="K839" s="89"/>
      <c r="L839" s="89"/>
      <c r="M839" s="89"/>
      <c r="N839" s="89"/>
      <c r="O839" s="89"/>
      <c r="P839" s="89"/>
      <c r="Q839" s="89"/>
      <c r="R839" s="89"/>
      <c r="S839" s="89"/>
      <c r="T839" s="89"/>
      <c r="U839" s="89"/>
      <c r="V839" s="89"/>
      <c r="W839" s="89"/>
      <c r="X839" s="89"/>
      <c r="Y839" s="89"/>
      <c r="Z839" s="89"/>
      <c r="AA839" s="89"/>
      <c r="AB839" s="89"/>
      <c r="AC839" s="89"/>
      <c r="AD839" s="89"/>
      <c r="AE839" s="89"/>
      <c r="AF839" s="89"/>
      <c r="AG839" s="89"/>
      <c r="AH839" s="89"/>
      <c r="AI839" s="89"/>
      <c r="AJ839" s="89"/>
      <c r="AK839" s="89"/>
      <c r="AL839" s="89"/>
      <c r="AM839" s="89"/>
      <c r="AN839" s="89"/>
      <c r="AO839" s="89"/>
      <c r="AP839" s="89"/>
      <c r="AQ839" s="89"/>
      <c r="AR839" s="89"/>
      <c r="AS839" s="89"/>
      <c r="AT839" s="89"/>
      <c r="AU839" s="89"/>
      <c r="AV839" s="89"/>
      <c r="AW839" s="89"/>
      <c r="AX839" s="89"/>
      <c r="AY839" s="89"/>
      <c r="AZ839" s="89"/>
      <c r="BA839" s="89"/>
      <c r="BB839" s="89"/>
      <c r="BC839" s="89"/>
      <c r="BD839" s="89"/>
      <c r="BE839" s="89"/>
      <c r="BF839" s="89"/>
    </row>
    <row r="840" spans="9:58" x14ac:dyDescent="0.25">
      <c r="I840" s="89"/>
      <c r="J840" s="89"/>
      <c r="K840" s="89"/>
      <c r="L840" s="89"/>
      <c r="M840" s="89"/>
      <c r="N840" s="89"/>
      <c r="O840" s="89"/>
      <c r="P840" s="89"/>
      <c r="Q840" s="89"/>
      <c r="R840" s="89"/>
      <c r="S840" s="89"/>
      <c r="T840" s="89"/>
      <c r="U840" s="89"/>
      <c r="V840" s="89"/>
      <c r="W840" s="89"/>
      <c r="X840" s="89"/>
      <c r="Y840" s="89"/>
      <c r="Z840" s="89"/>
      <c r="AA840" s="89"/>
      <c r="AB840" s="89"/>
      <c r="AC840" s="89"/>
      <c r="AD840" s="89"/>
      <c r="AE840" s="89"/>
      <c r="AF840" s="89"/>
      <c r="AG840" s="89"/>
      <c r="AH840" s="89"/>
      <c r="AI840" s="89"/>
      <c r="AJ840" s="89"/>
      <c r="AK840" s="89"/>
      <c r="AL840" s="89"/>
      <c r="AM840" s="89"/>
      <c r="AN840" s="89"/>
      <c r="AO840" s="89"/>
      <c r="AP840" s="89"/>
      <c r="AQ840" s="89"/>
      <c r="AR840" s="89"/>
      <c r="AS840" s="89"/>
      <c r="AT840" s="89"/>
      <c r="AU840" s="89"/>
      <c r="AV840" s="89"/>
      <c r="AW840" s="89"/>
      <c r="AX840" s="89"/>
      <c r="AY840" s="89"/>
      <c r="AZ840" s="89"/>
      <c r="BA840" s="89"/>
      <c r="BB840" s="89"/>
      <c r="BC840" s="89"/>
      <c r="BD840" s="89"/>
      <c r="BE840" s="89"/>
      <c r="BF840" s="89"/>
    </row>
    <row r="841" spans="9:58" x14ac:dyDescent="0.25">
      <c r="I841" s="89"/>
      <c r="J841" s="89"/>
      <c r="K841" s="89"/>
      <c r="L841" s="89"/>
      <c r="M841" s="89"/>
      <c r="N841" s="89"/>
      <c r="O841" s="89"/>
      <c r="P841" s="89"/>
      <c r="Q841" s="89"/>
      <c r="R841" s="89"/>
      <c r="S841" s="89"/>
      <c r="T841" s="89"/>
      <c r="U841" s="89"/>
      <c r="V841" s="89"/>
      <c r="W841" s="89"/>
      <c r="X841" s="89"/>
      <c r="Y841" s="89"/>
      <c r="Z841" s="89"/>
      <c r="AA841" s="89"/>
      <c r="AB841" s="89"/>
      <c r="AC841" s="89"/>
      <c r="AD841" s="89"/>
      <c r="AE841" s="89"/>
      <c r="AF841" s="89"/>
      <c r="AG841" s="89"/>
      <c r="AH841" s="89"/>
      <c r="AI841" s="89"/>
      <c r="AJ841" s="89"/>
      <c r="AK841" s="89"/>
      <c r="AL841" s="89"/>
      <c r="AM841" s="89"/>
      <c r="AN841" s="89"/>
      <c r="AO841" s="89"/>
      <c r="AP841" s="89"/>
      <c r="AQ841" s="89"/>
      <c r="AR841" s="89"/>
      <c r="AS841" s="89"/>
      <c r="AT841" s="89"/>
      <c r="AU841" s="89"/>
      <c r="AV841" s="89"/>
      <c r="AW841" s="89"/>
      <c r="AX841" s="89"/>
      <c r="AY841" s="89"/>
      <c r="AZ841" s="89"/>
      <c r="BA841" s="89"/>
      <c r="BB841" s="89"/>
      <c r="BC841" s="89"/>
      <c r="BD841" s="89"/>
      <c r="BE841" s="89"/>
      <c r="BF841" s="89"/>
    </row>
    <row r="842" spans="9:58" x14ac:dyDescent="0.25">
      <c r="I842" s="89"/>
      <c r="J842" s="89"/>
      <c r="K842" s="89"/>
      <c r="L842" s="89"/>
      <c r="M842" s="89"/>
      <c r="N842" s="89"/>
      <c r="O842" s="89"/>
      <c r="P842" s="89"/>
      <c r="Q842" s="89"/>
      <c r="R842" s="89"/>
      <c r="S842" s="89"/>
      <c r="T842" s="89"/>
      <c r="U842" s="89"/>
      <c r="V842" s="89"/>
      <c r="W842" s="89"/>
      <c r="X842" s="89"/>
      <c r="Y842" s="89"/>
      <c r="Z842" s="89"/>
      <c r="AA842" s="89"/>
      <c r="AB842" s="89"/>
      <c r="AC842" s="89"/>
      <c r="AD842" s="89"/>
      <c r="AE842" s="89"/>
      <c r="AF842" s="89"/>
      <c r="AG842" s="89"/>
      <c r="AH842" s="89"/>
      <c r="AI842" s="89"/>
      <c r="AJ842" s="89"/>
      <c r="AK842" s="89"/>
      <c r="AL842" s="89"/>
      <c r="AM842" s="89"/>
      <c r="AN842" s="89"/>
      <c r="AO842" s="89"/>
      <c r="AP842" s="89"/>
      <c r="AQ842" s="89"/>
      <c r="AR842" s="89"/>
      <c r="AS842" s="89"/>
      <c r="AT842" s="89"/>
      <c r="AU842" s="89"/>
      <c r="AV842" s="89"/>
      <c r="AW842" s="89"/>
      <c r="AX842" s="89"/>
      <c r="AY842" s="89"/>
      <c r="AZ842" s="89"/>
      <c r="BA842" s="89"/>
      <c r="BB842" s="89"/>
      <c r="BC842" s="89"/>
      <c r="BD842" s="89"/>
      <c r="BE842" s="89"/>
      <c r="BF842" s="89"/>
    </row>
    <row r="843" spans="9:58" x14ac:dyDescent="0.25">
      <c r="I843" s="89"/>
      <c r="J843" s="89"/>
      <c r="K843" s="89"/>
      <c r="L843" s="89"/>
      <c r="M843" s="89"/>
      <c r="N843" s="89"/>
      <c r="O843" s="89"/>
      <c r="P843" s="89"/>
      <c r="Q843" s="89"/>
      <c r="R843" s="89"/>
      <c r="S843" s="89"/>
      <c r="T843" s="89"/>
      <c r="U843" s="89"/>
      <c r="V843" s="89"/>
      <c r="W843" s="89"/>
      <c r="X843" s="89"/>
      <c r="Y843" s="89"/>
      <c r="Z843" s="89"/>
      <c r="AA843" s="89"/>
      <c r="AB843" s="89"/>
      <c r="AC843" s="89"/>
      <c r="AD843" s="89"/>
      <c r="AE843" s="89"/>
      <c r="AF843" s="89"/>
      <c r="AG843" s="89"/>
      <c r="AH843" s="89"/>
      <c r="AI843" s="89"/>
      <c r="AJ843" s="89"/>
      <c r="AK843" s="89"/>
      <c r="AL843" s="89"/>
      <c r="AM843" s="89"/>
      <c r="AN843" s="89"/>
      <c r="AO843" s="89"/>
      <c r="AP843" s="89"/>
      <c r="AQ843" s="89"/>
      <c r="AR843" s="89"/>
      <c r="AS843" s="89"/>
      <c r="AT843" s="89"/>
      <c r="AU843" s="89"/>
      <c r="AV843" s="89"/>
      <c r="AW843" s="89"/>
      <c r="AX843" s="89"/>
      <c r="AY843" s="89"/>
      <c r="AZ843" s="89"/>
      <c r="BA843" s="89"/>
      <c r="BB843" s="89"/>
      <c r="BC843" s="89"/>
      <c r="BD843" s="89"/>
      <c r="BE843" s="89"/>
      <c r="BF843" s="89"/>
    </row>
    <row r="844" spans="9:58" x14ac:dyDescent="0.25">
      <c r="I844" s="89"/>
      <c r="J844" s="89"/>
      <c r="K844" s="89"/>
      <c r="L844" s="89"/>
      <c r="M844" s="89"/>
      <c r="N844" s="89"/>
      <c r="O844" s="89"/>
      <c r="P844" s="89"/>
      <c r="Q844" s="89"/>
      <c r="R844" s="89"/>
      <c r="S844" s="89"/>
      <c r="T844" s="89"/>
      <c r="U844" s="89"/>
      <c r="V844" s="89"/>
      <c r="W844" s="89"/>
      <c r="X844" s="89"/>
      <c r="Y844" s="89"/>
      <c r="Z844" s="89"/>
      <c r="AA844" s="89"/>
      <c r="AB844" s="89"/>
      <c r="AC844" s="89"/>
      <c r="AD844" s="89"/>
      <c r="AE844" s="89"/>
      <c r="AF844" s="89"/>
      <c r="AG844" s="89"/>
      <c r="AH844" s="89"/>
      <c r="AI844" s="89"/>
      <c r="AJ844" s="89"/>
      <c r="AK844" s="89"/>
      <c r="AL844" s="89"/>
      <c r="AM844" s="89"/>
      <c r="AN844" s="89"/>
      <c r="AO844" s="89"/>
      <c r="AP844" s="89"/>
      <c r="AQ844" s="89"/>
      <c r="AR844" s="89"/>
      <c r="AS844" s="89"/>
      <c r="AT844" s="89"/>
      <c r="AU844" s="89"/>
      <c r="AV844" s="89"/>
      <c r="AW844" s="89"/>
      <c r="AX844" s="89"/>
      <c r="AY844" s="89"/>
      <c r="AZ844" s="89"/>
      <c r="BA844" s="89"/>
      <c r="BB844" s="89"/>
      <c r="BC844" s="89"/>
      <c r="BD844" s="89"/>
      <c r="BE844" s="89"/>
      <c r="BF844" s="89"/>
    </row>
    <row r="845" spans="9:58" x14ac:dyDescent="0.25">
      <c r="I845" s="89"/>
      <c r="J845" s="89"/>
      <c r="K845" s="89"/>
      <c r="L845" s="89"/>
      <c r="M845" s="89"/>
      <c r="N845" s="89"/>
      <c r="O845" s="89"/>
      <c r="P845" s="89"/>
      <c r="Q845" s="89"/>
      <c r="R845" s="89"/>
      <c r="S845" s="89"/>
      <c r="T845" s="89"/>
      <c r="U845" s="89"/>
      <c r="V845" s="89"/>
      <c r="W845" s="89"/>
      <c r="X845" s="89"/>
      <c r="Y845" s="89"/>
      <c r="Z845" s="89"/>
      <c r="AA845" s="89"/>
      <c r="AB845" s="89"/>
      <c r="AC845" s="89"/>
      <c r="AD845" s="89"/>
      <c r="AE845" s="89"/>
      <c r="AF845" s="89"/>
      <c r="AG845" s="89"/>
      <c r="AH845" s="89"/>
      <c r="AI845" s="89"/>
      <c r="AJ845" s="89"/>
      <c r="AK845" s="89"/>
      <c r="AL845" s="89"/>
      <c r="AM845" s="89"/>
      <c r="AN845" s="89"/>
      <c r="AO845" s="89"/>
      <c r="AP845" s="89"/>
      <c r="AQ845" s="89"/>
      <c r="AR845" s="89"/>
      <c r="AS845" s="89"/>
      <c r="AT845" s="89"/>
      <c r="AU845" s="89"/>
      <c r="AV845" s="89"/>
      <c r="AW845" s="89"/>
      <c r="AX845" s="89"/>
      <c r="AY845" s="89"/>
      <c r="AZ845" s="89"/>
      <c r="BA845" s="89"/>
      <c r="BB845" s="89"/>
      <c r="BC845" s="89"/>
      <c r="BD845" s="89"/>
      <c r="BE845" s="89"/>
      <c r="BF845" s="89"/>
    </row>
    <row r="846" spans="9:58" x14ac:dyDescent="0.25">
      <c r="I846" s="89"/>
      <c r="J846" s="89"/>
      <c r="K846" s="89"/>
      <c r="L846" s="89"/>
      <c r="M846" s="89"/>
      <c r="N846" s="89"/>
      <c r="O846" s="89"/>
      <c r="P846" s="89"/>
      <c r="Q846" s="89"/>
      <c r="R846" s="89"/>
      <c r="S846" s="89"/>
      <c r="T846" s="89"/>
      <c r="U846" s="89"/>
      <c r="V846" s="89"/>
      <c r="W846" s="89"/>
      <c r="X846" s="89"/>
      <c r="Y846" s="89"/>
      <c r="Z846" s="89"/>
      <c r="AA846" s="89"/>
      <c r="AB846" s="89"/>
      <c r="AC846" s="89"/>
      <c r="AD846" s="89"/>
      <c r="AE846" s="89"/>
      <c r="AF846" s="89"/>
      <c r="AG846" s="89"/>
      <c r="AH846" s="89"/>
      <c r="AI846" s="89"/>
      <c r="AJ846" s="89"/>
      <c r="AK846" s="89"/>
      <c r="AL846" s="89"/>
      <c r="AM846" s="89"/>
      <c r="AN846" s="89"/>
      <c r="AO846" s="89"/>
      <c r="AP846" s="89"/>
      <c r="AQ846" s="89"/>
      <c r="AR846" s="89"/>
      <c r="AS846" s="89"/>
      <c r="AT846" s="89"/>
      <c r="AU846" s="89"/>
      <c r="AV846" s="89"/>
      <c r="AW846" s="89"/>
      <c r="AX846" s="89"/>
      <c r="AY846" s="89"/>
      <c r="AZ846" s="89"/>
      <c r="BA846" s="89"/>
      <c r="BB846" s="89"/>
      <c r="BC846" s="89"/>
      <c r="BD846" s="89"/>
      <c r="BE846" s="89"/>
      <c r="BF846" s="89"/>
    </row>
    <row r="847" spans="9:58" x14ac:dyDescent="0.25">
      <c r="I847" s="89"/>
      <c r="J847" s="89"/>
      <c r="K847" s="89"/>
      <c r="L847" s="89"/>
      <c r="M847" s="89"/>
      <c r="N847" s="89"/>
      <c r="O847" s="89"/>
      <c r="P847" s="89"/>
      <c r="Q847" s="89"/>
      <c r="R847" s="89"/>
      <c r="S847" s="89"/>
      <c r="T847" s="89"/>
      <c r="U847" s="89"/>
      <c r="V847" s="89"/>
      <c r="W847" s="89"/>
      <c r="X847" s="89"/>
      <c r="Y847" s="89"/>
      <c r="Z847" s="89"/>
      <c r="AA847" s="89"/>
      <c r="AB847" s="89"/>
      <c r="AC847" s="89"/>
      <c r="AD847" s="89"/>
      <c r="AE847" s="89"/>
      <c r="AF847" s="89"/>
      <c r="AG847" s="89"/>
      <c r="AH847" s="89"/>
      <c r="AI847" s="89"/>
      <c r="AJ847" s="89"/>
      <c r="AK847" s="89"/>
      <c r="AL847" s="89"/>
      <c r="AM847" s="89"/>
      <c r="AN847" s="89"/>
      <c r="AO847" s="89"/>
      <c r="AP847" s="89"/>
      <c r="AQ847" s="89"/>
      <c r="AR847" s="89"/>
      <c r="AS847" s="89"/>
      <c r="AT847" s="89"/>
      <c r="AU847" s="89"/>
      <c r="AV847" s="89"/>
      <c r="AW847" s="89"/>
      <c r="AX847" s="89"/>
      <c r="AY847" s="89"/>
      <c r="AZ847" s="89"/>
      <c r="BA847" s="89"/>
      <c r="BB847" s="89"/>
      <c r="BC847" s="89"/>
      <c r="BD847" s="89"/>
      <c r="BE847" s="89"/>
      <c r="BF847" s="89"/>
    </row>
    <row r="848" spans="9:58" x14ac:dyDescent="0.25">
      <c r="I848" s="89"/>
      <c r="J848" s="89"/>
      <c r="K848" s="89"/>
      <c r="L848" s="89"/>
      <c r="M848" s="89"/>
      <c r="N848" s="89"/>
      <c r="O848" s="89"/>
      <c r="P848" s="89"/>
      <c r="Q848" s="89"/>
      <c r="R848" s="89"/>
      <c r="S848" s="89"/>
      <c r="T848" s="89"/>
      <c r="U848" s="89"/>
      <c r="V848" s="89"/>
      <c r="W848" s="89"/>
      <c r="X848" s="89"/>
      <c r="Y848" s="89"/>
      <c r="Z848" s="89"/>
      <c r="AA848" s="89"/>
      <c r="AB848" s="89"/>
      <c r="AC848" s="89"/>
      <c r="AD848" s="89"/>
      <c r="AE848" s="89"/>
      <c r="AF848" s="89"/>
      <c r="AG848" s="89"/>
      <c r="AH848" s="89"/>
      <c r="AI848" s="89"/>
      <c r="AJ848" s="89"/>
      <c r="AK848" s="89"/>
      <c r="AL848" s="89"/>
      <c r="AM848" s="89"/>
      <c r="AN848" s="89"/>
      <c r="AO848" s="89"/>
      <c r="AP848" s="89"/>
      <c r="AQ848" s="89"/>
      <c r="AR848" s="89"/>
      <c r="AS848" s="89"/>
      <c r="AT848" s="89"/>
      <c r="AU848" s="89"/>
      <c r="AV848" s="89"/>
      <c r="AW848" s="89"/>
      <c r="AX848" s="89"/>
      <c r="AY848" s="89"/>
      <c r="AZ848" s="89"/>
      <c r="BA848" s="89"/>
      <c r="BB848" s="89"/>
      <c r="BC848" s="89"/>
      <c r="BD848" s="89"/>
      <c r="BE848" s="89"/>
      <c r="BF848" s="89"/>
    </row>
    <row r="849" spans="9:58" x14ac:dyDescent="0.25">
      <c r="I849" s="89"/>
      <c r="J849" s="89"/>
      <c r="K849" s="89"/>
      <c r="L849" s="89"/>
      <c r="M849" s="89"/>
      <c r="N849" s="89"/>
      <c r="O849" s="89"/>
      <c r="P849" s="89"/>
      <c r="Q849" s="89"/>
      <c r="R849" s="89"/>
      <c r="S849" s="89"/>
      <c r="T849" s="89"/>
      <c r="U849" s="89"/>
      <c r="V849" s="89"/>
      <c r="W849" s="89"/>
      <c r="X849" s="89"/>
      <c r="Y849" s="89"/>
      <c r="Z849" s="89"/>
      <c r="AA849" s="89"/>
      <c r="AB849" s="89"/>
      <c r="AC849" s="89"/>
      <c r="AD849" s="89"/>
      <c r="AE849" s="89"/>
      <c r="AF849" s="89"/>
      <c r="AG849" s="89"/>
      <c r="AH849" s="89"/>
      <c r="AI849" s="89"/>
      <c r="AJ849" s="89"/>
      <c r="AK849" s="89"/>
      <c r="AL849" s="89"/>
      <c r="AM849" s="89"/>
      <c r="AN849" s="89"/>
      <c r="AO849" s="89"/>
      <c r="AP849" s="89"/>
      <c r="AQ849" s="89"/>
      <c r="AR849" s="89"/>
      <c r="AS849" s="89"/>
      <c r="AT849" s="89"/>
      <c r="AU849" s="89"/>
      <c r="AV849" s="89"/>
      <c r="AW849" s="89"/>
      <c r="AX849" s="89"/>
      <c r="AY849" s="89"/>
      <c r="AZ849" s="89"/>
      <c r="BA849" s="89"/>
      <c r="BB849" s="89"/>
      <c r="BC849" s="89"/>
      <c r="BD849" s="89"/>
      <c r="BE849" s="89"/>
      <c r="BF849" s="89"/>
    </row>
    <row r="850" spans="9:58" x14ac:dyDescent="0.25">
      <c r="I850" s="89"/>
      <c r="J850" s="89"/>
      <c r="K850" s="89"/>
      <c r="L850" s="89"/>
      <c r="M850" s="89"/>
      <c r="N850" s="89"/>
      <c r="O850" s="89"/>
      <c r="P850" s="89"/>
      <c r="Q850" s="89"/>
      <c r="R850" s="89"/>
      <c r="S850" s="89"/>
      <c r="T850" s="89"/>
      <c r="U850" s="89"/>
      <c r="V850" s="89"/>
      <c r="W850" s="89"/>
      <c r="X850" s="89"/>
      <c r="Y850" s="89"/>
      <c r="Z850" s="89"/>
      <c r="AA850" s="89"/>
      <c r="AB850" s="89"/>
      <c r="AC850" s="89"/>
      <c r="AD850" s="89"/>
      <c r="AE850" s="89"/>
      <c r="AF850" s="89"/>
      <c r="AG850" s="89"/>
      <c r="AH850" s="89"/>
      <c r="AI850" s="89"/>
      <c r="AJ850" s="89"/>
      <c r="AK850" s="89"/>
      <c r="AL850" s="89"/>
      <c r="AM850" s="89"/>
      <c r="AN850" s="89"/>
      <c r="AO850" s="89"/>
      <c r="AP850" s="89"/>
      <c r="AQ850" s="89"/>
      <c r="AR850" s="89"/>
      <c r="AS850" s="89"/>
      <c r="AT850" s="89"/>
      <c r="AU850" s="89"/>
      <c r="AV850" s="89"/>
      <c r="AW850" s="89"/>
      <c r="AX850" s="89"/>
      <c r="AY850" s="89"/>
      <c r="AZ850" s="89"/>
      <c r="BA850" s="89"/>
      <c r="BB850" s="89"/>
      <c r="BC850" s="89"/>
      <c r="BD850" s="89"/>
      <c r="BE850" s="89"/>
      <c r="BF850" s="89"/>
    </row>
    <row r="851" spans="9:58" x14ac:dyDescent="0.25">
      <c r="I851" s="89"/>
      <c r="J851" s="89"/>
      <c r="K851" s="89"/>
      <c r="L851" s="89"/>
      <c r="M851" s="89"/>
      <c r="N851" s="89"/>
      <c r="O851" s="89"/>
      <c r="P851" s="89"/>
      <c r="Q851" s="89"/>
      <c r="R851" s="89"/>
      <c r="S851" s="89"/>
      <c r="T851" s="89"/>
      <c r="U851" s="89"/>
      <c r="V851" s="89"/>
      <c r="W851" s="89"/>
      <c r="X851" s="89"/>
      <c r="Y851" s="89"/>
      <c r="Z851" s="89"/>
      <c r="AA851" s="89"/>
      <c r="AB851" s="89"/>
      <c r="AC851" s="89"/>
      <c r="AD851" s="89"/>
      <c r="AE851" s="89"/>
      <c r="AF851" s="89"/>
      <c r="AG851" s="89"/>
      <c r="AH851" s="89"/>
      <c r="AI851" s="89"/>
      <c r="AJ851" s="89"/>
      <c r="AK851" s="89"/>
      <c r="AL851" s="89"/>
      <c r="AM851" s="89"/>
      <c r="AN851" s="89"/>
      <c r="AO851" s="89"/>
      <c r="AP851" s="89"/>
      <c r="AQ851" s="89"/>
      <c r="AR851" s="89"/>
      <c r="AS851" s="89"/>
      <c r="AT851" s="89"/>
      <c r="AU851" s="89"/>
      <c r="AV851" s="89"/>
      <c r="AW851" s="89"/>
      <c r="AX851" s="89"/>
      <c r="AY851" s="89"/>
      <c r="AZ851" s="89"/>
      <c r="BA851" s="89"/>
      <c r="BB851" s="89"/>
      <c r="BC851" s="89"/>
      <c r="BD851" s="89"/>
      <c r="BE851" s="89"/>
      <c r="BF851" s="89"/>
    </row>
    <row r="852" spans="9:58" x14ac:dyDescent="0.25">
      <c r="I852" s="89"/>
      <c r="J852" s="89"/>
      <c r="K852" s="89"/>
      <c r="L852" s="89"/>
      <c r="M852" s="89"/>
      <c r="N852" s="89"/>
      <c r="O852" s="89"/>
      <c r="P852" s="89"/>
      <c r="Q852" s="89"/>
      <c r="R852" s="89"/>
      <c r="S852" s="89"/>
      <c r="T852" s="89"/>
      <c r="U852" s="89"/>
      <c r="V852" s="89"/>
      <c r="W852" s="89"/>
      <c r="X852" s="89"/>
      <c r="Y852" s="89"/>
      <c r="Z852" s="89"/>
      <c r="AA852" s="89"/>
      <c r="AB852" s="89"/>
      <c r="AC852" s="89"/>
      <c r="AD852" s="89"/>
      <c r="AE852" s="89"/>
      <c r="AF852" s="89"/>
      <c r="AG852" s="89"/>
      <c r="AH852" s="89"/>
      <c r="AI852" s="89"/>
      <c r="AJ852" s="89"/>
      <c r="AK852" s="89"/>
      <c r="AL852" s="89"/>
      <c r="AM852" s="89"/>
      <c r="AN852" s="89"/>
      <c r="AO852" s="89"/>
      <c r="AP852" s="89"/>
      <c r="AQ852" s="89"/>
      <c r="AR852" s="89"/>
      <c r="AS852" s="89"/>
      <c r="AT852" s="89"/>
      <c r="AU852" s="89"/>
      <c r="AV852" s="89"/>
      <c r="AW852" s="89"/>
      <c r="AX852" s="89"/>
      <c r="AY852" s="89"/>
      <c r="AZ852" s="89"/>
      <c r="BA852" s="89"/>
      <c r="BB852" s="89"/>
      <c r="BC852" s="89"/>
      <c r="BD852" s="89"/>
      <c r="BE852" s="89"/>
      <c r="BF852" s="89"/>
    </row>
    <row r="853" spans="9:58" x14ac:dyDescent="0.25">
      <c r="I853" s="89"/>
      <c r="J853" s="89"/>
      <c r="K853" s="89"/>
      <c r="L853" s="89"/>
      <c r="M853" s="89"/>
      <c r="N853" s="89"/>
      <c r="O853" s="89"/>
      <c r="P853" s="89"/>
      <c r="Q853" s="89"/>
      <c r="R853" s="89"/>
      <c r="S853" s="89"/>
      <c r="T853" s="89"/>
      <c r="U853" s="89"/>
      <c r="V853" s="89"/>
      <c r="W853" s="89"/>
      <c r="X853" s="89"/>
      <c r="Y853" s="89"/>
      <c r="Z853" s="89"/>
      <c r="AA853" s="89"/>
      <c r="AB853" s="89"/>
      <c r="AC853" s="89"/>
      <c r="AD853" s="89"/>
      <c r="AE853" s="89"/>
      <c r="AF853" s="89"/>
      <c r="AG853" s="89"/>
      <c r="AH853" s="89"/>
      <c r="AI853" s="89"/>
      <c r="AJ853" s="89"/>
      <c r="AK853" s="89"/>
      <c r="AL853" s="89"/>
      <c r="AM853" s="89"/>
      <c r="AN853" s="89"/>
      <c r="AO853" s="89"/>
      <c r="AP853" s="89"/>
      <c r="AQ853" s="89"/>
      <c r="AR853" s="89"/>
      <c r="AS853" s="89"/>
      <c r="AT853" s="89"/>
      <c r="AU853" s="89"/>
      <c r="AV853" s="89"/>
      <c r="AW853" s="89"/>
      <c r="AX853" s="89"/>
      <c r="AY853" s="89"/>
      <c r="AZ853" s="89"/>
      <c r="BA853" s="89"/>
      <c r="BB853" s="89"/>
      <c r="BC853" s="89"/>
      <c r="BD853" s="89"/>
      <c r="BE853" s="89"/>
      <c r="BF853" s="89"/>
    </row>
    <row r="854" spans="9:58" x14ac:dyDescent="0.25">
      <c r="I854" s="89"/>
      <c r="J854" s="89"/>
      <c r="K854" s="89"/>
      <c r="L854" s="89"/>
      <c r="M854" s="89"/>
      <c r="N854" s="89"/>
      <c r="O854" s="89"/>
      <c r="P854" s="89"/>
      <c r="Q854" s="89"/>
      <c r="R854" s="89"/>
      <c r="S854" s="89"/>
      <c r="T854" s="89"/>
      <c r="U854" s="89"/>
      <c r="V854" s="89"/>
      <c r="W854" s="89"/>
      <c r="X854" s="89"/>
      <c r="Y854" s="89"/>
      <c r="Z854" s="89"/>
      <c r="AA854" s="89"/>
      <c r="AB854" s="89"/>
      <c r="AC854" s="89"/>
      <c r="AD854" s="89"/>
      <c r="AE854" s="89"/>
      <c r="AF854" s="89"/>
      <c r="AG854" s="89"/>
      <c r="AH854" s="89"/>
      <c r="AI854" s="89"/>
      <c r="AJ854" s="89"/>
      <c r="AK854" s="89"/>
      <c r="AL854" s="89"/>
      <c r="AM854" s="89"/>
      <c r="AN854" s="89"/>
      <c r="AO854" s="89"/>
      <c r="AP854" s="89"/>
      <c r="AQ854" s="89"/>
      <c r="AR854" s="89"/>
      <c r="AS854" s="89"/>
      <c r="AT854" s="89"/>
      <c r="AU854" s="89"/>
      <c r="AV854" s="89"/>
      <c r="AW854" s="89"/>
      <c r="AX854" s="89"/>
      <c r="AY854" s="89"/>
      <c r="AZ854" s="89"/>
      <c r="BA854" s="89"/>
      <c r="BB854" s="89"/>
      <c r="BC854" s="89"/>
      <c r="BD854" s="89"/>
      <c r="BE854" s="89"/>
      <c r="BF854" s="89"/>
    </row>
    <row r="855" spans="9:58" x14ac:dyDescent="0.25">
      <c r="I855" s="89"/>
      <c r="J855" s="89"/>
      <c r="K855" s="89"/>
      <c r="L855" s="89"/>
      <c r="M855" s="89"/>
      <c r="N855" s="89"/>
      <c r="O855" s="89"/>
      <c r="P855" s="89"/>
      <c r="Q855" s="89"/>
      <c r="R855" s="89"/>
      <c r="S855" s="89"/>
      <c r="T855" s="89"/>
      <c r="U855" s="89"/>
      <c r="V855" s="89"/>
      <c r="W855" s="89"/>
      <c r="X855" s="89"/>
      <c r="Y855" s="89"/>
      <c r="Z855" s="89"/>
      <c r="AA855" s="89"/>
      <c r="AB855" s="89"/>
      <c r="AC855" s="89"/>
      <c r="AD855" s="89"/>
      <c r="AE855" s="89"/>
      <c r="AF855" s="89"/>
      <c r="AG855" s="89"/>
      <c r="AH855" s="89"/>
      <c r="AI855" s="89"/>
      <c r="AJ855" s="89"/>
      <c r="AK855" s="89"/>
      <c r="AL855" s="89"/>
      <c r="AM855" s="89"/>
      <c r="AN855" s="89"/>
      <c r="AO855" s="89"/>
      <c r="AP855" s="89"/>
      <c r="AQ855" s="89"/>
      <c r="AR855" s="89"/>
      <c r="AS855" s="89"/>
      <c r="AT855" s="89"/>
      <c r="AU855" s="89"/>
      <c r="AV855" s="89"/>
      <c r="AW855" s="89"/>
      <c r="AX855" s="89"/>
      <c r="AY855" s="89"/>
      <c r="AZ855" s="89"/>
      <c r="BA855" s="89"/>
      <c r="BB855" s="89"/>
      <c r="BC855" s="89"/>
      <c r="BD855" s="89"/>
      <c r="BE855" s="89"/>
      <c r="BF855" s="89"/>
    </row>
    <row r="856" spans="9:58" x14ac:dyDescent="0.25">
      <c r="I856" s="89"/>
      <c r="J856" s="89"/>
      <c r="K856" s="89"/>
      <c r="L856" s="89"/>
      <c r="M856" s="89"/>
      <c r="N856" s="89"/>
      <c r="O856" s="89"/>
      <c r="P856" s="89"/>
      <c r="Q856" s="89"/>
      <c r="R856" s="89"/>
      <c r="S856" s="89"/>
      <c r="T856" s="89"/>
      <c r="U856" s="89"/>
      <c r="V856" s="89"/>
      <c r="W856" s="89"/>
      <c r="X856" s="89"/>
      <c r="Y856" s="89"/>
      <c r="Z856" s="89"/>
      <c r="AA856" s="89"/>
      <c r="AB856" s="89"/>
      <c r="AC856" s="89"/>
      <c r="AD856" s="89"/>
      <c r="AE856" s="89"/>
      <c r="AF856" s="89"/>
      <c r="AG856" s="89"/>
      <c r="AH856" s="89"/>
      <c r="AI856" s="89"/>
      <c r="AJ856" s="89"/>
      <c r="AK856" s="89"/>
      <c r="AL856" s="89"/>
      <c r="AM856" s="89"/>
      <c r="AN856" s="89"/>
      <c r="AO856" s="89"/>
      <c r="AP856" s="89"/>
      <c r="AQ856" s="89"/>
      <c r="AR856" s="89"/>
      <c r="AS856" s="89"/>
      <c r="AT856" s="89"/>
      <c r="AU856" s="89"/>
      <c r="AV856" s="89"/>
      <c r="AW856" s="89"/>
      <c r="AX856" s="89"/>
      <c r="AY856" s="89"/>
      <c r="AZ856" s="89"/>
      <c r="BA856" s="89"/>
      <c r="BB856" s="89"/>
      <c r="BC856" s="89"/>
      <c r="BD856" s="89"/>
      <c r="BE856" s="89"/>
      <c r="BF856" s="89"/>
    </row>
    <row r="857" spans="9:58" x14ac:dyDescent="0.25">
      <c r="I857" s="89"/>
      <c r="J857" s="89"/>
      <c r="K857" s="89"/>
      <c r="L857" s="89"/>
      <c r="M857" s="89"/>
      <c r="N857" s="89"/>
      <c r="O857" s="89"/>
      <c r="P857" s="89"/>
      <c r="Q857" s="89"/>
      <c r="R857" s="89"/>
      <c r="S857" s="89"/>
      <c r="T857" s="89"/>
      <c r="U857" s="89"/>
      <c r="V857" s="89"/>
      <c r="W857" s="89"/>
      <c r="X857" s="89"/>
      <c r="Y857" s="89"/>
      <c r="Z857" s="89"/>
      <c r="AA857" s="89"/>
      <c r="AB857" s="89"/>
      <c r="AC857" s="89"/>
      <c r="AD857" s="89"/>
      <c r="AE857" s="89"/>
      <c r="AF857" s="89"/>
      <c r="AG857" s="89"/>
      <c r="AH857" s="89"/>
      <c r="AI857" s="89"/>
      <c r="AJ857" s="89"/>
      <c r="AK857" s="89"/>
      <c r="AL857" s="89"/>
      <c r="AM857" s="89"/>
      <c r="AN857" s="89"/>
      <c r="AO857" s="89"/>
      <c r="AP857" s="89"/>
      <c r="AQ857" s="89"/>
      <c r="AR857" s="89"/>
      <c r="AS857" s="89"/>
      <c r="AT857" s="89"/>
      <c r="AU857" s="89"/>
      <c r="AV857" s="89"/>
      <c r="AW857" s="89"/>
      <c r="AX857" s="89"/>
      <c r="AY857" s="89"/>
      <c r="AZ857" s="89"/>
      <c r="BA857" s="89"/>
      <c r="BB857" s="89"/>
      <c r="BC857" s="89"/>
      <c r="BD857" s="89"/>
      <c r="BE857" s="89"/>
      <c r="BF857" s="89"/>
    </row>
    <row r="858" spans="9:58" x14ac:dyDescent="0.25">
      <c r="I858" s="89"/>
      <c r="J858" s="89"/>
      <c r="K858" s="89"/>
      <c r="L858" s="89"/>
      <c r="M858" s="89"/>
      <c r="N858" s="89"/>
      <c r="O858" s="89"/>
      <c r="P858" s="89"/>
      <c r="Q858" s="89"/>
      <c r="R858" s="89"/>
      <c r="S858" s="89"/>
      <c r="T858" s="89"/>
      <c r="U858" s="89"/>
      <c r="V858" s="89"/>
      <c r="W858" s="89"/>
      <c r="X858" s="89"/>
      <c r="Y858" s="89"/>
      <c r="Z858" s="89"/>
      <c r="AA858" s="89"/>
      <c r="AB858" s="89"/>
      <c r="AC858" s="89"/>
      <c r="AD858" s="89"/>
      <c r="AE858" s="89"/>
      <c r="AF858" s="89"/>
      <c r="AG858" s="89"/>
      <c r="AH858" s="89"/>
      <c r="AI858" s="89"/>
      <c r="AJ858" s="89"/>
      <c r="AK858" s="89"/>
      <c r="AL858" s="89"/>
      <c r="AM858" s="89"/>
      <c r="AN858" s="89"/>
      <c r="AO858" s="89"/>
      <c r="AP858" s="89"/>
      <c r="AQ858" s="89"/>
      <c r="AR858" s="89"/>
      <c r="AS858" s="89"/>
      <c r="AT858" s="89"/>
      <c r="AU858" s="89"/>
      <c r="AV858" s="89"/>
      <c r="AW858" s="89"/>
      <c r="AX858" s="89"/>
      <c r="AY858" s="89"/>
      <c r="AZ858" s="89"/>
      <c r="BA858" s="89"/>
      <c r="BB858" s="89"/>
      <c r="BC858" s="89"/>
      <c r="BD858" s="89"/>
      <c r="BE858" s="89"/>
      <c r="BF858" s="89"/>
    </row>
    <row r="859" spans="9:58" x14ac:dyDescent="0.25">
      <c r="I859" s="89"/>
      <c r="J859" s="89"/>
      <c r="K859" s="89"/>
      <c r="L859" s="89"/>
      <c r="M859" s="89"/>
      <c r="N859" s="89"/>
      <c r="O859" s="89"/>
      <c r="P859" s="89"/>
      <c r="Q859" s="89"/>
      <c r="R859" s="89"/>
      <c r="S859" s="89"/>
      <c r="T859" s="89"/>
      <c r="U859" s="89"/>
      <c r="V859" s="89"/>
      <c r="W859" s="89"/>
      <c r="X859" s="89"/>
      <c r="Y859" s="89"/>
      <c r="Z859" s="89"/>
      <c r="AA859" s="89"/>
      <c r="AB859" s="89"/>
      <c r="AC859" s="89"/>
      <c r="AD859" s="89"/>
      <c r="AE859" s="89"/>
      <c r="AF859" s="89"/>
      <c r="AG859" s="89"/>
      <c r="AH859" s="89"/>
      <c r="AI859" s="89"/>
      <c r="AJ859" s="89"/>
      <c r="AK859" s="89"/>
      <c r="AL859" s="89"/>
      <c r="AM859" s="89"/>
      <c r="AN859" s="89"/>
      <c r="AO859" s="89"/>
      <c r="AP859" s="89"/>
      <c r="AQ859" s="89"/>
      <c r="AR859" s="89"/>
      <c r="AS859" s="89"/>
      <c r="AT859" s="89"/>
      <c r="AU859" s="89"/>
      <c r="AV859" s="89"/>
      <c r="AW859" s="89"/>
      <c r="AX859" s="89"/>
      <c r="AY859" s="89"/>
      <c r="AZ859" s="89"/>
      <c r="BA859" s="89"/>
      <c r="BB859" s="89"/>
      <c r="BC859" s="89"/>
      <c r="BD859" s="89"/>
      <c r="BE859" s="89"/>
      <c r="BF859" s="89"/>
    </row>
    <row r="860" spans="9:58" x14ac:dyDescent="0.25">
      <c r="I860" s="89"/>
      <c r="J860" s="89"/>
      <c r="K860" s="89"/>
      <c r="L860" s="89"/>
      <c r="M860" s="89"/>
      <c r="N860" s="89"/>
      <c r="O860" s="89"/>
      <c r="P860" s="89"/>
      <c r="Q860" s="89"/>
      <c r="R860" s="89"/>
      <c r="S860" s="89"/>
      <c r="T860" s="89"/>
      <c r="U860" s="89"/>
      <c r="V860" s="89"/>
      <c r="W860" s="89"/>
      <c r="X860" s="89"/>
      <c r="Y860" s="89"/>
      <c r="Z860" s="89"/>
      <c r="AA860" s="89"/>
      <c r="AB860" s="89"/>
      <c r="AC860" s="89"/>
      <c r="AD860" s="89"/>
      <c r="AE860" s="89"/>
      <c r="AF860" s="89"/>
      <c r="AG860" s="89"/>
      <c r="AH860" s="89"/>
      <c r="AI860" s="89"/>
      <c r="AJ860" s="89"/>
      <c r="AK860" s="89"/>
      <c r="AL860" s="89"/>
      <c r="AM860" s="89"/>
      <c r="AN860" s="89"/>
      <c r="AO860" s="89"/>
      <c r="AP860" s="89"/>
      <c r="AQ860" s="89"/>
      <c r="AR860" s="89"/>
      <c r="AS860" s="89"/>
      <c r="AT860" s="89"/>
      <c r="AU860" s="89"/>
      <c r="AV860" s="89"/>
      <c r="AW860" s="89"/>
      <c r="AX860" s="89"/>
      <c r="AY860" s="89"/>
      <c r="AZ860" s="89"/>
      <c r="BA860" s="89"/>
      <c r="BB860" s="89"/>
      <c r="BC860" s="89"/>
      <c r="BD860" s="89"/>
      <c r="BE860" s="89"/>
      <c r="BF860" s="89"/>
    </row>
    <row r="861" spans="9:58" x14ac:dyDescent="0.25">
      <c r="I861" s="89"/>
      <c r="J861" s="89"/>
      <c r="K861" s="89"/>
      <c r="L861" s="89"/>
      <c r="M861" s="89"/>
      <c r="N861" s="89"/>
      <c r="O861" s="89"/>
      <c r="P861" s="89"/>
      <c r="Q861" s="89"/>
      <c r="R861" s="89"/>
      <c r="S861" s="89"/>
      <c r="T861" s="89"/>
      <c r="U861" s="89"/>
      <c r="V861" s="89"/>
      <c r="W861" s="89"/>
      <c r="X861" s="89"/>
      <c r="Y861" s="89"/>
      <c r="Z861" s="89"/>
      <c r="AA861" s="89"/>
      <c r="AB861" s="89"/>
      <c r="AC861" s="89"/>
      <c r="AD861" s="89"/>
      <c r="AE861" s="89"/>
      <c r="AF861" s="89"/>
      <c r="AG861" s="89"/>
      <c r="AH861" s="89"/>
      <c r="AI861" s="89"/>
      <c r="AJ861" s="89"/>
      <c r="AK861" s="89"/>
      <c r="AL861" s="89"/>
      <c r="AM861" s="89"/>
      <c r="AN861" s="89"/>
      <c r="AO861" s="89"/>
      <c r="AP861" s="89"/>
      <c r="AQ861" s="89"/>
      <c r="AR861" s="89"/>
      <c r="AS861" s="89"/>
      <c r="AT861" s="89"/>
      <c r="AU861" s="89"/>
      <c r="AV861" s="89"/>
      <c r="AW861" s="89"/>
      <c r="AX861" s="89"/>
      <c r="AY861" s="89"/>
      <c r="AZ861" s="89"/>
      <c r="BA861" s="89"/>
      <c r="BB861" s="89"/>
      <c r="BC861" s="89"/>
      <c r="BD861" s="89"/>
      <c r="BE861" s="89"/>
      <c r="BF861" s="89"/>
    </row>
    <row r="862" spans="9:58" x14ac:dyDescent="0.25">
      <c r="I862" s="89"/>
      <c r="J862" s="89"/>
      <c r="K862" s="89"/>
      <c r="L862" s="89"/>
      <c r="M862" s="89"/>
      <c r="N862" s="89"/>
      <c r="O862" s="89"/>
      <c r="P862" s="89"/>
      <c r="Q862" s="89"/>
      <c r="R862" s="89"/>
      <c r="S862" s="89"/>
      <c r="T862" s="89"/>
      <c r="U862" s="89"/>
      <c r="V862" s="89"/>
      <c r="W862" s="89"/>
      <c r="X862" s="89"/>
      <c r="Y862" s="89"/>
      <c r="Z862" s="89"/>
      <c r="AA862" s="89"/>
      <c r="AB862" s="89"/>
      <c r="AC862" s="89"/>
      <c r="AD862" s="89"/>
      <c r="AE862" s="89"/>
      <c r="AF862" s="89"/>
      <c r="AG862" s="89"/>
      <c r="AH862" s="89"/>
      <c r="AI862" s="89"/>
      <c r="AJ862" s="89"/>
      <c r="AK862" s="89"/>
      <c r="AL862" s="89"/>
      <c r="AM862" s="89"/>
      <c r="AN862" s="89"/>
      <c r="AO862" s="89"/>
      <c r="AP862" s="89"/>
      <c r="AQ862" s="89"/>
      <c r="AR862" s="89"/>
      <c r="AS862" s="89"/>
      <c r="AT862" s="89"/>
      <c r="AU862" s="89"/>
      <c r="AV862" s="89"/>
      <c r="AW862" s="89"/>
      <c r="AX862" s="89"/>
      <c r="AY862" s="89"/>
      <c r="AZ862" s="89"/>
      <c r="BA862" s="89"/>
      <c r="BB862" s="89"/>
      <c r="BC862" s="89"/>
      <c r="BD862" s="89"/>
      <c r="BE862" s="89"/>
      <c r="BF862" s="89"/>
    </row>
    <row r="863" spans="9:58" x14ac:dyDescent="0.25">
      <c r="I863" s="89"/>
      <c r="J863" s="89"/>
      <c r="K863" s="89"/>
      <c r="L863" s="89"/>
      <c r="M863" s="89"/>
      <c r="N863" s="89"/>
      <c r="O863" s="89"/>
      <c r="P863" s="89"/>
      <c r="Q863" s="89"/>
      <c r="R863" s="89"/>
      <c r="S863" s="89"/>
      <c r="T863" s="89"/>
      <c r="U863" s="89"/>
      <c r="V863" s="89"/>
      <c r="W863" s="89"/>
      <c r="X863" s="89"/>
      <c r="Y863" s="89"/>
      <c r="Z863" s="89"/>
      <c r="AA863" s="89"/>
      <c r="AB863" s="89"/>
      <c r="AC863" s="89"/>
      <c r="AD863" s="89"/>
      <c r="AE863" s="89"/>
      <c r="AF863" s="89"/>
      <c r="AG863" s="89"/>
      <c r="AH863" s="89"/>
      <c r="AI863" s="89"/>
      <c r="AJ863" s="89"/>
      <c r="AK863" s="89"/>
      <c r="AL863" s="89"/>
      <c r="AM863" s="89"/>
      <c r="AN863" s="89"/>
      <c r="AO863" s="89"/>
      <c r="AP863" s="89"/>
      <c r="AQ863" s="89"/>
      <c r="AR863" s="89"/>
      <c r="AS863" s="89"/>
      <c r="AT863" s="89"/>
      <c r="AU863" s="89"/>
      <c r="AV863" s="89"/>
      <c r="AW863" s="89"/>
      <c r="AX863" s="89"/>
      <c r="AY863" s="89"/>
      <c r="AZ863" s="89"/>
      <c r="BA863" s="89"/>
      <c r="BB863" s="89"/>
      <c r="BC863" s="89"/>
      <c r="BD863" s="89"/>
      <c r="BE863" s="89"/>
      <c r="BF863" s="89"/>
    </row>
    <row r="864" spans="9:58" x14ac:dyDescent="0.25">
      <c r="I864" s="89"/>
      <c r="J864" s="89"/>
      <c r="K864" s="89"/>
      <c r="L864" s="89"/>
      <c r="M864" s="89"/>
      <c r="N864" s="89"/>
      <c r="O864" s="89"/>
      <c r="P864" s="89"/>
      <c r="Q864" s="89"/>
      <c r="R864" s="89"/>
      <c r="S864" s="89"/>
      <c r="T864" s="89"/>
      <c r="U864" s="89"/>
      <c r="V864" s="89"/>
      <c r="W864" s="89"/>
      <c r="X864" s="89"/>
      <c r="Y864" s="89"/>
      <c r="Z864" s="89"/>
      <c r="AA864" s="89"/>
      <c r="AB864" s="89"/>
      <c r="AC864" s="89"/>
      <c r="AD864" s="89"/>
      <c r="AE864" s="89"/>
      <c r="AF864" s="89"/>
      <c r="AG864" s="89"/>
      <c r="AH864" s="89"/>
      <c r="AI864" s="89"/>
      <c r="AJ864" s="89"/>
      <c r="AK864" s="89"/>
      <c r="AL864" s="89"/>
      <c r="AM864" s="89"/>
      <c r="AN864" s="89"/>
      <c r="AO864" s="89"/>
      <c r="AP864" s="89"/>
      <c r="AQ864" s="89"/>
      <c r="AR864" s="89"/>
      <c r="AS864" s="89"/>
      <c r="AT864" s="89"/>
      <c r="AU864" s="89"/>
      <c r="AV864" s="89"/>
      <c r="AW864" s="89"/>
      <c r="AX864" s="89"/>
      <c r="AY864" s="89"/>
      <c r="AZ864" s="89"/>
      <c r="BA864" s="89"/>
      <c r="BB864" s="89"/>
      <c r="BC864" s="89"/>
      <c r="BD864" s="89"/>
      <c r="BE864" s="89"/>
      <c r="BF864" s="89"/>
    </row>
    <row r="865" spans="9:58" x14ac:dyDescent="0.25">
      <c r="I865" s="89"/>
      <c r="J865" s="89"/>
      <c r="K865" s="89"/>
      <c r="L865" s="89"/>
      <c r="M865" s="89"/>
      <c r="N865" s="89"/>
      <c r="O865" s="89"/>
      <c r="P865" s="89"/>
      <c r="Q865" s="89"/>
      <c r="R865" s="89"/>
      <c r="S865" s="89"/>
      <c r="T865" s="89"/>
      <c r="U865" s="89"/>
      <c r="V865" s="89"/>
      <c r="W865" s="89"/>
      <c r="X865" s="89"/>
      <c r="Y865" s="89"/>
      <c r="Z865" s="89"/>
      <c r="AA865" s="89"/>
      <c r="AB865" s="89"/>
      <c r="AC865" s="89"/>
      <c r="AD865" s="89"/>
      <c r="AE865" s="89"/>
      <c r="AF865" s="89"/>
      <c r="AG865" s="89"/>
      <c r="AH865" s="89"/>
      <c r="AI865" s="89"/>
      <c r="AJ865" s="89"/>
      <c r="AK865" s="89"/>
      <c r="AL865" s="89"/>
      <c r="AM865" s="89"/>
      <c r="AN865" s="89"/>
      <c r="AO865" s="89"/>
      <c r="AP865" s="89"/>
      <c r="AQ865" s="89"/>
      <c r="AR865" s="89"/>
      <c r="AS865" s="89"/>
      <c r="AT865" s="89"/>
      <c r="AU865" s="89"/>
      <c r="AV865" s="89"/>
      <c r="AW865" s="89"/>
      <c r="AX865" s="89"/>
      <c r="AY865" s="89"/>
      <c r="AZ865" s="89"/>
      <c r="BA865" s="89"/>
      <c r="BB865" s="89"/>
      <c r="BC865" s="89"/>
      <c r="BD865" s="89"/>
      <c r="BE865" s="89"/>
      <c r="BF865" s="89"/>
    </row>
    <row r="866" spans="9:58" x14ac:dyDescent="0.25">
      <c r="I866" s="89"/>
      <c r="J866" s="89"/>
      <c r="K866" s="89"/>
      <c r="L866" s="89"/>
      <c r="M866" s="89"/>
      <c r="N866" s="89"/>
      <c r="O866" s="89"/>
      <c r="P866" s="89"/>
      <c r="Q866" s="89"/>
      <c r="R866" s="89"/>
      <c r="S866" s="89"/>
      <c r="T866" s="89"/>
      <c r="U866" s="89"/>
      <c r="V866" s="89"/>
      <c r="W866" s="89"/>
      <c r="X866" s="89"/>
      <c r="Y866" s="89"/>
      <c r="Z866" s="89"/>
      <c r="AA866" s="89"/>
      <c r="AB866" s="89"/>
      <c r="AC866" s="89"/>
      <c r="AD866" s="89"/>
      <c r="AE866" s="89"/>
      <c r="AF866" s="89"/>
      <c r="AG866" s="89"/>
      <c r="AH866" s="89"/>
      <c r="AI866" s="89"/>
      <c r="AJ866" s="89"/>
      <c r="AK866" s="89"/>
      <c r="AL866" s="89"/>
      <c r="AM866" s="89"/>
      <c r="AN866" s="89"/>
      <c r="AO866" s="89"/>
      <c r="AP866" s="89"/>
      <c r="AQ866" s="89"/>
      <c r="AR866" s="89"/>
      <c r="AS866" s="89"/>
      <c r="AT866" s="89"/>
      <c r="AU866" s="89"/>
      <c r="AV866" s="89"/>
      <c r="AW866" s="89"/>
      <c r="AX866" s="89"/>
      <c r="AY866" s="89"/>
      <c r="AZ866" s="89"/>
      <c r="BA866" s="89"/>
      <c r="BB866" s="89"/>
      <c r="BC866" s="89"/>
      <c r="BD866" s="89"/>
      <c r="BE866" s="89"/>
      <c r="BF866" s="89"/>
    </row>
    <row r="867" spans="9:58" x14ac:dyDescent="0.25">
      <c r="I867" s="89"/>
      <c r="J867" s="89"/>
      <c r="K867" s="89"/>
      <c r="L867" s="89"/>
      <c r="M867" s="89"/>
      <c r="N867" s="89"/>
      <c r="O867" s="89"/>
      <c r="P867" s="89"/>
      <c r="Q867" s="89"/>
      <c r="R867" s="89"/>
      <c r="S867" s="89"/>
      <c r="T867" s="89"/>
      <c r="U867" s="89"/>
      <c r="V867" s="89"/>
      <c r="W867" s="89"/>
      <c r="X867" s="89"/>
      <c r="Y867" s="89"/>
      <c r="Z867" s="89"/>
      <c r="AA867" s="89"/>
      <c r="AB867" s="89"/>
      <c r="AC867" s="89"/>
      <c r="AD867" s="89"/>
      <c r="AE867" s="89"/>
      <c r="AF867" s="89"/>
      <c r="AG867" s="89"/>
      <c r="AH867" s="89"/>
      <c r="AI867" s="89"/>
      <c r="AJ867" s="89"/>
      <c r="AK867" s="89"/>
      <c r="AL867" s="89"/>
      <c r="AM867" s="89"/>
      <c r="AN867" s="89"/>
      <c r="AO867" s="89"/>
      <c r="AP867" s="89"/>
      <c r="AQ867" s="89"/>
      <c r="AR867" s="89"/>
      <c r="AS867" s="89"/>
      <c r="AT867" s="89"/>
      <c r="AU867" s="89"/>
      <c r="AV867" s="89"/>
      <c r="AW867" s="89"/>
      <c r="AX867" s="89"/>
      <c r="AY867" s="89"/>
      <c r="AZ867" s="89"/>
      <c r="BA867" s="89"/>
      <c r="BB867" s="89"/>
      <c r="BC867" s="89"/>
      <c r="BD867" s="89"/>
      <c r="BE867" s="89"/>
      <c r="BF867" s="89"/>
    </row>
    <row r="868" spans="9:58" x14ac:dyDescent="0.25">
      <c r="I868" s="89"/>
      <c r="J868" s="89"/>
      <c r="K868" s="89"/>
      <c r="L868" s="89"/>
      <c r="M868" s="89"/>
      <c r="N868" s="89"/>
      <c r="O868" s="89"/>
      <c r="P868" s="89"/>
      <c r="Q868" s="89"/>
      <c r="R868" s="89"/>
      <c r="S868" s="89"/>
      <c r="T868" s="89"/>
      <c r="U868" s="89"/>
      <c r="V868" s="89"/>
      <c r="W868" s="89"/>
      <c r="X868" s="89"/>
      <c r="Y868" s="89"/>
      <c r="Z868" s="89"/>
      <c r="AA868" s="89"/>
      <c r="AB868" s="89"/>
      <c r="AC868" s="89"/>
      <c r="AD868" s="89"/>
      <c r="AE868" s="89"/>
      <c r="AF868" s="89"/>
      <c r="AG868" s="89"/>
      <c r="AH868" s="89"/>
      <c r="AI868" s="89"/>
      <c r="AJ868" s="89"/>
      <c r="AK868" s="89"/>
      <c r="AL868" s="89"/>
      <c r="AM868" s="89"/>
      <c r="AN868" s="89"/>
      <c r="AO868" s="89"/>
      <c r="AP868" s="89"/>
      <c r="AQ868" s="89"/>
      <c r="AR868" s="89"/>
      <c r="AS868" s="89"/>
      <c r="AT868" s="89"/>
      <c r="AU868" s="89"/>
      <c r="AV868" s="89"/>
      <c r="AW868" s="89"/>
      <c r="AX868" s="89"/>
      <c r="AY868" s="89"/>
      <c r="AZ868" s="89"/>
      <c r="BA868" s="89"/>
      <c r="BB868" s="89"/>
      <c r="BC868" s="89"/>
      <c r="BD868" s="89"/>
      <c r="BE868" s="89"/>
      <c r="BF868" s="89"/>
    </row>
    <row r="869" spans="9:58" x14ac:dyDescent="0.25">
      <c r="I869" s="89"/>
      <c r="J869" s="89"/>
      <c r="K869" s="89"/>
      <c r="L869" s="89"/>
      <c r="M869" s="89"/>
      <c r="N869" s="89"/>
      <c r="O869" s="89"/>
      <c r="P869" s="89"/>
      <c r="Q869" s="89"/>
      <c r="R869" s="89"/>
      <c r="S869" s="89"/>
      <c r="T869" s="89"/>
      <c r="U869" s="89"/>
      <c r="V869" s="89"/>
      <c r="W869" s="89"/>
      <c r="X869" s="89"/>
      <c r="Y869" s="89"/>
      <c r="Z869" s="89"/>
      <c r="AA869" s="89"/>
      <c r="AB869" s="89"/>
      <c r="AC869" s="89"/>
      <c r="AD869" s="89"/>
      <c r="AE869" s="89"/>
      <c r="AF869" s="89"/>
      <c r="AG869" s="89"/>
      <c r="AH869" s="89"/>
      <c r="AI869" s="89"/>
      <c r="AJ869" s="89"/>
      <c r="AK869" s="89"/>
      <c r="AL869" s="89"/>
      <c r="AM869" s="89"/>
      <c r="AN869" s="89"/>
      <c r="AO869" s="89"/>
      <c r="AP869" s="89"/>
      <c r="AQ869" s="89"/>
      <c r="AR869" s="89"/>
      <c r="AS869" s="89"/>
      <c r="AT869" s="89"/>
      <c r="AU869" s="89"/>
      <c r="AV869" s="89"/>
      <c r="AW869" s="89"/>
      <c r="AX869" s="89"/>
      <c r="AY869" s="89"/>
      <c r="AZ869" s="89"/>
      <c r="BA869" s="89"/>
      <c r="BB869" s="89"/>
      <c r="BC869" s="89"/>
      <c r="BD869" s="89"/>
      <c r="BE869" s="89"/>
      <c r="BF869" s="89"/>
    </row>
    <row r="870" spans="9:58" x14ac:dyDescent="0.25">
      <c r="I870" s="89"/>
      <c r="J870" s="89"/>
      <c r="K870" s="89"/>
      <c r="L870" s="89"/>
      <c r="M870" s="89"/>
      <c r="N870" s="89"/>
      <c r="O870" s="89"/>
      <c r="P870" s="89"/>
      <c r="Q870" s="89"/>
      <c r="R870" s="89"/>
      <c r="S870" s="89"/>
      <c r="T870" s="89"/>
      <c r="U870" s="89"/>
      <c r="V870" s="89"/>
      <c r="W870" s="89"/>
      <c r="X870" s="89"/>
      <c r="Y870" s="89"/>
      <c r="Z870" s="89"/>
      <c r="AA870" s="89"/>
      <c r="AB870" s="89"/>
      <c r="AC870" s="89"/>
      <c r="AD870" s="89"/>
      <c r="AE870" s="89"/>
      <c r="AF870" s="89"/>
      <c r="AG870" s="89"/>
      <c r="AH870" s="89"/>
      <c r="AI870" s="89"/>
      <c r="AJ870" s="89"/>
      <c r="AK870" s="89"/>
      <c r="AL870" s="89"/>
      <c r="AM870" s="89"/>
      <c r="AN870" s="89"/>
      <c r="AO870" s="89"/>
      <c r="AP870" s="89"/>
      <c r="AQ870" s="89"/>
      <c r="AR870" s="89"/>
      <c r="AS870" s="89"/>
      <c r="AT870" s="89"/>
      <c r="AU870" s="89"/>
      <c r="AV870" s="89"/>
      <c r="AW870" s="89"/>
      <c r="AX870" s="89"/>
      <c r="AY870" s="89"/>
      <c r="AZ870" s="89"/>
      <c r="BA870" s="89"/>
      <c r="BB870" s="89"/>
      <c r="BC870" s="89"/>
      <c r="BD870" s="89"/>
      <c r="BE870" s="89"/>
      <c r="BF870" s="89"/>
    </row>
    <row r="871" spans="9:58" x14ac:dyDescent="0.25">
      <c r="I871" s="89"/>
      <c r="J871" s="89"/>
      <c r="K871" s="89"/>
      <c r="L871" s="89"/>
      <c r="M871" s="89"/>
      <c r="N871" s="89"/>
      <c r="O871" s="89"/>
      <c r="P871" s="89"/>
      <c r="Q871" s="89"/>
      <c r="R871" s="89"/>
      <c r="S871" s="89"/>
      <c r="T871" s="89"/>
      <c r="U871" s="89"/>
      <c r="V871" s="89"/>
      <c r="W871" s="89"/>
      <c r="X871" s="89"/>
      <c r="Y871" s="89"/>
      <c r="Z871" s="89"/>
      <c r="AA871" s="89"/>
      <c r="AB871" s="89"/>
      <c r="AC871" s="89"/>
      <c r="AD871" s="89"/>
      <c r="AE871" s="89"/>
      <c r="AF871" s="89"/>
      <c r="AG871" s="89"/>
      <c r="AH871" s="89"/>
      <c r="AI871" s="89"/>
      <c r="AJ871" s="89"/>
      <c r="AK871" s="89"/>
      <c r="AL871" s="89"/>
      <c r="AM871" s="89"/>
      <c r="AN871" s="89"/>
      <c r="AO871" s="89"/>
      <c r="AP871" s="89"/>
      <c r="AQ871" s="89"/>
      <c r="AR871" s="89"/>
      <c r="AS871" s="89"/>
      <c r="AT871" s="89"/>
      <c r="AU871" s="89"/>
      <c r="AV871" s="89"/>
      <c r="AW871" s="89"/>
      <c r="AX871" s="89"/>
      <c r="AY871" s="89"/>
      <c r="AZ871" s="89"/>
      <c r="BA871" s="89"/>
      <c r="BB871" s="89"/>
      <c r="BC871" s="89"/>
      <c r="BD871" s="89"/>
      <c r="BE871" s="89"/>
      <c r="BF871" s="89"/>
    </row>
    <row r="872" spans="9:58" x14ac:dyDescent="0.25">
      <c r="I872" s="89"/>
      <c r="J872" s="89"/>
      <c r="K872" s="89"/>
      <c r="L872" s="89"/>
      <c r="M872" s="89"/>
      <c r="N872" s="89"/>
      <c r="O872" s="89"/>
      <c r="P872" s="89"/>
      <c r="Q872" s="89"/>
      <c r="R872" s="89"/>
      <c r="S872" s="89"/>
      <c r="T872" s="89"/>
      <c r="U872" s="89"/>
      <c r="V872" s="89"/>
      <c r="W872" s="89"/>
      <c r="X872" s="89"/>
      <c r="Y872" s="89"/>
      <c r="Z872" s="89"/>
      <c r="AA872" s="89"/>
      <c r="AB872" s="89"/>
      <c r="AC872" s="89"/>
      <c r="AD872" s="89"/>
      <c r="AE872" s="89"/>
      <c r="AF872" s="89"/>
      <c r="AG872" s="89"/>
      <c r="AH872" s="89"/>
      <c r="AI872" s="89"/>
      <c r="AJ872" s="89"/>
      <c r="AK872" s="89"/>
      <c r="AL872" s="89"/>
      <c r="AM872" s="89"/>
      <c r="AN872" s="89"/>
      <c r="AO872" s="89"/>
      <c r="AP872" s="89"/>
      <c r="AQ872" s="89"/>
      <c r="AR872" s="89"/>
      <c r="AS872" s="89"/>
      <c r="AT872" s="89"/>
      <c r="AU872" s="89"/>
      <c r="AV872" s="89"/>
      <c r="AW872" s="89"/>
      <c r="AX872" s="89"/>
      <c r="AY872" s="89"/>
      <c r="AZ872" s="89"/>
      <c r="BA872" s="89"/>
      <c r="BB872" s="89"/>
      <c r="BC872" s="89"/>
      <c r="BD872" s="89"/>
      <c r="BE872" s="89"/>
      <c r="BF872" s="89"/>
    </row>
    <row r="873" spans="9:58" x14ac:dyDescent="0.25">
      <c r="I873" s="89"/>
      <c r="J873" s="89"/>
      <c r="K873" s="89"/>
      <c r="L873" s="89"/>
      <c r="M873" s="89"/>
      <c r="N873" s="89"/>
      <c r="O873" s="89"/>
      <c r="P873" s="89"/>
      <c r="Q873" s="89"/>
      <c r="R873" s="89"/>
      <c r="S873" s="89"/>
      <c r="T873" s="89"/>
      <c r="U873" s="89"/>
      <c r="V873" s="89"/>
      <c r="W873" s="89"/>
      <c r="X873" s="89"/>
      <c r="Y873" s="89"/>
      <c r="Z873" s="89"/>
      <c r="AA873" s="89"/>
      <c r="AB873" s="89"/>
      <c r="AC873" s="89"/>
      <c r="AD873" s="89"/>
      <c r="AE873" s="89"/>
      <c r="AF873" s="89"/>
      <c r="AG873" s="89"/>
      <c r="AH873" s="89"/>
      <c r="AI873" s="89"/>
      <c r="AJ873" s="89"/>
      <c r="AK873" s="89"/>
      <c r="AL873" s="89"/>
      <c r="AM873" s="89"/>
      <c r="AN873" s="89"/>
      <c r="AO873" s="89"/>
      <c r="AP873" s="89"/>
      <c r="AQ873" s="89"/>
      <c r="AR873" s="89"/>
      <c r="AS873" s="89"/>
      <c r="AT873" s="89"/>
      <c r="AU873" s="89"/>
      <c r="AV873" s="89"/>
      <c r="AW873" s="89"/>
      <c r="AX873" s="89"/>
      <c r="AY873" s="89"/>
      <c r="AZ873" s="89"/>
      <c r="BA873" s="89"/>
      <c r="BB873" s="89"/>
      <c r="BC873" s="89"/>
      <c r="BD873" s="89"/>
      <c r="BE873" s="89"/>
      <c r="BF873" s="89"/>
    </row>
    <row r="874" spans="9:58" x14ac:dyDescent="0.25">
      <c r="I874" s="89"/>
      <c r="J874" s="89"/>
      <c r="K874" s="89"/>
      <c r="L874" s="89"/>
      <c r="M874" s="89"/>
      <c r="N874" s="89"/>
      <c r="O874" s="89"/>
      <c r="P874" s="89"/>
      <c r="Q874" s="89"/>
      <c r="R874" s="89"/>
      <c r="S874" s="89"/>
      <c r="T874" s="89"/>
      <c r="U874" s="89"/>
      <c r="V874" s="89"/>
      <c r="W874" s="89"/>
      <c r="X874" s="89"/>
      <c r="Y874" s="89"/>
      <c r="Z874" s="89"/>
      <c r="AA874" s="89"/>
      <c r="AB874" s="89"/>
      <c r="AC874" s="89"/>
      <c r="AD874" s="89"/>
      <c r="AE874" s="89"/>
      <c r="AF874" s="89"/>
      <c r="AG874" s="89"/>
      <c r="AH874" s="89"/>
      <c r="AI874" s="89"/>
      <c r="AJ874" s="89"/>
      <c r="AK874" s="89"/>
      <c r="AL874" s="89"/>
      <c r="AM874" s="89"/>
      <c r="AN874" s="89"/>
      <c r="AO874" s="89"/>
      <c r="AP874" s="89"/>
      <c r="AQ874" s="89"/>
      <c r="AR874" s="89"/>
      <c r="AS874" s="89"/>
      <c r="AT874" s="89"/>
      <c r="AU874" s="89"/>
      <c r="AV874" s="89"/>
      <c r="AW874" s="89"/>
      <c r="AX874" s="89"/>
      <c r="AY874" s="89"/>
      <c r="AZ874" s="89"/>
      <c r="BA874" s="89"/>
      <c r="BB874" s="89"/>
      <c r="BC874" s="89"/>
      <c r="BD874" s="89"/>
      <c r="BE874" s="89"/>
      <c r="BF874" s="89"/>
    </row>
    <row r="875" spans="9:58" x14ac:dyDescent="0.25">
      <c r="I875" s="89"/>
      <c r="J875" s="89"/>
      <c r="K875" s="89"/>
      <c r="L875" s="89"/>
      <c r="M875" s="89"/>
      <c r="N875" s="89"/>
      <c r="O875" s="89"/>
      <c r="P875" s="89"/>
      <c r="Q875" s="89"/>
      <c r="R875" s="89"/>
      <c r="S875" s="89"/>
      <c r="T875" s="89"/>
      <c r="U875" s="89"/>
      <c r="V875" s="89"/>
      <c r="W875" s="89"/>
      <c r="X875" s="89"/>
      <c r="Y875" s="89"/>
      <c r="Z875" s="89"/>
      <c r="AA875" s="89"/>
      <c r="AB875" s="89"/>
      <c r="AC875" s="89"/>
      <c r="AD875" s="89"/>
      <c r="AE875" s="89"/>
      <c r="AF875" s="89"/>
      <c r="AG875" s="89"/>
      <c r="AH875" s="89"/>
      <c r="AI875" s="89"/>
      <c r="AJ875" s="89"/>
      <c r="AK875" s="89"/>
      <c r="AL875" s="89"/>
      <c r="AM875" s="89"/>
      <c r="AN875" s="89"/>
      <c r="AO875" s="89"/>
      <c r="AP875" s="89"/>
      <c r="AQ875" s="89"/>
      <c r="AR875" s="89"/>
      <c r="AS875" s="89"/>
      <c r="AT875" s="89"/>
      <c r="AU875" s="89"/>
      <c r="AV875" s="89"/>
      <c r="AW875" s="89"/>
      <c r="AX875" s="89"/>
      <c r="AY875" s="89"/>
      <c r="AZ875" s="89"/>
      <c r="BA875" s="89"/>
      <c r="BB875" s="89"/>
      <c r="BC875" s="89"/>
      <c r="BD875" s="89"/>
      <c r="BE875" s="89"/>
      <c r="BF875" s="89"/>
    </row>
    <row r="876" spans="9:58" x14ac:dyDescent="0.25">
      <c r="I876" s="89"/>
      <c r="J876" s="89"/>
      <c r="K876" s="89"/>
      <c r="L876" s="89"/>
      <c r="M876" s="89"/>
      <c r="N876" s="89"/>
      <c r="O876" s="89"/>
      <c r="P876" s="89"/>
      <c r="Q876" s="89"/>
      <c r="R876" s="89"/>
      <c r="S876" s="89"/>
      <c r="T876" s="89"/>
      <c r="U876" s="89"/>
      <c r="V876" s="89"/>
      <c r="W876" s="89"/>
      <c r="X876" s="89"/>
      <c r="Y876" s="89"/>
      <c r="Z876" s="89"/>
      <c r="AA876" s="89"/>
      <c r="AB876" s="89"/>
      <c r="AC876" s="89"/>
      <c r="AD876" s="89"/>
      <c r="AE876" s="89"/>
      <c r="AF876" s="89"/>
      <c r="AG876" s="89"/>
      <c r="AH876" s="89"/>
      <c r="AI876" s="89"/>
      <c r="AJ876" s="89"/>
      <c r="AK876" s="89"/>
      <c r="AL876" s="89"/>
      <c r="AM876" s="89"/>
      <c r="AN876" s="89"/>
      <c r="AO876" s="89"/>
      <c r="AP876" s="89"/>
      <c r="AQ876" s="89"/>
      <c r="AR876" s="89"/>
      <c r="AS876" s="89"/>
      <c r="AT876" s="89"/>
      <c r="AU876" s="89"/>
      <c r="AV876" s="89"/>
      <c r="AW876" s="89"/>
      <c r="AX876" s="89"/>
      <c r="AY876" s="89"/>
      <c r="AZ876" s="89"/>
      <c r="BA876" s="89"/>
      <c r="BB876" s="89"/>
      <c r="BC876" s="89"/>
      <c r="BD876" s="89"/>
      <c r="BE876" s="89"/>
      <c r="BF876" s="89"/>
    </row>
    <row r="877" spans="9:58" x14ac:dyDescent="0.25">
      <c r="I877" s="89"/>
      <c r="J877" s="89"/>
      <c r="K877" s="89"/>
      <c r="L877" s="89"/>
      <c r="M877" s="89"/>
      <c r="N877" s="89"/>
      <c r="O877" s="89"/>
      <c r="P877" s="89"/>
      <c r="Q877" s="89"/>
      <c r="R877" s="89"/>
      <c r="S877" s="89"/>
      <c r="T877" s="89"/>
      <c r="U877" s="89"/>
      <c r="V877" s="89"/>
      <c r="W877" s="89"/>
      <c r="X877" s="89"/>
      <c r="Y877" s="89"/>
      <c r="Z877" s="89"/>
      <c r="AA877" s="89"/>
      <c r="AB877" s="89"/>
      <c r="AC877" s="89"/>
      <c r="AD877" s="89"/>
      <c r="AE877" s="89"/>
      <c r="AF877" s="89"/>
      <c r="AG877" s="89"/>
      <c r="AH877" s="89"/>
      <c r="AI877" s="89"/>
      <c r="AJ877" s="89"/>
      <c r="AK877" s="89"/>
      <c r="AL877" s="89"/>
      <c r="AM877" s="89"/>
      <c r="AN877" s="89"/>
      <c r="AO877" s="89"/>
      <c r="AP877" s="89"/>
      <c r="AQ877" s="89"/>
      <c r="AR877" s="89"/>
      <c r="AS877" s="89"/>
      <c r="AT877" s="89"/>
      <c r="AU877" s="89"/>
      <c r="AV877" s="89"/>
      <c r="AW877" s="89"/>
      <c r="AX877" s="89"/>
      <c r="AY877" s="89"/>
      <c r="AZ877" s="89"/>
      <c r="BA877" s="89"/>
      <c r="BB877" s="89"/>
      <c r="BC877" s="89"/>
      <c r="BD877" s="89"/>
      <c r="BE877" s="89"/>
      <c r="BF877" s="89"/>
    </row>
    <row r="878" spans="9:58" x14ac:dyDescent="0.25">
      <c r="I878" s="89"/>
      <c r="J878" s="89"/>
      <c r="K878" s="89"/>
      <c r="L878" s="89"/>
      <c r="M878" s="89"/>
      <c r="N878" s="89"/>
      <c r="O878" s="89"/>
      <c r="P878" s="89"/>
      <c r="Q878" s="89"/>
      <c r="R878" s="89"/>
      <c r="S878" s="89"/>
      <c r="T878" s="89"/>
      <c r="U878" s="89"/>
      <c r="V878" s="89"/>
      <c r="W878" s="89"/>
      <c r="X878" s="89"/>
      <c r="Y878" s="89"/>
      <c r="Z878" s="89"/>
      <c r="AA878" s="89"/>
      <c r="AB878" s="89"/>
      <c r="AC878" s="89"/>
      <c r="AD878" s="89"/>
      <c r="AE878" s="89"/>
      <c r="AF878" s="89"/>
      <c r="AG878" s="89"/>
      <c r="AH878" s="89"/>
      <c r="AI878" s="89"/>
      <c r="AJ878" s="89"/>
      <c r="AK878" s="89"/>
      <c r="AL878" s="89"/>
      <c r="AM878" s="89"/>
      <c r="AN878" s="89"/>
      <c r="AO878" s="89"/>
      <c r="AP878" s="89"/>
      <c r="AQ878" s="89"/>
      <c r="AR878" s="89"/>
      <c r="AS878" s="89"/>
      <c r="AT878" s="89"/>
      <c r="AU878" s="89"/>
      <c r="AV878" s="89"/>
      <c r="AW878" s="89"/>
      <c r="AX878" s="89"/>
      <c r="AY878" s="89"/>
      <c r="AZ878" s="89"/>
      <c r="BA878" s="89"/>
      <c r="BB878" s="89"/>
      <c r="BC878" s="89"/>
      <c r="BD878" s="89"/>
      <c r="BE878" s="89"/>
      <c r="BF878" s="89"/>
    </row>
    <row r="879" spans="9:58" x14ac:dyDescent="0.25">
      <c r="I879" s="89"/>
      <c r="J879" s="89"/>
      <c r="K879" s="89"/>
      <c r="L879" s="89"/>
      <c r="M879" s="89"/>
      <c r="N879" s="89"/>
      <c r="O879" s="89"/>
      <c r="P879" s="89"/>
      <c r="Q879" s="89"/>
      <c r="R879" s="89"/>
      <c r="S879" s="89"/>
      <c r="T879" s="89"/>
      <c r="U879" s="89"/>
      <c r="V879" s="89"/>
      <c r="W879" s="89"/>
      <c r="X879" s="89"/>
      <c r="Y879" s="89"/>
      <c r="Z879" s="89"/>
      <c r="AA879" s="89"/>
      <c r="AB879" s="89"/>
      <c r="AC879" s="89"/>
      <c r="AD879" s="89"/>
      <c r="AE879" s="89"/>
      <c r="AF879" s="89"/>
      <c r="AG879" s="89"/>
      <c r="AH879" s="89"/>
      <c r="AI879" s="89"/>
      <c r="AJ879" s="89"/>
      <c r="AK879" s="89"/>
      <c r="AL879" s="89"/>
      <c r="AM879" s="89"/>
      <c r="AN879" s="89"/>
      <c r="AO879" s="89"/>
      <c r="AP879" s="89"/>
      <c r="AQ879" s="89"/>
      <c r="AR879" s="89"/>
      <c r="AS879" s="89"/>
      <c r="AT879" s="89"/>
      <c r="AU879" s="89"/>
      <c r="AV879" s="89"/>
      <c r="AW879" s="89"/>
      <c r="AX879" s="89"/>
      <c r="AY879" s="89"/>
      <c r="AZ879" s="89"/>
      <c r="BA879" s="89"/>
      <c r="BB879" s="89"/>
      <c r="BC879" s="89"/>
      <c r="BD879" s="89"/>
      <c r="BE879" s="89"/>
      <c r="BF879" s="89"/>
    </row>
    <row r="880" spans="9:58" x14ac:dyDescent="0.25">
      <c r="I880" s="89"/>
      <c r="J880" s="89"/>
      <c r="K880" s="89"/>
      <c r="L880" s="89"/>
      <c r="M880" s="89"/>
      <c r="N880" s="89"/>
      <c r="O880" s="89"/>
      <c r="P880" s="89"/>
      <c r="Q880" s="89"/>
      <c r="R880" s="89"/>
      <c r="S880" s="89"/>
      <c r="T880" s="89"/>
      <c r="U880" s="89"/>
      <c r="V880" s="89"/>
      <c r="W880" s="89"/>
      <c r="X880" s="89"/>
      <c r="Y880" s="89"/>
      <c r="Z880" s="89"/>
      <c r="AA880" s="89"/>
      <c r="AB880" s="89"/>
      <c r="AC880" s="89"/>
      <c r="AD880" s="89"/>
      <c r="AE880" s="89"/>
      <c r="AF880" s="89"/>
      <c r="AG880" s="89"/>
      <c r="AH880" s="89"/>
      <c r="AI880" s="89"/>
      <c r="AJ880" s="89"/>
      <c r="AK880" s="89"/>
      <c r="AL880" s="89"/>
      <c r="AM880" s="89"/>
      <c r="AN880" s="89"/>
      <c r="AO880" s="89"/>
      <c r="AP880" s="89"/>
      <c r="AQ880" s="89"/>
      <c r="AR880" s="89"/>
      <c r="AS880" s="89"/>
      <c r="AT880" s="89"/>
      <c r="AU880" s="89"/>
      <c r="AV880" s="89"/>
      <c r="AW880" s="89"/>
      <c r="AX880" s="89"/>
      <c r="AY880" s="89"/>
      <c r="AZ880" s="89"/>
      <c r="BA880" s="89"/>
      <c r="BB880" s="89"/>
      <c r="BC880" s="89"/>
      <c r="BD880" s="89"/>
      <c r="BE880" s="89"/>
      <c r="BF880" s="89"/>
    </row>
    <row r="881" spans="9:58" x14ac:dyDescent="0.25">
      <c r="I881" s="89"/>
      <c r="J881" s="89"/>
      <c r="K881" s="89"/>
      <c r="L881" s="89"/>
      <c r="M881" s="89"/>
      <c r="N881" s="89"/>
      <c r="O881" s="89"/>
      <c r="P881" s="89"/>
      <c r="Q881" s="89"/>
      <c r="R881" s="89"/>
      <c r="S881" s="89"/>
      <c r="T881" s="89"/>
      <c r="U881" s="89"/>
      <c r="V881" s="89"/>
      <c r="W881" s="89"/>
      <c r="X881" s="89"/>
      <c r="Y881" s="89"/>
      <c r="Z881" s="89"/>
      <c r="AA881" s="89"/>
      <c r="AB881" s="89"/>
      <c r="AC881" s="89"/>
      <c r="AD881" s="89"/>
      <c r="AE881" s="89"/>
      <c r="AF881" s="89"/>
      <c r="AG881" s="89"/>
      <c r="AH881" s="89"/>
      <c r="AI881" s="89"/>
      <c r="AJ881" s="89"/>
      <c r="AK881" s="89"/>
      <c r="AL881" s="89"/>
      <c r="AM881" s="89"/>
      <c r="AN881" s="89"/>
      <c r="AO881" s="89"/>
      <c r="AP881" s="89"/>
      <c r="AQ881" s="89"/>
      <c r="AR881" s="89"/>
      <c r="AS881" s="89"/>
      <c r="AT881" s="89"/>
      <c r="AU881" s="89"/>
      <c r="AV881" s="89"/>
      <c r="AW881" s="89"/>
      <c r="AX881" s="89"/>
      <c r="AY881" s="89"/>
      <c r="AZ881" s="89"/>
      <c r="BA881" s="89"/>
      <c r="BB881" s="89"/>
      <c r="BC881" s="89"/>
      <c r="BD881" s="89"/>
      <c r="BE881" s="89"/>
      <c r="BF881" s="89"/>
    </row>
    <row r="882" spans="9:58" x14ac:dyDescent="0.25">
      <c r="I882" s="89"/>
      <c r="J882" s="89"/>
      <c r="K882" s="89"/>
      <c r="L882" s="89"/>
      <c r="M882" s="89"/>
      <c r="N882" s="89"/>
      <c r="O882" s="89"/>
      <c r="P882" s="89"/>
      <c r="Q882" s="89"/>
      <c r="R882" s="89"/>
      <c r="S882" s="89"/>
      <c r="T882" s="89"/>
      <c r="U882" s="89"/>
      <c r="V882" s="89"/>
      <c r="W882" s="89"/>
      <c r="X882" s="89"/>
      <c r="Y882" s="89"/>
      <c r="Z882" s="89"/>
      <c r="AA882" s="89"/>
      <c r="AB882" s="89"/>
      <c r="AC882" s="89"/>
      <c r="AD882" s="89"/>
      <c r="AE882" s="89"/>
      <c r="AF882" s="89"/>
      <c r="AG882" s="89"/>
      <c r="AH882" s="89"/>
      <c r="AI882" s="89"/>
      <c r="AJ882" s="89"/>
      <c r="AK882" s="89"/>
      <c r="AL882" s="89"/>
      <c r="AM882" s="89"/>
      <c r="AN882" s="89"/>
      <c r="AO882" s="89"/>
      <c r="AP882" s="89"/>
      <c r="AQ882" s="89"/>
      <c r="AR882" s="89"/>
      <c r="AS882" s="89"/>
      <c r="AT882" s="89"/>
      <c r="AU882" s="89"/>
      <c r="AV882" s="89"/>
      <c r="AW882" s="89"/>
      <c r="AX882" s="89"/>
      <c r="AY882" s="89"/>
      <c r="AZ882" s="89"/>
      <c r="BA882" s="89"/>
      <c r="BB882" s="89"/>
      <c r="BC882" s="89"/>
      <c r="BD882" s="89"/>
      <c r="BE882" s="89"/>
      <c r="BF882" s="89"/>
    </row>
    <row r="883" spans="9:58" x14ac:dyDescent="0.25">
      <c r="I883" s="89"/>
      <c r="J883" s="89"/>
      <c r="K883" s="89"/>
      <c r="L883" s="89"/>
      <c r="M883" s="89"/>
      <c r="N883" s="89"/>
      <c r="O883" s="89"/>
      <c r="P883" s="89"/>
      <c r="Q883" s="89"/>
      <c r="R883" s="89"/>
      <c r="S883" s="89"/>
      <c r="T883" s="89"/>
      <c r="U883" s="89"/>
      <c r="V883" s="89"/>
      <c r="W883" s="89"/>
      <c r="X883" s="89"/>
      <c r="Y883" s="89"/>
      <c r="Z883" s="89"/>
      <c r="AA883" s="89"/>
      <c r="AB883" s="89"/>
      <c r="AC883" s="89"/>
      <c r="AD883" s="89"/>
      <c r="AE883" s="89"/>
      <c r="AF883" s="89"/>
      <c r="AG883" s="89"/>
      <c r="AH883" s="89"/>
      <c r="AI883" s="89"/>
      <c r="AJ883" s="89"/>
      <c r="AK883" s="89"/>
      <c r="AL883" s="89"/>
      <c r="AM883" s="89"/>
      <c r="AN883" s="89"/>
      <c r="AO883" s="89"/>
      <c r="AP883" s="89"/>
      <c r="AQ883" s="89"/>
      <c r="AR883" s="89"/>
      <c r="AS883" s="89"/>
      <c r="AT883" s="89"/>
      <c r="AU883" s="89"/>
      <c r="AV883" s="89"/>
      <c r="AW883" s="89"/>
      <c r="AX883" s="89"/>
      <c r="AY883" s="89"/>
      <c r="AZ883" s="89"/>
      <c r="BA883" s="89"/>
      <c r="BB883" s="89"/>
      <c r="BC883" s="89"/>
      <c r="BD883" s="89"/>
      <c r="BE883" s="89"/>
      <c r="BF883" s="89"/>
    </row>
    <row r="884" spans="9:58" x14ac:dyDescent="0.25">
      <c r="I884" s="89"/>
      <c r="J884" s="89"/>
      <c r="K884" s="89"/>
      <c r="L884" s="89"/>
      <c r="M884" s="89"/>
      <c r="N884" s="89"/>
      <c r="O884" s="89"/>
      <c r="P884" s="89"/>
      <c r="Q884" s="89"/>
      <c r="R884" s="89"/>
      <c r="S884" s="89"/>
      <c r="T884" s="89"/>
      <c r="U884" s="89"/>
      <c r="V884" s="89"/>
      <c r="W884" s="89"/>
      <c r="X884" s="89"/>
      <c r="Y884" s="89"/>
      <c r="Z884" s="89"/>
      <c r="AA884" s="89"/>
      <c r="AB884" s="89"/>
      <c r="AC884" s="89"/>
      <c r="AD884" s="89"/>
      <c r="AE884" s="89"/>
      <c r="AF884" s="89"/>
      <c r="AG884" s="89"/>
      <c r="AH884" s="89"/>
      <c r="AI884" s="89"/>
      <c r="AJ884" s="89"/>
      <c r="AK884" s="89"/>
      <c r="AL884" s="89"/>
      <c r="AM884" s="89"/>
      <c r="AN884" s="89"/>
      <c r="AO884" s="89"/>
      <c r="AP884" s="89"/>
      <c r="AQ884" s="89"/>
      <c r="AR884" s="89"/>
      <c r="AS884" s="89"/>
      <c r="AT884" s="89"/>
      <c r="AU884" s="89"/>
      <c r="AV884" s="89"/>
      <c r="AW884" s="89"/>
      <c r="AX884" s="89"/>
      <c r="AY884" s="89"/>
      <c r="AZ884" s="89"/>
      <c r="BA884" s="89"/>
      <c r="BB884" s="89"/>
      <c r="BC884" s="89"/>
      <c r="BD884" s="89"/>
      <c r="BE884" s="89"/>
      <c r="BF884" s="89"/>
    </row>
    <row r="885" spans="9:58" x14ac:dyDescent="0.25">
      <c r="I885" s="89"/>
      <c r="J885" s="89"/>
      <c r="K885" s="89"/>
      <c r="L885" s="89"/>
      <c r="M885" s="89"/>
      <c r="N885" s="89"/>
      <c r="O885" s="89"/>
      <c r="P885" s="89"/>
      <c r="Q885" s="89"/>
      <c r="R885" s="89"/>
      <c r="S885" s="89"/>
      <c r="T885" s="89"/>
      <c r="U885" s="89"/>
      <c r="V885" s="89"/>
      <c r="W885" s="89"/>
      <c r="X885" s="89"/>
      <c r="Y885" s="89"/>
      <c r="Z885" s="89"/>
      <c r="AA885" s="89"/>
      <c r="AB885" s="89"/>
      <c r="AC885" s="89"/>
      <c r="AD885" s="89"/>
      <c r="AE885" s="89"/>
      <c r="AF885" s="89"/>
      <c r="AG885" s="89"/>
      <c r="AH885" s="89"/>
      <c r="AI885" s="89"/>
      <c r="AJ885" s="89"/>
      <c r="AK885" s="89"/>
      <c r="AL885" s="89"/>
      <c r="AM885" s="89"/>
      <c r="AN885" s="89"/>
      <c r="AO885" s="89"/>
      <c r="AP885" s="89"/>
      <c r="AQ885" s="89"/>
      <c r="AR885" s="89"/>
      <c r="AS885" s="89"/>
      <c r="AT885" s="89"/>
      <c r="AU885" s="89"/>
      <c r="AV885" s="89"/>
      <c r="AW885" s="89"/>
      <c r="AX885" s="89"/>
      <c r="AY885" s="89"/>
      <c r="AZ885" s="89"/>
      <c r="BA885" s="89"/>
      <c r="BB885" s="89"/>
      <c r="BC885" s="89"/>
      <c r="BD885" s="89"/>
      <c r="BE885" s="89"/>
      <c r="BF885" s="89"/>
    </row>
    <row r="886" spans="9:58" x14ac:dyDescent="0.25">
      <c r="I886" s="89"/>
      <c r="J886" s="89"/>
      <c r="K886" s="89"/>
      <c r="L886" s="89"/>
      <c r="M886" s="89"/>
      <c r="N886" s="89"/>
      <c r="O886" s="89"/>
      <c r="P886" s="89"/>
      <c r="Q886" s="89"/>
      <c r="R886" s="89"/>
      <c r="S886" s="89"/>
      <c r="T886" s="89"/>
      <c r="U886" s="89"/>
      <c r="V886" s="89"/>
      <c r="W886" s="89"/>
      <c r="X886" s="89"/>
      <c r="Y886" s="89"/>
      <c r="Z886" s="89"/>
      <c r="AA886" s="89"/>
      <c r="AB886" s="89"/>
      <c r="AC886" s="89"/>
      <c r="AD886" s="89"/>
      <c r="AE886" s="89"/>
      <c r="AF886" s="89"/>
      <c r="AG886" s="89"/>
      <c r="AH886" s="89"/>
      <c r="AI886" s="89"/>
      <c r="AJ886" s="89"/>
      <c r="AK886" s="89"/>
      <c r="AL886" s="89"/>
      <c r="AM886" s="89"/>
      <c r="AN886" s="89"/>
      <c r="AO886" s="89"/>
      <c r="AP886" s="89"/>
      <c r="AQ886" s="89"/>
      <c r="AR886" s="89"/>
      <c r="AS886" s="89"/>
      <c r="AT886" s="89"/>
      <c r="AU886" s="89"/>
      <c r="AV886" s="89"/>
      <c r="AW886" s="89"/>
      <c r="AX886" s="89"/>
      <c r="AY886" s="89"/>
      <c r="AZ886" s="89"/>
      <c r="BA886" s="89"/>
      <c r="BB886" s="89"/>
      <c r="BC886" s="89"/>
      <c r="BD886" s="89"/>
      <c r="BE886" s="89"/>
      <c r="BF886" s="89"/>
    </row>
    <row r="887" spans="9:58" x14ac:dyDescent="0.25">
      <c r="I887" s="89"/>
      <c r="J887" s="89"/>
      <c r="K887" s="89"/>
      <c r="L887" s="89"/>
      <c r="M887" s="89"/>
      <c r="N887" s="89"/>
      <c r="O887" s="89"/>
      <c r="P887" s="89"/>
      <c r="Q887" s="89"/>
      <c r="R887" s="89"/>
      <c r="S887" s="89"/>
      <c r="T887" s="89"/>
      <c r="U887" s="89"/>
      <c r="V887" s="89"/>
      <c r="W887" s="89"/>
      <c r="X887" s="89"/>
      <c r="Y887" s="89"/>
      <c r="Z887" s="89"/>
      <c r="AA887" s="89"/>
      <c r="AB887" s="89"/>
      <c r="AC887" s="89"/>
      <c r="AD887" s="89"/>
      <c r="AE887" s="89"/>
      <c r="AF887" s="89"/>
      <c r="AG887" s="89"/>
      <c r="AH887" s="89"/>
      <c r="AI887" s="89"/>
      <c r="AJ887" s="89"/>
      <c r="AK887" s="89"/>
      <c r="AL887" s="89"/>
      <c r="AM887" s="89"/>
      <c r="AN887" s="89"/>
      <c r="AO887" s="89"/>
      <c r="AP887" s="89"/>
      <c r="AQ887" s="89"/>
      <c r="AR887" s="89"/>
      <c r="AS887" s="89"/>
      <c r="AT887" s="89"/>
      <c r="AU887" s="89"/>
      <c r="AV887" s="89"/>
      <c r="AW887" s="89"/>
      <c r="AX887" s="89"/>
      <c r="AY887" s="89"/>
      <c r="AZ887" s="89"/>
      <c r="BA887" s="89"/>
      <c r="BB887" s="89"/>
      <c r="BC887" s="89"/>
      <c r="BD887" s="89"/>
      <c r="BE887" s="89"/>
      <c r="BF887" s="89"/>
    </row>
    <row r="888" spans="9:58" x14ac:dyDescent="0.25">
      <c r="I888" s="89"/>
      <c r="J888" s="89"/>
      <c r="K888" s="89"/>
      <c r="L888" s="89"/>
      <c r="M888" s="89"/>
      <c r="N888" s="89"/>
      <c r="O888" s="89"/>
      <c r="P888" s="89"/>
      <c r="Q888" s="89"/>
      <c r="R888" s="89"/>
      <c r="S888" s="89"/>
      <c r="T888" s="89"/>
      <c r="U888" s="89"/>
      <c r="V888" s="89"/>
      <c r="W888" s="89"/>
      <c r="X888" s="89"/>
      <c r="Y888" s="89"/>
      <c r="Z888" s="89"/>
      <c r="AA888" s="89"/>
      <c r="AB888" s="89"/>
      <c r="AC888" s="89"/>
      <c r="AD888" s="89"/>
      <c r="AE888" s="89"/>
      <c r="AF888" s="89"/>
      <c r="AG888" s="89"/>
      <c r="AH888" s="89"/>
      <c r="AI888" s="89"/>
      <c r="AJ888" s="89"/>
      <c r="AK888" s="89"/>
      <c r="AL888" s="89"/>
      <c r="AM888" s="89"/>
      <c r="AN888" s="89"/>
      <c r="AO888" s="89"/>
      <c r="AP888" s="89"/>
      <c r="AQ888" s="89"/>
      <c r="AR888" s="89"/>
      <c r="AS888" s="89"/>
      <c r="AT888" s="89"/>
      <c r="AU888" s="89"/>
      <c r="AV888" s="89"/>
      <c r="AW888" s="89"/>
      <c r="AX888" s="89"/>
      <c r="AY888" s="89"/>
      <c r="AZ888" s="89"/>
      <c r="BA888" s="89"/>
      <c r="BB888" s="89"/>
      <c r="BC888" s="89"/>
      <c r="BD888" s="89"/>
      <c r="BE888" s="89"/>
      <c r="BF888" s="89"/>
    </row>
    <row r="889" spans="9:58" x14ac:dyDescent="0.25">
      <c r="I889" s="89"/>
      <c r="J889" s="89"/>
      <c r="K889" s="89"/>
      <c r="L889" s="89"/>
      <c r="M889" s="89"/>
      <c r="N889" s="89"/>
      <c r="O889" s="89"/>
      <c r="P889" s="89"/>
      <c r="Q889" s="89"/>
      <c r="R889" s="89"/>
      <c r="S889" s="89"/>
      <c r="T889" s="89"/>
      <c r="U889" s="89"/>
      <c r="V889" s="89"/>
      <c r="W889" s="89"/>
      <c r="X889" s="89"/>
      <c r="Y889" s="89"/>
      <c r="Z889" s="89"/>
      <c r="AA889" s="89"/>
      <c r="AB889" s="89"/>
      <c r="AC889" s="89"/>
      <c r="AD889" s="89"/>
      <c r="AE889" s="89"/>
      <c r="AF889" s="89"/>
      <c r="AG889" s="89"/>
      <c r="AH889" s="89"/>
      <c r="AI889" s="89"/>
      <c r="AJ889" s="89"/>
      <c r="AK889" s="89"/>
      <c r="AL889" s="89"/>
      <c r="AM889" s="89"/>
      <c r="AN889" s="89"/>
      <c r="AO889" s="89"/>
      <c r="AP889" s="89"/>
      <c r="AQ889" s="89"/>
      <c r="AR889" s="89"/>
      <c r="AS889" s="89"/>
      <c r="AT889" s="89"/>
      <c r="AU889" s="89"/>
      <c r="AV889" s="89"/>
      <c r="AW889" s="89"/>
      <c r="AX889" s="89"/>
      <c r="AY889" s="89"/>
      <c r="AZ889" s="89"/>
      <c r="BA889" s="89"/>
      <c r="BB889" s="89"/>
      <c r="BC889" s="89"/>
      <c r="BD889" s="89"/>
      <c r="BE889" s="89"/>
      <c r="BF889" s="89"/>
    </row>
    <row r="890" spans="9:58" x14ac:dyDescent="0.25">
      <c r="I890" s="89"/>
      <c r="J890" s="89"/>
      <c r="K890" s="89"/>
      <c r="L890" s="89"/>
      <c r="M890" s="89"/>
      <c r="N890" s="89"/>
      <c r="O890" s="89"/>
      <c r="P890" s="89"/>
      <c r="Q890" s="89"/>
      <c r="R890" s="89"/>
      <c r="S890" s="89"/>
      <c r="T890" s="89"/>
      <c r="U890" s="89"/>
      <c r="V890" s="89"/>
      <c r="W890" s="89"/>
      <c r="X890" s="89"/>
      <c r="Y890" s="89"/>
      <c r="Z890" s="89"/>
      <c r="AA890" s="89"/>
      <c r="AB890" s="89"/>
      <c r="AC890" s="89"/>
      <c r="AD890" s="89"/>
      <c r="AE890" s="89"/>
      <c r="AF890" s="89"/>
      <c r="AG890" s="89"/>
      <c r="AH890" s="89"/>
      <c r="AI890" s="89"/>
      <c r="AJ890" s="89"/>
      <c r="AK890" s="89"/>
      <c r="AL890" s="89"/>
      <c r="AM890" s="89"/>
      <c r="AN890" s="89"/>
      <c r="AO890" s="89"/>
      <c r="AP890" s="89"/>
      <c r="AQ890" s="89"/>
      <c r="AR890" s="89"/>
      <c r="AS890" s="89"/>
      <c r="AT890" s="89"/>
      <c r="AU890" s="89"/>
      <c r="AV890" s="89"/>
      <c r="AW890" s="89"/>
      <c r="AX890" s="89"/>
      <c r="AY890" s="89"/>
      <c r="AZ890" s="89"/>
      <c r="BA890" s="89"/>
      <c r="BB890" s="89"/>
      <c r="BC890" s="89"/>
      <c r="BD890" s="89"/>
      <c r="BE890" s="89"/>
      <c r="BF890" s="89"/>
    </row>
    <row r="891" spans="9:58" x14ac:dyDescent="0.25">
      <c r="I891" s="89"/>
      <c r="J891" s="89"/>
      <c r="K891" s="89"/>
      <c r="L891" s="89"/>
      <c r="M891" s="89"/>
      <c r="N891" s="89"/>
      <c r="O891" s="89"/>
      <c r="P891" s="89"/>
      <c r="Q891" s="89"/>
      <c r="R891" s="89"/>
      <c r="S891" s="89"/>
      <c r="T891" s="89"/>
      <c r="U891" s="89"/>
      <c r="V891" s="89"/>
      <c r="W891" s="89"/>
      <c r="X891" s="89"/>
      <c r="Y891" s="89"/>
      <c r="Z891" s="89"/>
      <c r="AA891" s="89"/>
      <c r="AB891" s="89"/>
      <c r="AC891" s="89"/>
      <c r="AD891" s="89"/>
      <c r="AE891" s="89"/>
      <c r="AF891" s="89"/>
      <c r="AG891" s="89"/>
      <c r="AH891" s="89"/>
      <c r="AI891" s="89"/>
      <c r="AJ891" s="89"/>
      <c r="AK891" s="89"/>
      <c r="AL891" s="89"/>
      <c r="AM891" s="89"/>
      <c r="AN891" s="89"/>
      <c r="AO891" s="89"/>
      <c r="AP891" s="89"/>
      <c r="AQ891" s="89"/>
      <c r="AR891" s="89"/>
      <c r="AS891" s="89"/>
      <c r="AT891" s="89"/>
      <c r="AU891" s="89"/>
      <c r="AV891" s="89"/>
      <c r="AW891" s="89"/>
      <c r="AX891" s="89"/>
      <c r="AY891" s="89"/>
      <c r="AZ891" s="89"/>
      <c r="BA891" s="89"/>
      <c r="BB891" s="89"/>
      <c r="BC891" s="89"/>
      <c r="BD891" s="89"/>
      <c r="BE891" s="89"/>
      <c r="BF891" s="89"/>
    </row>
    <row r="892" spans="9:58" x14ac:dyDescent="0.25">
      <c r="I892" s="89"/>
      <c r="J892" s="89"/>
      <c r="K892" s="89"/>
      <c r="L892" s="89"/>
      <c r="M892" s="89"/>
      <c r="N892" s="89"/>
      <c r="O892" s="89"/>
      <c r="P892" s="89"/>
      <c r="Q892" s="89"/>
      <c r="R892" s="89"/>
      <c r="S892" s="89"/>
      <c r="T892" s="89"/>
      <c r="U892" s="89"/>
      <c r="V892" s="89"/>
      <c r="W892" s="89"/>
      <c r="X892" s="89"/>
      <c r="Y892" s="89"/>
      <c r="Z892" s="89"/>
      <c r="AA892" s="89"/>
      <c r="AB892" s="89"/>
      <c r="AC892" s="89"/>
      <c r="AD892" s="89"/>
      <c r="AE892" s="89"/>
      <c r="AF892" s="89"/>
      <c r="AG892" s="89"/>
      <c r="AH892" s="89"/>
      <c r="AI892" s="89"/>
      <c r="AJ892" s="89"/>
      <c r="AK892" s="89"/>
      <c r="AL892" s="89"/>
      <c r="AM892" s="89"/>
      <c r="AN892" s="89"/>
      <c r="AO892" s="89"/>
      <c r="AP892" s="89"/>
      <c r="AQ892" s="89"/>
      <c r="AR892" s="89"/>
      <c r="AS892" s="89"/>
      <c r="AT892" s="89"/>
      <c r="AU892" s="89"/>
      <c r="AV892" s="89"/>
      <c r="AW892" s="89"/>
      <c r="AX892" s="89"/>
      <c r="AY892" s="89"/>
      <c r="AZ892" s="89"/>
      <c r="BA892" s="89"/>
      <c r="BB892" s="89"/>
      <c r="BC892" s="89"/>
      <c r="BD892" s="89"/>
      <c r="BE892" s="89"/>
      <c r="BF892" s="89"/>
    </row>
    <row r="893" spans="9:58" x14ac:dyDescent="0.25">
      <c r="I893" s="89"/>
      <c r="J893" s="89"/>
      <c r="K893" s="89"/>
      <c r="L893" s="89"/>
      <c r="M893" s="89"/>
      <c r="N893" s="89"/>
      <c r="O893" s="89"/>
      <c r="P893" s="89"/>
      <c r="Q893" s="89"/>
      <c r="R893" s="89"/>
      <c r="S893" s="89"/>
      <c r="T893" s="89"/>
      <c r="U893" s="89"/>
      <c r="V893" s="89"/>
      <c r="W893" s="89"/>
      <c r="X893" s="89"/>
      <c r="Y893" s="89"/>
      <c r="Z893" s="89"/>
      <c r="AA893" s="89"/>
      <c r="AB893" s="89"/>
      <c r="AC893" s="89"/>
      <c r="AD893" s="89"/>
      <c r="AE893" s="89"/>
      <c r="AF893" s="89"/>
      <c r="AG893" s="89"/>
      <c r="AH893" s="89"/>
      <c r="AI893" s="89"/>
      <c r="AJ893" s="89"/>
      <c r="AK893" s="89"/>
      <c r="AL893" s="89"/>
      <c r="AM893" s="89"/>
      <c r="AN893" s="89"/>
      <c r="AO893" s="89"/>
      <c r="AP893" s="89"/>
      <c r="AQ893" s="89"/>
      <c r="AR893" s="89"/>
      <c r="AS893" s="89"/>
      <c r="AT893" s="89"/>
      <c r="AU893" s="89"/>
      <c r="AV893" s="89"/>
      <c r="AW893" s="89"/>
      <c r="AX893" s="89"/>
      <c r="AY893" s="89"/>
      <c r="AZ893" s="89"/>
      <c r="BA893" s="89"/>
      <c r="BB893" s="89"/>
      <c r="BC893" s="89"/>
      <c r="BD893" s="89"/>
      <c r="BE893" s="89"/>
      <c r="BF893" s="89"/>
    </row>
    <row r="894" spans="9:58" x14ac:dyDescent="0.25">
      <c r="I894" s="89"/>
      <c r="J894" s="89"/>
      <c r="K894" s="89"/>
      <c r="L894" s="89"/>
      <c r="M894" s="89"/>
      <c r="N894" s="89"/>
      <c r="O894" s="89"/>
      <c r="P894" s="89"/>
      <c r="Q894" s="89"/>
      <c r="R894" s="89"/>
      <c r="S894" s="89"/>
      <c r="T894" s="89"/>
      <c r="U894" s="89"/>
      <c r="V894" s="89"/>
      <c r="W894" s="89"/>
      <c r="X894" s="89"/>
      <c r="Y894" s="89"/>
      <c r="Z894" s="89"/>
      <c r="AA894" s="89"/>
      <c r="AB894" s="89"/>
      <c r="AC894" s="89"/>
      <c r="AD894" s="89"/>
      <c r="AE894" s="89"/>
      <c r="AF894" s="89"/>
      <c r="AG894" s="89"/>
      <c r="AH894" s="89"/>
      <c r="AI894" s="89"/>
      <c r="AJ894" s="89"/>
      <c r="AK894" s="89"/>
      <c r="AL894" s="89"/>
      <c r="AM894" s="89"/>
      <c r="AN894" s="89"/>
      <c r="AO894" s="89"/>
      <c r="AP894" s="89"/>
      <c r="AQ894" s="89"/>
      <c r="AR894" s="89"/>
      <c r="AS894" s="89"/>
      <c r="AT894" s="89"/>
      <c r="AU894" s="89"/>
      <c r="AV894" s="89"/>
      <c r="AW894" s="89"/>
      <c r="AX894" s="89"/>
      <c r="AY894" s="89"/>
      <c r="AZ894" s="89"/>
      <c r="BA894" s="89"/>
      <c r="BB894" s="89"/>
      <c r="BC894" s="89"/>
      <c r="BD894" s="89"/>
      <c r="BE894" s="89"/>
      <c r="BF894" s="89"/>
    </row>
    <row r="895" spans="9:58" x14ac:dyDescent="0.25">
      <c r="I895" s="89"/>
      <c r="J895" s="89"/>
      <c r="K895" s="89"/>
      <c r="L895" s="89"/>
      <c r="M895" s="89"/>
      <c r="N895" s="89"/>
      <c r="O895" s="89"/>
      <c r="P895" s="89"/>
      <c r="Q895" s="89"/>
      <c r="R895" s="89"/>
      <c r="S895" s="89"/>
      <c r="T895" s="89"/>
      <c r="U895" s="89"/>
      <c r="V895" s="89"/>
      <c r="W895" s="89"/>
      <c r="X895" s="89"/>
      <c r="Y895" s="89"/>
      <c r="Z895" s="89"/>
      <c r="AA895" s="89"/>
      <c r="AB895" s="89"/>
      <c r="AC895" s="89"/>
      <c r="AD895" s="89"/>
      <c r="AE895" s="89"/>
      <c r="AF895" s="89"/>
      <c r="AG895" s="89"/>
      <c r="AH895" s="89"/>
      <c r="AI895" s="89"/>
      <c r="AJ895" s="89"/>
      <c r="AK895" s="89"/>
      <c r="AL895" s="89"/>
      <c r="AM895" s="89"/>
      <c r="AN895" s="89"/>
      <c r="AO895" s="89"/>
      <c r="AP895" s="89"/>
      <c r="AQ895" s="89"/>
      <c r="AR895" s="89"/>
      <c r="AS895" s="89"/>
      <c r="AT895" s="89"/>
      <c r="AU895" s="89"/>
      <c r="AV895" s="89"/>
      <c r="AW895" s="89"/>
      <c r="AX895" s="89"/>
      <c r="AY895" s="89"/>
      <c r="AZ895" s="89"/>
      <c r="BA895" s="89"/>
      <c r="BB895" s="89"/>
      <c r="BC895" s="89"/>
      <c r="BD895" s="89"/>
      <c r="BE895" s="89"/>
      <c r="BF895" s="89"/>
    </row>
    <row r="896" spans="9:58" x14ac:dyDescent="0.25">
      <c r="I896" s="89"/>
      <c r="J896" s="89"/>
      <c r="K896" s="89"/>
      <c r="L896" s="89"/>
      <c r="M896" s="89"/>
      <c r="N896" s="89"/>
      <c r="O896" s="89"/>
      <c r="P896" s="89"/>
      <c r="Q896" s="89"/>
      <c r="R896" s="89"/>
      <c r="S896" s="89"/>
      <c r="T896" s="89"/>
      <c r="U896" s="89"/>
      <c r="V896" s="89"/>
      <c r="W896" s="89"/>
      <c r="X896" s="89"/>
      <c r="Y896" s="89"/>
      <c r="Z896" s="89"/>
      <c r="AA896" s="89"/>
      <c r="AB896" s="89"/>
      <c r="AC896" s="89"/>
      <c r="AD896" s="89"/>
      <c r="AE896" s="89"/>
      <c r="AF896" s="89"/>
      <c r="AG896" s="89"/>
      <c r="AH896" s="89"/>
      <c r="AI896" s="89"/>
      <c r="AJ896" s="89"/>
      <c r="AK896" s="89"/>
      <c r="AL896" s="89"/>
      <c r="AM896" s="89"/>
      <c r="AN896" s="89"/>
      <c r="AO896" s="89"/>
      <c r="AP896" s="89"/>
      <c r="AQ896" s="89"/>
      <c r="AR896" s="89"/>
      <c r="AS896" s="89"/>
      <c r="AT896" s="89"/>
      <c r="AU896" s="89"/>
      <c r="AV896" s="89"/>
      <c r="AW896" s="89"/>
      <c r="AX896" s="89"/>
      <c r="AY896" s="89"/>
      <c r="AZ896" s="89"/>
      <c r="BA896" s="89"/>
      <c r="BB896" s="89"/>
      <c r="BC896" s="89"/>
      <c r="BD896" s="89"/>
      <c r="BE896" s="89"/>
      <c r="BF896" s="89"/>
    </row>
    <row r="897" spans="9:58" x14ac:dyDescent="0.25">
      <c r="I897" s="89"/>
      <c r="J897" s="89"/>
      <c r="K897" s="89"/>
      <c r="L897" s="89"/>
      <c r="M897" s="89"/>
      <c r="N897" s="89"/>
      <c r="O897" s="89"/>
      <c r="P897" s="89"/>
      <c r="Q897" s="89"/>
      <c r="R897" s="89"/>
      <c r="S897" s="89"/>
      <c r="T897" s="89"/>
      <c r="U897" s="89"/>
      <c r="V897" s="89"/>
      <c r="W897" s="89"/>
      <c r="X897" s="89"/>
      <c r="Y897" s="89"/>
      <c r="Z897" s="89"/>
      <c r="AA897" s="89"/>
      <c r="AB897" s="89"/>
      <c r="AC897" s="89"/>
      <c r="AD897" s="89"/>
      <c r="AE897" s="89"/>
      <c r="AF897" s="89"/>
      <c r="AG897" s="89"/>
      <c r="AH897" s="89"/>
      <c r="AI897" s="89"/>
      <c r="AJ897" s="89"/>
      <c r="AK897" s="89"/>
      <c r="AL897" s="89"/>
      <c r="AM897" s="89"/>
      <c r="AN897" s="89"/>
      <c r="AO897" s="89"/>
      <c r="AP897" s="89"/>
      <c r="AQ897" s="89"/>
      <c r="AR897" s="89"/>
      <c r="AS897" s="89"/>
      <c r="AT897" s="89"/>
      <c r="AU897" s="89"/>
      <c r="AV897" s="89"/>
      <c r="AW897" s="89"/>
      <c r="AX897" s="89"/>
      <c r="AY897" s="89"/>
      <c r="AZ897" s="89"/>
      <c r="BA897" s="89"/>
      <c r="BB897" s="89"/>
      <c r="BC897" s="89"/>
      <c r="BD897" s="89"/>
      <c r="BE897" s="89"/>
      <c r="BF897" s="89"/>
    </row>
    <row r="898" spans="9:58" x14ac:dyDescent="0.25">
      <c r="I898" s="89"/>
      <c r="J898" s="89"/>
      <c r="K898" s="89"/>
      <c r="L898" s="89"/>
      <c r="M898" s="89"/>
      <c r="N898" s="89"/>
      <c r="O898" s="89"/>
      <c r="P898" s="89"/>
      <c r="Q898" s="89"/>
      <c r="R898" s="89"/>
      <c r="S898" s="89"/>
      <c r="T898" s="89"/>
      <c r="U898" s="89"/>
      <c r="V898" s="89"/>
      <c r="W898" s="89"/>
      <c r="X898" s="89"/>
      <c r="Y898" s="89"/>
      <c r="Z898" s="89"/>
      <c r="AA898" s="89"/>
      <c r="AB898" s="89"/>
      <c r="AC898" s="89"/>
      <c r="AD898" s="89"/>
      <c r="AE898" s="89"/>
      <c r="AF898" s="89"/>
      <c r="AG898" s="89"/>
      <c r="AH898" s="89"/>
      <c r="AI898" s="89"/>
      <c r="AJ898" s="89"/>
      <c r="AK898" s="89"/>
      <c r="AL898" s="89"/>
      <c r="AM898" s="89"/>
      <c r="AN898" s="89"/>
      <c r="AO898" s="89"/>
      <c r="AP898" s="89"/>
      <c r="AQ898" s="89"/>
      <c r="AR898" s="89"/>
      <c r="AS898" s="89"/>
      <c r="AT898" s="89"/>
      <c r="AU898" s="89"/>
      <c r="AV898" s="89"/>
      <c r="AW898" s="89"/>
      <c r="AX898" s="89"/>
      <c r="AY898" s="89"/>
      <c r="AZ898" s="89"/>
      <c r="BA898" s="89"/>
      <c r="BB898" s="89"/>
      <c r="BC898" s="89"/>
      <c r="BD898" s="89"/>
      <c r="BE898" s="89"/>
      <c r="BF898" s="89"/>
    </row>
    <row r="899" spans="9:58" x14ac:dyDescent="0.25">
      <c r="I899" s="89"/>
      <c r="J899" s="89"/>
      <c r="K899" s="89"/>
      <c r="L899" s="89"/>
      <c r="M899" s="89"/>
      <c r="N899" s="89"/>
      <c r="O899" s="89"/>
      <c r="P899" s="89"/>
      <c r="Q899" s="89"/>
      <c r="R899" s="89"/>
      <c r="S899" s="89"/>
      <c r="T899" s="89"/>
      <c r="U899" s="89"/>
      <c r="V899" s="89"/>
      <c r="W899" s="89"/>
      <c r="X899" s="89"/>
      <c r="Y899" s="89"/>
      <c r="Z899" s="89"/>
      <c r="AA899" s="89"/>
      <c r="AB899" s="89"/>
      <c r="AC899" s="89"/>
      <c r="AD899" s="89"/>
      <c r="AE899" s="89"/>
      <c r="AF899" s="89"/>
      <c r="AG899" s="89"/>
      <c r="AH899" s="89"/>
      <c r="AI899" s="89"/>
      <c r="AJ899" s="89"/>
      <c r="AK899" s="89"/>
      <c r="AL899" s="89"/>
      <c r="AM899" s="89"/>
      <c r="AN899" s="89"/>
      <c r="AO899" s="89"/>
      <c r="AP899" s="89"/>
      <c r="AQ899" s="89"/>
      <c r="AR899" s="89"/>
      <c r="AS899" s="89"/>
      <c r="AT899" s="89"/>
      <c r="AU899" s="89"/>
      <c r="AV899" s="89"/>
      <c r="AW899" s="89"/>
      <c r="AX899" s="89"/>
      <c r="AY899" s="89"/>
      <c r="AZ899" s="89"/>
      <c r="BA899" s="89"/>
      <c r="BB899" s="89"/>
      <c r="BC899" s="89"/>
      <c r="BD899" s="89"/>
      <c r="BE899" s="89"/>
      <c r="BF899" s="89"/>
    </row>
    <row r="900" spans="9:58" x14ac:dyDescent="0.25">
      <c r="I900" s="89"/>
      <c r="J900" s="89"/>
      <c r="K900" s="89"/>
      <c r="L900" s="89"/>
      <c r="M900" s="89"/>
      <c r="N900" s="89"/>
      <c r="O900" s="89"/>
      <c r="P900" s="89"/>
      <c r="Q900" s="89"/>
      <c r="R900" s="89"/>
      <c r="S900" s="89"/>
      <c r="T900" s="89"/>
      <c r="U900" s="89"/>
      <c r="V900" s="89"/>
      <c r="W900" s="89"/>
      <c r="X900" s="89"/>
      <c r="Y900" s="89"/>
      <c r="Z900" s="89"/>
      <c r="AA900" s="89"/>
      <c r="AB900" s="89"/>
      <c r="AC900" s="89"/>
      <c r="AD900" s="89"/>
      <c r="AE900" s="89"/>
      <c r="AF900" s="89"/>
      <c r="AG900" s="89"/>
      <c r="AH900" s="89"/>
      <c r="AI900" s="89"/>
      <c r="AJ900" s="89"/>
      <c r="AK900" s="89"/>
      <c r="AL900" s="89"/>
      <c r="AM900" s="89"/>
      <c r="AN900" s="89"/>
      <c r="AO900" s="89"/>
      <c r="AP900" s="89"/>
      <c r="AQ900" s="89"/>
      <c r="AR900" s="89"/>
      <c r="AS900" s="89"/>
      <c r="AT900" s="89"/>
      <c r="AU900" s="89"/>
      <c r="AV900" s="89"/>
      <c r="AW900" s="89"/>
      <c r="AX900" s="89"/>
      <c r="AY900" s="89"/>
      <c r="AZ900" s="89"/>
      <c r="BA900" s="89"/>
      <c r="BB900" s="89"/>
      <c r="BC900" s="89"/>
      <c r="BD900" s="89"/>
      <c r="BE900" s="89"/>
      <c r="BF900" s="89"/>
    </row>
    <row r="901" spans="9:58" x14ac:dyDescent="0.25">
      <c r="I901" s="89"/>
      <c r="J901" s="89"/>
      <c r="K901" s="89"/>
      <c r="L901" s="89"/>
      <c r="M901" s="89"/>
      <c r="N901" s="89"/>
      <c r="O901" s="89"/>
      <c r="P901" s="89"/>
      <c r="Q901" s="89"/>
      <c r="R901" s="89"/>
      <c r="S901" s="89"/>
      <c r="T901" s="89"/>
      <c r="U901" s="89"/>
      <c r="V901" s="89"/>
      <c r="W901" s="89"/>
      <c r="X901" s="89"/>
      <c r="Y901" s="89"/>
      <c r="Z901" s="89"/>
      <c r="AA901" s="89"/>
      <c r="AB901" s="89"/>
      <c r="AC901" s="89"/>
      <c r="AD901" s="89"/>
      <c r="AE901" s="89"/>
      <c r="AF901" s="89"/>
      <c r="AG901" s="89"/>
      <c r="AH901" s="89"/>
      <c r="AI901" s="89"/>
      <c r="AJ901" s="89"/>
      <c r="AK901" s="89"/>
      <c r="AL901" s="89"/>
      <c r="AM901" s="89"/>
      <c r="AN901" s="89"/>
      <c r="AO901" s="89"/>
      <c r="AP901" s="89"/>
      <c r="AQ901" s="89"/>
      <c r="AR901" s="89"/>
      <c r="AS901" s="89"/>
      <c r="AT901" s="89"/>
      <c r="AU901" s="89"/>
      <c r="AV901" s="89"/>
      <c r="AW901" s="89"/>
      <c r="AX901" s="89"/>
      <c r="AY901" s="89"/>
      <c r="AZ901" s="89"/>
      <c r="BA901" s="89"/>
      <c r="BB901" s="89"/>
      <c r="BC901" s="89"/>
      <c r="BD901" s="89"/>
      <c r="BE901" s="89"/>
      <c r="BF901" s="89"/>
    </row>
    <row r="902" spans="9:58" x14ac:dyDescent="0.25">
      <c r="I902" s="89"/>
      <c r="J902" s="89"/>
      <c r="K902" s="89"/>
      <c r="L902" s="89"/>
      <c r="M902" s="89"/>
      <c r="N902" s="89"/>
      <c r="O902" s="89"/>
      <c r="P902" s="89"/>
      <c r="Q902" s="89"/>
      <c r="R902" s="89"/>
      <c r="S902" s="89"/>
      <c r="T902" s="89"/>
      <c r="U902" s="89"/>
      <c r="V902" s="89"/>
      <c r="W902" s="89"/>
      <c r="X902" s="89"/>
      <c r="Y902" s="89"/>
      <c r="Z902" s="89"/>
      <c r="AA902" s="89"/>
      <c r="AB902" s="89"/>
      <c r="AC902" s="89"/>
      <c r="AD902" s="89"/>
      <c r="AE902" s="89"/>
      <c r="AF902" s="89"/>
      <c r="AG902" s="89"/>
      <c r="AH902" s="89"/>
      <c r="AI902" s="89"/>
      <c r="AJ902" s="89"/>
      <c r="AK902" s="89"/>
      <c r="AL902" s="89"/>
      <c r="AM902" s="89"/>
      <c r="AN902" s="89"/>
      <c r="AO902" s="89"/>
      <c r="AP902" s="89"/>
      <c r="AQ902" s="89"/>
      <c r="AR902" s="89"/>
      <c r="AS902" s="89"/>
      <c r="AT902" s="89"/>
      <c r="AU902" s="89"/>
      <c r="AV902" s="89"/>
      <c r="AW902" s="89"/>
      <c r="AX902" s="89"/>
      <c r="AY902" s="89"/>
      <c r="AZ902" s="89"/>
      <c r="BA902" s="89"/>
      <c r="BB902" s="89"/>
      <c r="BC902" s="89"/>
      <c r="BD902" s="89"/>
      <c r="BE902" s="89"/>
      <c r="BF902" s="89"/>
    </row>
    <row r="903" spans="9:58" x14ac:dyDescent="0.25">
      <c r="I903" s="89"/>
      <c r="J903" s="89"/>
      <c r="K903" s="89"/>
      <c r="L903" s="89"/>
      <c r="M903" s="89"/>
      <c r="N903" s="89"/>
      <c r="O903" s="89"/>
      <c r="P903" s="89"/>
      <c r="Q903" s="89"/>
      <c r="R903" s="89"/>
      <c r="S903" s="89"/>
      <c r="T903" s="89"/>
      <c r="U903" s="89"/>
      <c r="V903" s="89"/>
      <c r="W903" s="89"/>
      <c r="X903" s="89"/>
      <c r="Y903" s="89"/>
      <c r="Z903" s="89"/>
      <c r="AA903" s="89"/>
      <c r="AB903" s="89"/>
      <c r="AC903" s="89"/>
      <c r="AD903" s="89"/>
      <c r="AE903" s="89"/>
      <c r="AF903" s="89"/>
      <c r="AG903" s="89"/>
      <c r="AH903" s="89"/>
      <c r="AI903" s="89"/>
      <c r="AJ903" s="89"/>
      <c r="AK903" s="89"/>
      <c r="AL903" s="89"/>
      <c r="AM903" s="89"/>
      <c r="AN903" s="89"/>
      <c r="AO903" s="89"/>
      <c r="AP903" s="89"/>
      <c r="AQ903" s="89"/>
      <c r="AR903" s="89"/>
      <c r="AS903" s="89"/>
      <c r="AT903" s="89"/>
      <c r="AU903" s="89"/>
      <c r="AV903" s="89"/>
      <c r="AW903" s="89"/>
      <c r="AX903" s="89"/>
      <c r="AY903" s="89"/>
      <c r="AZ903" s="89"/>
      <c r="BA903" s="89"/>
      <c r="BB903" s="89"/>
      <c r="BC903" s="89"/>
      <c r="BD903" s="89"/>
      <c r="BE903" s="89"/>
      <c r="BF903" s="89"/>
    </row>
    <row r="904" spans="9:58" x14ac:dyDescent="0.25">
      <c r="I904" s="89"/>
      <c r="J904" s="89"/>
      <c r="K904" s="89"/>
      <c r="L904" s="89"/>
      <c r="M904" s="89"/>
      <c r="N904" s="89"/>
      <c r="O904" s="89"/>
      <c r="P904" s="89"/>
      <c r="Q904" s="89"/>
      <c r="R904" s="89"/>
      <c r="S904" s="89"/>
      <c r="T904" s="89"/>
      <c r="U904" s="89"/>
      <c r="V904" s="89"/>
      <c r="W904" s="89"/>
      <c r="X904" s="89"/>
      <c r="Y904" s="89"/>
      <c r="Z904" s="89"/>
      <c r="AA904" s="89"/>
      <c r="AB904" s="89"/>
      <c r="AC904" s="89"/>
      <c r="AD904" s="89"/>
      <c r="AE904" s="89"/>
      <c r="AF904" s="89"/>
      <c r="AG904" s="89"/>
      <c r="AH904" s="89"/>
      <c r="AI904" s="89"/>
      <c r="AJ904" s="89"/>
      <c r="AK904" s="89"/>
      <c r="AL904" s="89"/>
      <c r="AM904" s="89"/>
      <c r="AN904" s="89"/>
      <c r="AO904" s="89"/>
      <c r="AP904" s="89"/>
      <c r="AQ904" s="89"/>
      <c r="AR904" s="89"/>
      <c r="AS904" s="89"/>
      <c r="AT904" s="89"/>
      <c r="AU904" s="89"/>
      <c r="AV904" s="89"/>
      <c r="AW904" s="89"/>
      <c r="AX904" s="89"/>
      <c r="AY904" s="89"/>
      <c r="AZ904" s="89"/>
      <c r="BA904" s="89"/>
      <c r="BB904" s="89"/>
      <c r="BC904" s="89"/>
      <c r="BD904" s="89"/>
      <c r="BE904" s="89"/>
      <c r="BF904" s="89"/>
    </row>
    <row r="905" spans="9:58" x14ac:dyDescent="0.25">
      <c r="I905" s="89"/>
      <c r="J905" s="89"/>
      <c r="K905" s="89"/>
      <c r="L905" s="89"/>
      <c r="M905" s="89"/>
      <c r="N905" s="89"/>
      <c r="O905" s="89"/>
      <c r="P905" s="89"/>
      <c r="Q905" s="89"/>
      <c r="R905" s="89"/>
      <c r="S905" s="89"/>
      <c r="T905" s="89"/>
      <c r="U905" s="89"/>
      <c r="V905" s="89"/>
      <c r="W905" s="89"/>
      <c r="X905" s="89"/>
      <c r="Y905" s="89"/>
      <c r="Z905" s="89"/>
      <c r="AA905" s="89"/>
      <c r="AB905" s="89"/>
      <c r="AC905" s="89"/>
      <c r="AD905" s="89"/>
      <c r="AE905" s="89"/>
      <c r="AF905" s="89"/>
      <c r="AG905" s="89"/>
      <c r="AH905" s="89"/>
      <c r="AI905" s="89"/>
      <c r="AJ905" s="89"/>
      <c r="AK905" s="89"/>
      <c r="AL905" s="89"/>
      <c r="AM905" s="89"/>
      <c r="AN905" s="89"/>
      <c r="AO905" s="89"/>
      <c r="AP905" s="89"/>
      <c r="AQ905" s="89"/>
      <c r="AR905" s="89"/>
      <c r="AS905" s="89"/>
      <c r="AT905" s="89"/>
      <c r="AU905" s="89"/>
      <c r="AV905" s="89"/>
      <c r="AW905" s="89"/>
      <c r="AX905" s="89"/>
      <c r="AY905" s="89"/>
      <c r="AZ905" s="89"/>
      <c r="BA905" s="89"/>
      <c r="BB905" s="89"/>
      <c r="BC905" s="89"/>
      <c r="BD905" s="89"/>
      <c r="BE905" s="89"/>
      <c r="BF905" s="89"/>
    </row>
    <row r="906" spans="9:58" x14ac:dyDescent="0.25">
      <c r="I906" s="89"/>
      <c r="J906" s="89"/>
      <c r="K906" s="89"/>
      <c r="L906" s="89"/>
      <c r="M906" s="89"/>
      <c r="N906" s="89"/>
      <c r="O906" s="89"/>
      <c r="P906" s="89"/>
      <c r="Q906" s="89"/>
      <c r="R906" s="89"/>
      <c r="S906" s="89"/>
      <c r="T906" s="89"/>
      <c r="U906" s="89"/>
      <c r="V906" s="89"/>
      <c r="W906" s="89"/>
      <c r="X906" s="89"/>
      <c r="Y906" s="89"/>
      <c r="Z906" s="89"/>
      <c r="AA906" s="89"/>
      <c r="AB906" s="89"/>
      <c r="AC906" s="89"/>
      <c r="AD906" s="89"/>
      <c r="AE906" s="89"/>
      <c r="AF906" s="89"/>
      <c r="AG906" s="89"/>
      <c r="AH906" s="89"/>
      <c r="AI906" s="89"/>
      <c r="AJ906" s="89"/>
      <c r="AK906" s="89"/>
      <c r="AL906" s="89"/>
      <c r="AM906" s="89"/>
      <c r="AN906" s="89"/>
      <c r="AO906" s="89"/>
      <c r="AP906" s="89"/>
      <c r="AQ906" s="89"/>
      <c r="AR906" s="89"/>
      <c r="AS906" s="89"/>
      <c r="AT906" s="89"/>
      <c r="AU906" s="89"/>
      <c r="AV906" s="89"/>
      <c r="AW906" s="89"/>
      <c r="AX906" s="89"/>
      <c r="AY906" s="89"/>
      <c r="AZ906" s="89"/>
      <c r="BA906" s="89"/>
      <c r="BB906" s="89"/>
      <c r="BC906" s="89"/>
      <c r="BD906" s="89"/>
      <c r="BE906" s="89"/>
      <c r="BF906" s="89"/>
    </row>
    <row r="907" spans="9:58" x14ac:dyDescent="0.25">
      <c r="I907" s="89"/>
      <c r="J907" s="89"/>
      <c r="K907" s="89"/>
      <c r="L907" s="89"/>
      <c r="M907" s="89"/>
      <c r="N907" s="89"/>
      <c r="O907" s="89"/>
      <c r="P907" s="89"/>
      <c r="Q907" s="89"/>
      <c r="R907" s="89"/>
      <c r="S907" s="89"/>
      <c r="T907" s="89"/>
      <c r="U907" s="89"/>
      <c r="V907" s="89"/>
      <c r="W907" s="89"/>
      <c r="X907" s="89"/>
      <c r="Y907" s="89"/>
      <c r="Z907" s="89"/>
      <c r="AA907" s="89"/>
      <c r="AB907" s="89"/>
      <c r="AC907" s="89"/>
      <c r="AD907" s="89"/>
      <c r="AE907" s="89"/>
      <c r="AF907" s="89"/>
      <c r="AG907" s="89"/>
      <c r="AH907" s="89"/>
      <c r="AI907" s="89"/>
      <c r="AJ907" s="89"/>
      <c r="AK907" s="89"/>
      <c r="AL907" s="89"/>
      <c r="AM907" s="89"/>
      <c r="AN907" s="89"/>
      <c r="AO907" s="89"/>
      <c r="AP907" s="89"/>
      <c r="AQ907" s="89"/>
      <c r="AR907" s="89"/>
      <c r="AS907" s="89"/>
      <c r="AT907" s="89"/>
      <c r="AU907" s="89"/>
      <c r="AV907" s="89"/>
      <c r="AW907" s="89"/>
      <c r="AX907" s="89"/>
      <c r="AY907" s="89"/>
      <c r="AZ907" s="89"/>
      <c r="BA907" s="89"/>
      <c r="BB907" s="89"/>
      <c r="BC907" s="89"/>
      <c r="BD907" s="89"/>
      <c r="BE907" s="89"/>
      <c r="BF907" s="89"/>
    </row>
    <row r="908" spans="9:58" x14ac:dyDescent="0.25">
      <c r="I908" s="89"/>
      <c r="J908" s="89"/>
      <c r="K908" s="89"/>
      <c r="L908" s="89"/>
      <c r="M908" s="89"/>
      <c r="N908" s="89"/>
      <c r="O908" s="89"/>
      <c r="P908" s="89"/>
      <c r="Q908" s="89"/>
      <c r="R908" s="89"/>
      <c r="S908" s="89"/>
      <c r="T908" s="89"/>
      <c r="U908" s="89"/>
      <c r="V908" s="89"/>
      <c r="W908" s="89"/>
      <c r="X908" s="89"/>
      <c r="Y908" s="89"/>
      <c r="Z908" s="89"/>
      <c r="AA908" s="89"/>
      <c r="AB908" s="89"/>
      <c r="AC908" s="89"/>
      <c r="AD908" s="89"/>
      <c r="AE908" s="89"/>
      <c r="AF908" s="89"/>
      <c r="AG908" s="89"/>
      <c r="AH908" s="89"/>
      <c r="AI908" s="89"/>
      <c r="AJ908" s="89"/>
      <c r="AK908" s="89"/>
      <c r="AL908" s="89"/>
      <c r="AM908" s="89"/>
      <c r="AN908" s="89"/>
      <c r="AO908" s="89"/>
      <c r="AP908" s="89"/>
      <c r="AQ908" s="89"/>
      <c r="AR908" s="89"/>
      <c r="AS908" s="89"/>
      <c r="AT908" s="89"/>
      <c r="AU908" s="89"/>
      <c r="AV908" s="89"/>
      <c r="AW908" s="89"/>
      <c r="AX908" s="89"/>
      <c r="AY908" s="89"/>
      <c r="AZ908" s="89"/>
      <c r="BA908" s="89"/>
      <c r="BB908" s="89"/>
      <c r="BC908" s="89"/>
      <c r="BD908" s="89"/>
      <c r="BE908" s="89"/>
      <c r="BF908" s="89"/>
    </row>
    <row r="909" spans="9:58" x14ac:dyDescent="0.25">
      <c r="I909" s="89"/>
      <c r="J909" s="89"/>
      <c r="K909" s="89"/>
      <c r="L909" s="89"/>
      <c r="M909" s="89"/>
      <c r="N909" s="89"/>
      <c r="O909" s="89"/>
      <c r="P909" s="89"/>
      <c r="Q909" s="89"/>
      <c r="R909" s="89"/>
      <c r="S909" s="89"/>
      <c r="T909" s="89"/>
      <c r="U909" s="89"/>
      <c r="V909" s="89"/>
      <c r="W909" s="89"/>
      <c r="X909" s="89"/>
      <c r="Y909" s="89"/>
      <c r="Z909" s="89"/>
      <c r="AA909" s="89"/>
      <c r="AB909" s="89"/>
      <c r="AC909" s="89"/>
      <c r="AD909" s="89"/>
      <c r="AE909" s="89"/>
      <c r="AF909" s="89"/>
      <c r="AG909" s="89"/>
      <c r="AH909" s="89"/>
      <c r="AI909" s="89"/>
      <c r="AJ909" s="89"/>
      <c r="AK909" s="89"/>
      <c r="AL909" s="89"/>
      <c r="AM909" s="89"/>
      <c r="AN909" s="89"/>
      <c r="AO909" s="89"/>
      <c r="AP909" s="89"/>
      <c r="AQ909" s="89"/>
      <c r="AR909" s="89"/>
      <c r="AS909" s="89"/>
      <c r="AT909" s="89"/>
      <c r="AU909" s="89"/>
      <c r="AV909" s="89"/>
      <c r="AW909" s="89"/>
      <c r="AX909" s="89"/>
      <c r="AY909" s="89"/>
      <c r="AZ909" s="89"/>
      <c r="BA909" s="89"/>
      <c r="BB909" s="89"/>
      <c r="BC909" s="89"/>
      <c r="BD909" s="89"/>
      <c r="BE909" s="89"/>
      <c r="BF909" s="89"/>
    </row>
    <row r="910" spans="9:58" x14ac:dyDescent="0.25">
      <c r="I910" s="89"/>
      <c r="J910" s="89"/>
      <c r="K910" s="89"/>
      <c r="L910" s="89"/>
      <c r="M910" s="89"/>
      <c r="N910" s="89"/>
      <c r="O910" s="89"/>
      <c r="P910" s="89"/>
      <c r="Q910" s="89"/>
      <c r="R910" s="89"/>
      <c r="S910" s="89"/>
      <c r="T910" s="89"/>
      <c r="U910" s="89"/>
      <c r="V910" s="89"/>
      <c r="W910" s="89"/>
      <c r="X910" s="89"/>
      <c r="Y910" s="89"/>
      <c r="Z910" s="89"/>
      <c r="AA910" s="89"/>
      <c r="AB910" s="89"/>
      <c r="AC910" s="89"/>
      <c r="AD910" s="89"/>
      <c r="AE910" s="89"/>
      <c r="AF910" s="89"/>
      <c r="AG910" s="89"/>
      <c r="AH910" s="89"/>
      <c r="AI910" s="89"/>
      <c r="AJ910" s="89"/>
      <c r="AK910" s="89"/>
      <c r="AL910" s="89"/>
      <c r="AM910" s="89"/>
      <c r="AN910" s="89"/>
      <c r="AO910" s="89"/>
      <c r="AP910" s="89"/>
      <c r="AQ910" s="89"/>
      <c r="AR910" s="89"/>
      <c r="AS910" s="89"/>
      <c r="AT910" s="89"/>
      <c r="AU910" s="89"/>
      <c r="AV910" s="89"/>
      <c r="AW910" s="89"/>
      <c r="AX910" s="89"/>
      <c r="AY910" s="89"/>
      <c r="AZ910" s="89"/>
      <c r="BA910" s="89"/>
      <c r="BB910" s="89"/>
      <c r="BC910" s="89"/>
      <c r="BD910" s="89"/>
      <c r="BE910" s="89"/>
      <c r="BF910" s="89"/>
    </row>
    <row r="911" spans="9:58" x14ac:dyDescent="0.25">
      <c r="I911" s="89"/>
      <c r="J911" s="89"/>
      <c r="K911" s="89"/>
      <c r="L911" s="89"/>
      <c r="M911" s="89"/>
      <c r="N911" s="89"/>
      <c r="O911" s="89"/>
      <c r="P911" s="89"/>
      <c r="Q911" s="89"/>
      <c r="R911" s="89"/>
      <c r="S911" s="89"/>
      <c r="T911" s="89"/>
      <c r="U911" s="89"/>
      <c r="V911" s="89"/>
      <c r="W911" s="89"/>
      <c r="X911" s="89"/>
      <c r="Y911" s="89"/>
      <c r="Z911" s="89"/>
      <c r="AA911" s="89"/>
      <c r="AB911" s="89"/>
      <c r="AC911" s="89"/>
      <c r="AD911" s="89"/>
      <c r="AE911" s="89"/>
      <c r="AF911" s="89"/>
      <c r="AG911" s="89"/>
      <c r="AH911" s="89"/>
      <c r="AI911" s="89"/>
      <c r="AJ911" s="89"/>
      <c r="AK911" s="89"/>
      <c r="AL911" s="89"/>
      <c r="AM911" s="89"/>
      <c r="AN911" s="89"/>
      <c r="AO911" s="89"/>
      <c r="AP911" s="89"/>
      <c r="AQ911" s="89"/>
      <c r="AR911" s="89"/>
      <c r="AS911" s="89"/>
      <c r="AT911" s="89"/>
      <c r="AU911" s="89"/>
      <c r="AV911" s="89"/>
      <c r="AW911" s="89"/>
      <c r="AX911" s="89"/>
      <c r="AY911" s="89"/>
      <c r="AZ911" s="89"/>
      <c r="BA911" s="89"/>
      <c r="BB911" s="89"/>
      <c r="BC911" s="89"/>
      <c r="BD911" s="89"/>
      <c r="BE911" s="89"/>
      <c r="BF911" s="89"/>
    </row>
    <row r="912" spans="9:58" x14ac:dyDescent="0.25">
      <c r="I912" s="89"/>
      <c r="J912" s="89"/>
      <c r="K912" s="89"/>
      <c r="L912" s="89"/>
      <c r="M912" s="89"/>
      <c r="N912" s="89"/>
      <c r="O912" s="89"/>
      <c r="P912" s="89"/>
      <c r="Q912" s="89"/>
      <c r="R912" s="89"/>
      <c r="S912" s="89"/>
      <c r="T912" s="89"/>
      <c r="U912" s="89"/>
      <c r="V912" s="89"/>
      <c r="W912" s="89"/>
      <c r="X912" s="89"/>
      <c r="Y912" s="89"/>
      <c r="Z912" s="89"/>
      <c r="AA912" s="89"/>
      <c r="AB912" s="89"/>
      <c r="AC912" s="89"/>
      <c r="AD912" s="89"/>
      <c r="AE912" s="89"/>
      <c r="AF912" s="89"/>
      <c r="AG912" s="89"/>
      <c r="AH912" s="89"/>
      <c r="AI912" s="89"/>
      <c r="AJ912" s="89"/>
      <c r="AK912" s="89"/>
      <c r="AL912" s="89"/>
      <c r="AM912" s="89"/>
      <c r="AN912" s="89"/>
      <c r="AO912" s="89"/>
      <c r="AP912" s="89"/>
      <c r="AQ912" s="89"/>
      <c r="AR912" s="89"/>
      <c r="AS912" s="89"/>
      <c r="AT912" s="89"/>
      <c r="AU912" s="89"/>
      <c r="AV912" s="89"/>
      <c r="AW912" s="89"/>
      <c r="AX912" s="89"/>
      <c r="AY912" s="89"/>
      <c r="AZ912" s="89"/>
      <c r="BA912" s="89"/>
      <c r="BB912" s="89"/>
      <c r="BC912" s="89"/>
      <c r="BD912" s="89"/>
      <c r="BE912" s="89"/>
      <c r="BF912" s="89"/>
    </row>
    <row r="913" spans="9:58" x14ac:dyDescent="0.25">
      <c r="I913" s="89"/>
      <c r="J913" s="89"/>
      <c r="K913" s="89"/>
      <c r="L913" s="89"/>
      <c r="M913" s="89"/>
      <c r="N913" s="89"/>
      <c r="O913" s="89"/>
      <c r="P913" s="89"/>
      <c r="Q913" s="89"/>
      <c r="R913" s="89"/>
      <c r="S913" s="89"/>
      <c r="T913" s="89"/>
      <c r="U913" s="89"/>
      <c r="V913" s="89"/>
      <c r="W913" s="89"/>
      <c r="X913" s="89"/>
      <c r="Y913" s="89"/>
      <c r="Z913" s="89"/>
      <c r="AA913" s="89"/>
      <c r="AB913" s="89"/>
      <c r="AC913" s="89"/>
      <c r="AD913" s="89"/>
      <c r="AE913" s="89"/>
      <c r="AF913" s="89"/>
      <c r="AG913" s="89"/>
      <c r="AH913" s="89"/>
      <c r="AI913" s="89"/>
      <c r="AJ913" s="89"/>
      <c r="AK913" s="89"/>
      <c r="AL913" s="89"/>
      <c r="AM913" s="89"/>
      <c r="AN913" s="89"/>
      <c r="AO913" s="89"/>
      <c r="AP913" s="89"/>
      <c r="AQ913" s="89"/>
      <c r="AR913" s="89"/>
      <c r="AS913" s="89"/>
      <c r="AT913" s="89"/>
      <c r="AU913" s="89"/>
      <c r="AV913" s="89"/>
      <c r="AW913" s="89"/>
      <c r="AX913" s="89"/>
      <c r="AY913" s="89"/>
      <c r="AZ913" s="89"/>
      <c r="BA913" s="89"/>
      <c r="BB913" s="89"/>
      <c r="BC913" s="89"/>
      <c r="BD913" s="89"/>
      <c r="BE913" s="89"/>
      <c r="BF913" s="89"/>
    </row>
    <row r="914" spans="9:58" x14ac:dyDescent="0.25">
      <c r="I914" s="89"/>
      <c r="J914" s="89"/>
      <c r="K914" s="89"/>
      <c r="L914" s="89"/>
      <c r="M914" s="89"/>
      <c r="N914" s="89"/>
      <c r="O914" s="89"/>
      <c r="P914" s="89"/>
      <c r="Q914" s="89"/>
      <c r="R914" s="89"/>
      <c r="S914" s="89"/>
      <c r="T914" s="89"/>
      <c r="U914" s="89"/>
      <c r="V914" s="89"/>
      <c r="W914" s="89"/>
      <c r="X914" s="89"/>
      <c r="Y914" s="89"/>
      <c r="Z914" s="89"/>
      <c r="AA914" s="89"/>
      <c r="AB914" s="89"/>
      <c r="AC914" s="89"/>
      <c r="AD914" s="89"/>
      <c r="AE914" s="89"/>
      <c r="AF914" s="89"/>
      <c r="AG914" s="89"/>
      <c r="AH914" s="89"/>
      <c r="AI914" s="89"/>
      <c r="AJ914" s="89"/>
      <c r="AK914" s="89"/>
      <c r="AL914" s="89"/>
      <c r="AM914" s="89"/>
      <c r="AN914" s="89"/>
      <c r="AO914" s="89"/>
      <c r="AP914" s="89"/>
      <c r="AQ914" s="89"/>
      <c r="AR914" s="89"/>
      <c r="AS914" s="89"/>
      <c r="AT914" s="89"/>
      <c r="AU914" s="89"/>
      <c r="AV914" s="89"/>
      <c r="AW914" s="89"/>
      <c r="AX914" s="89"/>
      <c r="AY914" s="89"/>
      <c r="AZ914" s="89"/>
      <c r="BA914" s="89"/>
      <c r="BB914" s="89"/>
      <c r="BC914" s="89"/>
      <c r="BD914" s="89"/>
      <c r="BE914" s="89"/>
      <c r="BF914" s="89"/>
    </row>
    <row r="915" spans="9:58" x14ac:dyDescent="0.25">
      <c r="I915" s="89"/>
      <c r="J915" s="89"/>
      <c r="K915" s="89"/>
      <c r="L915" s="89"/>
      <c r="M915" s="89"/>
      <c r="N915" s="89"/>
      <c r="O915" s="89"/>
      <c r="P915" s="89"/>
      <c r="Q915" s="89"/>
      <c r="R915" s="89"/>
      <c r="S915" s="89"/>
      <c r="T915" s="89"/>
      <c r="U915" s="89"/>
      <c r="V915" s="89"/>
      <c r="W915" s="89"/>
      <c r="X915" s="89"/>
      <c r="Y915" s="89"/>
      <c r="Z915" s="89"/>
      <c r="AA915" s="89"/>
      <c r="AB915" s="89"/>
      <c r="AC915" s="89"/>
      <c r="AD915" s="89"/>
      <c r="AE915" s="89"/>
      <c r="AF915" s="89"/>
      <c r="AG915" s="89"/>
      <c r="AH915" s="89"/>
      <c r="AI915" s="89"/>
      <c r="AJ915" s="89"/>
      <c r="AK915" s="89"/>
      <c r="AL915" s="89"/>
      <c r="AM915" s="89"/>
      <c r="AN915" s="89"/>
      <c r="AO915" s="89"/>
      <c r="AP915" s="89"/>
      <c r="AQ915" s="89"/>
      <c r="AR915" s="89"/>
      <c r="AS915" s="89"/>
      <c r="AT915" s="89"/>
      <c r="AU915" s="89"/>
      <c r="AV915" s="89"/>
      <c r="AW915" s="89"/>
      <c r="AX915" s="89"/>
      <c r="AY915" s="89"/>
      <c r="AZ915" s="89"/>
      <c r="BA915" s="89"/>
      <c r="BB915" s="89"/>
      <c r="BC915" s="89"/>
      <c r="BD915" s="89"/>
      <c r="BE915" s="89"/>
      <c r="BF915" s="89"/>
    </row>
    <row r="916" spans="9:58" x14ac:dyDescent="0.25">
      <c r="I916" s="89"/>
      <c r="J916" s="89"/>
      <c r="K916" s="89"/>
      <c r="L916" s="89"/>
      <c r="M916" s="89"/>
      <c r="N916" s="89"/>
      <c r="O916" s="89"/>
      <c r="P916" s="89"/>
      <c r="Q916" s="89"/>
      <c r="R916" s="89"/>
      <c r="S916" s="89"/>
      <c r="T916" s="89"/>
      <c r="U916" s="89"/>
      <c r="V916" s="89"/>
      <c r="W916" s="89"/>
      <c r="X916" s="89"/>
      <c r="Y916" s="89"/>
      <c r="Z916" s="89"/>
      <c r="AA916" s="89"/>
      <c r="AB916" s="89"/>
      <c r="AC916" s="89"/>
      <c r="AD916" s="89"/>
      <c r="AE916" s="89"/>
      <c r="AF916" s="89"/>
      <c r="AG916" s="89"/>
      <c r="AH916" s="89"/>
      <c r="AI916" s="89"/>
      <c r="AJ916" s="89"/>
      <c r="AK916" s="89"/>
      <c r="AL916" s="89"/>
      <c r="AM916" s="89"/>
      <c r="AN916" s="89"/>
      <c r="AO916" s="89"/>
      <c r="AP916" s="89"/>
      <c r="AQ916" s="89"/>
      <c r="AR916" s="89"/>
      <c r="AS916" s="89"/>
      <c r="AT916" s="89"/>
      <c r="AU916" s="89"/>
      <c r="AV916" s="89"/>
      <c r="AW916" s="89"/>
      <c r="AX916" s="89"/>
      <c r="AY916" s="89"/>
      <c r="AZ916" s="89"/>
      <c r="BA916" s="89"/>
      <c r="BB916" s="89"/>
      <c r="BC916" s="89"/>
      <c r="BD916" s="89"/>
      <c r="BE916" s="89"/>
      <c r="BF916" s="89"/>
    </row>
    <row r="917" spans="9:58" x14ac:dyDescent="0.25">
      <c r="I917" s="89"/>
      <c r="J917" s="89"/>
      <c r="K917" s="89"/>
      <c r="L917" s="89"/>
      <c r="M917" s="89"/>
      <c r="N917" s="89"/>
      <c r="O917" s="89"/>
      <c r="P917" s="89"/>
      <c r="Q917" s="89"/>
      <c r="R917" s="89"/>
      <c r="S917" s="89"/>
      <c r="T917" s="89"/>
      <c r="U917" s="89"/>
      <c r="V917" s="89"/>
      <c r="W917" s="89"/>
      <c r="X917" s="89"/>
      <c r="Y917" s="89"/>
      <c r="Z917" s="89"/>
      <c r="AA917" s="89"/>
      <c r="AB917" s="89"/>
      <c r="AC917" s="89"/>
      <c r="AD917" s="89"/>
      <c r="AE917" s="89"/>
      <c r="AF917" s="89"/>
      <c r="AG917" s="89"/>
      <c r="AH917" s="89"/>
      <c r="AI917" s="89"/>
      <c r="AJ917" s="89"/>
      <c r="AK917" s="89"/>
      <c r="AL917" s="89"/>
      <c r="AM917" s="89"/>
      <c r="AN917" s="89"/>
      <c r="AO917" s="89"/>
      <c r="AP917" s="89"/>
      <c r="AQ917" s="89"/>
      <c r="AR917" s="89"/>
      <c r="AS917" s="89"/>
      <c r="AT917" s="89"/>
      <c r="AU917" s="89"/>
      <c r="AV917" s="89"/>
      <c r="AW917" s="89"/>
      <c r="AX917" s="89"/>
      <c r="AY917" s="89"/>
      <c r="AZ917" s="89"/>
      <c r="BA917" s="89"/>
      <c r="BB917" s="89"/>
      <c r="BC917" s="89"/>
      <c r="BD917" s="89"/>
      <c r="BE917" s="89"/>
      <c r="BF917" s="89"/>
    </row>
    <row r="918" spans="9:58" x14ac:dyDescent="0.25">
      <c r="I918" s="89"/>
      <c r="J918" s="89"/>
      <c r="K918" s="89"/>
      <c r="L918" s="89"/>
      <c r="M918" s="89"/>
      <c r="N918" s="89"/>
      <c r="O918" s="89"/>
      <c r="P918" s="89"/>
      <c r="Q918" s="89"/>
      <c r="R918" s="89"/>
      <c r="S918" s="89"/>
      <c r="T918" s="89"/>
      <c r="U918" s="89"/>
      <c r="V918" s="89"/>
      <c r="W918" s="89"/>
      <c r="X918" s="89"/>
      <c r="Y918" s="89"/>
      <c r="Z918" s="89"/>
      <c r="AA918" s="89"/>
      <c r="AB918" s="89"/>
      <c r="AC918" s="89"/>
      <c r="AD918" s="89"/>
      <c r="AE918" s="89"/>
      <c r="AF918" s="89"/>
      <c r="AG918" s="89"/>
      <c r="AH918" s="89"/>
      <c r="AI918" s="89"/>
      <c r="AJ918" s="89"/>
      <c r="AK918" s="89"/>
      <c r="AL918" s="89"/>
      <c r="AM918" s="89"/>
      <c r="AN918" s="89"/>
      <c r="AO918" s="89"/>
      <c r="AP918" s="89"/>
      <c r="AQ918" s="89"/>
      <c r="AR918" s="89"/>
      <c r="AS918" s="89"/>
      <c r="AT918" s="89"/>
      <c r="AU918" s="89"/>
      <c r="AV918" s="89"/>
      <c r="AW918" s="89"/>
      <c r="AX918" s="89"/>
      <c r="AY918" s="89"/>
      <c r="AZ918" s="89"/>
      <c r="BA918" s="89"/>
      <c r="BB918" s="89"/>
      <c r="BC918" s="89"/>
      <c r="BD918" s="89"/>
      <c r="BE918" s="89"/>
      <c r="BF918" s="89"/>
    </row>
    <row r="919" spans="9:58" x14ac:dyDescent="0.25">
      <c r="I919" s="89"/>
      <c r="J919" s="89"/>
      <c r="K919" s="89"/>
      <c r="L919" s="89"/>
      <c r="M919" s="89"/>
      <c r="N919" s="89"/>
      <c r="O919" s="89"/>
      <c r="P919" s="89"/>
      <c r="Q919" s="89"/>
      <c r="R919" s="89"/>
      <c r="S919" s="89"/>
      <c r="T919" s="89"/>
      <c r="U919" s="89"/>
      <c r="V919" s="89"/>
      <c r="W919" s="89"/>
      <c r="X919" s="89"/>
      <c r="Y919" s="89"/>
      <c r="Z919" s="89"/>
      <c r="AA919" s="89"/>
      <c r="AB919" s="89"/>
      <c r="AC919" s="89"/>
      <c r="AD919" s="89"/>
      <c r="AE919" s="89"/>
      <c r="AF919" s="89"/>
      <c r="AG919" s="89"/>
      <c r="AH919" s="89"/>
      <c r="AI919" s="89"/>
      <c r="AJ919" s="89"/>
      <c r="AK919" s="89"/>
      <c r="AL919" s="89"/>
      <c r="AM919" s="89"/>
      <c r="AN919" s="89"/>
      <c r="AO919" s="89"/>
      <c r="AP919" s="89"/>
      <c r="AQ919" s="89"/>
      <c r="AR919" s="89"/>
      <c r="AS919" s="89"/>
      <c r="AT919" s="89"/>
      <c r="AU919" s="89"/>
      <c r="AV919" s="89"/>
      <c r="AW919" s="89"/>
      <c r="AX919" s="89"/>
      <c r="AY919" s="89"/>
      <c r="AZ919" s="89"/>
      <c r="BA919" s="89"/>
      <c r="BB919" s="89"/>
      <c r="BC919" s="89"/>
      <c r="BD919" s="89"/>
      <c r="BE919" s="89"/>
      <c r="BF919" s="89"/>
    </row>
    <row r="920" spans="9:58" x14ac:dyDescent="0.25">
      <c r="I920" s="89"/>
      <c r="J920" s="89"/>
      <c r="K920" s="89"/>
      <c r="L920" s="89"/>
      <c r="M920" s="89"/>
      <c r="N920" s="89"/>
      <c r="O920" s="89"/>
      <c r="P920" s="89"/>
      <c r="Q920" s="89"/>
      <c r="R920" s="89"/>
      <c r="S920" s="89"/>
      <c r="T920" s="89"/>
      <c r="U920" s="89"/>
      <c r="V920" s="89"/>
      <c r="W920" s="89"/>
      <c r="X920" s="89"/>
      <c r="Y920" s="89"/>
      <c r="Z920" s="89"/>
      <c r="AA920" s="89"/>
      <c r="AB920" s="89"/>
      <c r="AC920" s="89"/>
      <c r="AD920" s="89"/>
      <c r="AE920" s="89"/>
      <c r="AF920" s="89"/>
      <c r="AG920" s="89"/>
      <c r="AH920" s="89"/>
      <c r="AI920" s="89"/>
      <c r="AJ920" s="89"/>
      <c r="AK920" s="89"/>
      <c r="AL920" s="89"/>
      <c r="AM920" s="89"/>
      <c r="AN920" s="89"/>
      <c r="AO920" s="89"/>
      <c r="AP920" s="89"/>
      <c r="AQ920" s="89"/>
      <c r="AR920" s="89"/>
      <c r="AS920" s="89"/>
      <c r="AT920" s="89"/>
      <c r="AU920" s="89"/>
      <c r="AV920" s="89"/>
      <c r="AW920" s="89"/>
      <c r="AX920" s="89"/>
      <c r="AY920" s="89"/>
      <c r="AZ920" s="89"/>
      <c r="BA920" s="89"/>
      <c r="BB920" s="89"/>
      <c r="BC920" s="89"/>
      <c r="BD920" s="89"/>
      <c r="BE920" s="89"/>
      <c r="BF920" s="89"/>
    </row>
    <row r="921" spans="9:58" x14ac:dyDescent="0.25">
      <c r="I921" s="89"/>
      <c r="J921" s="89"/>
      <c r="K921" s="89"/>
      <c r="L921" s="89"/>
      <c r="M921" s="89"/>
      <c r="N921" s="89"/>
      <c r="O921" s="89"/>
      <c r="P921" s="89"/>
      <c r="Q921" s="89"/>
      <c r="R921" s="89"/>
      <c r="S921" s="89"/>
      <c r="T921" s="89"/>
      <c r="U921" s="89"/>
      <c r="V921" s="89"/>
      <c r="W921" s="89"/>
      <c r="X921" s="89"/>
      <c r="Y921" s="89"/>
      <c r="Z921" s="89"/>
      <c r="AA921" s="89"/>
      <c r="AB921" s="89"/>
      <c r="AC921" s="89"/>
      <c r="AD921" s="89"/>
      <c r="AE921" s="89"/>
      <c r="AF921" s="89"/>
      <c r="AG921" s="89"/>
      <c r="AH921" s="89"/>
      <c r="AI921" s="89"/>
      <c r="AJ921" s="89"/>
      <c r="AK921" s="89"/>
      <c r="AL921" s="89"/>
      <c r="AM921" s="89"/>
      <c r="AN921" s="89"/>
      <c r="AO921" s="89"/>
      <c r="AP921" s="89"/>
      <c r="AQ921" s="89"/>
      <c r="AR921" s="89"/>
      <c r="AS921" s="89"/>
      <c r="AT921" s="89"/>
      <c r="AU921" s="89"/>
      <c r="AV921" s="89"/>
      <c r="AW921" s="89"/>
      <c r="AX921" s="89"/>
      <c r="AY921" s="89"/>
      <c r="AZ921" s="89"/>
      <c r="BA921" s="89"/>
      <c r="BB921" s="89"/>
      <c r="BC921" s="89"/>
      <c r="BD921" s="89"/>
      <c r="BE921" s="89"/>
      <c r="BF921" s="89"/>
    </row>
    <row r="922" spans="9:58" x14ac:dyDescent="0.25">
      <c r="I922" s="89"/>
      <c r="J922" s="89"/>
      <c r="K922" s="89"/>
      <c r="L922" s="89"/>
      <c r="M922" s="89"/>
      <c r="N922" s="89"/>
      <c r="O922" s="89"/>
      <c r="P922" s="89"/>
      <c r="Q922" s="89"/>
      <c r="R922" s="89"/>
      <c r="S922" s="89"/>
      <c r="T922" s="89"/>
      <c r="U922" s="89"/>
      <c r="V922" s="89"/>
      <c r="W922" s="89"/>
      <c r="X922" s="89"/>
      <c r="Y922" s="89"/>
      <c r="Z922" s="89"/>
      <c r="AA922" s="89"/>
      <c r="AB922" s="89"/>
      <c r="AC922" s="89"/>
      <c r="AD922" s="89"/>
      <c r="AE922" s="89"/>
      <c r="AF922" s="89"/>
      <c r="AG922" s="89"/>
      <c r="AH922" s="89"/>
      <c r="AI922" s="89"/>
      <c r="AJ922" s="89"/>
      <c r="AK922" s="89"/>
      <c r="AL922" s="89"/>
      <c r="AM922" s="89"/>
      <c r="AN922" s="89"/>
      <c r="AO922" s="89"/>
      <c r="AP922" s="89"/>
      <c r="AQ922" s="89"/>
      <c r="AR922" s="89"/>
      <c r="AS922" s="89"/>
      <c r="AT922" s="89"/>
      <c r="AU922" s="89"/>
      <c r="AV922" s="89"/>
      <c r="AW922" s="89"/>
      <c r="AX922" s="89"/>
      <c r="AY922" s="89"/>
      <c r="AZ922" s="89"/>
      <c r="BA922" s="89"/>
      <c r="BB922" s="89"/>
      <c r="BC922" s="89"/>
      <c r="BD922" s="89"/>
      <c r="BE922" s="89"/>
      <c r="BF922" s="89"/>
    </row>
    <row r="923" spans="9:58" x14ac:dyDescent="0.25">
      <c r="I923" s="89"/>
      <c r="J923" s="89"/>
      <c r="K923" s="89"/>
      <c r="L923" s="89"/>
      <c r="M923" s="89"/>
      <c r="N923" s="89"/>
      <c r="O923" s="89"/>
      <c r="P923" s="89"/>
      <c r="Q923" s="89"/>
      <c r="R923" s="89"/>
      <c r="S923" s="89"/>
      <c r="T923" s="89"/>
      <c r="U923" s="89"/>
      <c r="V923" s="89"/>
      <c r="W923" s="89"/>
      <c r="X923" s="89"/>
      <c r="Y923" s="89"/>
      <c r="Z923" s="89"/>
      <c r="AA923" s="89"/>
      <c r="AB923" s="89"/>
      <c r="AC923" s="89"/>
      <c r="AD923" s="89"/>
      <c r="AE923" s="89"/>
      <c r="AF923" s="89"/>
      <c r="AG923" s="89"/>
      <c r="AH923" s="89"/>
      <c r="AI923" s="89"/>
      <c r="AJ923" s="89"/>
      <c r="AK923" s="89"/>
      <c r="AL923" s="89"/>
      <c r="AM923" s="89"/>
      <c r="AN923" s="89"/>
      <c r="AO923" s="89"/>
      <c r="AP923" s="89"/>
      <c r="AQ923" s="89"/>
      <c r="AR923" s="89"/>
      <c r="AS923" s="89"/>
      <c r="AT923" s="89"/>
      <c r="AU923" s="89"/>
      <c r="AV923" s="89"/>
      <c r="AW923" s="89"/>
      <c r="AX923" s="89"/>
      <c r="AY923" s="89"/>
      <c r="AZ923" s="89"/>
      <c r="BA923" s="89"/>
      <c r="BB923" s="89"/>
      <c r="BC923" s="89"/>
      <c r="BD923" s="89"/>
      <c r="BE923" s="89"/>
      <c r="BF923" s="89"/>
    </row>
    <row r="924" spans="9:58" x14ac:dyDescent="0.25">
      <c r="I924" s="89"/>
      <c r="J924" s="89"/>
      <c r="K924" s="89"/>
      <c r="L924" s="89"/>
      <c r="M924" s="89"/>
      <c r="N924" s="89"/>
      <c r="O924" s="89"/>
      <c r="P924" s="89"/>
      <c r="Q924" s="89"/>
      <c r="R924" s="89"/>
      <c r="S924" s="89"/>
      <c r="T924" s="89"/>
      <c r="U924" s="89"/>
      <c r="V924" s="89"/>
      <c r="W924" s="89"/>
      <c r="X924" s="89"/>
      <c r="Y924" s="89"/>
      <c r="Z924" s="89"/>
      <c r="AA924" s="89"/>
      <c r="AB924" s="89"/>
      <c r="AC924" s="89"/>
      <c r="AD924" s="89"/>
      <c r="AE924" s="89"/>
      <c r="AF924" s="89"/>
      <c r="AG924" s="89"/>
      <c r="AH924" s="89"/>
      <c r="AI924" s="89"/>
      <c r="AJ924" s="89"/>
      <c r="AK924" s="89"/>
      <c r="AL924" s="89"/>
      <c r="AM924" s="89"/>
      <c r="AN924" s="89"/>
      <c r="AO924" s="89"/>
      <c r="AP924" s="89"/>
      <c r="AQ924" s="89"/>
      <c r="AR924" s="89"/>
      <c r="AS924" s="89"/>
      <c r="AT924" s="89"/>
      <c r="AU924" s="89"/>
      <c r="AV924" s="89"/>
      <c r="AW924" s="89"/>
      <c r="AX924" s="89"/>
      <c r="AY924" s="89"/>
      <c r="AZ924" s="89"/>
      <c r="BA924" s="89"/>
      <c r="BB924" s="89"/>
      <c r="BC924" s="89"/>
      <c r="BD924" s="89"/>
      <c r="BE924" s="89"/>
      <c r="BF924" s="89"/>
    </row>
    <row r="925" spans="9:58" x14ac:dyDescent="0.25">
      <c r="I925" s="89"/>
      <c r="J925" s="89"/>
      <c r="K925" s="89"/>
      <c r="L925" s="89"/>
      <c r="M925" s="89"/>
      <c r="N925" s="89"/>
      <c r="O925" s="89"/>
      <c r="P925" s="89"/>
      <c r="Q925" s="89"/>
      <c r="R925" s="89"/>
      <c r="S925" s="89"/>
      <c r="T925" s="89"/>
      <c r="U925" s="89"/>
      <c r="V925" s="89"/>
      <c r="W925" s="89"/>
      <c r="X925" s="89"/>
      <c r="Y925" s="89"/>
      <c r="Z925" s="89"/>
      <c r="AA925" s="89"/>
      <c r="AB925" s="89"/>
      <c r="AC925" s="89"/>
      <c r="AD925" s="89"/>
      <c r="AE925" s="89"/>
      <c r="AF925" s="89"/>
      <c r="AG925" s="89"/>
      <c r="AH925" s="89"/>
      <c r="AI925" s="89"/>
      <c r="AJ925" s="89"/>
      <c r="AK925" s="89"/>
      <c r="AL925" s="89"/>
      <c r="AM925" s="89"/>
      <c r="AN925" s="89"/>
      <c r="AO925" s="89"/>
      <c r="AP925" s="89"/>
      <c r="AQ925" s="89"/>
      <c r="AR925" s="89"/>
      <c r="AS925" s="89"/>
      <c r="AT925" s="89"/>
      <c r="AU925" s="89"/>
      <c r="AV925" s="89"/>
      <c r="AW925" s="89"/>
      <c r="AX925" s="89"/>
      <c r="AY925" s="89"/>
      <c r="AZ925" s="89"/>
      <c r="BA925" s="89"/>
      <c r="BB925" s="89"/>
      <c r="BC925" s="89"/>
      <c r="BD925" s="89"/>
      <c r="BE925" s="89"/>
      <c r="BF925" s="89"/>
    </row>
    <row r="926" spans="9:58" x14ac:dyDescent="0.25">
      <c r="I926" s="89"/>
      <c r="J926" s="89"/>
      <c r="K926" s="89"/>
      <c r="L926" s="89"/>
      <c r="M926" s="89"/>
      <c r="N926" s="89"/>
      <c r="O926" s="89"/>
      <c r="P926" s="89"/>
      <c r="Q926" s="89"/>
      <c r="R926" s="89"/>
      <c r="S926" s="89"/>
      <c r="T926" s="89"/>
      <c r="U926" s="89"/>
      <c r="V926" s="89"/>
      <c r="W926" s="89"/>
      <c r="X926" s="89"/>
      <c r="Y926" s="89"/>
      <c r="Z926" s="89"/>
      <c r="AA926" s="89"/>
      <c r="AB926" s="89"/>
      <c r="AC926" s="89"/>
      <c r="AD926" s="89"/>
      <c r="AE926" s="89"/>
      <c r="AF926" s="89"/>
      <c r="AG926" s="89"/>
      <c r="AH926" s="89"/>
      <c r="AI926" s="89"/>
      <c r="AJ926" s="89"/>
      <c r="AK926" s="89"/>
      <c r="AL926" s="89"/>
      <c r="AM926" s="89"/>
      <c r="AN926" s="89"/>
      <c r="AO926" s="89"/>
      <c r="AP926" s="89"/>
      <c r="AQ926" s="89"/>
      <c r="AR926" s="89"/>
      <c r="AS926" s="89"/>
      <c r="AT926" s="89"/>
      <c r="AU926" s="89"/>
      <c r="AV926" s="89"/>
      <c r="AW926" s="89"/>
      <c r="AX926" s="89"/>
      <c r="AY926" s="89"/>
      <c r="AZ926" s="89"/>
      <c r="BA926" s="89"/>
      <c r="BB926" s="89"/>
      <c r="BC926" s="89"/>
      <c r="BD926" s="89"/>
      <c r="BE926" s="89"/>
      <c r="BF926" s="89"/>
    </row>
    <row r="927" spans="9:58" x14ac:dyDescent="0.25">
      <c r="I927" s="89"/>
      <c r="J927" s="89"/>
      <c r="K927" s="89"/>
      <c r="L927" s="89"/>
      <c r="M927" s="89"/>
      <c r="N927" s="89"/>
      <c r="O927" s="89"/>
      <c r="P927" s="89"/>
      <c r="Q927" s="89"/>
      <c r="R927" s="89"/>
      <c r="S927" s="89"/>
      <c r="T927" s="89"/>
      <c r="U927" s="89"/>
      <c r="V927" s="89"/>
      <c r="W927" s="89"/>
      <c r="X927" s="89"/>
      <c r="Y927" s="89"/>
      <c r="Z927" s="89"/>
      <c r="AA927" s="89"/>
      <c r="AB927" s="89"/>
      <c r="AC927" s="89"/>
      <c r="AD927" s="89"/>
      <c r="AE927" s="89"/>
      <c r="AF927" s="89"/>
      <c r="AG927" s="89"/>
      <c r="AH927" s="89"/>
      <c r="AI927" s="89"/>
      <c r="AJ927" s="89"/>
      <c r="AK927" s="89"/>
      <c r="AL927" s="89"/>
      <c r="AM927" s="89"/>
      <c r="AN927" s="89"/>
      <c r="AO927" s="89"/>
      <c r="AP927" s="89"/>
      <c r="AQ927" s="89"/>
      <c r="AR927" s="89"/>
      <c r="AS927" s="89"/>
      <c r="AT927" s="89"/>
      <c r="AU927" s="89"/>
      <c r="AV927" s="89"/>
      <c r="AW927" s="89"/>
      <c r="AX927" s="89"/>
      <c r="AY927" s="89"/>
      <c r="AZ927" s="89"/>
      <c r="BA927" s="89"/>
      <c r="BB927" s="89"/>
      <c r="BC927" s="89"/>
      <c r="BD927" s="89"/>
      <c r="BE927" s="89"/>
      <c r="BF927" s="89"/>
    </row>
    <row r="928" spans="9:58" x14ac:dyDescent="0.25">
      <c r="I928" s="89"/>
      <c r="J928" s="89"/>
      <c r="K928" s="89"/>
      <c r="L928" s="89"/>
      <c r="M928" s="89"/>
      <c r="N928" s="89"/>
      <c r="O928" s="89"/>
      <c r="P928" s="89"/>
      <c r="Q928" s="89"/>
      <c r="R928" s="89"/>
      <c r="S928" s="89"/>
      <c r="T928" s="89"/>
      <c r="U928" s="89"/>
      <c r="V928" s="89"/>
      <c r="W928" s="89"/>
      <c r="X928" s="89"/>
      <c r="Y928" s="89"/>
      <c r="Z928" s="89"/>
      <c r="AA928" s="89"/>
      <c r="AB928" s="89"/>
      <c r="AC928" s="89"/>
      <c r="AD928" s="89"/>
      <c r="AE928" s="89"/>
      <c r="AF928" s="89"/>
      <c r="AG928" s="89"/>
      <c r="AH928" s="89"/>
      <c r="AI928" s="89"/>
      <c r="AJ928" s="89"/>
      <c r="AK928" s="89"/>
      <c r="AL928" s="89"/>
      <c r="AM928" s="89"/>
      <c r="AN928" s="89"/>
      <c r="AO928" s="89"/>
      <c r="AP928" s="89"/>
      <c r="AQ928" s="89"/>
      <c r="AR928" s="89"/>
      <c r="AS928" s="89"/>
      <c r="AT928" s="89"/>
      <c r="AU928" s="89"/>
      <c r="AV928" s="89"/>
      <c r="AW928" s="89"/>
      <c r="AX928" s="89"/>
      <c r="AY928" s="89"/>
      <c r="AZ928" s="89"/>
      <c r="BA928" s="89"/>
      <c r="BB928" s="89"/>
      <c r="BC928" s="89"/>
      <c r="BD928" s="89"/>
      <c r="BE928" s="89"/>
      <c r="BF928" s="89"/>
    </row>
    <row r="929" spans="9:58" x14ac:dyDescent="0.25">
      <c r="I929" s="89"/>
      <c r="J929" s="89"/>
      <c r="K929" s="89"/>
      <c r="L929" s="89"/>
      <c r="M929" s="89"/>
      <c r="N929" s="89"/>
      <c r="O929" s="89"/>
      <c r="P929" s="89"/>
      <c r="Q929" s="89"/>
      <c r="R929" s="89"/>
      <c r="S929" s="89"/>
      <c r="T929" s="89"/>
      <c r="U929" s="89"/>
      <c r="V929" s="89"/>
      <c r="W929" s="89"/>
      <c r="X929" s="89"/>
      <c r="Y929" s="89"/>
      <c r="Z929" s="89"/>
      <c r="AA929" s="89"/>
      <c r="AB929" s="89"/>
      <c r="AC929" s="89"/>
      <c r="AD929" s="89"/>
      <c r="AE929" s="89"/>
      <c r="AF929" s="89"/>
      <c r="AG929" s="89"/>
      <c r="AH929" s="89"/>
      <c r="AI929" s="89"/>
      <c r="AJ929" s="89"/>
      <c r="AK929" s="89"/>
      <c r="AL929" s="89"/>
      <c r="AM929" s="89"/>
      <c r="AN929" s="89"/>
      <c r="AO929" s="89"/>
      <c r="AP929" s="89"/>
      <c r="AQ929" s="89"/>
      <c r="AR929" s="89"/>
      <c r="AS929" s="89"/>
      <c r="AT929" s="89"/>
      <c r="AU929" s="89"/>
      <c r="AV929" s="89"/>
      <c r="AW929" s="89"/>
      <c r="AX929" s="89"/>
      <c r="AY929" s="89"/>
      <c r="AZ929" s="89"/>
      <c r="BA929" s="89"/>
      <c r="BB929" s="89"/>
      <c r="BC929" s="89"/>
      <c r="BD929" s="89"/>
      <c r="BE929" s="89"/>
      <c r="BF929" s="89"/>
    </row>
    <row r="930" spans="9:58" x14ac:dyDescent="0.25">
      <c r="I930" s="89"/>
      <c r="J930" s="89"/>
      <c r="K930" s="89"/>
      <c r="L930" s="89"/>
      <c r="M930" s="89"/>
      <c r="N930" s="89"/>
      <c r="O930" s="89"/>
      <c r="P930" s="89"/>
      <c r="Q930" s="89"/>
      <c r="R930" s="89"/>
      <c r="S930" s="89"/>
      <c r="T930" s="89"/>
      <c r="U930" s="89"/>
      <c r="V930" s="89"/>
      <c r="W930" s="89"/>
      <c r="X930" s="89"/>
      <c r="Y930" s="89"/>
      <c r="Z930" s="89"/>
      <c r="AA930" s="89"/>
      <c r="AB930" s="89"/>
      <c r="AC930" s="89"/>
      <c r="AD930" s="89"/>
      <c r="AE930" s="89"/>
      <c r="AF930" s="89"/>
      <c r="AG930" s="89"/>
      <c r="AH930" s="89"/>
      <c r="AI930" s="89"/>
      <c r="AJ930" s="89"/>
      <c r="AK930" s="89"/>
      <c r="AL930" s="89"/>
      <c r="AM930" s="89"/>
      <c r="AN930" s="89"/>
      <c r="AO930" s="89"/>
      <c r="AP930" s="89"/>
      <c r="AQ930" s="89"/>
      <c r="AR930" s="89"/>
      <c r="AS930" s="89"/>
      <c r="AT930" s="89"/>
      <c r="AU930" s="89"/>
      <c r="AV930" s="89"/>
      <c r="AW930" s="89"/>
      <c r="AX930" s="89"/>
      <c r="AY930" s="89"/>
      <c r="AZ930" s="89"/>
      <c r="BA930" s="89"/>
      <c r="BB930" s="89"/>
      <c r="BC930" s="89"/>
      <c r="BD930" s="89"/>
      <c r="BE930" s="89"/>
      <c r="BF930" s="89"/>
    </row>
    <row r="931" spans="9:58" x14ac:dyDescent="0.25">
      <c r="I931" s="89"/>
      <c r="J931" s="89"/>
      <c r="K931" s="89"/>
      <c r="L931" s="89"/>
      <c r="M931" s="89"/>
      <c r="N931" s="89"/>
      <c r="O931" s="89"/>
      <c r="P931" s="89"/>
      <c r="Q931" s="89"/>
      <c r="R931" s="89"/>
      <c r="S931" s="89"/>
      <c r="T931" s="89"/>
      <c r="U931" s="89"/>
      <c r="V931" s="89"/>
      <c r="W931" s="89"/>
      <c r="X931" s="89"/>
      <c r="Y931" s="89"/>
      <c r="Z931" s="89"/>
      <c r="AA931" s="89"/>
      <c r="AB931" s="89"/>
      <c r="AC931" s="89"/>
      <c r="AD931" s="89"/>
      <c r="AE931" s="89"/>
      <c r="AF931" s="89"/>
      <c r="AG931" s="89"/>
      <c r="AH931" s="89"/>
      <c r="AI931" s="89"/>
      <c r="AJ931" s="89"/>
      <c r="AK931" s="89"/>
      <c r="AL931" s="89"/>
      <c r="AM931" s="89"/>
      <c r="AN931" s="89"/>
      <c r="AO931" s="89"/>
      <c r="AP931" s="89"/>
      <c r="AQ931" s="89"/>
      <c r="AR931" s="89"/>
      <c r="AS931" s="89"/>
      <c r="AT931" s="89"/>
      <c r="AU931" s="89"/>
      <c r="AV931" s="89"/>
      <c r="AW931" s="89"/>
      <c r="AX931" s="89"/>
      <c r="AY931" s="89"/>
      <c r="AZ931" s="89"/>
      <c r="BA931" s="89"/>
      <c r="BB931" s="89"/>
      <c r="BC931" s="89"/>
      <c r="BD931" s="89"/>
      <c r="BE931" s="89"/>
      <c r="BF931" s="89"/>
    </row>
    <row r="932" spans="9:58" x14ac:dyDescent="0.25">
      <c r="I932" s="89"/>
      <c r="J932" s="89"/>
      <c r="K932" s="89"/>
      <c r="L932" s="89"/>
      <c r="M932" s="89"/>
      <c r="N932" s="89"/>
      <c r="O932" s="89"/>
      <c r="P932" s="89"/>
      <c r="Q932" s="89"/>
      <c r="R932" s="89"/>
      <c r="S932" s="89"/>
      <c r="T932" s="89"/>
      <c r="U932" s="89"/>
      <c r="V932" s="89"/>
      <c r="W932" s="89"/>
      <c r="X932" s="89"/>
      <c r="Y932" s="89"/>
      <c r="Z932" s="89"/>
      <c r="AA932" s="89"/>
      <c r="AB932" s="89"/>
      <c r="AC932" s="89"/>
      <c r="AD932" s="89"/>
      <c r="AE932" s="89"/>
      <c r="AF932" s="89"/>
      <c r="AG932" s="89"/>
      <c r="AH932" s="89"/>
      <c r="AI932" s="89"/>
      <c r="AJ932" s="89"/>
      <c r="AK932" s="89"/>
      <c r="AL932" s="89"/>
      <c r="AM932" s="89"/>
      <c r="AN932" s="89"/>
      <c r="AO932" s="89"/>
      <c r="AP932" s="89"/>
      <c r="AQ932" s="89"/>
      <c r="AR932" s="89"/>
      <c r="AS932" s="89"/>
      <c r="AT932" s="89"/>
      <c r="AU932" s="89"/>
      <c r="AV932" s="89"/>
      <c r="AW932" s="89"/>
      <c r="AX932" s="89"/>
      <c r="AY932" s="89"/>
      <c r="AZ932" s="89"/>
      <c r="BA932" s="89"/>
      <c r="BB932" s="89"/>
      <c r="BC932" s="89"/>
      <c r="BD932" s="89"/>
      <c r="BE932" s="89"/>
      <c r="BF932" s="89"/>
    </row>
    <row r="933" spans="9:58" x14ac:dyDescent="0.25">
      <c r="I933" s="89"/>
      <c r="J933" s="89"/>
      <c r="K933" s="89"/>
      <c r="L933" s="89"/>
      <c r="M933" s="89"/>
      <c r="N933" s="89"/>
      <c r="O933" s="89"/>
      <c r="P933" s="89"/>
      <c r="Q933" s="89"/>
      <c r="R933" s="89"/>
      <c r="S933" s="89"/>
      <c r="T933" s="89"/>
      <c r="U933" s="89"/>
      <c r="V933" s="89"/>
      <c r="W933" s="89"/>
      <c r="X933" s="89"/>
      <c r="Y933" s="89"/>
      <c r="Z933" s="89"/>
      <c r="AA933" s="89"/>
      <c r="AB933" s="89"/>
      <c r="AC933" s="89"/>
      <c r="AD933" s="89"/>
      <c r="AE933" s="89"/>
      <c r="AF933" s="89"/>
      <c r="AG933" s="89"/>
      <c r="AH933" s="89"/>
      <c r="AI933" s="89"/>
      <c r="AJ933" s="89"/>
      <c r="AK933" s="89"/>
      <c r="AL933" s="89"/>
      <c r="AM933" s="89"/>
      <c r="AN933" s="89"/>
      <c r="AO933" s="89"/>
      <c r="AP933" s="89"/>
      <c r="AQ933" s="89"/>
      <c r="AR933" s="89"/>
      <c r="AS933" s="89"/>
      <c r="AT933" s="89"/>
      <c r="AU933" s="89"/>
      <c r="AV933" s="89"/>
      <c r="AW933" s="89"/>
      <c r="AX933" s="89"/>
      <c r="AY933" s="89"/>
      <c r="AZ933" s="89"/>
      <c r="BA933" s="89"/>
      <c r="BB933" s="89"/>
      <c r="BC933" s="89"/>
      <c r="BD933" s="89"/>
      <c r="BE933" s="89"/>
      <c r="BF933" s="89"/>
    </row>
    <row r="934" spans="9:58" x14ac:dyDescent="0.25">
      <c r="I934" s="89"/>
      <c r="J934" s="89"/>
      <c r="K934" s="89"/>
      <c r="L934" s="89"/>
      <c r="M934" s="89"/>
      <c r="N934" s="89"/>
      <c r="O934" s="89"/>
      <c r="P934" s="89"/>
      <c r="Q934" s="89"/>
      <c r="R934" s="89"/>
      <c r="S934" s="89"/>
      <c r="T934" s="89"/>
      <c r="U934" s="89"/>
      <c r="V934" s="89"/>
      <c r="W934" s="89"/>
      <c r="X934" s="89"/>
      <c r="Y934" s="89"/>
      <c r="Z934" s="89"/>
      <c r="AA934" s="89"/>
      <c r="AB934" s="89"/>
      <c r="AC934" s="89"/>
      <c r="AD934" s="89"/>
      <c r="AE934" s="89"/>
      <c r="AF934" s="89"/>
      <c r="AG934" s="89"/>
      <c r="AH934" s="89"/>
      <c r="AI934" s="89"/>
      <c r="AJ934" s="89"/>
      <c r="AK934" s="89"/>
      <c r="AL934" s="89"/>
      <c r="AM934" s="89"/>
      <c r="AN934" s="89"/>
      <c r="AO934" s="89"/>
      <c r="AP934" s="89"/>
      <c r="AQ934" s="89"/>
      <c r="AR934" s="89"/>
      <c r="AS934" s="89"/>
      <c r="AT934" s="89"/>
      <c r="AU934" s="89"/>
      <c r="AV934" s="89"/>
      <c r="AW934" s="89"/>
      <c r="AX934" s="89"/>
      <c r="AY934" s="89"/>
      <c r="AZ934" s="89"/>
      <c r="BA934" s="89"/>
      <c r="BB934" s="89"/>
      <c r="BC934" s="89"/>
      <c r="BD934" s="89"/>
      <c r="BE934" s="89"/>
      <c r="BF934" s="89"/>
    </row>
    <row r="935" spans="9:58" x14ac:dyDescent="0.25">
      <c r="I935" s="89"/>
      <c r="J935" s="89"/>
      <c r="K935" s="89"/>
      <c r="L935" s="89"/>
      <c r="M935" s="89"/>
      <c r="N935" s="89"/>
      <c r="O935" s="89"/>
      <c r="P935" s="89"/>
      <c r="Q935" s="89"/>
      <c r="R935" s="89"/>
      <c r="S935" s="89"/>
      <c r="T935" s="89"/>
      <c r="U935" s="89"/>
      <c r="V935" s="89"/>
      <c r="W935" s="89"/>
      <c r="X935" s="89"/>
      <c r="Y935" s="89"/>
      <c r="Z935" s="89"/>
      <c r="AA935" s="89"/>
      <c r="AB935" s="89"/>
      <c r="AC935" s="89"/>
      <c r="AD935" s="89"/>
      <c r="AE935" s="89"/>
      <c r="AF935" s="89"/>
      <c r="AG935" s="89"/>
      <c r="AH935" s="89"/>
      <c r="AI935" s="89"/>
      <c r="AJ935" s="89"/>
      <c r="AK935" s="89"/>
      <c r="AL935" s="89"/>
      <c r="AM935" s="89"/>
      <c r="AN935" s="89"/>
      <c r="AO935" s="89"/>
      <c r="AP935" s="89"/>
      <c r="AQ935" s="89"/>
      <c r="AR935" s="89"/>
      <c r="AS935" s="89"/>
      <c r="AT935" s="89"/>
      <c r="AU935" s="89"/>
      <c r="AV935" s="89"/>
      <c r="AW935" s="89"/>
      <c r="AX935" s="89"/>
      <c r="AY935" s="89"/>
      <c r="AZ935" s="89"/>
      <c r="BA935" s="89"/>
      <c r="BB935" s="89"/>
      <c r="BC935" s="89"/>
      <c r="BD935" s="89"/>
      <c r="BE935" s="89"/>
      <c r="BF935" s="89"/>
    </row>
    <row r="936" spans="9:58" x14ac:dyDescent="0.25">
      <c r="I936" s="89"/>
      <c r="J936" s="89"/>
      <c r="K936" s="89"/>
      <c r="L936" s="89"/>
      <c r="M936" s="89"/>
      <c r="N936" s="89"/>
      <c r="O936" s="89"/>
      <c r="P936" s="89"/>
      <c r="Q936" s="89"/>
      <c r="R936" s="89"/>
      <c r="S936" s="89"/>
      <c r="T936" s="89"/>
      <c r="U936" s="89"/>
      <c r="V936" s="89"/>
      <c r="W936" s="89"/>
      <c r="X936" s="89"/>
      <c r="Y936" s="89"/>
      <c r="Z936" s="89"/>
      <c r="AA936" s="89"/>
      <c r="AB936" s="89"/>
      <c r="AC936" s="89"/>
      <c r="AD936" s="89"/>
      <c r="AE936" s="89"/>
      <c r="AF936" s="89"/>
      <c r="AG936" s="89"/>
      <c r="AH936" s="89"/>
      <c r="AI936" s="89"/>
      <c r="AJ936" s="89"/>
      <c r="AK936" s="89"/>
      <c r="AL936" s="89"/>
      <c r="AM936" s="89"/>
      <c r="AN936" s="89"/>
      <c r="AO936" s="89"/>
      <c r="AP936" s="89"/>
      <c r="AQ936" s="89"/>
      <c r="AR936" s="89"/>
      <c r="AS936" s="89"/>
      <c r="AT936" s="89"/>
      <c r="AU936" s="89"/>
      <c r="AV936" s="89"/>
      <c r="AW936" s="89"/>
      <c r="AX936" s="89"/>
      <c r="AY936" s="89"/>
      <c r="AZ936" s="89"/>
      <c r="BA936" s="89"/>
      <c r="BB936" s="89"/>
      <c r="BC936" s="89"/>
      <c r="BD936" s="89"/>
      <c r="BE936" s="89"/>
      <c r="BF936" s="89"/>
    </row>
    <row r="937" spans="9:58" x14ac:dyDescent="0.25">
      <c r="I937" s="89"/>
      <c r="J937" s="89"/>
      <c r="K937" s="89"/>
      <c r="L937" s="89"/>
      <c r="M937" s="89"/>
      <c r="N937" s="89"/>
      <c r="O937" s="89"/>
      <c r="P937" s="89"/>
      <c r="Q937" s="89"/>
      <c r="R937" s="89"/>
      <c r="S937" s="89"/>
      <c r="T937" s="89"/>
      <c r="U937" s="89"/>
      <c r="V937" s="89"/>
      <c r="W937" s="89"/>
      <c r="X937" s="89"/>
      <c r="Y937" s="89"/>
      <c r="Z937" s="89"/>
      <c r="AA937" s="89"/>
      <c r="AB937" s="89"/>
      <c r="AC937" s="89"/>
      <c r="AD937" s="89"/>
      <c r="AE937" s="89"/>
      <c r="AF937" s="89"/>
      <c r="AG937" s="89"/>
      <c r="AH937" s="89"/>
      <c r="AI937" s="89"/>
      <c r="AJ937" s="89"/>
      <c r="AK937" s="89"/>
      <c r="AL937" s="89"/>
      <c r="AM937" s="89"/>
      <c r="AN937" s="89"/>
      <c r="AO937" s="89"/>
      <c r="AP937" s="89"/>
      <c r="AQ937" s="89"/>
      <c r="AR937" s="89"/>
      <c r="AS937" s="89"/>
      <c r="AT937" s="89"/>
      <c r="AU937" s="89"/>
      <c r="AV937" s="89"/>
      <c r="AW937" s="89"/>
      <c r="AX937" s="89"/>
      <c r="AY937" s="89"/>
      <c r="AZ937" s="89"/>
      <c r="BA937" s="89"/>
      <c r="BB937" s="89"/>
      <c r="BC937" s="89"/>
      <c r="BD937" s="89"/>
      <c r="BE937" s="89"/>
      <c r="BF937" s="89"/>
    </row>
    <row r="938" spans="9:58" x14ac:dyDescent="0.25">
      <c r="I938" s="89"/>
      <c r="J938" s="89"/>
      <c r="K938" s="89"/>
      <c r="L938" s="89"/>
      <c r="M938" s="89"/>
      <c r="N938" s="89"/>
      <c r="O938" s="89"/>
      <c r="P938" s="89"/>
      <c r="Q938" s="89"/>
      <c r="R938" s="89"/>
      <c r="S938" s="89"/>
      <c r="T938" s="89"/>
      <c r="U938" s="89"/>
      <c r="V938" s="89"/>
      <c r="W938" s="89"/>
      <c r="X938" s="89"/>
      <c r="Y938" s="89"/>
      <c r="Z938" s="89"/>
      <c r="AA938" s="89"/>
      <c r="AB938" s="89"/>
      <c r="AC938" s="89"/>
      <c r="AD938" s="89"/>
      <c r="AE938" s="89"/>
      <c r="AF938" s="89"/>
      <c r="AG938" s="89"/>
      <c r="AH938" s="89"/>
      <c r="AI938" s="89"/>
      <c r="AJ938" s="89"/>
      <c r="AK938" s="89"/>
      <c r="AL938" s="89"/>
      <c r="AM938" s="89"/>
      <c r="AN938" s="89"/>
      <c r="AO938" s="89"/>
      <c r="AP938" s="89"/>
      <c r="AQ938" s="89"/>
      <c r="AR938" s="89"/>
      <c r="AS938" s="89"/>
      <c r="AT938" s="89"/>
      <c r="AU938" s="89"/>
      <c r="AV938" s="89"/>
      <c r="AW938" s="89"/>
      <c r="AX938" s="89"/>
      <c r="AY938" s="89"/>
      <c r="AZ938" s="89"/>
      <c r="BA938" s="89"/>
      <c r="BB938" s="89"/>
      <c r="BC938" s="89"/>
      <c r="BD938" s="89"/>
      <c r="BE938" s="89"/>
      <c r="BF938" s="89"/>
    </row>
    <row r="939" spans="9:58" x14ac:dyDescent="0.25">
      <c r="I939" s="89"/>
      <c r="J939" s="89"/>
      <c r="K939" s="89"/>
      <c r="L939" s="89"/>
      <c r="M939" s="89"/>
      <c r="N939" s="89"/>
      <c r="O939" s="89"/>
      <c r="P939" s="89"/>
      <c r="Q939" s="89"/>
      <c r="R939" s="89"/>
      <c r="S939" s="89"/>
      <c r="T939" s="89"/>
      <c r="U939" s="89"/>
      <c r="V939" s="89"/>
      <c r="W939" s="89"/>
      <c r="X939" s="89"/>
      <c r="Y939" s="89"/>
      <c r="Z939" s="89"/>
      <c r="AA939" s="89"/>
      <c r="AB939" s="89"/>
      <c r="AC939" s="89"/>
      <c r="AD939" s="89"/>
      <c r="AE939" s="89"/>
      <c r="AF939" s="89"/>
      <c r="AG939" s="89"/>
      <c r="AH939" s="89"/>
      <c r="AI939" s="89"/>
      <c r="AJ939" s="89"/>
      <c r="AK939" s="89"/>
      <c r="AL939" s="89"/>
      <c r="AM939" s="89"/>
      <c r="AN939" s="89"/>
      <c r="AO939" s="89"/>
      <c r="AP939" s="89"/>
      <c r="AQ939" s="89"/>
      <c r="AR939" s="89"/>
      <c r="AS939" s="89"/>
      <c r="AT939" s="89"/>
      <c r="AU939" s="89"/>
      <c r="AV939" s="89"/>
      <c r="AW939" s="89"/>
      <c r="AX939" s="89"/>
      <c r="AY939" s="89"/>
      <c r="AZ939" s="89"/>
      <c r="BA939" s="89"/>
      <c r="BB939" s="89"/>
      <c r="BC939" s="89"/>
      <c r="BD939" s="89"/>
      <c r="BE939" s="89"/>
      <c r="BF939" s="89"/>
    </row>
    <row r="940" spans="9:58" x14ac:dyDescent="0.25">
      <c r="I940" s="89"/>
      <c r="J940" s="89"/>
      <c r="K940" s="89"/>
      <c r="L940" s="89"/>
      <c r="M940" s="89"/>
      <c r="N940" s="89"/>
      <c r="O940" s="89"/>
      <c r="P940" s="89"/>
      <c r="Q940" s="89"/>
      <c r="R940" s="89"/>
      <c r="S940" s="89"/>
      <c r="T940" s="89"/>
      <c r="U940" s="89"/>
      <c r="V940" s="89"/>
      <c r="W940" s="89"/>
      <c r="X940" s="89"/>
      <c r="Y940" s="89"/>
      <c r="Z940" s="89"/>
      <c r="AA940" s="89"/>
      <c r="AB940" s="89"/>
      <c r="AC940" s="89"/>
      <c r="AD940" s="89"/>
      <c r="AE940" s="89"/>
      <c r="AF940" s="89"/>
      <c r="AG940" s="89"/>
      <c r="AH940" s="89"/>
      <c r="AI940" s="89"/>
      <c r="AJ940" s="89"/>
      <c r="AK940" s="89"/>
      <c r="AL940" s="89"/>
      <c r="AM940" s="89"/>
      <c r="AN940" s="89"/>
      <c r="AO940" s="89"/>
      <c r="AP940" s="89"/>
      <c r="AQ940" s="89"/>
      <c r="AR940" s="89"/>
      <c r="AS940" s="89"/>
      <c r="AT940" s="89"/>
      <c r="AU940" s="89"/>
      <c r="AV940" s="89"/>
      <c r="AW940" s="89"/>
      <c r="AX940" s="89"/>
      <c r="AY940" s="89"/>
      <c r="AZ940" s="89"/>
      <c r="BA940" s="89"/>
      <c r="BB940" s="89"/>
      <c r="BC940" s="89"/>
      <c r="BD940" s="89"/>
      <c r="BE940" s="89"/>
      <c r="BF940" s="89"/>
    </row>
    <row r="941" spans="9:58" x14ac:dyDescent="0.25">
      <c r="I941" s="89"/>
      <c r="J941" s="89"/>
      <c r="K941" s="89"/>
      <c r="L941" s="89"/>
      <c r="M941" s="89"/>
      <c r="N941" s="89"/>
      <c r="O941" s="89"/>
      <c r="P941" s="89"/>
      <c r="Q941" s="89"/>
      <c r="R941" s="89"/>
      <c r="S941" s="89"/>
      <c r="T941" s="89"/>
      <c r="U941" s="89"/>
      <c r="V941" s="89"/>
      <c r="W941" s="89"/>
      <c r="X941" s="89"/>
      <c r="Y941" s="89"/>
      <c r="Z941" s="89"/>
      <c r="AA941" s="89"/>
      <c r="AB941" s="89"/>
      <c r="AC941" s="89"/>
      <c r="AD941" s="89"/>
      <c r="AE941" s="89"/>
      <c r="AF941" s="89"/>
      <c r="AG941" s="89"/>
      <c r="AH941" s="89"/>
      <c r="AI941" s="89"/>
      <c r="AJ941" s="89"/>
      <c r="AK941" s="89"/>
      <c r="AL941" s="89"/>
      <c r="AM941" s="89"/>
      <c r="AN941" s="89"/>
      <c r="AO941" s="89"/>
      <c r="AP941" s="89"/>
      <c r="AQ941" s="89"/>
      <c r="AR941" s="89"/>
      <c r="AS941" s="89"/>
      <c r="AT941" s="89"/>
      <c r="AU941" s="89"/>
      <c r="AV941" s="89"/>
      <c r="AW941" s="89"/>
      <c r="AX941" s="89"/>
      <c r="AY941" s="89"/>
      <c r="AZ941" s="89"/>
      <c r="BA941" s="89"/>
      <c r="BB941" s="89"/>
      <c r="BC941" s="89"/>
      <c r="BD941" s="89"/>
      <c r="BE941" s="89"/>
      <c r="BF941" s="89"/>
    </row>
    <row r="942" spans="9:58" x14ac:dyDescent="0.25">
      <c r="I942" s="89"/>
      <c r="J942" s="89"/>
      <c r="K942" s="89"/>
      <c r="L942" s="89"/>
      <c r="M942" s="89"/>
      <c r="N942" s="89"/>
      <c r="O942" s="89"/>
      <c r="P942" s="89"/>
      <c r="Q942" s="89"/>
      <c r="R942" s="89"/>
      <c r="S942" s="89"/>
      <c r="T942" s="89"/>
      <c r="U942" s="89"/>
      <c r="V942" s="89"/>
      <c r="W942" s="89"/>
      <c r="X942" s="89"/>
      <c r="Y942" s="89"/>
      <c r="Z942" s="89"/>
      <c r="AA942" s="89"/>
      <c r="AB942" s="89"/>
      <c r="AC942" s="89"/>
      <c r="AD942" s="89"/>
      <c r="AE942" s="89"/>
      <c r="AF942" s="89"/>
      <c r="AG942" s="89"/>
      <c r="AH942" s="89"/>
      <c r="AI942" s="89"/>
      <c r="AJ942" s="89"/>
      <c r="AK942" s="89"/>
      <c r="AL942" s="89"/>
      <c r="AM942" s="89"/>
      <c r="AN942" s="89"/>
      <c r="AO942" s="89"/>
      <c r="AP942" s="89"/>
      <c r="AQ942" s="89"/>
      <c r="AR942" s="89"/>
      <c r="AS942" s="89"/>
      <c r="AT942" s="89"/>
      <c r="AU942" s="89"/>
      <c r="AV942" s="89"/>
      <c r="AW942" s="89"/>
      <c r="AX942" s="89"/>
      <c r="AY942" s="89"/>
      <c r="AZ942" s="89"/>
      <c r="BA942" s="89"/>
      <c r="BB942" s="89"/>
      <c r="BC942" s="89"/>
      <c r="BD942" s="89"/>
      <c r="BE942" s="89"/>
      <c r="BF942" s="89"/>
    </row>
    <row r="943" spans="9:58" x14ac:dyDescent="0.25">
      <c r="I943" s="89"/>
      <c r="J943" s="89"/>
      <c r="K943" s="89"/>
      <c r="L943" s="89"/>
      <c r="M943" s="89"/>
      <c r="N943" s="89"/>
      <c r="O943" s="89"/>
      <c r="P943" s="89"/>
      <c r="Q943" s="89"/>
      <c r="R943" s="89"/>
      <c r="S943" s="89"/>
      <c r="T943" s="89"/>
      <c r="U943" s="89"/>
      <c r="V943" s="89"/>
      <c r="W943" s="89"/>
      <c r="X943" s="89"/>
      <c r="Y943" s="89"/>
      <c r="Z943" s="89"/>
      <c r="AA943" s="89"/>
      <c r="AB943" s="89"/>
      <c r="AC943" s="89"/>
      <c r="AD943" s="89"/>
      <c r="AE943" s="89"/>
      <c r="AF943" s="89"/>
      <c r="AG943" s="89"/>
      <c r="AH943" s="89"/>
      <c r="AI943" s="89"/>
      <c r="AJ943" s="89"/>
      <c r="AK943" s="89"/>
      <c r="AL943" s="89"/>
      <c r="AM943" s="89"/>
      <c r="AN943" s="89"/>
      <c r="AO943" s="89"/>
      <c r="AP943" s="89"/>
      <c r="AQ943" s="89"/>
      <c r="AR943" s="89"/>
      <c r="AS943" s="89"/>
      <c r="AT943" s="89"/>
      <c r="AU943" s="89"/>
      <c r="AV943" s="89"/>
      <c r="AW943" s="89"/>
      <c r="AX943" s="89"/>
      <c r="AY943" s="89"/>
      <c r="AZ943" s="89"/>
      <c r="BA943" s="89"/>
      <c r="BB943" s="89"/>
      <c r="BC943" s="89"/>
      <c r="BD943" s="89"/>
      <c r="BE943" s="89"/>
      <c r="BF943" s="89"/>
    </row>
    <row r="944" spans="9:58" x14ac:dyDescent="0.25">
      <c r="I944" s="89"/>
      <c r="J944" s="89"/>
      <c r="K944" s="89"/>
      <c r="L944" s="89"/>
      <c r="M944" s="89"/>
      <c r="N944" s="89"/>
      <c r="O944" s="89"/>
      <c r="P944" s="89"/>
      <c r="Q944" s="89"/>
      <c r="R944" s="89"/>
      <c r="S944" s="89"/>
      <c r="T944" s="89"/>
      <c r="U944" s="89"/>
      <c r="V944" s="89"/>
      <c r="W944" s="89"/>
      <c r="X944" s="89"/>
      <c r="Y944" s="89"/>
      <c r="Z944" s="89"/>
      <c r="AA944" s="89"/>
      <c r="AB944" s="89"/>
      <c r="AC944" s="89"/>
      <c r="AD944" s="89"/>
      <c r="AE944" s="89"/>
      <c r="AF944" s="89"/>
      <c r="AG944" s="89"/>
      <c r="AH944" s="89"/>
      <c r="AI944" s="89"/>
      <c r="AJ944" s="89"/>
      <c r="AK944" s="89"/>
      <c r="AL944" s="89"/>
      <c r="AM944" s="89"/>
      <c r="AN944" s="89"/>
      <c r="AO944" s="89"/>
      <c r="AP944" s="89"/>
      <c r="AQ944" s="89"/>
      <c r="AR944" s="89"/>
      <c r="AS944" s="89"/>
      <c r="AT944" s="89"/>
      <c r="AU944" s="89"/>
      <c r="AV944" s="89"/>
      <c r="AW944" s="89"/>
      <c r="AX944" s="89"/>
      <c r="AY944" s="89"/>
      <c r="AZ944" s="89"/>
      <c r="BA944" s="89"/>
      <c r="BB944" s="89"/>
      <c r="BC944" s="89"/>
      <c r="BD944" s="89"/>
      <c r="BE944" s="89"/>
      <c r="BF944" s="89"/>
    </row>
    <row r="945" spans="9:58" x14ac:dyDescent="0.25">
      <c r="I945" s="89"/>
      <c r="J945" s="89"/>
      <c r="K945" s="89"/>
      <c r="L945" s="89"/>
      <c r="M945" s="89"/>
      <c r="N945" s="89"/>
      <c r="O945" s="89"/>
      <c r="P945" s="89"/>
      <c r="Q945" s="89"/>
      <c r="R945" s="89"/>
      <c r="S945" s="89"/>
      <c r="T945" s="89"/>
      <c r="U945" s="89"/>
      <c r="V945" s="89"/>
      <c r="W945" s="89"/>
      <c r="X945" s="89"/>
      <c r="Y945" s="89"/>
      <c r="Z945" s="89"/>
      <c r="AA945" s="89"/>
      <c r="AB945" s="89"/>
      <c r="AC945" s="89"/>
      <c r="AD945" s="89"/>
      <c r="AE945" s="89"/>
      <c r="AF945" s="89"/>
      <c r="AG945" s="89"/>
      <c r="AH945" s="89"/>
      <c r="AI945" s="89"/>
      <c r="AJ945" s="89"/>
      <c r="AK945" s="89"/>
      <c r="AL945" s="89"/>
      <c r="AM945" s="89"/>
      <c r="AN945" s="89"/>
      <c r="AO945" s="89"/>
      <c r="AP945" s="89"/>
      <c r="AQ945" s="89"/>
      <c r="AR945" s="89"/>
      <c r="AS945" s="89"/>
      <c r="AT945" s="89"/>
      <c r="AU945" s="89"/>
      <c r="AV945" s="89"/>
      <c r="AW945" s="89"/>
      <c r="AX945" s="89"/>
      <c r="AY945" s="89"/>
      <c r="AZ945" s="89"/>
      <c r="BA945" s="89"/>
      <c r="BB945" s="89"/>
      <c r="BC945" s="89"/>
      <c r="BD945" s="89"/>
      <c r="BE945" s="89"/>
      <c r="BF945" s="89"/>
    </row>
    <row r="946" spans="9:58" x14ac:dyDescent="0.25">
      <c r="I946" s="89"/>
      <c r="J946" s="89"/>
      <c r="K946" s="89"/>
      <c r="L946" s="89"/>
      <c r="M946" s="89"/>
      <c r="N946" s="89"/>
      <c r="O946" s="89"/>
      <c r="P946" s="89"/>
      <c r="Q946" s="89"/>
      <c r="R946" s="89"/>
      <c r="S946" s="89"/>
      <c r="T946" s="89"/>
      <c r="U946" s="89"/>
      <c r="V946" s="89"/>
      <c r="W946" s="89"/>
      <c r="X946" s="89"/>
      <c r="Y946" s="89"/>
      <c r="Z946" s="89"/>
      <c r="AA946" s="89"/>
      <c r="AB946" s="89"/>
      <c r="AC946" s="89"/>
      <c r="AD946" s="89"/>
      <c r="AE946" s="89"/>
      <c r="AF946" s="89"/>
      <c r="AG946" s="89"/>
      <c r="AH946" s="89"/>
      <c r="AI946" s="89"/>
      <c r="AJ946" s="89"/>
      <c r="AK946" s="89"/>
      <c r="AL946" s="89"/>
      <c r="AM946" s="89"/>
      <c r="AN946" s="89"/>
      <c r="AO946" s="89"/>
      <c r="AP946" s="89"/>
      <c r="AQ946" s="89"/>
      <c r="AR946" s="89"/>
      <c r="AS946" s="89"/>
      <c r="AT946" s="89"/>
      <c r="AU946" s="89"/>
      <c r="AV946" s="89"/>
      <c r="AW946" s="89"/>
      <c r="AX946" s="89"/>
      <c r="AY946" s="89"/>
      <c r="AZ946" s="89"/>
      <c r="BA946" s="89"/>
      <c r="BB946" s="89"/>
      <c r="BC946" s="89"/>
      <c r="BD946" s="89"/>
      <c r="BE946" s="89"/>
      <c r="BF946" s="89"/>
    </row>
    <row r="947" spans="9:58" x14ac:dyDescent="0.25">
      <c r="I947" s="89"/>
      <c r="J947" s="89"/>
      <c r="K947" s="89"/>
      <c r="L947" s="89"/>
      <c r="M947" s="89"/>
      <c r="N947" s="89"/>
      <c r="O947" s="89"/>
      <c r="P947" s="89"/>
      <c r="Q947" s="89"/>
      <c r="R947" s="89"/>
      <c r="S947" s="89"/>
      <c r="T947" s="89"/>
      <c r="U947" s="89"/>
      <c r="V947" s="89"/>
      <c r="W947" s="89"/>
      <c r="X947" s="89"/>
      <c r="Y947" s="89"/>
      <c r="Z947" s="89"/>
      <c r="AA947" s="89"/>
      <c r="AB947" s="89"/>
      <c r="AC947" s="89"/>
      <c r="AD947" s="89"/>
      <c r="AE947" s="89"/>
      <c r="AF947" s="89"/>
      <c r="AG947" s="89"/>
      <c r="AH947" s="89"/>
      <c r="AI947" s="89"/>
      <c r="AJ947" s="89"/>
      <c r="AK947" s="89"/>
      <c r="AL947" s="89"/>
      <c r="AM947" s="89"/>
      <c r="AN947" s="89"/>
      <c r="AO947" s="89"/>
      <c r="AP947" s="89"/>
      <c r="AQ947" s="89"/>
      <c r="AR947" s="89"/>
      <c r="AS947" s="89"/>
      <c r="AT947" s="89"/>
      <c r="AU947" s="89"/>
      <c r="AV947" s="89"/>
      <c r="AW947" s="89"/>
      <c r="AX947" s="89"/>
      <c r="AY947" s="89"/>
      <c r="AZ947" s="89"/>
      <c r="BA947" s="89"/>
      <c r="BB947" s="89"/>
      <c r="BC947" s="89"/>
      <c r="BD947" s="89"/>
      <c r="BE947" s="89"/>
      <c r="BF947" s="89"/>
    </row>
    <row r="948" spans="9:58" x14ac:dyDescent="0.25">
      <c r="I948" s="89"/>
      <c r="J948" s="89"/>
      <c r="K948" s="89"/>
      <c r="L948" s="89"/>
      <c r="M948" s="89"/>
      <c r="N948" s="89"/>
      <c r="O948" s="89"/>
      <c r="P948" s="89"/>
      <c r="Q948" s="89"/>
      <c r="R948" s="89"/>
      <c r="S948" s="89"/>
      <c r="T948" s="89"/>
      <c r="U948" s="89"/>
      <c r="V948" s="89"/>
      <c r="W948" s="89"/>
      <c r="X948" s="89"/>
      <c r="Y948" s="89"/>
      <c r="Z948" s="89"/>
      <c r="AA948" s="89"/>
      <c r="AB948" s="89"/>
      <c r="AC948" s="89"/>
      <c r="AD948" s="89"/>
      <c r="AE948" s="89"/>
      <c r="AF948" s="89"/>
      <c r="AG948" s="89"/>
      <c r="AH948" s="89"/>
      <c r="AI948" s="89"/>
      <c r="AJ948" s="89"/>
      <c r="AK948" s="89"/>
      <c r="AL948" s="89"/>
      <c r="AM948" s="89"/>
      <c r="AN948" s="89"/>
      <c r="AO948" s="89"/>
      <c r="AP948" s="89"/>
      <c r="AQ948" s="89"/>
      <c r="AR948" s="89"/>
      <c r="AS948" s="89"/>
      <c r="AT948" s="89"/>
      <c r="AU948" s="89"/>
      <c r="AV948" s="89"/>
      <c r="AW948" s="89"/>
      <c r="AX948" s="89"/>
      <c r="AY948" s="89"/>
      <c r="AZ948" s="89"/>
      <c r="BA948" s="89"/>
      <c r="BB948" s="89"/>
      <c r="BC948" s="89"/>
      <c r="BD948" s="89"/>
      <c r="BE948" s="89"/>
      <c r="BF948" s="89"/>
    </row>
    <row r="949" spans="9:58" x14ac:dyDescent="0.25">
      <c r="I949" s="89"/>
      <c r="J949" s="89"/>
      <c r="K949" s="89"/>
      <c r="L949" s="89"/>
      <c r="M949" s="89"/>
      <c r="N949" s="89"/>
      <c r="O949" s="89"/>
      <c r="P949" s="89"/>
      <c r="Q949" s="89"/>
      <c r="R949" s="89"/>
      <c r="S949" s="89"/>
      <c r="T949" s="89"/>
      <c r="U949" s="89"/>
      <c r="V949" s="89"/>
      <c r="W949" s="89"/>
      <c r="X949" s="89"/>
      <c r="Y949" s="89"/>
      <c r="Z949" s="89"/>
      <c r="AA949" s="89"/>
      <c r="AB949" s="89"/>
      <c r="AC949" s="89"/>
      <c r="AD949" s="89"/>
      <c r="AE949" s="89"/>
      <c r="AF949" s="89"/>
      <c r="AG949" s="89"/>
      <c r="AH949" s="89"/>
      <c r="AI949" s="89"/>
      <c r="AJ949" s="89"/>
      <c r="AK949" s="89"/>
      <c r="AL949" s="89"/>
      <c r="AM949" s="89"/>
      <c r="AN949" s="89"/>
      <c r="AO949" s="89"/>
      <c r="AP949" s="89"/>
      <c r="AQ949" s="89"/>
      <c r="AR949" s="89"/>
      <c r="AS949" s="89"/>
      <c r="AT949" s="89"/>
      <c r="AU949" s="89"/>
      <c r="AV949" s="89"/>
      <c r="AW949" s="89"/>
      <c r="AX949" s="89"/>
      <c r="AY949" s="89"/>
      <c r="AZ949" s="89"/>
      <c r="BA949" s="89"/>
      <c r="BB949" s="89"/>
      <c r="BC949" s="89"/>
      <c r="BD949" s="89"/>
      <c r="BE949" s="89"/>
      <c r="BF949" s="89"/>
    </row>
    <row r="950" spans="9:58" x14ac:dyDescent="0.25">
      <c r="I950" s="89"/>
      <c r="J950" s="89"/>
      <c r="K950" s="89"/>
      <c r="L950" s="89"/>
      <c r="M950" s="89"/>
      <c r="N950" s="89"/>
      <c r="O950" s="89"/>
      <c r="P950" s="89"/>
      <c r="Q950" s="89"/>
      <c r="R950" s="89"/>
      <c r="S950" s="89"/>
      <c r="T950" s="89"/>
      <c r="U950" s="89"/>
      <c r="V950" s="89"/>
      <c r="W950" s="89"/>
      <c r="X950" s="89"/>
      <c r="Y950" s="89"/>
      <c r="Z950" s="89"/>
      <c r="AA950" s="89"/>
      <c r="AB950" s="89"/>
      <c r="AC950" s="89"/>
      <c r="AD950" s="89"/>
      <c r="AE950" s="89"/>
      <c r="AF950" s="89"/>
      <c r="AG950" s="89"/>
      <c r="AH950" s="89"/>
      <c r="AI950" s="89"/>
      <c r="AJ950" s="89"/>
      <c r="AK950" s="89"/>
      <c r="AL950" s="89"/>
      <c r="AM950" s="89"/>
      <c r="AN950" s="89"/>
      <c r="AO950" s="89"/>
      <c r="AP950" s="89"/>
      <c r="AQ950" s="89"/>
      <c r="AR950" s="89"/>
      <c r="AS950" s="89"/>
      <c r="AT950" s="89"/>
      <c r="AU950" s="89"/>
      <c r="AV950" s="89"/>
      <c r="AW950" s="89"/>
      <c r="AX950" s="89"/>
      <c r="AY950" s="89"/>
      <c r="AZ950" s="89"/>
      <c r="BA950" s="89"/>
      <c r="BB950" s="89"/>
      <c r="BC950" s="89"/>
      <c r="BD950" s="89"/>
      <c r="BE950" s="89"/>
      <c r="BF950" s="89"/>
    </row>
    <row r="951" spans="9:58" x14ac:dyDescent="0.25">
      <c r="I951" s="89"/>
      <c r="J951" s="89"/>
      <c r="K951" s="89"/>
      <c r="L951" s="89"/>
      <c r="M951" s="89"/>
      <c r="N951" s="89"/>
      <c r="O951" s="89"/>
      <c r="P951" s="89"/>
      <c r="Q951" s="89"/>
      <c r="R951" s="89"/>
      <c r="S951" s="89"/>
      <c r="T951" s="89"/>
      <c r="U951" s="89"/>
      <c r="V951" s="89"/>
      <c r="W951" s="89"/>
      <c r="X951" s="89"/>
      <c r="Y951" s="89"/>
      <c r="Z951" s="89"/>
      <c r="AA951" s="89"/>
      <c r="AB951" s="89"/>
      <c r="AC951" s="89"/>
      <c r="AD951" s="89"/>
      <c r="AE951" s="89"/>
      <c r="AF951" s="89"/>
      <c r="AG951" s="89"/>
      <c r="AH951" s="89"/>
      <c r="AI951" s="89"/>
      <c r="AJ951" s="89"/>
      <c r="AK951" s="89"/>
      <c r="AL951" s="89"/>
      <c r="AM951" s="89"/>
      <c r="AN951" s="89"/>
      <c r="AO951" s="89"/>
      <c r="AP951" s="89"/>
      <c r="AQ951" s="89"/>
      <c r="AR951" s="89"/>
      <c r="AS951" s="89"/>
      <c r="AT951" s="89"/>
      <c r="AU951" s="89"/>
      <c r="AV951" s="89"/>
      <c r="AW951" s="89"/>
      <c r="AX951" s="89"/>
      <c r="AY951" s="89"/>
      <c r="AZ951" s="89"/>
      <c r="BA951" s="89"/>
      <c r="BB951" s="89"/>
      <c r="BC951" s="89"/>
      <c r="BD951" s="89"/>
      <c r="BE951" s="89"/>
      <c r="BF951" s="89"/>
    </row>
    <row r="952" spans="9:58" x14ac:dyDescent="0.25">
      <c r="I952" s="89"/>
      <c r="J952" s="89"/>
      <c r="K952" s="89"/>
      <c r="L952" s="89"/>
      <c r="M952" s="89"/>
      <c r="N952" s="89"/>
      <c r="O952" s="89"/>
      <c r="P952" s="89"/>
      <c r="Q952" s="89"/>
      <c r="R952" s="89"/>
      <c r="S952" s="89"/>
      <c r="T952" s="89"/>
      <c r="U952" s="89"/>
      <c r="V952" s="89"/>
      <c r="W952" s="89"/>
      <c r="X952" s="89"/>
      <c r="Y952" s="89"/>
      <c r="Z952" s="89"/>
      <c r="AA952" s="89"/>
      <c r="AB952" s="89"/>
      <c r="AC952" s="89"/>
      <c r="AD952" s="89"/>
      <c r="AE952" s="89"/>
      <c r="AF952" s="89"/>
      <c r="AG952" s="89"/>
      <c r="AH952" s="89"/>
      <c r="AI952" s="89"/>
      <c r="AJ952" s="89"/>
      <c r="AK952" s="89"/>
      <c r="AL952" s="89"/>
      <c r="AM952" s="89"/>
      <c r="AN952" s="89"/>
      <c r="AO952" s="89"/>
      <c r="AP952" s="89"/>
      <c r="AQ952" s="89"/>
      <c r="AR952" s="89"/>
      <c r="AS952" s="89"/>
      <c r="AT952" s="89"/>
      <c r="AU952" s="89"/>
      <c r="AV952" s="89"/>
      <c r="AW952" s="89"/>
      <c r="AX952" s="89"/>
      <c r="AY952" s="89"/>
      <c r="AZ952" s="89"/>
      <c r="BA952" s="89"/>
      <c r="BB952" s="89"/>
      <c r="BC952" s="89"/>
      <c r="BD952" s="89"/>
      <c r="BE952" s="89"/>
      <c r="BF952" s="89"/>
    </row>
    <row r="953" spans="9:58" x14ac:dyDescent="0.25">
      <c r="I953" s="89"/>
      <c r="J953" s="89"/>
      <c r="K953" s="89"/>
      <c r="L953" s="89"/>
      <c r="M953" s="89"/>
      <c r="N953" s="89"/>
      <c r="O953" s="89"/>
      <c r="P953" s="89"/>
      <c r="Q953" s="89"/>
      <c r="R953" s="89"/>
      <c r="S953" s="89"/>
      <c r="T953" s="89"/>
      <c r="U953" s="89"/>
      <c r="V953" s="89"/>
      <c r="W953" s="89"/>
      <c r="X953" s="89"/>
      <c r="Y953" s="89"/>
      <c r="Z953" s="89"/>
      <c r="AA953" s="89"/>
      <c r="AB953" s="89"/>
      <c r="AC953" s="89"/>
      <c r="AD953" s="89"/>
      <c r="AE953" s="89"/>
      <c r="AF953" s="89"/>
      <c r="AG953" s="89"/>
      <c r="AH953" s="89"/>
      <c r="AI953" s="89"/>
      <c r="AJ953" s="89"/>
      <c r="AK953" s="89"/>
      <c r="AL953" s="89"/>
      <c r="AM953" s="89"/>
      <c r="AN953" s="89"/>
      <c r="AO953" s="89"/>
      <c r="AP953" s="89"/>
      <c r="AQ953" s="89"/>
      <c r="AR953" s="89"/>
      <c r="AS953" s="89"/>
      <c r="AT953" s="89"/>
      <c r="AU953" s="89"/>
      <c r="AV953" s="89"/>
      <c r="AW953" s="89"/>
      <c r="AX953" s="89"/>
      <c r="AY953" s="89"/>
      <c r="AZ953" s="89"/>
      <c r="BA953" s="89"/>
      <c r="BB953" s="89"/>
      <c r="BC953" s="89"/>
      <c r="BD953" s="89"/>
      <c r="BE953" s="89"/>
      <c r="BF953" s="89"/>
    </row>
    <row r="954" spans="9:58" x14ac:dyDescent="0.25">
      <c r="I954" s="89"/>
      <c r="J954" s="89"/>
      <c r="K954" s="89"/>
      <c r="L954" s="89"/>
      <c r="M954" s="89"/>
      <c r="N954" s="89"/>
      <c r="O954" s="89"/>
      <c r="P954" s="89"/>
      <c r="Q954" s="89"/>
      <c r="R954" s="89"/>
      <c r="S954" s="89"/>
      <c r="T954" s="89"/>
      <c r="U954" s="89"/>
      <c r="V954" s="89"/>
      <c r="W954" s="89"/>
      <c r="X954" s="89"/>
      <c r="Y954" s="89"/>
      <c r="Z954" s="89"/>
      <c r="AA954" s="89"/>
      <c r="AB954" s="89"/>
      <c r="AC954" s="89"/>
      <c r="AD954" s="89"/>
      <c r="AE954" s="89"/>
      <c r="AF954" s="89"/>
      <c r="AG954" s="89"/>
      <c r="AH954" s="89"/>
      <c r="AI954" s="89"/>
      <c r="AJ954" s="89"/>
      <c r="AK954" s="89"/>
      <c r="AL954" s="89"/>
      <c r="AM954" s="89"/>
      <c r="AN954" s="89"/>
      <c r="AO954" s="89"/>
      <c r="AP954" s="89"/>
      <c r="AQ954" s="89"/>
      <c r="AR954" s="89"/>
      <c r="AS954" s="89"/>
      <c r="AT954" s="89"/>
      <c r="AU954" s="89"/>
      <c r="AV954" s="89"/>
      <c r="AW954" s="89"/>
      <c r="AX954" s="89"/>
      <c r="AY954" s="89"/>
      <c r="AZ954" s="89"/>
      <c r="BA954" s="89"/>
      <c r="BB954" s="89"/>
      <c r="BC954" s="89"/>
      <c r="BD954" s="89"/>
      <c r="BE954" s="89"/>
      <c r="BF954" s="89"/>
    </row>
    <row r="955" spans="9:58" x14ac:dyDescent="0.25">
      <c r="I955" s="89"/>
      <c r="J955" s="89"/>
      <c r="K955" s="89"/>
      <c r="L955" s="89"/>
      <c r="M955" s="89"/>
      <c r="N955" s="89"/>
      <c r="O955" s="89"/>
      <c r="P955" s="89"/>
      <c r="Q955" s="89"/>
      <c r="R955" s="89"/>
      <c r="S955" s="89"/>
      <c r="T955" s="89"/>
      <c r="U955" s="89"/>
      <c r="V955" s="89"/>
      <c r="W955" s="89"/>
      <c r="X955" s="89"/>
      <c r="Y955" s="89"/>
      <c r="Z955" s="89"/>
      <c r="AA955" s="89"/>
      <c r="AB955" s="89"/>
      <c r="AC955" s="89"/>
      <c r="AD955" s="89"/>
      <c r="AE955" s="89"/>
      <c r="AF955" s="89"/>
      <c r="AG955" s="89"/>
      <c r="AH955" s="89"/>
      <c r="AI955" s="89"/>
      <c r="AJ955" s="89"/>
      <c r="AK955" s="89"/>
      <c r="AL955" s="89"/>
      <c r="AM955" s="89"/>
      <c r="AN955" s="89"/>
      <c r="AO955" s="89"/>
      <c r="AP955" s="89"/>
      <c r="AQ955" s="89"/>
      <c r="AR955" s="89"/>
      <c r="AS955" s="89"/>
      <c r="AT955" s="89"/>
      <c r="AU955" s="89"/>
      <c r="AV955" s="89"/>
      <c r="AW955" s="89"/>
      <c r="AX955" s="89"/>
      <c r="AY955" s="89"/>
      <c r="AZ955" s="89"/>
      <c r="BA955" s="89"/>
      <c r="BB955" s="89"/>
      <c r="BC955" s="89"/>
      <c r="BD955" s="89"/>
      <c r="BE955" s="89"/>
      <c r="BF955" s="89"/>
    </row>
    <row r="956" spans="9:58" x14ac:dyDescent="0.25">
      <c r="I956" s="89"/>
      <c r="J956" s="89"/>
      <c r="K956" s="89"/>
      <c r="L956" s="89"/>
      <c r="M956" s="89"/>
      <c r="N956" s="89"/>
      <c r="O956" s="89"/>
      <c r="P956" s="89"/>
      <c r="Q956" s="89"/>
      <c r="R956" s="89"/>
      <c r="S956" s="89"/>
      <c r="T956" s="89"/>
      <c r="U956" s="89"/>
      <c r="V956" s="89"/>
      <c r="W956" s="89"/>
      <c r="X956" s="89"/>
      <c r="Y956" s="89"/>
      <c r="Z956" s="89"/>
      <c r="AA956" s="89"/>
      <c r="AB956" s="89"/>
      <c r="AC956" s="89"/>
      <c r="AD956" s="89"/>
      <c r="AE956" s="89"/>
      <c r="AF956" s="89"/>
      <c r="AG956" s="89"/>
      <c r="AH956" s="89"/>
      <c r="AI956" s="89"/>
      <c r="AJ956" s="89"/>
      <c r="AK956" s="89"/>
      <c r="AL956" s="89"/>
      <c r="AM956" s="89"/>
      <c r="AN956" s="89"/>
      <c r="AO956" s="89"/>
      <c r="AP956" s="89"/>
      <c r="AQ956" s="89"/>
      <c r="AR956" s="89"/>
      <c r="AS956" s="89"/>
      <c r="AT956" s="89"/>
      <c r="AU956" s="89"/>
      <c r="AV956" s="89"/>
      <c r="AW956" s="89"/>
      <c r="AX956" s="89"/>
      <c r="AY956" s="89"/>
      <c r="AZ956" s="89"/>
      <c r="BA956" s="89"/>
      <c r="BB956" s="89"/>
      <c r="BC956" s="89"/>
      <c r="BD956" s="89"/>
      <c r="BE956" s="89"/>
      <c r="BF956" s="89"/>
    </row>
    <row r="957" spans="9:58" x14ac:dyDescent="0.25">
      <c r="I957" s="89"/>
      <c r="J957" s="89"/>
      <c r="K957" s="89"/>
      <c r="L957" s="89"/>
      <c r="M957" s="89"/>
      <c r="N957" s="89"/>
      <c r="O957" s="89"/>
      <c r="P957" s="89"/>
      <c r="Q957" s="89"/>
      <c r="R957" s="89"/>
      <c r="S957" s="89"/>
      <c r="T957" s="89"/>
      <c r="U957" s="89"/>
      <c r="V957" s="89"/>
      <c r="W957" s="89"/>
      <c r="X957" s="89"/>
      <c r="Y957" s="89"/>
      <c r="Z957" s="89"/>
      <c r="AA957" s="89"/>
      <c r="AB957" s="89"/>
      <c r="AC957" s="89"/>
      <c r="AD957" s="89"/>
      <c r="AE957" s="89"/>
      <c r="AF957" s="89"/>
      <c r="AG957" s="89"/>
      <c r="AH957" s="89"/>
      <c r="AI957" s="89"/>
      <c r="AJ957" s="89"/>
      <c r="AK957" s="89"/>
      <c r="AL957" s="89"/>
      <c r="AM957" s="89"/>
      <c r="AN957" s="89"/>
      <c r="AO957" s="89"/>
      <c r="AP957" s="89"/>
      <c r="AQ957" s="89"/>
      <c r="AR957" s="89"/>
      <c r="AS957" s="89"/>
      <c r="AT957" s="89"/>
      <c r="AU957" s="89"/>
      <c r="AV957" s="89"/>
      <c r="AW957" s="89"/>
      <c r="AX957" s="89"/>
      <c r="AY957" s="89"/>
      <c r="AZ957" s="89"/>
      <c r="BA957" s="89"/>
      <c r="BB957" s="89"/>
      <c r="BC957" s="89"/>
      <c r="BD957" s="89"/>
      <c r="BE957" s="89"/>
      <c r="BF957" s="89"/>
    </row>
    <row r="958" spans="9:58" x14ac:dyDescent="0.25">
      <c r="I958" s="89"/>
      <c r="J958" s="89"/>
      <c r="K958" s="89"/>
      <c r="L958" s="89"/>
      <c r="M958" s="89"/>
      <c r="N958" s="89"/>
      <c r="O958" s="89"/>
      <c r="P958" s="89"/>
      <c r="Q958" s="89"/>
      <c r="R958" s="89"/>
      <c r="S958" s="89"/>
      <c r="T958" s="89"/>
      <c r="U958" s="89"/>
      <c r="V958" s="89"/>
      <c r="W958" s="89"/>
      <c r="X958" s="89"/>
      <c r="Y958" s="89"/>
      <c r="Z958" s="89"/>
      <c r="AA958" s="89"/>
      <c r="AB958" s="89"/>
      <c r="AC958" s="89"/>
      <c r="AD958" s="89"/>
      <c r="AE958" s="89"/>
      <c r="AF958" s="89"/>
      <c r="AG958" s="89"/>
      <c r="AH958" s="89"/>
      <c r="AI958" s="89"/>
      <c r="AJ958" s="89"/>
      <c r="AK958" s="89"/>
      <c r="AL958" s="89"/>
      <c r="AM958" s="89"/>
      <c r="AN958" s="89"/>
      <c r="AO958" s="89"/>
      <c r="AP958" s="89"/>
      <c r="AQ958" s="89"/>
      <c r="AR958" s="89"/>
      <c r="AS958" s="89"/>
      <c r="AT958" s="89"/>
      <c r="AU958" s="89"/>
      <c r="AV958" s="89"/>
      <c r="AW958" s="89"/>
      <c r="AX958" s="89"/>
      <c r="AY958" s="89"/>
      <c r="AZ958" s="89"/>
      <c r="BA958" s="89"/>
      <c r="BB958" s="89"/>
      <c r="BC958" s="89"/>
      <c r="BD958" s="89"/>
      <c r="BE958" s="89"/>
      <c r="BF958" s="89"/>
    </row>
    <row r="959" spans="9:58" x14ac:dyDescent="0.25">
      <c r="I959" s="89"/>
      <c r="J959" s="89"/>
      <c r="K959" s="89"/>
      <c r="L959" s="89"/>
      <c r="M959" s="89"/>
      <c r="N959" s="89"/>
      <c r="O959" s="89"/>
      <c r="P959" s="89"/>
      <c r="Q959" s="89"/>
      <c r="R959" s="89"/>
      <c r="S959" s="89"/>
      <c r="T959" s="89"/>
      <c r="U959" s="89"/>
      <c r="V959" s="89"/>
      <c r="W959" s="89"/>
      <c r="X959" s="89"/>
      <c r="Y959" s="89"/>
      <c r="Z959" s="89"/>
      <c r="AA959" s="89"/>
      <c r="AB959" s="89"/>
      <c r="AC959" s="89"/>
      <c r="AD959" s="89"/>
      <c r="AE959" s="89"/>
      <c r="AF959" s="89"/>
      <c r="AG959" s="89"/>
      <c r="AH959" s="89"/>
      <c r="AI959" s="89"/>
      <c r="AJ959" s="89"/>
      <c r="AK959" s="89"/>
      <c r="AL959" s="89"/>
      <c r="AM959" s="89"/>
      <c r="AN959" s="89"/>
      <c r="AO959" s="89"/>
      <c r="AP959" s="89"/>
      <c r="AQ959" s="89"/>
      <c r="AR959" s="89"/>
      <c r="AS959" s="89"/>
      <c r="AT959" s="89"/>
      <c r="AU959" s="89"/>
      <c r="AV959" s="89"/>
      <c r="AW959" s="89"/>
      <c r="AX959" s="89"/>
      <c r="AY959" s="89"/>
      <c r="AZ959" s="89"/>
      <c r="BA959" s="89"/>
      <c r="BB959" s="89"/>
      <c r="BC959" s="89"/>
      <c r="BD959" s="89"/>
      <c r="BE959" s="89"/>
      <c r="BF959" s="89"/>
    </row>
    <row r="960" spans="9:58" x14ac:dyDescent="0.25">
      <c r="I960" s="89"/>
      <c r="J960" s="89"/>
      <c r="K960" s="89"/>
      <c r="L960" s="89"/>
      <c r="M960" s="89"/>
      <c r="N960" s="89"/>
      <c r="O960" s="89"/>
      <c r="P960" s="89"/>
      <c r="Q960" s="89"/>
      <c r="R960" s="89"/>
      <c r="S960" s="89"/>
      <c r="T960" s="89"/>
      <c r="U960" s="89"/>
      <c r="V960" s="89"/>
      <c r="W960" s="89"/>
      <c r="X960" s="89"/>
      <c r="Y960" s="89"/>
      <c r="Z960" s="89"/>
      <c r="AA960" s="89"/>
      <c r="AB960" s="89"/>
      <c r="AC960" s="89"/>
      <c r="AD960" s="89"/>
      <c r="AE960" s="89"/>
      <c r="AF960" s="89"/>
      <c r="AG960" s="89"/>
      <c r="AH960" s="89"/>
      <c r="AI960" s="89"/>
      <c r="AJ960" s="89"/>
      <c r="AK960" s="89"/>
      <c r="AL960" s="89"/>
      <c r="AM960" s="89"/>
      <c r="AN960" s="89"/>
      <c r="AO960" s="89"/>
      <c r="AP960" s="89"/>
      <c r="AQ960" s="89"/>
      <c r="AR960" s="89"/>
      <c r="AS960" s="89"/>
      <c r="AT960" s="89"/>
      <c r="AU960" s="89"/>
      <c r="AV960" s="89"/>
      <c r="AW960" s="89"/>
      <c r="AX960" s="89"/>
      <c r="AY960" s="89"/>
      <c r="AZ960" s="89"/>
      <c r="BA960" s="89"/>
      <c r="BB960" s="89"/>
      <c r="BC960" s="89"/>
      <c r="BD960" s="89"/>
      <c r="BE960" s="89"/>
      <c r="BF960" s="89"/>
    </row>
    <row r="961" spans="9:58" x14ac:dyDescent="0.25">
      <c r="I961" s="89"/>
      <c r="J961" s="89"/>
      <c r="K961" s="89"/>
      <c r="L961" s="89"/>
      <c r="M961" s="89"/>
      <c r="N961" s="89"/>
      <c r="O961" s="89"/>
      <c r="P961" s="89"/>
      <c r="Q961" s="89"/>
      <c r="R961" s="89"/>
      <c r="S961" s="89"/>
      <c r="T961" s="89"/>
      <c r="U961" s="89"/>
      <c r="V961" s="89"/>
      <c r="W961" s="89"/>
      <c r="X961" s="89"/>
      <c r="Y961" s="89"/>
      <c r="Z961" s="89"/>
      <c r="AA961" s="89"/>
      <c r="AB961" s="89"/>
      <c r="AC961" s="89"/>
      <c r="AD961" s="89"/>
      <c r="AE961" s="89"/>
      <c r="AF961" s="89"/>
      <c r="AG961" s="89"/>
      <c r="AH961" s="89"/>
      <c r="AI961" s="89"/>
      <c r="AJ961" s="89"/>
      <c r="AK961" s="89"/>
      <c r="AL961" s="89"/>
      <c r="AM961" s="89"/>
      <c r="AN961" s="89"/>
      <c r="AO961" s="89"/>
      <c r="AP961" s="89"/>
      <c r="AQ961" s="89"/>
      <c r="AR961" s="89"/>
      <c r="AS961" s="89"/>
      <c r="AT961" s="89"/>
      <c r="AU961" s="89"/>
      <c r="AV961" s="89"/>
      <c r="AW961" s="89"/>
      <c r="AX961" s="89"/>
      <c r="AY961" s="89"/>
      <c r="AZ961" s="89"/>
      <c r="BA961" s="89"/>
      <c r="BB961" s="89"/>
      <c r="BC961" s="89"/>
      <c r="BD961" s="89"/>
      <c r="BE961" s="89"/>
      <c r="BF961" s="89"/>
    </row>
    <row r="962" spans="9:58" x14ac:dyDescent="0.25">
      <c r="I962" s="89"/>
      <c r="J962" s="89"/>
      <c r="K962" s="89"/>
      <c r="L962" s="89"/>
      <c r="M962" s="89"/>
      <c r="N962" s="89"/>
      <c r="O962" s="89"/>
      <c r="P962" s="89"/>
      <c r="Q962" s="89"/>
      <c r="R962" s="89"/>
      <c r="S962" s="89"/>
      <c r="T962" s="89"/>
      <c r="U962" s="89"/>
      <c r="V962" s="89"/>
      <c r="W962" s="89"/>
      <c r="X962" s="89"/>
      <c r="Y962" s="89"/>
      <c r="Z962" s="89"/>
      <c r="AA962" s="89"/>
      <c r="AB962" s="89"/>
      <c r="AC962" s="89"/>
      <c r="AD962" s="89"/>
      <c r="AE962" s="89"/>
      <c r="AF962" s="89"/>
      <c r="AG962" s="89"/>
      <c r="AH962" s="89"/>
      <c r="AI962" s="89"/>
      <c r="AJ962" s="89"/>
      <c r="AK962" s="89"/>
      <c r="AL962" s="89"/>
      <c r="AM962" s="89"/>
      <c r="AN962" s="89"/>
      <c r="AO962" s="89"/>
      <c r="AP962" s="89"/>
      <c r="AQ962" s="89"/>
      <c r="AR962" s="89"/>
      <c r="AS962" s="89"/>
      <c r="AT962" s="89"/>
      <c r="AU962" s="89"/>
      <c r="AV962" s="89"/>
      <c r="AW962" s="89"/>
      <c r="AX962" s="89"/>
      <c r="AY962" s="89"/>
      <c r="AZ962" s="89"/>
      <c r="BA962" s="89"/>
      <c r="BB962" s="89"/>
      <c r="BC962" s="89"/>
      <c r="BD962" s="89"/>
      <c r="BE962" s="89"/>
      <c r="BF962" s="89"/>
    </row>
    <row r="963" spans="9:58" x14ac:dyDescent="0.25">
      <c r="I963" s="89"/>
      <c r="J963" s="89"/>
      <c r="K963" s="89"/>
      <c r="L963" s="89"/>
      <c r="M963" s="89"/>
      <c r="N963" s="89"/>
      <c r="O963" s="89"/>
      <c r="P963" s="89"/>
      <c r="Q963" s="89"/>
      <c r="R963" s="89"/>
      <c r="S963" s="89"/>
      <c r="T963" s="89"/>
      <c r="U963" s="89"/>
      <c r="V963" s="89"/>
      <c r="W963" s="89"/>
      <c r="X963" s="89"/>
      <c r="Y963" s="89"/>
      <c r="Z963" s="89"/>
      <c r="AA963" s="89"/>
      <c r="AB963" s="89"/>
      <c r="AC963" s="89"/>
      <c r="AD963" s="89"/>
      <c r="AE963" s="89"/>
      <c r="AF963" s="89"/>
      <c r="AG963" s="89"/>
      <c r="AH963" s="89"/>
      <c r="AI963" s="89"/>
      <c r="AJ963" s="89"/>
      <c r="AK963" s="89"/>
      <c r="AL963" s="89"/>
      <c r="AM963" s="89"/>
      <c r="AN963" s="89"/>
      <c r="AO963" s="89"/>
      <c r="AP963" s="89"/>
      <c r="AQ963" s="89"/>
      <c r="AR963" s="89"/>
      <c r="AS963" s="89"/>
      <c r="AT963" s="89"/>
      <c r="AU963" s="89"/>
      <c r="AV963" s="89"/>
      <c r="AW963" s="89"/>
      <c r="AX963" s="89"/>
      <c r="AY963" s="89"/>
      <c r="AZ963" s="89"/>
      <c r="BA963" s="89"/>
      <c r="BB963" s="89"/>
      <c r="BC963" s="89"/>
      <c r="BD963" s="89"/>
      <c r="BE963" s="89"/>
      <c r="BF963" s="89"/>
    </row>
    <row r="964" spans="9:58" x14ac:dyDescent="0.25">
      <c r="I964" s="89"/>
      <c r="J964" s="89"/>
      <c r="K964" s="89"/>
      <c r="L964" s="89"/>
      <c r="M964" s="89"/>
      <c r="N964" s="89"/>
      <c r="O964" s="89"/>
      <c r="P964" s="89"/>
      <c r="Q964" s="89"/>
      <c r="R964" s="89"/>
      <c r="S964" s="89"/>
      <c r="T964" s="89"/>
      <c r="U964" s="89"/>
      <c r="V964" s="89"/>
      <c r="W964" s="89"/>
      <c r="X964" s="89"/>
      <c r="Y964" s="89"/>
      <c r="Z964" s="89"/>
      <c r="AA964" s="89"/>
      <c r="AB964" s="89"/>
      <c r="AC964" s="89"/>
      <c r="AD964" s="89"/>
      <c r="AE964" s="89"/>
      <c r="AF964" s="89"/>
      <c r="AG964" s="89"/>
      <c r="AH964" s="89"/>
      <c r="AI964" s="89"/>
      <c r="AJ964" s="89"/>
      <c r="AK964" s="89"/>
      <c r="AL964" s="89"/>
      <c r="AM964" s="89"/>
      <c r="AN964" s="89"/>
      <c r="AO964" s="89"/>
      <c r="AP964" s="89"/>
      <c r="AQ964" s="89"/>
      <c r="AR964" s="89"/>
      <c r="AS964" s="89"/>
      <c r="AT964" s="89"/>
      <c r="AU964" s="89"/>
      <c r="AV964" s="89"/>
      <c r="AW964" s="89"/>
      <c r="AX964" s="89"/>
      <c r="AY964" s="89"/>
      <c r="AZ964" s="89"/>
      <c r="BA964" s="89"/>
      <c r="BB964" s="89"/>
      <c r="BC964" s="89"/>
      <c r="BD964" s="89"/>
      <c r="BE964" s="89"/>
      <c r="BF964" s="89"/>
    </row>
    <row r="965" spans="9:58" x14ac:dyDescent="0.25">
      <c r="I965" s="89"/>
      <c r="J965" s="89"/>
      <c r="K965" s="89"/>
      <c r="L965" s="89"/>
      <c r="M965" s="89"/>
      <c r="N965" s="89"/>
      <c r="O965" s="89"/>
      <c r="P965" s="89"/>
      <c r="Q965" s="89"/>
      <c r="R965" s="89"/>
      <c r="S965" s="89"/>
      <c r="T965" s="89"/>
      <c r="U965" s="89"/>
      <c r="V965" s="89"/>
      <c r="W965" s="89"/>
      <c r="X965" s="89"/>
      <c r="Y965" s="89"/>
      <c r="Z965" s="89"/>
      <c r="AA965" s="89"/>
      <c r="AB965" s="89"/>
      <c r="AC965" s="89"/>
      <c r="AD965" s="89"/>
      <c r="AE965" s="89"/>
      <c r="AF965" s="89"/>
      <c r="AG965" s="89"/>
      <c r="AH965" s="89"/>
      <c r="AI965" s="89"/>
      <c r="AJ965" s="89"/>
      <c r="AK965" s="89"/>
      <c r="AL965" s="89"/>
      <c r="AM965" s="89"/>
      <c r="AN965" s="89"/>
      <c r="AO965" s="89"/>
      <c r="AP965" s="89"/>
      <c r="AQ965" s="89"/>
      <c r="AR965" s="89"/>
      <c r="AS965" s="89"/>
      <c r="AT965" s="89"/>
      <c r="AU965" s="89"/>
      <c r="AV965" s="89"/>
      <c r="AW965" s="89"/>
      <c r="AX965" s="89"/>
      <c r="AY965" s="89"/>
      <c r="AZ965" s="89"/>
      <c r="BA965" s="89"/>
      <c r="BB965" s="89"/>
      <c r="BC965" s="89"/>
      <c r="BD965" s="89"/>
      <c r="BE965" s="89"/>
      <c r="BF965" s="89"/>
    </row>
    <row r="966" spans="9:58" x14ac:dyDescent="0.25">
      <c r="I966" s="89"/>
      <c r="J966" s="89"/>
      <c r="K966" s="89"/>
      <c r="L966" s="89"/>
      <c r="M966" s="89"/>
      <c r="N966" s="89"/>
      <c r="O966" s="89"/>
      <c r="P966" s="89"/>
      <c r="Q966" s="89"/>
      <c r="R966" s="89"/>
      <c r="S966" s="89"/>
      <c r="T966" s="89"/>
      <c r="U966" s="89"/>
      <c r="V966" s="89"/>
      <c r="W966" s="89"/>
      <c r="X966" s="89"/>
      <c r="Y966" s="89"/>
      <c r="Z966" s="89"/>
      <c r="AA966" s="89"/>
      <c r="AB966" s="89"/>
      <c r="AC966" s="89"/>
      <c r="AD966" s="89"/>
      <c r="AE966" s="89"/>
      <c r="AF966" s="89"/>
      <c r="AG966" s="89"/>
      <c r="AH966" s="89"/>
      <c r="AI966" s="89"/>
      <c r="AJ966" s="89"/>
      <c r="AK966" s="89"/>
      <c r="AL966" s="89"/>
      <c r="AM966" s="89"/>
      <c r="AN966" s="89"/>
      <c r="AO966" s="89"/>
      <c r="AP966" s="89"/>
      <c r="AQ966" s="89"/>
      <c r="AR966" s="89"/>
      <c r="AS966" s="89"/>
      <c r="AT966" s="89"/>
      <c r="AU966" s="89"/>
      <c r="AV966" s="89"/>
      <c r="AW966" s="89"/>
      <c r="AX966" s="89"/>
      <c r="AY966" s="89"/>
      <c r="AZ966" s="89"/>
      <c r="BA966" s="89"/>
      <c r="BB966" s="89"/>
      <c r="BC966" s="89"/>
      <c r="BD966" s="89"/>
      <c r="BE966" s="89"/>
      <c r="BF966" s="89"/>
    </row>
    <row r="967" spans="9:58" x14ac:dyDescent="0.25">
      <c r="I967" s="89"/>
      <c r="J967" s="89"/>
      <c r="K967" s="89"/>
      <c r="L967" s="89"/>
      <c r="M967" s="89"/>
      <c r="N967" s="89"/>
      <c r="O967" s="89"/>
      <c r="P967" s="89"/>
      <c r="Q967" s="89"/>
      <c r="R967" s="89"/>
      <c r="S967" s="89"/>
      <c r="T967" s="89"/>
      <c r="U967" s="89"/>
      <c r="V967" s="89"/>
      <c r="W967" s="89"/>
      <c r="X967" s="89"/>
      <c r="Y967" s="89"/>
      <c r="Z967" s="89"/>
      <c r="AA967" s="89"/>
      <c r="AB967" s="89"/>
      <c r="AC967" s="89"/>
      <c r="AD967" s="89"/>
      <c r="AE967" s="89"/>
      <c r="AF967" s="89"/>
      <c r="AG967" s="89"/>
      <c r="AH967" s="89"/>
      <c r="AI967" s="89"/>
      <c r="AJ967" s="89"/>
      <c r="AK967" s="89"/>
      <c r="AL967" s="89"/>
      <c r="AM967" s="89"/>
      <c r="AN967" s="89"/>
      <c r="AO967" s="89"/>
      <c r="AP967" s="89"/>
      <c r="AQ967" s="89"/>
      <c r="AR967" s="89"/>
      <c r="AS967" s="89"/>
      <c r="AT967" s="89"/>
      <c r="AU967" s="89"/>
      <c r="AV967" s="89"/>
      <c r="AW967" s="89"/>
      <c r="AX967" s="89"/>
      <c r="AY967" s="89"/>
      <c r="AZ967" s="89"/>
      <c r="BA967" s="89"/>
      <c r="BB967" s="89"/>
      <c r="BC967" s="89"/>
      <c r="BD967" s="89"/>
      <c r="BE967" s="89"/>
      <c r="BF967" s="89"/>
    </row>
    <row r="968" spans="9:58" x14ac:dyDescent="0.25">
      <c r="I968" s="89"/>
      <c r="J968" s="89"/>
      <c r="K968" s="89"/>
      <c r="L968" s="89"/>
      <c r="M968" s="89"/>
      <c r="N968" s="89"/>
      <c r="O968" s="89"/>
      <c r="P968" s="89"/>
      <c r="Q968" s="89"/>
      <c r="R968" s="89"/>
      <c r="S968" s="89"/>
      <c r="T968" s="89"/>
      <c r="U968" s="89"/>
      <c r="V968" s="89"/>
      <c r="W968" s="89"/>
      <c r="X968" s="89"/>
      <c r="Y968" s="89"/>
      <c r="Z968" s="89"/>
      <c r="AA968" s="89"/>
      <c r="AB968" s="89"/>
      <c r="AC968" s="89"/>
      <c r="AD968" s="89"/>
      <c r="AE968" s="89"/>
      <c r="AF968" s="89"/>
      <c r="AG968" s="89"/>
      <c r="AH968" s="89"/>
      <c r="AI968" s="89"/>
      <c r="AJ968" s="89"/>
      <c r="AK968" s="89"/>
      <c r="AL968" s="89"/>
      <c r="AM968" s="89"/>
      <c r="AN968" s="89"/>
      <c r="AO968" s="89"/>
      <c r="AP968" s="89"/>
      <c r="AQ968" s="89"/>
      <c r="AR968" s="89"/>
      <c r="AS968" s="89"/>
      <c r="AT968" s="89"/>
      <c r="AU968" s="89"/>
      <c r="AV968" s="89"/>
      <c r="AW968" s="89"/>
      <c r="AX968" s="89"/>
      <c r="AY968" s="89"/>
      <c r="AZ968" s="89"/>
      <c r="BA968" s="89"/>
      <c r="BB968" s="89"/>
      <c r="BC968" s="89"/>
      <c r="BD968" s="89"/>
      <c r="BE968" s="89"/>
      <c r="BF968" s="89"/>
    </row>
    <row r="969" spans="9:58" x14ac:dyDescent="0.25">
      <c r="I969" s="89"/>
      <c r="J969" s="89"/>
      <c r="K969" s="89"/>
      <c r="L969" s="89"/>
      <c r="M969" s="89"/>
      <c r="N969" s="89"/>
      <c r="O969" s="89"/>
      <c r="P969" s="89"/>
      <c r="Q969" s="89"/>
      <c r="R969" s="89"/>
      <c r="S969" s="89"/>
      <c r="T969" s="89"/>
      <c r="U969" s="89"/>
      <c r="V969" s="89"/>
      <c r="W969" s="89"/>
      <c r="X969" s="89"/>
      <c r="Y969" s="89"/>
      <c r="Z969" s="89"/>
      <c r="AA969" s="89"/>
      <c r="AB969" s="89"/>
      <c r="AC969" s="89"/>
      <c r="AD969" s="89"/>
      <c r="AE969" s="89"/>
      <c r="AF969" s="89"/>
      <c r="AG969" s="89"/>
      <c r="AH969" s="89"/>
      <c r="AI969" s="89"/>
      <c r="AJ969" s="89"/>
      <c r="AK969" s="89"/>
      <c r="AL969" s="89"/>
      <c r="AM969" s="89"/>
      <c r="AN969" s="89"/>
      <c r="AO969" s="89"/>
      <c r="AP969" s="89"/>
      <c r="AQ969" s="89"/>
      <c r="AR969" s="89"/>
      <c r="AS969" s="89"/>
      <c r="AT969" s="89"/>
      <c r="AU969" s="89"/>
      <c r="AV969" s="89"/>
      <c r="AW969" s="89"/>
      <c r="AX969" s="89"/>
      <c r="AY969" s="89"/>
      <c r="AZ969" s="89"/>
      <c r="BA969" s="89"/>
      <c r="BB969" s="89"/>
      <c r="BC969" s="89"/>
      <c r="BD969" s="89"/>
      <c r="BE969" s="89"/>
      <c r="BF969" s="89"/>
    </row>
    <row r="970" spans="9:58" x14ac:dyDescent="0.25">
      <c r="I970" s="89"/>
      <c r="J970" s="89"/>
      <c r="K970" s="89"/>
      <c r="L970" s="89"/>
      <c r="M970" s="89"/>
      <c r="N970" s="89"/>
      <c r="O970" s="89"/>
      <c r="P970" s="89"/>
      <c r="Q970" s="89"/>
      <c r="R970" s="89"/>
      <c r="S970" s="89"/>
      <c r="T970" s="89"/>
      <c r="U970" s="89"/>
      <c r="V970" s="89"/>
      <c r="W970" s="89"/>
      <c r="X970" s="89"/>
      <c r="Y970" s="89"/>
      <c r="Z970" s="89"/>
      <c r="AA970" s="89"/>
      <c r="AB970" s="89"/>
      <c r="AC970" s="89"/>
      <c r="AD970" s="89"/>
      <c r="AE970" s="89"/>
      <c r="AF970" s="89"/>
      <c r="AG970" s="89"/>
      <c r="AH970" s="89"/>
      <c r="AI970" s="89"/>
      <c r="AJ970" s="89"/>
      <c r="AK970" s="89"/>
      <c r="AL970" s="89"/>
      <c r="AM970" s="89"/>
      <c r="AN970" s="89"/>
      <c r="AO970" s="89"/>
      <c r="AP970" s="89"/>
      <c r="AQ970" s="89"/>
      <c r="AR970" s="89"/>
      <c r="AS970" s="89"/>
      <c r="AT970" s="89"/>
      <c r="AU970" s="89"/>
      <c r="AV970" s="89"/>
      <c r="AW970" s="89"/>
      <c r="AX970" s="89"/>
      <c r="AY970" s="89"/>
      <c r="AZ970" s="89"/>
      <c r="BA970" s="89"/>
      <c r="BB970" s="89"/>
      <c r="BC970" s="89"/>
      <c r="BD970" s="89"/>
      <c r="BE970" s="89"/>
      <c r="BF970" s="89"/>
    </row>
    <row r="971" spans="9:58" x14ac:dyDescent="0.25">
      <c r="I971" s="89"/>
      <c r="J971" s="89"/>
      <c r="K971" s="89"/>
      <c r="L971" s="89"/>
      <c r="M971" s="89"/>
      <c r="N971" s="89"/>
      <c r="O971" s="89"/>
      <c r="P971" s="89"/>
      <c r="Q971" s="89"/>
      <c r="R971" s="89"/>
      <c r="S971" s="89"/>
      <c r="T971" s="89"/>
      <c r="U971" s="89"/>
      <c r="V971" s="89"/>
      <c r="W971" s="89"/>
      <c r="X971" s="89"/>
      <c r="Y971" s="89"/>
      <c r="Z971" s="89"/>
      <c r="AA971" s="89"/>
      <c r="AB971" s="89"/>
      <c r="AC971" s="89"/>
      <c r="AD971" s="89"/>
      <c r="AE971" s="89"/>
      <c r="AF971" s="89"/>
      <c r="AG971" s="89"/>
      <c r="AH971" s="89"/>
      <c r="AI971" s="89"/>
      <c r="AJ971" s="89"/>
      <c r="AK971" s="89"/>
      <c r="AL971" s="89"/>
      <c r="AM971" s="89"/>
      <c r="AN971" s="89"/>
      <c r="AO971" s="89"/>
      <c r="AP971" s="89"/>
      <c r="AQ971" s="89"/>
      <c r="AR971" s="89"/>
      <c r="AS971" s="89"/>
      <c r="AT971" s="89"/>
      <c r="AU971" s="89"/>
      <c r="AV971" s="89"/>
      <c r="AW971" s="89"/>
      <c r="AX971" s="89"/>
      <c r="AY971" s="89"/>
      <c r="AZ971" s="89"/>
      <c r="BA971" s="89"/>
      <c r="BB971" s="89"/>
      <c r="BC971" s="89"/>
      <c r="BD971" s="89"/>
      <c r="BE971" s="89"/>
      <c r="BF971" s="89"/>
    </row>
    <row r="972" spans="9:58" x14ac:dyDescent="0.25">
      <c r="I972" s="89"/>
      <c r="J972" s="89"/>
      <c r="K972" s="89"/>
      <c r="L972" s="89"/>
      <c r="M972" s="89"/>
      <c r="N972" s="89"/>
      <c r="O972" s="89"/>
      <c r="P972" s="89"/>
      <c r="Q972" s="89"/>
      <c r="R972" s="89"/>
      <c r="S972" s="89"/>
      <c r="T972" s="89"/>
      <c r="U972" s="89"/>
      <c r="V972" s="89"/>
      <c r="W972" s="89"/>
      <c r="X972" s="89"/>
      <c r="Y972" s="89"/>
      <c r="Z972" s="89"/>
      <c r="AA972" s="89"/>
      <c r="AB972" s="89"/>
      <c r="AC972" s="89"/>
      <c r="AD972" s="89"/>
      <c r="AE972" s="89"/>
      <c r="AF972" s="89"/>
      <c r="AG972" s="89"/>
      <c r="AH972" s="89"/>
      <c r="AI972" s="89"/>
      <c r="AJ972" s="89"/>
      <c r="AK972" s="89"/>
      <c r="AL972" s="89"/>
      <c r="AM972" s="89"/>
      <c r="AN972" s="89"/>
      <c r="AO972" s="89"/>
      <c r="AP972" s="89"/>
      <c r="AQ972" s="89"/>
      <c r="AR972" s="89"/>
      <c r="AS972" s="89"/>
      <c r="AT972" s="89"/>
      <c r="AU972" s="89"/>
      <c r="AV972" s="89"/>
      <c r="AW972" s="89"/>
      <c r="AX972" s="89"/>
      <c r="AY972" s="89"/>
      <c r="AZ972" s="89"/>
      <c r="BA972" s="89"/>
      <c r="BB972" s="89"/>
      <c r="BC972" s="89"/>
      <c r="BD972" s="89"/>
      <c r="BE972" s="89"/>
      <c r="BF972" s="89"/>
    </row>
    <row r="973" spans="9:58" x14ac:dyDescent="0.25">
      <c r="I973" s="89"/>
      <c r="J973" s="89"/>
      <c r="K973" s="89"/>
      <c r="L973" s="89"/>
      <c r="M973" s="89"/>
      <c r="N973" s="89"/>
      <c r="O973" s="89"/>
      <c r="P973" s="89"/>
      <c r="Q973" s="89"/>
      <c r="R973" s="89"/>
      <c r="S973" s="89"/>
      <c r="T973" s="89"/>
      <c r="U973" s="89"/>
      <c r="V973" s="89"/>
      <c r="W973" s="89"/>
      <c r="X973" s="89"/>
      <c r="Y973" s="89"/>
      <c r="Z973" s="89"/>
      <c r="AA973" s="89"/>
      <c r="AB973" s="89"/>
      <c r="AC973" s="89"/>
      <c r="AD973" s="89"/>
      <c r="AE973" s="89"/>
      <c r="AF973" s="89"/>
      <c r="AG973" s="89"/>
      <c r="AH973" s="89"/>
      <c r="AI973" s="89"/>
      <c r="AJ973" s="89"/>
      <c r="AK973" s="89"/>
      <c r="AL973" s="89"/>
      <c r="AM973" s="89"/>
      <c r="AN973" s="89"/>
      <c r="AO973" s="89"/>
      <c r="AP973" s="89"/>
      <c r="AQ973" s="89"/>
      <c r="AR973" s="89"/>
      <c r="AS973" s="89"/>
      <c r="AT973" s="89"/>
      <c r="AU973" s="89"/>
      <c r="AV973" s="89"/>
      <c r="AW973" s="89"/>
      <c r="AX973" s="89"/>
      <c r="AY973" s="89"/>
      <c r="AZ973" s="89"/>
      <c r="BA973" s="89"/>
      <c r="BB973" s="89"/>
      <c r="BC973" s="89"/>
      <c r="BD973" s="89"/>
      <c r="BE973" s="89"/>
      <c r="BF973" s="89"/>
    </row>
    <row r="974" spans="9:58" x14ac:dyDescent="0.25">
      <c r="I974" s="89"/>
      <c r="J974" s="89"/>
      <c r="K974" s="89"/>
      <c r="L974" s="89"/>
      <c r="M974" s="89"/>
      <c r="N974" s="89"/>
      <c r="O974" s="89"/>
      <c r="P974" s="89"/>
      <c r="Q974" s="89"/>
      <c r="R974" s="89"/>
      <c r="S974" s="89"/>
      <c r="T974" s="89"/>
      <c r="U974" s="89"/>
      <c r="V974" s="89"/>
      <c r="W974" s="89"/>
      <c r="X974" s="89"/>
      <c r="Y974" s="89"/>
      <c r="Z974" s="89"/>
      <c r="AA974" s="89"/>
      <c r="AB974" s="89"/>
      <c r="AC974" s="89"/>
      <c r="AD974" s="89"/>
      <c r="AE974" s="89"/>
      <c r="AF974" s="89"/>
      <c r="AG974" s="89"/>
      <c r="AH974" s="89"/>
      <c r="AI974" s="89"/>
      <c r="AJ974" s="89"/>
      <c r="AK974" s="89"/>
      <c r="AL974" s="89"/>
      <c r="AM974" s="89"/>
      <c r="AN974" s="89"/>
      <c r="AO974" s="89"/>
      <c r="AP974" s="89"/>
      <c r="AQ974" s="89"/>
      <c r="AR974" s="89"/>
      <c r="AS974" s="89"/>
      <c r="AT974" s="89"/>
      <c r="AU974" s="89"/>
      <c r="AV974" s="89"/>
      <c r="AW974" s="89"/>
      <c r="AX974" s="89"/>
      <c r="AY974" s="89"/>
      <c r="AZ974" s="89"/>
      <c r="BA974" s="89"/>
      <c r="BB974" s="89"/>
      <c r="BC974" s="89"/>
      <c r="BD974" s="89"/>
      <c r="BE974" s="89"/>
      <c r="BF974" s="89"/>
    </row>
    <row r="975" spans="9:58" x14ac:dyDescent="0.25">
      <c r="I975" s="89"/>
      <c r="J975" s="89"/>
      <c r="K975" s="89"/>
      <c r="L975" s="89"/>
      <c r="M975" s="89"/>
      <c r="N975" s="89"/>
      <c r="O975" s="89"/>
      <c r="P975" s="89"/>
      <c r="Q975" s="89"/>
      <c r="R975" s="89"/>
      <c r="S975" s="89"/>
      <c r="T975" s="89"/>
      <c r="U975" s="89"/>
      <c r="V975" s="89"/>
      <c r="W975" s="89"/>
      <c r="X975" s="89"/>
      <c r="Y975" s="89"/>
      <c r="Z975" s="89"/>
      <c r="AA975" s="89"/>
      <c r="AB975" s="89"/>
      <c r="AC975" s="89"/>
      <c r="AD975" s="89"/>
      <c r="AE975" s="89"/>
      <c r="AF975" s="89"/>
      <c r="AG975" s="89"/>
      <c r="AH975" s="89"/>
      <c r="AI975" s="89"/>
      <c r="AJ975" s="89"/>
      <c r="AK975" s="89"/>
      <c r="AL975" s="89"/>
      <c r="AM975" s="89"/>
      <c r="AN975" s="89"/>
      <c r="AO975" s="89"/>
      <c r="AP975" s="89"/>
      <c r="AQ975" s="89"/>
      <c r="AR975" s="89"/>
      <c r="AS975" s="89"/>
      <c r="AT975" s="89"/>
      <c r="AU975" s="89"/>
      <c r="AV975" s="89"/>
      <c r="AW975" s="89"/>
      <c r="AX975" s="89"/>
      <c r="AY975" s="89"/>
      <c r="AZ975" s="89"/>
      <c r="BA975" s="89"/>
      <c r="BB975" s="89"/>
      <c r="BC975" s="89"/>
      <c r="BD975" s="89"/>
      <c r="BE975" s="89"/>
      <c r="BF975" s="89"/>
    </row>
    <row r="976" spans="9:58" x14ac:dyDescent="0.25">
      <c r="I976" s="89"/>
      <c r="J976" s="89"/>
      <c r="K976" s="89"/>
      <c r="L976" s="89"/>
      <c r="M976" s="89"/>
      <c r="N976" s="89"/>
      <c r="O976" s="89"/>
      <c r="P976" s="89"/>
      <c r="Q976" s="89"/>
      <c r="R976" s="89"/>
      <c r="S976" s="89"/>
      <c r="T976" s="89"/>
      <c r="U976" s="89"/>
      <c r="V976" s="89"/>
      <c r="W976" s="89"/>
      <c r="X976" s="89"/>
      <c r="Y976" s="89"/>
      <c r="Z976" s="89"/>
      <c r="AA976" s="89"/>
      <c r="AB976" s="89"/>
      <c r="AC976" s="89"/>
      <c r="AD976" s="89"/>
      <c r="AE976" s="89"/>
      <c r="AF976" s="89"/>
      <c r="AG976" s="89"/>
      <c r="AH976" s="89"/>
      <c r="AI976" s="89"/>
      <c r="AJ976" s="89"/>
      <c r="AK976" s="89"/>
      <c r="AL976" s="89"/>
      <c r="AM976" s="89"/>
      <c r="AN976" s="89"/>
      <c r="AO976" s="89"/>
      <c r="AP976" s="89"/>
      <c r="AQ976" s="89"/>
      <c r="AR976" s="89"/>
      <c r="AS976" s="89"/>
      <c r="AT976" s="89"/>
      <c r="AU976" s="89"/>
      <c r="AV976" s="89"/>
      <c r="AW976" s="89"/>
      <c r="AX976" s="89"/>
      <c r="AY976" s="89"/>
      <c r="AZ976" s="89"/>
      <c r="BA976" s="89"/>
      <c r="BB976" s="89"/>
      <c r="BC976" s="89"/>
      <c r="BD976" s="89"/>
      <c r="BE976" s="89"/>
      <c r="BF976" s="89"/>
    </row>
    <row r="977" spans="9:58" x14ac:dyDescent="0.25">
      <c r="I977" s="89"/>
      <c r="J977" s="89"/>
      <c r="K977" s="89"/>
      <c r="L977" s="89"/>
      <c r="M977" s="89"/>
      <c r="N977" s="89"/>
      <c r="O977" s="89"/>
      <c r="P977" s="89"/>
      <c r="Q977" s="89"/>
      <c r="R977" s="89"/>
      <c r="S977" s="89"/>
      <c r="T977" s="89"/>
      <c r="U977" s="89"/>
      <c r="V977" s="89"/>
      <c r="W977" s="89"/>
      <c r="X977" s="89"/>
      <c r="Y977" s="89"/>
      <c r="Z977" s="89"/>
      <c r="AA977" s="89"/>
      <c r="AB977" s="89"/>
      <c r="AC977" s="89"/>
      <c r="AD977" s="89"/>
      <c r="AE977" s="89"/>
      <c r="AF977" s="89"/>
      <c r="AG977" s="89"/>
      <c r="AH977" s="89"/>
      <c r="AI977" s="89"/>
      <c r="AJ977" s="89"/>
      <c r="AK977" s="89"/>
      <c r="AL977" s="89"/>
      <c r="AM977" s="89"/>
      <c r="AN977" s="89"/>
      <c r="AO977" s="89"/>
      <c r="AP977" s="89"/>
      <c r="AQ977" s="89"/>
      <c r="AR977" s="89"/>
      <c r="AS977" s="89"/>
      <c r="AT977" s="89"/>
      <c r="AU977" s="89"/>
      <c r="AV977" s="89"/>
      <c r="AW977" s="89"/>
      <c r="AX977" s="89"/>
      <c r="AY977" s="89"/>
      <c r="AZ977" s="89"/>
      <c r="BA977" s="89"/>
      <c r="BB977" s="89"/>
      <c r="BC977" s="89"/>
      <c r="BD977" s="89"/>
      <c r="BE977" s="89"/>
      <c r="BF977" s="89"/>
    </row>
    <row r="978" spans="9:58" x14ac:dyDescent="0.25">
      <c r="I978" s="89"/>
      <c r="J978" s="89"/>
      <c r="K978" s="89"/>
      <c r="L978" s="89"/>
      <c r="M978" s="89"/>
      <c r="N978" s="89"/>
      <c r="O978" s="89"/>
      <c r="P978" s="89"/>
      <c r="Q978" s="89"/>
      <c r="R978" s="89"/>
      <c r="S978" s="89"/>
      <c r="T978" s="89"/>
      <c r="U978" s="89"/>
      <c r="V978" s="89"/>
      <c r="W978" s="89"/>
      <c r="X978" s="89"/>
      <c r="Y978" s="89"/>
      <c r="Z978" s="89"/>
      <c r="AA978" s="89"/>
      <c r="AB978" s="89"/>
      <c r="AC978" s="89"/>
      <c r="AD978" s="89"/>
      <c r="AE978" s="89"/>
      <c r="AF978" s="89"/>
      <c r="AG978" s="89"/>
      <c r="AH978" s="89"/>
      <c r="AI978" s="89"/>
      <c r="AJ978" s="89"/>
      <c r="AK978" s="89"/>
      <c r="AL978" s="89"/>
      <c r="AM978" s="89"/>
      <c r="AN978" s="89"/>
      <c r="AO978" s="89"/>
      <c r="AP978" s="89"/>
      <c r="AQ978" s="89"/>
      <c r="AR978" s="89"/>
      <c r="AS978" s="89"/>
      <c r="AT978" s="89"/>
      <c r="AU978" s="89"/>
      <c r="AV978" s="89"/>
      <c r="AW978" s="89"/>
      <c r="AX978" s="89"/>
      <c r="AY978" s="89"/>
      <c r="AZ978" s="89"/>
      <c r="BA978" s="89"/>
      <c r="BB978" s="89"/>
      <c r="BC978" s="89"/>
      <c r="BD978" s="89"/>
      <c r="BE978" s="89"/>
      <c r="BF978" s="89"/>
    </row>
    <row r="979" spans="9:58" x14ac:dyDescent="0.25">
      <c r="I979" s="89"/>
      <c r="J979" s="89"/>
      <c r="K979" s="89"/>
      <c r="L979" s="89"/>
      <c r="M979" s="89"/>
      <c r="N979" s="89"/>
      <c r="O979" s="89"/>
      <c r="P979" s="89"/>
      <c r="Q979" s="89"/>
      <c r="R979" s="89"/>
      <c r="S979" s="89"/>
      <c r="T979" s="89"/>
      <c r="U979" s="89"/>
      <c r="V979" s="89"/>
      <c r="W979" s="89"/>
      <c r="X979" s="89"/>
      <c r="Y979" s="89"/>
      <c r="Z979" s="89"/>
      <c r="AA979" s="89"/>
      <c r="AB979" s="89"/>
      <c r="AC979" s="89"/>
      <c r="AD979" s="89"/>
      <c r="AE979" s="89"/>
      <c r="AF979" s="89"/>
      <c r="AG979" s="89"/>
      <c r="AH979" s="89"/>
      <c r="AI979" s="89"/>
      <c r="AJ979" s="89"/>
      <c r="AK979" s="89"/>
      <c r="AL979" s="89"/>
      <c r="AM979" s="89"/>
      <c r="AN979" s="89"/>
      <c r="AO979" s="89"/>
      <c r="AP979" s="89"/>
      <c r="AQ979" s="89"/>
      <c r="AR979" s="89"/>
      <c r="AS979" s="89"/>
      <c r="AT979" s="89"/>
      <c r="AU979" s="89"/>
      <c r="AV979" s="89"/>
      <c r="AW979" s="89"/>
      <c r="AX979" s="89"/>
      <c r="AY979" s="89"/>
      <c r="AZ979" s="89"/>
      <c r="BA979" s="89"/>
      <c r="BB979" s="89"/>
      <c r="BC979" s="89"/>
      <c r="BD979" s="89"/>
      <c r="BE979" s="89"/>
      <c r="BF979" s="89"/>
    </row>
    <row r="980" spans="9:58" x14ac:dyDescent="0.25">
      <c r="I980" s="89"/>
      <c r="J980" s="89"/>
      <c r="K980" s="89"/>
      <c r="L980" s="89"/>
      <c r="M980" s="89"/>
      <c r="N980" s="89"/>
      <c r="O980" s="89"/>
      <c r="P980" s="89"/>
      <c r="Q980" s="89"/>
      <c r="R980" s="89"/>
      <c r="S980" s="89"/>
      <c r="T980" s="89"/>
      <c r="U980" s="89"/>
      <c r="V980" s="89"/>
      <c r="W980" s="89"/>
      <c r="X980" s="89"/>
      <c r="Y980" s="89"/>
      <c r="Z980" s="89"/>
      <c r="AA980" s="89"/>
      <c r="AB980" s="89"/>
      <c r="AC980" s="89"/>
      <c r="AD980" s="89"/>
      <c r="AE980" s="89"/>
      <c r="AF980" s="89"/>
      <c r="AG980" s="89"/>
      <c r="AH980" s="89"/>
      <c r="AI980" s="89"/>
      <c r="AJ980" s="89"/>
      <c r="AK980" s="89"/>
      <c r="AL980" s="89"/>
      <c r="AM980" s="89"/>
      <c r="AN980" s="89"/>
      <c r="AO980" s="89"/>
      <c r="AP980" s="89"/>
      <c r="AQ980" s="89"/>
      <c r="AR980" s="89"/>
      <c r="AS980" s="89"/>
      <c r="AT980" s="89"/>
      <c r="AU980" s="89"/>
      <c r="AV980" s="89"/>
      <c r="AW980" s="89"/>
      <c r="AX980" s="89"/>
      <c r="AY980" s="89"/>
      <c r="AZ980" s="89"/>
      <c r="BA980" s="89"/>
      <c r="BB980" s="89"/>
      <c r="BC980" s="89"/>
      <c r="BD980" s="89"/>
      <c r="BE980" s="89"/>
      <c r="BF980" s="89"/>
    </row>
    <row r="981" spans="9:58" x14ac:dyDescent="0.25">
      <c r="I981" s="89"/>
      <c r="J981" s="89"/>
      <c r="K981" s="89"/>
      <c r="L981" s="89"/>
      <c r="M981" s="89"/>
      <c r="N981" s="89"/>
      <c r="O981" s="89"/>
      <c r="P981" s="89"/>
      <c r="Q981" s="89"/>
      <c r="R981" s="89"/>
      <c r="S981" s="89"/>
      <c r="T981" s="89"/>
      <c r="U981" s="89"/>
      <c r="V981" s="89"/>
      <c r="W981" s="89"/>
      <c r="X981" s="89"/>
      <c r="Y981" s="89"/>
      <c r="Z981" s="89"/>
      <c r="AA981" s="89"/>
      <c r="AB981" s="89"/>
      <c r="AC981" s="89"/>
      <c r="AD981" s="89"/>
      <c r="AE981" s="89"/>
      <c r="AF981" s="89"/>
      <c r="AG981" s="89"/>
      <c r="AH981" s="89"/>
      <c r="AI981" s="89"/>
      <c r="AJ981" s="89"/>
      <c r="AK981" s="89"/>
      <c r="AL981" s="89"/>
      <c r="AM981" s="89"/>
      <c r="AN981" s="89"/>
      <c r="AO981" s="89"/>
      <c r="AP981" s="89"/>
      <c r="AQ981" s="89"/>
      <c r="AR981" s="89"/>
      <c r="AS981" s="89"/>
      <c r="AT981" s="89"/>
      <c r="AU981" s="89"/>
      <c r="AV981" s="89"/>
      <c r="AW981" s="89"/>
      <c r="AX981" s="89"/>
      <c r="AY981" s="89"/>
      <c r="AZ981" s="89"/>
      <c r="BA981" s="89"/>
      <c r="BB981" s="89"/>
      <c r="BC981" s="89"/>
      <c r="BD981" s="89"/>
      <c r="BE981" s="89"/>
      <c r="BF981" s="89"/>
    </row>
    <row r="982" spans="9:58" x14ac:dyDescent="0.25">
      <c r="I982" s="89"/>
      <c r="J982" s="89"/>
      <c r="K982" s="89"/>
      <c r="L982" s="89"/>
      <c r="M982" s="89"/>
      <c r="N982" s="89"/>
      <c r="O982" s="89"/>
      <c r="P982" s="89"/>
      <c r="Q982" s="89"/>
      <c r="R982" s="89"/>
      <c r="S982" s="89"/>
      <c r="T982" s="89"/>
      <c r="U982" s="89"/>
      <c r="V982" s="89"/>
      <c r="W982" s="89"/>
      <c r="X982" s="89"/>
      <c r="Y982" s="89"/>
      <c r="Z982" s="89"/>
      <c r="AA982" s="89"/>
      <c r="AB982" s="89"/>
      <c r="AC982" s="89"/>
      <c r="AD982" s="89"/>
      <c r="AE982" s="89"/>
      <c r="AF982" s="89"/>
      <c r="AG982" s="89"/>
      <c r="AH982" s="89"/>
      <c r="AI982" s="89"/>
      <c r="AJ982" s="89"/>
      <c r="AK982" s="89"/>
      <c r="AL982" s="89"/>
      <c r="AM982" s="89"/>
      <c r="AN982" s="89"/>
      <c r="AO982" s="89"/>
      <c r="AP982" s="89"/>
      <c r="AQ982" s="89"/>
      <c r="AR982" s="89"/>
      <c r="AS982" s="89"/>
      <c r="AT982" s="89"/>
      <c r="AU982" s="89"/>
      <c r="AV982" s="89"/>
      <c r="AW982" s="89"/>
      <c r="AX982" s="89"/>
      <c r="AY982" s="89"/>
      <c r="AZ982" s="89"/>
      <c r="BA982" s="89"/>
      <c r="BB982" s="89"/>
      <c r="BC982" s="89"/>
      <c r="BD982" s="89"/>
      <c r="BE982" s="89"/>
      <c r="BF982" s="89"/>
    </row>
    <row r="983" spans="9:58" x14ac:dyDescent="0.25">
      <c r="I983" s="89"/>
      <c r="J983" s="89"/>
      <c r="K983" s="89"/>
      <c r="L983" s="89"/>
      <c r="M983" s="89"/>
      <c r="N983" s="89"/>
      <c r="O983" s="89"/>
      <c r="P983" s="89"/>
      <c r="Q983" s="89"/>
      <c r="R983" s="89"/>
      <c r="S983" s="89"/>
      <c r="T983" s="89"/>
      <c r="U983" s="89"/>
      <c r="V983" s="89"/>
      <c r="W983" s="89"/>
      <c r="X983" s="89"/>
      <c r="Y983" s="89"/>
      <c r="Z983" s="89"/>
      <c r="AA983" s="89"/>
      <c r="AB983" s="89"/>
      <c r="AC983" s="89"/>
      <c r="AD983" s="89"/>
      <c r="AE983" s="89"/>
      <c r="AF983" s="89"/>
      <c r="AG983" s="89"/>
      <c r="AH983" s="89"/>
      <c r="AI983" s="89"/>
      <c r="AJ983" s="89"/>
      <c r="AK983" s="89"/>
      <c r="AL983" s="89"/>
      <c r="AM983" s="89"/>
      <c r="AN983" s="89"/>
      <c r="AO983" s="89"/>
      <c r="AP983" s="89"/>
      <c r="AQ983" s="89"/>
      <c r="AR983" s="89"/>
      <c r="AS983" s="89"/>
      <c r="AT983" s="89"/>
      <c r="AU983" s="89"/>
      <c r="AV983" s="89"/>
      <c r="AW983" s="89"/>
      <c r="AX983" s="89"/>
      <c r="AY983" s="89"/>
      <c r="AZ983" s="89"/>
      <c r="BA983" s="89"/>
      <c r="BB983" s="89"/>
      <c r="BC983" s="89"/>
      <c r="BD983" s="89"/>
      <c r="BE983" s="89"/>
      <c r="BF983" s="89"/>
    </row>
    <row r="984" spans="9:58" x14ac:dyDescent="0.25">
      <c r="I984" s="89"/>
      <c r="J984" s="89"/>
      <c r="K984" s="89"/>
      <c r="L984" s="89"/>
      <c r="M984" s="89"/>
      <c r="N984" s="89"/>
      <c r="O984" s="89"/>
      <c r="P984" s="89"/>
      <c r="Q984" s="89"/>
      <c r="R984" s="89"/>
      <c r="S984" s="89"/>
      <c r="T984" s="89"/>
      <c r="U984" s="89"/>
      <c r="V984" s="89"/>
      <c r="W984" s="89"/>
      <c r="X984" s="89"/>
      <c r="Y984" s="89"/>
      <c r="Z984" s="89"/>
      <c r="AA984" s="89"/>
      <c r="AB984" s="89"/>
      <c r="AC984" s="89"/>
      <c r="AD984" s="89"/>
      <c r="AE984" s="89"/>
      <c r="AF984" s="89"/>
      <c r="AG984" s="89"/>
      <c r="AH984" s="89"/>
      <c r="AI984" s="89"/>
      <c r="AJ984" s="89"/>
      <c r="AK984" s="89"/>
      <c r="AL984" s="89"/>
      <c r="AM984" s="89"/>
      <c r="AN984" s="89"/>
      <c r="AO984" s="89"/>
      <c r="AP984" s="89"/>
      <c r="AQ984" s="89"/>
      <c r="AR984" s="89"/>
      <c r="AS984" s="89"/>
      <c r="AT984" s="89"/>
      <c r="AU984" s="89"/>
      <c r="AV984" s="89"/>
      <c r="AW984" s="89"/>
      <c r="AX984" s="89"/>
      <c r="AY984" s="89"/>
      <c r="AZ984" s="89"/>
      <c r="BA984" s="89"/>
      <c r="BB984" s="89"/>
      <c r="BC984" s="89"/>
      <c r="BD984" s="89"/>
      <c r="BE984" s="89"/>
      <c r="BF984" s="89"/>
    </row>
    <row r="985" spans="9:58" x14ac:dyDescent="0.25">
      <c r="I985" s="89"/>
      <c r="J985" s="89"/>
      <c r="K985" s="89"/>
      <c r="L985" s="89"/>
      <c r="M985" s="89"/>
      <c r="N985" s="89"/>
      <c r="O985" s="89"/>
      <c r="P985" s="89"/>
      <c r="Q985" s="89"/>
      <c r="R985" s="89"/>
      <c r="S985" s="89"/>
      <c r="T985" s="89"/>
      <c r="U985" s="89"/>
      <c r="V985" s="89"/>
      <c r="W985" s="89"/>
      <c r="X985" s="89"/>
      <c r="Y985" s="89"/>
      <c r="Z985" s="89"/>
      <c r="AA985" s="89"/>
      <c r="AB985" s="89"/>
      <c r="AC985" s="89"/>
      <c r="AD985" s="89"/>
      <c r="AE985" s="89"/>
      <c r="AF985" s="89"/>
      <c r="AG985" s="89"/>
      <c r="AH985" s="89"/>
      <c r="AI985" s="89"/>
      <c r="AJ985" s="89"/>
      <c r="AK985" s="89"/>
      <c r="AL985" s="89"/>
      <c r="AM985" s="89"/>
      <c r="AN985" s="89"/>
      <c r="AO985" s="89"/>
      <c r="AP985" s="89"/>
      <c r="AQ985" s="89"/>
      <c r="AR985" s="89"/>
      <c r="AS985" s="89"/>
      <c r="AT985" s="89"/>
      <c r="AU985" s="89"/>
      <c r="AV985" s="89"/>
      <c r="AW985" s="89"/>
      <c r="AX985" s="89"/>
      <c r="AY985" s="89"/>
      <c r="AZ985" s="89"/>
      <c r="BA985" s="89"/>
      <c r="BB985" s="89"/>
      <c r="BC985" s="89"/>
      <c r="BD985" s="89"/>
      <c r="BE985" s="89"/>
      <c r="BF985" s="89"/>
    </row>
    <row r="986" spans="9:58" x14ac:dyDescent="0.25">
      <c r="I986" s="89"/>
      <c r="J986" s="89"/>
      <c r="K986" s="89"/>
      <c r="L986" s="89"/>
      <c r="M986" s="89"/>
      <c r="N986" s="89"/>
      <c r="O986" s="89"/>
      <c r="P986" s="89"/>
      <c r="Q986" s="89"/>
      <c r="R986" s="89"/>
      <c r="S986" s="89"/>
      <c r="T986" s="89"/>
      <c r="U986" s="89"/>
      <c r="V986" s="89"/>
      <c r="W986" s="89"/>
      <c r="X986" s="89"/>
      <c r="Y986" s="89"/>
      <c r="Z986" s="89"/>
      <c r="AA986" s="89"/>
      <c r="AB986" s="89"/>
      <c r="AC986" s="89"/>
      <c r="AD986" s="89"/>
      <c r="AE986" s="89"/>
      <c r="AF986" s="89"/>
      <c r="AG986" s="89"/>
      <c r="AH986" s="89"/>
      <c r="AI986" s="89"/>
      <c r="AJ986" s="89"/>
      <c r="AK986" s="89"/>
      <c r="AL986" s="89"/>
      <c r="AM986" s="89"/>
      <c r="AN986" s="89"/>
      <c r="AO986" s="89"/>
      <c r="AP986" s="89"/>
      <c r="AQ986" s="89"/>
      <c r="AR986" s="89"/>
      <c r="AS986" s="89"/>
      <c r="AT986" s="89"/>
      <c r="AU986" s="89"/>
      <c r="AV986" s="89"/>
      <c r="AW986" s="89"/>
      <c r="AX986" s="89"/>
      <c r="AY986" s="89"/>
      <c r="AZ986" s="89"/>
      <c r="BA986" s="89"/>
      <c r="BB986" s="89"/>
      <c r="BC986" s="89"/>
      <c r="BD986" s="89"/>
      <c r="BE986" s="89"/>
      <c r="BF986" s="89"/>
    </row>
    <row r="987" spans="9:58" x14ac:dyDescent="0.25">
      <c r="I987" s="89"/>
      <c r="J987" s="89"/>
      <c r="K987" s="89"/>
      <c r="L987" s="89"/>
      <c r="M987" s="89"/>
      <c r="N987" s="89"/>
      <c r="O987" s="89"/>
      <c r="P987" s="89"/>
      <c r="Q987" s="89"/>
      <c r="R987" s="89"/>
      <c r="S987" s="89"/>
      <c r="T987" s="89"/>
      <c r="U987" s="89"/>
      <c r="V987" s="89"/>
      <c r="W987" s="89"/>
      <c r="X987" s="89"/>
      <c r="Y987" s="89"/>
      <c r="Z987" s="89"/>
      <c r="AA987" s="89"/>
      <c r="AB987" s="89"/>
      <c r="AC987" s="89"/>
      <c r="AD987" s="89"/>
      <c r="AE987" s="89"/>
      <c r="AF987" s="89"/>
      <c r="AG987" s="89"/>
      <c r="AH987" s="89"/>
      <c r="AI987" s="89"/>
      <c r="AJ987" s="89"/>
      <c r="AK987" s="89"/>
      <c r="AL987" s="89"/>
      <c r="AM987" s="89"/>
      <c r="AN987" s="89"/>
      <c r="AO987" s="89"/>
      <c r="AP987" s="89"/>
      <c r="AQ987" s="89"/>
      <c r="AR987" s="89"/>
      <c r="AS987" s="89"/>
      <c r="AT987" s="89"/>
      <c r="AU987" s="89"/>
      <c r="AV987" s="89"/>
      <c r="AW987" s="89"/>
      <c r="AX987" s="89"/>
      <c r="AY987" s="89"/>
      <c r="AZ987" s="89"/>
      <c r="BA987" s="89"/>
      <c r="BB987" s="89"/>
      <c r="BC987" s="89"/>
      <c r="BD987" s="89"/>
      <c r="BE987" s="89"/>
      <c r="BF987" s="89"/>
    </row>
    <row r="988" spans="9:58" x14ac:dyDescent="0.25">
      <c r="I988" s="89"/>
      <c r="J988" s="89"/>
      <c r="K988" s="89"/>
      <c r="L988" s="89"/>
      <c r="M988" s="89"/>
      <c r="N988" s="89"/>
      <c r="O988" s="89"/>
      <c r="P988" s="89"/>
      <c r="Q988" s="89"/>
      <c r="R988" s="89"/>
      <c r="S988" s="89"/>
      <c r="T988" s="89"/>
      <c r="U988" s="89"/>
      <c r="V988" s="89"/>
      <c r="W988" s="89"/>
      <c r="X988" s="89"/>
      <c r="Y988" s="89"/>
      <c r="Z988" s="89"/>
      <c r="AA988" s="89"/>
      <c r="AB988" s="89"/>
      <c r="AC988" s="89"/>
      <c r="AD988" s="89"/>
      <c r="AE988" s="89"/>
      <c r="AF988" s="89"/>
      <c r="AG988" s="89"/>
      <c r="AH988" s="89"/>
      <c r="AI988" s="89"/>
      <c r="AJ988" s="89"/>
      <c r="AK988" s="89"/>
      <c r="AL988" s="89"/>
      <c r="AM988" s="89"/>
      <c r="AN988" s="89"/>
      <c r="AO988" s="89"/>
      <c r="AP988" s="89"/>
      <c r="AQ988" s="89"/>
      <c r="AR988" s="89"/>
      <c r="AS988" s="89"/>
      <c r="AT988" s="89"/>
      <c r="AU988" s="89"/>
      <c r="AV988" s="89"/>
      <c r="AW988" s="89"/>
      <c r="AX988" s="89"/>
      <c r="AY988" s="89"/>
      <c r="AZ988" s="89"/>
      <c r="BA988" s="89"/>
      <c r="BB988" s="89"/>
      <c r="BC988" s="89"/>
      <c r="BD988" s="89"/>
      <c r="BE988" s="89"/>
      <c r="BF988" s="89"/>
    </row>
    <row r="989" spans="9:58" x14ac:dyDescent="0.25">
      <c r="I989" s="89"/>
      <c r="J989" s="89"/>
      <c r="K989" s="89"/>
      <c r="L989" s="89"/>
      <c r="M989" s="89"/>
      <c r="N989" s="89"/>
      <c r="O989" s="89"/>
      <c r="P989" s="89"/>
      <c r="Q989" s="89"/>
      <c r="R989" s="89"/>
      <c r="S989" s="89"/>
      <c r="T989" s="89"/>
      <c r="U989" s="89"/>
      <c r="V989" s="89"/>
      <c r="W989" s="89"/>
      <c r="X989" s="89"/>
      <c r="Y989" s="89"/>
      <c r="Z989" s="89"/>
      <c r="AA989" s="89"/>
      <c r="AB989" s="89"/>
      <c r="AC989" s="89"/>
      <c r="AD989" s="89"/>
      <c r="AE989" s="89"/>
      <c r="AF989" s="89"/>
      <c r="AG989" s="89"/>
      <c r="AH989" s="89"/>
      <c r="AI989" s="89"/>
      <c r="AJ989" s="89"/>
      <c r="AK989" s="89"/>
      <c r="AL989" s="89"/>
      <c r="AM989" s="89"/>
      <c r="AN989" s="89"/>
      <c r="AO989" s="89"/>
      <c r="AP989" s="89"/>
      <c r="AQ989" s="89"/>
      <c r="AR989" s="89"/>
      <c r="AS989" s="89"/>
      <c r="AT989" s="89"/>
      <c r="AU989" s="89"/>
      <c r="AV989" s="89"/>
      <c r="AW989" s="89"/>
      <c r="AX989" s="89"/>
      <c r="AY989" s="89"/>
      <c r="AZ989" s="89"/>
      <c r="BA989" s="89"/>
      <c r="BB989" s="89"/>
      <c r="BC989" s="89"/>
      <c r="BD989" s="89"/>
      <c r="BE989" s="89"/>
      <c r="BF989" s="89"/>
    </row>
    <row r="990" spans="9:58" x14ac:dyDescent="0.25">
      <c r="I990" s="89"/>
      <c r="J990" s="89"/>
      <c r="K990" s="89"/>
      <c r="L990" s="89"/>
      <c r="M990" s="89"/>
      <c r="N990" s="89"/>
      <c r="O990" s="89"/>
      <c r="P990" s="89"/>
      <c r="Q990" s="89"/>
      <c r="R990" s="89"/>
      <c r="S990" s="89"/>
      <c r="T990" s="89"/>
      <c r="U990" s="89"/>
      <c r="V990" s="89"/>
      <c r="W990" s="89"/>
      <c r="X990" s="89"/>
      <c r="Y990" s="89"/>
      <c r="Z990" s="89"/>
      <c r="AA990" s="89"/>
      <c r="AB990" s="89"/>
      <c r="AC990" s="89"/>
      <c r="AD990" s="89"/>
      <c r="AE990" s="89"/>
      <c r="AF990" s="89"/>
      <c r="AG990" s="89"/>
      <c r="AH990" s="89"/>
      <c r="AI990" s="89"/>
      <c r="AJ990" s="89"/>
      <c r="AK990" s="89"/>
      <c r="AL990" s="89"/>
      <c r="AM990" s="89"/>
      <c r="AN990" s="89"/>
      <c r="AO990" s="89"/>
      <c r="AP990" s="89"/>
      <c r="AQ990" s="89"/>
      <c r="AR990" s="89"/>
      <c r="AS990" s="89"/>
      <c r="AT990" s="89"/>
      <c r="AU990" s="89"/>
      <c r="AV990" s="89"/>
      <c r="AW990" s="89"/>
      <c r="AX990" s="89"/>
      <c r="AY990" s="89"/>
      <c r="AZ990" s="89"/>
      <c r="BA990" s="89"/>
      <c r="BB990" s="89"/>
      <c r="BC990" s="89"/>
      <c r="BD990" s="89"/>
      <c r="BE990" s="89"/>
      <c r="BF990" s="89"/>
    </row>
    <row r="991" spans="9:58" x14ac:dyDescent="0.25">
      <c r="I991" s="89"/>
      <c r="J991" s="89"/>
      <c r="K991" s="89"/>
      <c r="L991" s="89"/>
      <c r="M991" s="89"/>
      <c r="N991" s="89"/>
      <c r="O991" s="89"/>
      <c r="P991" s="89"/>
      <c r="Q991" s="89"/>
      <c r="R991" s="89"/>
      <c r="S991" s="89"/>
      <c r="T991" s="89"/>
      <c r="U991" s="89"/>
      <c r="V991" s="89"/>
      <c r="W991" s="89"/>
      <c r="X991" s="89"/>
      <c r="Y991" s="89"/>
      <c r="Z991" s="89"/>
      <c r="AA991" s="89"/>
      <c r="AB991" s="89"/>
      <c r="AC991" s="89"/>
      <c r="AD991" s="89"/>
      <c r="AE991" s="89"/>
      <c r="AF991" s="89"/>
      <c r="AG991" s="89"/>
      <c r="AH991" s="89"/>
      <c r="AI991" s="89"/>
      <c r="AJ991" s="89"/>
      <c r="AK991" s="89"/>
      <c r="AL991" s="89"/>
      <c r="AM991" s="89"/>
      <c r="AN991" s="89"/>
      <c r="AO991" s="89"/>
      <c r="AP991" s="89"/>
      <c r="AQ991" s="89"/>
      <c r="AR991" s="89"/>
      <c r="AS991" s="89"/>
      <c r="AT991" s="89"/>
      <c r="AU991" s="89"/>
      <c r="AV991" s="89"/>
      <c r="AW991" s="89"/>
      <c r="AX991" s="89"/>
      <c r="AY991" s="89"/>
      <c r="AZ991" s="89"/>
      <c r="BA991" s="89"/>
      <c r="BB991" s="89"/>
      <c r="BC991" s="89"/>
      <c r="BD991" s="89"/>
      <c r="BE991" s="89"/>
      <c r="BF991" s="89"/>
    </row>
    <row r="992" spans="9:58" x14ac:dyDescent="0.25">
      <c r="I992" s="89"/>
      <c r="J992" s="89"/>
      <c r="K992" s="89"/>
      <c r="L992" s="89"/>
      <c r="M992" s="89"/>
      <c r="N992" s="89"/>
      <c r="O992" s="89"/>
      <c r="P992" s="89"/>
      <c r="Q992" s="89"/>
      <c r="R992" s="89"/>
      <c r="S992" s="89"/>
      <c r="T992" s="89"/>
      <c r="U992" s="89"/>
      <c r="V992" s="89"/>
      <c r="W992" s="89"/>
      <c r="X992" s="89"/>
      <c r="Y992" s="89"/>
      <c r="Z992" s="89"/>
      <c r="AA992" s="89"/>
      <c r="AB992" s="89"/>
      <c r="AC992" s="89"/>
      <c r="AD992" s="89"/>
      <c r="AE992" s="89"/>
      <c r="AF992" s="89"/>
      <c r="AG992" s="89"/>
      <c r="AH992" s="89"/>
      <c r="AI992" s="89"/>
      <c r="AJ992" s="89"/>
      <c r="AK992" s="89"/>
      <c r="AL992" s="89"/>
      <c r="AM992" s="89"/>
      <c r="AN992" s="89"/>
      <c r="AO992" s="89"/>
      <c r="AP992" s="89"/>
      <c r="AQ992" s="89"/>
      <c r="AR992" s="89"/>
      <c r="AS992" s="89"/>
      <c r="AT992" s="89"/>
      <c r="AU992" s="89"/>
      <c r="AV992" s="89"/>
      <c r="AW992" s="89"/>
      <c r="AX992" s="89"/>
      <c r="AY992" s="89"/>
      <c r="AZ992" s="89"/>
      <c r="BA992" s="89"/>
      <c r="BB992" s="89"/>
      <c r="BC992" s="89"/>
      <c r="BD992" s="89"/>
      <c r="BE992" s="89"/>
      <c r="BF992" s="89"/>
    </row>
    <row r="993" spans="9:58" x14ac:dyDescent="0.25">
      <c r="I993" s="89"/>
      <c r="J993" s="89"/>
      <c r="K993" s="89"/>
      <c r="L993" s="89"/>
      <c r="M993" s="89"/>
      <c r="N993" s="89"/>
      <c r="O993" s="89"/>
      <c r="P993" s="89"/>
      <c r="Q993" s="89"/>
      <c r="R993" s="89"/>
      <c r="S993" s="89"/>
      <c r="T993" s="89"/>
      <c r="U993" s="89"/>
      <c r="V993" s="89"/>
      <c r="W993" s="89"/>
      <c r="X993" s="89"/>
      <c r="Y993" s="89"/>
      <c r="Z993" s="89"/>
      <c r="AA993" s="89"/>
      <c r="AB993" s="89"/>
      <c r="AC993" s="89"/>
      <c r="AD993" s="89"/>
      <c r="AE993" s="89"/>
      <c r="AF993" s="89"/>
      <c r="AG993" s="89"/>
      <c r="AH993" s="89"/>
      <c r="AI993" s="89"/>
      <c r="AJ993" s="89"/>
      <c r="AK993" s="89"/>
      <c r="AL993" s="89"/>
      <c r="AM993" s="89"/>
      <c r="AN993" s="89"/>
      <c r="AO993" s="89"/>
      <c r="AP993" s="89"/>
      <c r="AQ993" s="89"/>
      <c r="AR993" s="89"/>
      <c r="AS993" s="89"/>
      <c r="AT993" s="89"/>
      <c r="AU993" s="89"/>
      <c r="AV993" s="89"/>
      <c r="AW993" s="89"/>
      <c r="AX993" s="89"/>
      <c r="AY993" s="89"/>
      <c r="AZ993" s="89"/>
      <c r="BA993" s="89"/>
      <c r="BB993" s="89"/>
      <c r="BC993" s="89"/>
      <c r="BD993" s="89"/>
      <c r="BE993" s="89"/>
      <c r="BF993" s="89"/>
    </row>
    <row r="994" spans="9:58" x14ac:dyDescent="0.25">
      <c r="I994" s="89"/>
      <c r="J994" s="89"/>
      <c r="K994" s="89"/>
      <c r="L994" s="89"/>
      <c r="M994" s="89"/>
      <c r="N994" s="89"/>
      <c r="O994" s="89"/>
      <c r="P994" s="89"/>
      <c r="Q994" s="89"/>
      <c r="R994" s="89"/>
      <c r="S994" s="89"/>
      <c r="T994" s="89"/>
      <c r="U994" s="89"/>
      <c r="V994" s="89"/>
      <c r="W994" s="89"/>
      <c r="X994" s="89"/>
      <c r="Y994" s="89"/>
      <c r="Z994" s="89"/>
      <c r="AA994" s="89"/>
      <c r="AB994" s="89"/>
      <c r="AC994" s="89"/>
      <c r="AD994" s="89"/>
      <c r="AE994" s="89"/>
      <c r="AF994" s="89"/>
      <c r="AG994" s="89"/>
      <c r="AH994" s="89"/>
      <c r="AI994" s="89"/>
      <c r="AJ994" s="89"/>
      <c r="AK994" s="89"/>
      <c r="AL994" s="89"/>
      <c r="AM994" s="89"/>
      <c r="AN994" s="89"/>
      <c r="AO994" s="89"/>
      <c r="AP994" s="89"/>
      <c r="AQ994" s="89"/>
      <c r="AR994" s="89"/>
      <c r="AS994" s="89"/>
      <c r="AT994" s="89"/>
      <c r="AU994" s="89"/>
      <c r="AV994" s="89"/>
      <c r="AW994" s="89"/>
      <c r="AX994" s="89"/>
      <c r="AY994" s="89"/>
      <c r="AZ994" s="89"/>
      <c r="BA994" s="89"/>
      <c r="BB994" s="89"/>
      <c r="BC994" s="89"/>
      <c r="BD994" s="89"/>
      <c r="BE994" s="89"/>
      <c r="BF994" s="89"/>
    </row>
    <row r="995" spans="9:58" x14ac:dyDescent="0.25">
      <c r="I995" s="89"/>
      <c r="J995" s="89"/>
      <c r="K995" s="89"/>
      <c r="L995" s="89"/>
      <c r="M995" s="89"/>
      <c r="N995" s="89"/>
      <c r="O995" s="89"/>
      <c r="P995" s="89"/>
      <c r="Q995" s="89"/>
      <c r="R995" s="89"/>
      <c r="S995" s="89"/>
      <c r="T995" s="89"/>
      <c r="U995" s="89"/>
      <c r="V995" s="89"/>
      <c r="W995" s="89"/>
      <c r="X995" s="89"/>
      <c r="Y995" s="89"/>
      <c r="Z995" s="89"/>
      <c r="AA995" s="89"/>
      <c r="AB995" s="89"/>
      <c r="AC995" s="89"/>
      <c r="AD995" s="89"/>
      <c r="AE995" s="89"/>
      <c r="AF995" s="89"/>
      <c r="AG995" s="89"/>
      <c r="AH995" s="89"/>
      <c r="AI995" s="89"/>
      <c r="AJ995" s="89"/>
      <c r="AK995" s="89"/>
      <c r="AL995" s="89"/>
      <c r="AM995" s="89"/>
      <c r="AN995" s="89"/>
      <c r="AO995" s="89"/>
      <c r="AP995" s="89"/>
      <c r="AQ995" s="89"/>
      <c r="AR995" s="89"/>
      <c r="AS995" s="89"/>
      <c r="AT995" s="89"/>
      <c r="AU995" s="89"/>
      <c r="AV995" s="89"/>
      <c r="AW995" s="89"/>
      <c r="AX995" s="89"/>
      <c r="AY995" s="89"/>
      <c r="AZ995" s="89"/>
      <c r="BA995" s="89"/>
      <c r="BB995" s="89"/>
      <c r="BC995" s="89"/>
      <c r="BD995" s="89"/>
      <c r="BE995" s="89"/>
      <c r="BF995" s="89"/>
    </row>
    <row r="996" spans="9:58" x14ac:dyDescent="0.25">
      <c r="I996" s="89"/>
      <c r="J996" s="89"/>
      <c r="K996" s="89"/>
      <c r="L996" s="89"/>
      <c r="M996" s="89"/>
      <c r="N996" s="89"/>
      <c r="O996" s="89"/>
      <c r="P996" s="89"/>
      <c r="Q996" s="89"/>
      <c r="R996" s="89"/>
      <c r="S996" s="89"/>
      <c r="T996" s="89"/>
      <c r="U996" s="89"/>
      <c r="V996" s="89"/>
      <c r="W996" s="89"/>
      <c r="X996" s="89"/>
      <c r="Y996" s="89"/>
      <c r="Z996" s="89"/>
      <c r="AA996" s="89"/>
      <c r="AB996" s="89"/>
      <c r="AC996" s="89"/>
      <c r="AD996" s="89"/>
      <c r="AE996" s="89"/>
      <c r="AF996" s="89"/>
      <c r="AG996" s="89"/>
      <c r="AH996" s="89"/>
      <c r="AI996" s="89"/>
      <c r="AJ996" s="89"/>
      <c r="AK996" s="89"/>
      <c r="AL996" s="89"/>
      <c r="AM996" s="89"/>
      <c r="AN996" s="89"/>
      <c r="AO996" s="89"/>
      <c r="AP996" s="89"/>
      <c r="AQ996" s="89"/>
      <c r="AR996" s="89"/>
      <c r="AS996" s="89"/>
      <c r="AT996" s="89"/>
      <c r="AU996" s="89"/>
      <c r="AV996" s="89"/>
      <c r="AW996" s="89"/>
      <c r="AX996" s="89"/>
      <c r="AY996" s="89"/>
      <c r="AZ996" s="89"/>
      <c r="BA996" s="89"/>
      <c r="BB996" s="89"/>
      <c r="BC996" s="89"/>
      <c r="BD996" s="89"/>
      <c r="BE996" s="89"/>
      <c r="BF996" s="89"/>
    </row>
    <row r="997" spans="9:58" x14ac:dyDescent="0.25">
      <c r="I997" s="89"/>
      <c r="J997" s="89"/>
      <c r="K997" s="89"/>
      <c r="L997" s="89"/>
      <c r="M997" s="89"/>
      <c r="N997" s="89"/>
      <c r="O997" s="89"/>
      <c r="P997" s="89"/>
      <c r="Q997" s="89"/>
      <c r="R997" s="89"/>
      <c r="S997" s="89"/>
      <c r="T997" s="89"/>
      <c r="U997" s="89"/>
      <c r="V997" s="89"/>
      <c r="W997" s="89"/>
      <c r="X997" s="89"/>
      <c r="Y997" s="89"/>
      <c r="Z997" s="89"/>
      <c r="AA997" s="89"/>
      <c r="AB997" s="89"/>
      <c r="AC997" s="89"/>
      <c r="AD997" s="89"/>
      <c r="AE997" s="89"/>
      <c r="AF997" s="89"/>
      <c r="AG997" s="89"/>
      <c r="AH997" s="89"/>
      <c r="AI997" s="89"/>
      <c r="AJ997" s="89"/>
      <c r="AK997" s="89"/>
      <c r="AL997" s="89"/>
      <c r="AM997" s="89"/>
      <c r="AN997" s="89"/>
      <c r="AO997" s="89"/>
      <c r="AP997" s="89"/>
      <c r="AQ997" s="89"/>
      <c r="AR997" s="89"/>
      <c r="AS997" s="89"/>
      <c r="AT997" s="89"/>
      <c r="AU997" s="89"/>
      <c r="AV997" s="89"/>
      <c r="AW997" s="89"/>
      <c r="AX997" s="89"/>
      <c r="AY997" s="89"/>
      <c r="AZ997" s="89"/>
      <c r="BA997" s="89"/>
      <c r="BB997" s="89"/>
      <c r="BC997" s="89"/>
      <c r="BD997" s="89"/>
      <c r="BE997" s="89"/>
      <c r="BF997" s="89"/>
    </row>
    <row r="998" spans="9:58" x14ac:dyDescent="0.25">
      <c r="I998" s="89"/>
      <c r="J998" s="89"/>
      <c r="K998" s="89"/>
      <c r="L998" s="89"/>
      <c r="M998" s="89"/>
      <c r="N998" s="89"/>
      <c r="O998" s="89"/>
      <c r="P998" s="89"/>
      <c r="Q998" s="89"/>
      <c r="R998" s="89"/>
      <c r="S998" s="89"/>
      <c r="T998" s="89"/>
      <c r="U998" s="89"/>
      <c r="V998" s="89"/>
      <c r="W998" s="89"/>
      <c r="X998" s="89"/>
      <c r="Y998" s="89"/>
      <c r="Z998" s="89"/>
      <c r="AA998" s="89"/>
      <c r="AB998" s="89"/>
      <c r="AC998" s="89"/>
      <c r="AD998" s="89"/>
      <c r="AE998" s="89"/>
      <c r="AF998" s="89"/>
      <c r="AG998" s="89"/>
      <c r="AH998" s="89"/>
      <c r="AI998" s="89"/>
      <c r="AJ998" s="89"/>
      <c r="AK998" s="89"/>
      <c r="AL998" s="89"/>
      <c r="AM998" s="89"/>
      <c r="AN998" s="89"/>
      <c r="AO998" s="89"/>
      <c r="AP998" s="89"/>
      <c r="AQ998" s="89"/>
      <c r="AR998" s="89"/>
      <c r="AS998" s="89"/>
      <c r="AT998" s="89"/>
      <c r="AU998" s="89"/>
      <c r="AV998" s="89"/>
      <c r="AW998" s="89"/>
      <c r="AX998" s="89"/>
      <c r="AY998" s="89"/>
      <c r="AZ998" s="89"/>
      <c r="BA998" s="89"/>
      <c r="BB998" s="89"/>
      <c r="BC998" s="89"/>
      <c r="BD998" s="89"/>
      <c r="BE998" s="89"/>
      <c r="BF998" s="89"/>
    </row>
    <row r="999" spans="9:58" x14ac:dyDescent="0.25">
      <c r="I999" s="89"/>
      <c r="J999" s="89"/>
      <c r="K999" s="89"/>
      <c r="L999" s="89"/>
      <c r="M999" s="89"/>
      <c r="N999" s="89"/>
      <c r="O999" s="89"/>
      <c r="P999" s="89"/>
      <c r="Q999" s="89"/>
      <c r="R999" s="89"/>
      <c r="S999" s="89"/>
      <c r="T999" s="89"/>
      <c r="U999" s="89"/>
      <c r="V999" s="89"/>
      <c r="W999" s="89"/>
      <c r="X999" s="89"/>
      <c r="Y999" s="89"/>
      <c r="Z999" s="89"/>
      <c r="AA999" s="89"/>
      <c r="AB999" s="89"/>
      <c r="AC999" s="89"/>
      <c r="AD999" s="89"/>
      <c r="AE999" s="89"/>
      <c r="AF999" s="89"/>
      <c r="AG999" s="89"/>
      <c r="AH999" s="89"/>
      <c r="AI999" s="89"/>
      <c r="AJ999" s="89"/>
      <c r="AK999" s="89"/>
      <c r="AL999" s="89"/>
      <c r="AM999" s="89"/>
      <c r="AN999" s="89"/>
      <c r="AO999" s="89"/>
      <c r="AP999" s="89"/>
      <c r="AQ999" s="89"/>
      <c r="AR999" s="89"/>
      <c r="AS999" s="89"/>
      <c r="AT999" s="89"/>
      <c r="AU999" s="89"/>
      <c r="AV999" s="89"/>
      <c r="AW999" s="89"/>
      <c r="AX999" s="89"/>
      <c r="AY999" s="89"/>
      <c r="AZ999" s="89"/>
      <c r="BA999" s="89"/>
      <c r="BB999" s="89"/>
      <c r="BC999" s="89"/>
      <c r="BD999" s="89"/>
      <c r="BE999" s="89"/>
      <c r="BF999" s="89"/>
    </row>
    <row r="1000" spans="9:58" x14ac:dyDescent="0.25">
      <c r="I1000" s="89"/>
      <c r="J1000" s="89"/>
      <c r="K1000" s="89"/>
      <c r="L1000" s="89"/>
      <c r="M1000" s="89"/>
      <c r="N1000" s="89"/>
      <c r="O1000" s="89"/>
      <c r="P1000" s="89"/>
      <c r="Q1000" s="89"/>
      <c r="R1000" s="89"/>
      <c r="S1000" s="89"/>
      <c r="T1000" s="89"/>
      <c r="U1000" s="89"/>
      <c r="V1000" s="89"/>
      <c r="W1000" s="89"/>
      <c r="X1000" s="89"/>
      <c r="Y1000" s="89"/>
      <c r="Z1000" s="89"/>
      <c r="AA1000" s="89"/>
      <c r="AB1000" s="89"/>
      <c r="AC1000" s="89"/>
      <c r="AD1000" s="89"/>
      <c r="AE1000" s="89"/>
      <c r="AF1000" s="89"/>
      <c r="AG1000" s="89"/>
      <c r="AH1000" s="89"/>
      <c r="AI1000" s="89"/>
      <c r="AJ1000" s="89"/>
      <c r="AK1000" s="89"/>
      <c r="AL1000" s="89"/>
      <c r="AM1000" s="89"/>
      <c r="AN1000" s="89"/>
      <c r="AO1000" s="89"/>
      <c r="AP1000" s="89"/>
      <c r="AQ1000" s="89"/>
      <c r="AR1000" s="89"/>
      <c r="AS1000" s="89"/>
      <c r="AT1000" s="89"/>
      <c r="AU1000" s="89"/>
      <c r="AV1000" s="89"/>
      <c r="AW1000" s="89"/>
      <c r="AX1000" s="89"/>
      <c r="AY1000" s="89"/>
      <c r="AZ1000" s="89"/>
      <c r="BA1000" s="89"/>
      <c r="BB1000" s="89"/>
      <c r="BC1000" s="89"/>
      <c r="BD1000" s="89"/>
      <c r="BE1000" s="89"/>
      <c r="BF1000" s="89"/>
    </row>
    <row r="1001" spans="9:58" x14ac:dyDescent="0.25">
      <c r="I1001" s="89"/>
      <c r="J1001" s="89"/>
      <c r="K1001" s="89"/>
      <c r="L1001" s="89"/>
      <c r="M1001" s="89"/>
      <c r="N1001" s="89"/>
      <c r="O1001" s="89"/>
      <c r="P1001" s="89"/>
      <c r="Q1001" s="89"/>
      <c r="R1001" s="89"/>
      <c r="S1001" s="89"/>
      <c r="T1001" s="89"/>
      <c r="U1001" s="89"/>
      <c r="V1001" s="89"/>
      <c r="W1001" s="89"/>
      <c r="X1001" s="89"/>
      <c r="Y1001" s="89"/>
      <c r="Z1001" s="89"/>
      <c r="AA1001" s="89"/>
      <c r="AB1001" s="89"/>
      <c r="AC1001" s="89"/>
      <c r="AD1001" s="89"/>
      <c r="AE1001" s="89"/>
      <c r="AF1001" s="89"/>
      <c r="AG1001" s="89"/>
      <c r="AH1001" s="89"/>
      <c r="AI1001" s="89"/>
      <c r="AJ1001" s="89"/>
      <c r="AK1001" s="89"/>
      <c r="AL1001" s="89"/>
      <c r="AM1001" s="89"/>
      <c r="AN1001" s="89"/>
      <c r="AO1001" s="89"/>
      <c r="AP1001" s="89"/>
      <c r="AQ1001" s="89"/>
      <c r="AR1001" s="89"/>
      <c r="AS1001" s="89"/>
      <c r="AT1001" s="89"/>
      <c r="AU1001" s="89"/>
      <c r="AV1001" s="89"/>
      <c r="AW1001" s="89"/>
      <c r="AX1001" s="89"/>
      <c r="AY1001" s="89"/>
      <c r="AZ1001" s="89"/>
      <c r="BA1001" s="89"/>
      <c r="BB1001" s="89"/>
      <c r="BC1001" s="89"/>
      <c r="BD1001" s="89"/>
      <c r="BE1001" s="89"/>
      <c r="BF1001" s="89"/>
    </row>
    <row r="1002" spans="9:58" x14ac:dyDescent="0.25">
      <c r="I1002" s="89"/>
      <c r="J1002" s="89"/>
      <c r="K1002" s="89"/>
      <c r="L1002" s="89"/>
      <c r="M1002" s="89"/>
      <c r="N1002" s="89"/>
      <c r="O1002" s="89"/>
      <c r="P1002" s="89"/>
      <c r="Q1002" s="89"/>
      <c r="R1002" s="89"/>
      <c r="S1002" s="89"/>
      <c r="T1002" s="89"/>
      <c r="U1002" s="89"/>
      <c r="V1002" s="89"/>
      <c r="W1002" s="89"/>
      <c r="X1002" s="89"/>
      <c r="Y1002" s="89"/>
      <c r="Z1002" s="89"/>
      <c r="AA1002" s="89"/>
      <c r="AB1002" s="89"/>
      <c r="AC1002" s="89"/>
      <c r="AD1002" s="89"/>
      <c r="AE1002" s="89"/>
      <c r="AF1002" s="89"/>
      <c r="AG1002" s="89"/>
      <c r="AH1002" s="89"/>
      <c r="AI1002" s="89"/>
      <c r="AJ1002" s="89"/>
      <c r="AK1002" s="89"/>
      <c r="AL1002" s="89"/>
      <c r="AM1002" s="89"/>
      <c r="AN1002" s="89"/>
      <c r="AO1002" s="89"/>
      <c r="AP1002" s="89"/>
      <c r="AQ1002" s="89"/>
      <c r="AR1002" s="89"/>
      <c r="AS1002" s="89"/>
      <c r="AT1002" s="89"/>
      <c r="AU1002" s="89"/>
      <c r="AV1002" s="89"/>
      <c r="AW1002" s="89"/>
      <c r="AX1002" s="89"/>
      <c r="AY1002" s="89"/>
      <c r="AZ1002" s="89"/>
      <c r="BA1002" s="89"/>
      <c r="BB1002" s="89"/>
      <c r="BC1002" s="89"/>
      <c r="BD1002" s="89"/>
      <c r="BE1002" s="89"/>
      <c r="BF1002" s="89"/>
    </row>
    <row r="1003" spans="9:58" x14ac:dyDescent="0.25">
      <c r="I1003" s="89"/>
      <c r="J1003" s="89"/>
      <c r="K1003" s="89"/>
      <c r="L1003" s="89"/>
      <c r="M1003" s="89"/>
      <c r="N1003" s="89"/>
      <c r="O1003" s="89"/>
      <c r="P1003" s="89"/>
      <c r="Q1003" s="89"/>
      <c r="R1003" s="89"/>
      <c r="S1003" s="89"/>
      <c r="T1003" s="89"/>
      <c r="U1003" s="89"/>
      <c r="V1003" s="89"/>
      <c r="W1003" s="89"/>
      <c r="X1003" s="89"/>
      <c r="Y1003" s="89"/>
      <c r="Z1003" s="89"/>
      <c r="AA1003" s="89"/>
      <c r="AB1003" s="89"/>
      <c r="AC1003" s="89"/>
      <c r="AD1003" s="89"/>
      <c r="AE1003" s="89"/>
      <c r="AF1003" s="89"/>
      <c r="AG1003" s="89"/>
      <c r="AH1003" s="89"/>
      <c r="AI1003" s="89"/>
      <c r="AJ1003" s="89"/>
      <c r="AK1003" s="89"/>
      <c r="AL1003" s="89"/>
      <c r="AM1003" s="89"/>
      <c r="AN1003" s="89"/>
      <c r="AO1003" s="89"/>
      <c r="AP1003" s="89"/>
      <c r="AQ1003" s="89"/>
      <c r="AR1003" s="89"/>
      <c r="AS1003" s="89"/>
      <c r="AT1003" s="89"/>
      <c r="AU1003" s="89"/>
      <c r="AV1003" s="89"/>
      <c r="AW1003" s="89"/>
      <c r="AX1003" s="89"/>
      <c r="AY1003" s="89"/>
      <c r="AZ1003" s="89"/>
      <c r="BA1003" s="89"/>
      <c r="BB1003" s="89"/>
      <c r="BC1003" s="89"/>
      <c r="BD1003" s="89"/>
      <c r="BE1003" s="89"/>
      <c r="BF1003" s="89"/>
    </row>
    <row r="1004" spans="9:58" x14ac:dyDescent="0.25">
      <c r="I1004" s="89"/>
      <c r="J1004" s="89"/>
      <c r="K1004" s="89"/>
      <c r="L1004" s="89"/>
      <c r="M1004" s="89"/>
      <c r="N1004" s="89"/>
      <c r="O1004" s="89"/>
      <c r="P1004" s="89"/>
      <c r="Q1004" s="89"/>
      <c r="R1004" s="89"/>
      <c r="S1004" s="89"/>
      <c r="T1004" s="89"/>
      <c r="U1004" s="89"/>
      <c r="V1004" s="89"/>
      <c r="W1004" s="89"/>
      <c r="X1004" s="89"/>
      <c r="Y1004" s="89"/>
      <c r="Z1004" s="89"/>
      <c r="AA1004" s="89"/>
      <c r="AB1004" s="89"/>
      <c r="AC1004" s="89"/>
      <c r="AD1004" s="89"/>
      <c r="AE1004" s="89"/>
      <c r="AF1004" s="89"/>
      <c r="AG1004" s="89"/>
      <c r="AH1004" s="89"/>
      <c r="AI1004" s="89"/>
      <c r="AJ1004" s="89"/>
      <c r="AK1004" s="89"/>
      <c r="AL1004" s="89"/>
      <c r="AM1004" s="89"/>
      <c r="AN1004" s="89"/>
      <c r="AO1004" s="89"/>
      <c r="AP1004" s="89"/>
      <c r="AQ1004" s="89"/>
      <c r="AR1004" s="89"/>
      <c r="AS1004" s="89"/>
      <c r="AT1004" s="89"/>
      <c r="AU1004" s="89"/>
      <c r="AV1004" s="89"/>
      <c r="AW1004" s="89"/>
      <c r="AX1004" s="89"/>
      <c r="AY1004" s="89"/>
      <c r="AZ1004" s="89"/>
      <c r="BA1004" s="89"/>
      <c r="BB1004" s="89"/>
      <c r="BC1004" s="89"/>
      <c r="BD1004" s="89"/>
      <c r="BE1004" s="89"/>
      <c r="BF1004" s="89"/>
    </row>
    <row r="1005" spans="9:58" x14ac:dyDescent="0.25">
      <c r="I1005" s="89"/>
      <c r="J1005" s="89"/>
      <c r="K1005" s="89"/>
      <c r="L1005" s="89"/>
      <c r="M1005" s="89"/>
      <c r="N1005" s="89"/>
      <c r="O1005" s="89"/>
      <c r="P1005" s="89"/>
      <c r="Q1005" s="89"/>
      <c r="R1005" s="89"/>
      <c r="S1005" s="89"/>
      <c r="T1005" s="89"/>
      <c r="U1005" s="89"/>
      <c r="V1005" s="89"/>
      <c r="W1005" s="89"/>
      <c r="X1005" s="89"/>
      <c r="Y1005" s="89"/>
      <c r="Z1005" s="89"/>
      <c r="AA1005" s="89"/>
      <c r="AB1005" s="89"/>
      <c r="AC1005" s="89"/>
      <c r="AD1005" s="89"/>
      <c r="AE1005" s="89"/>
      <c r="AF1005" s="89"/>
      <c r="AG1005" s="89"/>
      <c r="AH1005" s="89"/>
      <c r="AI1005" s="89"/>
      <c r="AJ1005" s="89"/>
      <c r="AK1005" s="89"/>
      <c r="AL1005" s="89"/>
      <c r="AM1005" s="89"/>
      <c r="AN1005" s="89"/>
      <c r="AO1005" s="89"/>
      <c r="AP1005" s="89"/>
      <c r="AQ1005" s="89"/>
      <c r="AR1005" s="89"/>
      <c r="AS1005" s="89"/>
      <c r="AT1005" s="89"/>
      <c r="AU1005" s="89"/>
      <c r="AV1005" s="89"/>
      <c r="AW1005" s="89"/>
      <c r="AX1005" s="89"/>
      <c r="AY1005" s="89"/>
      <c r="AZ1005" s="89"/>
      <c r="BA1005" s="89"/>
      <c r="BB1005" s="89"/>
      <c r="BC1005" s="89"/>
      <c r="BD1005" s="89"/>
      <c r="BE1005" s="89"/>
      <c r="BF1005" s="89"/>
    </row>
    <row r="1006" spans="9:58" x14ac:dyDescent="0.25">
      <c r="I1006" s="89"/>
      <c r="J1006" s="89"/>
      <c r="K1006" s="89"/>
      <c r="L1006" s="89"/>
      <c r="M1006" s="89"/>
      <c r="N1006" s="89"/>
      <c r="O1006" s="89"/>
      <c r="P1006" s="89"/>
      <c r="Q1006" s="89"/>
      <c r="R1006" s="89"/>
      <c r="S1006" s="89"/>
      <c r="T1006" s="89"/>
      <c r="U1006" s="89"/>
      <c r="V1006" s="89"/>
      <c r="W1006" s="89"/>
      <c r="X1006" s="89"/>
      <c r="Y1006" s="89"/>
      <c r="Z1006" s="89"/>
      <c r="AA1006" s="89"/>
      <c r="AB1006" s="89"/>
      <c r="AC1006" s="89"/>
      <c r="AD1006" s="89"/>
      <c r="AE1006" s="89"/>
      <c r="AF1006" s="89"/>
      <c r="AG1006" s="89"/>
      <c r="AH1006" s="89"/>
      <c r="AI1006" s="89"/>
      <c r="AJ1006" s="89"/>
      <c r="AK1006" s="89"/>
      <c r="AL1006" s="89"/>
      <c r="AM1006" s="89"/>
      <c r="AN1006" s="89"/>
      <c r="AO1006" s="89"/>
      <c r="AP1006" s="89"/>
      <c r="AQ1006" s="89"/>
      <c r="AR1006" s="89"/>
      <c r="AS1006" s="89"/>
      <c r="AT1006" s="89"/>
      <c r="AU1006" s="89"/>
      <c r="AV1006" s="89"/>
      <c r="AW1006" s="89"/>
      <c r="AX1006" s="89"/>
      <c r="AY1006" s="89"/>
      <c r="AZ1006" s="89"/>
      <c r="BA1006" s="89"/>
      <c r="BB1006" s="89"/>
      <c r="BC1006" s="89"/>
      <c r="BD1006" s="89"/>
      <c r="BE1006" s="89"/>
      <c r="BF1006" s="89"/>
    </row>
    <row r="1007" spans="9:58" x14ac:dyDescent="0.25">
      <c r="I1007" s="89"/>
      <c r="J1007" s="89"/>
      <c r="K1007" s="89"/>
      <c r="L1007" s="89"/>
      <c r="M1007" s="89"/>
      <c r="N1007" s="89"/>
      <c r="O1007" s="89"/>
      <c r="P1007" s="89"/>
      <c r="Q1007" s="89"/>
      <c r="R1007" s="89"/>
      <c r="S1007" s="89"/>
      <c r="T1007" s="89"/>
      <c r="U1007" s="89"/>
      <c r="V1007" s="89"/>
      <c r="W1007" s="89"/>
      <c r="X1007" s="89"/>
      <c r="Y1007" s="89"/>
      <c r="Z1007" s="89"/>
      <c r="AA1007" s="89"/>
      <c r="AB1007" s="89"/>
      <c r="AC1007" s="89"/>
      <c r="AD1007" s="89"/>
      <c r="AE1007" s="89"/>
      <c r="AF1007" s="89"/>
      <c r="AG1007" s="89"/>
      <c r="AH1007" s="89"/>
      <c r="AI1007" s="89"/>
      <c r="AJ1007" s="89"/>
      <c r="AK1007" s="89"/>
      <c r="AL1007" s="89"/>
      <c r="AM1007" s="89"/>
      <c r="AN1007" s="89"/>
      <c r="AO1007" s="89"/>
      <c r="AP1007" s="89"/>
      <c r="AQ1007" s="89"/>
      <c r="AR1007" s="89"/>
      <c r="AS1007" s="89"/>
      <c r="AT1007" s="89"/>
      <c r="AU1007" s="89"/>
      <c r="AV1007" s="89"/>
      <c r="AW1007" s="89"/>
      <c r="AX1007" s="89"/>
      <c r="AY1007" s="89"/>
      <c r="AZ1007" s="89"/>
      <c r="BA1007" s="89"/>
      <c r="BB1007" s="89"/>
      <c r="BC1007" s="89"/>
      <c r="BD1007" s="89"/>
      <c r="BE1007" s="89"/>
      <c r="BF1007" s="89"/>
    </row>
    <row r="1008" spans="9:58" x14ac:dyDescent="0.25">
      <c r="I1008" s="89"/>
      <c r="J1008" s="89"/>
      <c r="K1008" s="89"/>
      <c r="L1008" s="89"/>
      <c r="M1008" s="89"/>
      <c r="N1008" s="89"/>
      <c r="O1008" s="89"/>
      <c r="P1008" s="89"/>
      <c r="Q1008" s="89"/>
      <c r="R1008" s="89"/>
      <c r="S1008" s="89"/>
      <c r="T1008" s="89"/>
      <c r="U1008" s="89"/>
      <c r="V1008" s="89"/>
      <c r="W1008" s="89"/>
      <c r="X1008" s="89"/>
      <c r="Y1008" s="89"/>
      <c r="Z1008" s="89"/>
      <c r="AA1008" s="89"/>
      <c r="AB1008" s="89"/>
      <c r="AC1008" s="89"/>
      <c r="AD1008" s="89"/>
      <c r="AE1008" s="89"/>
      <c r="AF1008" s="89"/>
      <c r="AG1008" s="89"/>
      <c r="AH1008" s="89"/>
      <c r="AI1008" s="89"/>
      <c r="AJ1008" s="89"/>
      <c r="AK1008" s="89"/>
      <c r="AL1008" s="89"/>
      <c r="AM1008" s="89"/>
      <c r="AN1008" s="89"/>
      <c r="AO1008" s="89"/>
      <c r="AP1008" s="89"/>
      <c r="AQ1008" s="89"/>
      <c r="AR1008" s="89"/>
      <c r="AS1008" s="89"/>
      <c r="AT1008" s="89"/>
      <c r="AU1008" s="89"/>
      <c r="AV1008" s="89"/>
      <c r="AW1008" s="89"/>
      <c r="AX1008" s="89"/>
      <c r="AY1008" s="89"/>
      <c r="AZ1008" s="89"/>
      <c r="BA1008" s="89"/>
      <c r="BB1008" s="89"/>
      <c r="BC1008" s="89"/>
      <c r="BD1008" s="89"/>
      <c r="BE1008" s="89"/>
      <c r="BF1008" s="89"/>
    </row>
    <row r="1009" spans="9:58" x14ac:dyDescent="0.25">
      <c r="I1009" s="89"/>
      <c r="J1009" s="89"/>
      <c r="K1009" s="89"/>
      <c r="L1009" s="89"/>
      <c r="M1009" s="89"/>
      <c r="N1009" s="89"/>
      <c r="O1009" s="89"/>
      <c r="P1009" s="89"/>
      <c r="Q1009" s="89"/>
      <c r="R1009" s="89"/>
      <c r="S1009" s="89"/>
      <c r="T1009" s="89"/>
      <c r="U1009" s="89"/>
      <c r="V1009" s="89"/>
      <c r="W1009" s="89"/>
      <c r="X1009" s="89"/>
      <c r="Y1009" s="89"/>
      <c r="Z1009" s="89"/>
      <c r="AA1009" s="89"/>
      <c r="AB1009" s="89"/>
      <c r="AC1009" s="89"/>
      <c r="AD1009" s="89"/>
      <c r="AE1009" s="89"/>
      <c r="AF1009" s="89"/>
      <c r="AG1009" s="89"/>
      <c r="AH1009" s="89"/>
      <c r="AI1009" s="89"/>
      <c r="AJ1009" s="89"/>
      <c r="AK1009" s="89"/>
      <c r="AL1009" s="89"/>
      <c r="AM1009" s="89"/>
      <c r="AN1009" s="89"/>
      <c r="AO1009" s="89"/>
      <c r="AP1009" s="89"/>
      <c r="AQ1009" s="89"/>
      <c r="AR1009" s="89"/>
      <c r="AS1009" s="89"/>
      <c r="AT1009" s="89"/>
      <c r="AU1009" s="89"/>
      <c r="AV1009" s="89"/>
      <c r="AW1009" s="89"/>
      <c r="AX1009" s="89"/>
      <c r="AY1009" s="89"/>
      <c r="AZ1009" s="89"/>
      <c r="BA1009" s="89"/>
      <c r="BB1009" s="89"/>
      <c r="BC1009" s="89"/>
      <c r="BD1009" s="89"/>
      <c r="BE1009" s="89"/>
      <c r="BF1009" s="89"/>
    </row>
    <row r="1010" spans="9:58" x14ac:dyDescent="0.25">
      <c r="I1010" s="89"/>
      <c r="J1010" s="89"/>
      <c r="K1010" s="89"/>
      <c r="L1010" s="89"/>
      <c r="M1010" s="89"/>
      <c r="N1010" s="89"/>
      <c r="O1010" s="89"/>
      <c r="P1010" s="89"/>
      <c r="Q1010" s="89"/>
      <c r="R1010" s="89"/>
      <c r="S1010" s="89"/>
      <c r="T1010" s="89"/>
      <c r="U1010" s="89"/>
      <c r="V1010" s="89"/>
      <c r="W1010" s="89"/>
      <c r="X1010" s="89"/>
      <c r="Y1010" s="89"/>
      <c r="Z1010" s="89"/>
      <c r="AA1010" s="89"/>
      <c r="AB1010" s="89"/>
      <c r="AC1010" s="89"/>
      <c r="AD1010" s="89"/>
      <c r="AE1010" s="89"/>
      <c r="AF1010" s="89"/>
      <c r="AG1010" s="89"/>
      <c r="AH1010" s="89"/>
      <c r="AI1010" s="89"/>
      <c r="AJ1010" s="89"/>
      <c r="AK1010" s="89"/>
      <c r="AL1010" s="89"/>
      <c r="AM1010" s="89"/>
      <c r="AN1010" s="89"/>
      <c r="AO1010" s="89"/>
      <c r="AP1010" s="89"/>
      <c r="AQ1010" s="89"/>
      <c r="AR1010" s="89"/>
      <c r="AS1010" s="89"/>
      <c r="AT1010" s="89"/>
      <c r="AU1010" s="89"/>
      <c r="AV1010" s="89"/>
      <c r="AW1010" s="89"/>
      <c r="AX1010" s="89"/>
      <c r="AY1010" s="89"/>
      <c r="AZ1010" s="89"/>
      <c r="BA1010" s="89"/>
      <c r="BB1010" s="89"/>
      <c r="BC1010" s="89"/>
      <c r="BD1010" s="89"/>
      <c r="BE1010" s="89"/>
      <c r="BF1010" s="89"/>
    </row>
    <row r="1011" spans="9:58" x14ac:dyDescent="0.25">
      <c r="I1011" s="89"/>
      <c r="J1011" s="89"/>
      <c r="K1011" s="89"/>
      <c r="L1011" s="89"/>
      <c r="M1011" s="89"/>
      <c r="N1011" s="89"/>
      <c r="O1011" s="89"/>
      <c r="P1011" s="89"/>
      <c r="Q1011" s="89"/>
      <c r="R1011" s="89"/>
      <c r="S1011" s="89"/>
      <c r="T1011" s="89"/>
      <c r="U1011" s="89"/>
      <c r="V1011" s="89"/>
      <c r="W1011" s="89"/>
      <c r="X1011" s="89"/>
      <c r="Y1011" s="89"/>
      <c r="Z1011" s="89"/>
      <c r="AA1011" s="89"/>
      <c r="AB1011" s="89"/>
      <c r="AC1011" s="89"/>
      <c r="AD1011" s="89"/>
      <c r="AE1011" s="89"/>
      <c r="AF1011" s="89"/>
      <c r="AG1011" s="89"/>
      <c r="AH1011" s="89"/>
      <c r="AI1011" s="89"/>
      <c r="AJ1011" s="89"/>
      <c r="AK1011" s="89"/>
      <c r="AL1011" s="89"/>
      <c r="AM1011" s="89"/>
      <c r="AN1011" s="89"/>
      <c r="AO1011" s="89"/>
      <c r="AP1011" s="89"/>
      <c r="AQ1011" s="89"/>
      <c r="AR1011" s="89"/>
      <c r="AS1011" s="89"/>
      <c r="AT1011" s="89"/>
      <c r="AU1011" s="89"/>
      <c r="AV1011" s="89"/>
      <c r="AW1011" s="89"/>
      <c r="AX1011" s="89"/>
      <c r="AY1011" s="89"/>
      <c r="AZ1011" s="89"/>
      <c r="BA1011" s="89"/>
      <c r="BB1011" s="89"/>
      <c r="BC1011" s="89"/>
      <c r="BD1011" s="89"/>
      <c r="BE1011" s="89"/>
      <c r="BF1011" s="89"/>
    </row>
    <row r="1012" spans="9:58" x14ac:dyDescent="0.25">
      <c r="I1012" s="89"/>
      <c r="J1012" s="89"/>
      <c r="K1012" s="89"/>
      <c r="L1012" s="89"/>
      <c r="M1012" s="89"/>
      <c r="N1012" s="89"/>
      <c r="O1012" s="89"/>
      <c r="P1012" s="89"/>
      <c r="Q1012" s="89"/>
      <c r="R1012" s="89"/>
      <c r="S1012" s="89"/>
      <c r="T1012" s="89"/>
      <c r="U1012" s="89"/>
      <c r="V1012" s="89"/>
      <c r="W1012" s="89"/>
      <c r="X1012" s="89"/>
      <c r="Y1012" s="89"/>
      <c r="Z1012" s="89"/>
      <c r="AA1012" s="89"/>
      <c r="AB1012" s="89"/>
      <c r="AC1012" s="89"/>
      <c r="AD1012" s="89"/>
      <c r="AE1012" s="89"/>
      <c r="AF1012" s="89"/>
      <c r="AG1012" s="89"/>
      <c r="AH1012" s="89"/>
      <c r="AI1012" s="89"/>
      <c r="AJ1012" s="89"/>
      <c r="AK1012" s="89"/>
      <c r="AL1012" s="89"/>
      <c r="AM1012" s="89"/>
      <c r="AN1012" s="89"/>
      <c r="AO1012" s="89"/>
      <c r="AP1012" s="89"/>
      <c r="AQ1012" s="89"/>
      <c r="AR1012" s="89"/>
      <c r="AS1012" s="89"/>
      <c r="AT1012" s="89"/>
      <c r="AU1012" s="89"/>
      <c r="AV1012" s="89"/>
      <c r="AW1012" s="89"/>
      <c r="AX1012" s="89"/>
      <c r="AY1012" s="89"/>
      <c r="AZ1012" s="89"/>
      <c r="BA1012" s="89"/>
      <c r="BB1012" s="89"/>
      <c r="BC1012" s="89"/>
      <c r="BD1012" s="89"/>
      <c r="BE1012" s="89"/>
      <c r="BF1012" s="89"/>
    </row>
    <row r="1013" spans="9:58" x14ac:dyDescent="0.25">
      <c r="I1013" s="89"/>
      <c r="J1013" s="89"/>
      <c r="K1013" s="89"/>
      <c r="L1013" s="89"/>
      <c r="M1013" s="89"/>
      <c r="N1013" s="89"/>
      <c r="O1013" s="89"/>
      <c r="P1013" s="89"/>
      <c r="Q1013" s="89"/>
      <c r="R1013" s="89"/>
      <c r="S1013" s="89"/>
      <c r="T1013" s="89"/>
      <c r="U1013" s="89"/>
      <c r="V1013" s="89"/>
      <c r="W1013" s="89"/>
      <c r="X1013" s="89"/>
      <c r="Y1013" s="89"/>
      <c r="Z1013" s="89"/>
      <c r="AA1013" s="89"/>
      <c r="AB1013" s="89"/>
      <c r="AC1013" s="89"/>
      <c r="AD1013" s="89"/>
      <c r="AE1013" s="89"/>
      <c r="AF1013" s="89"/>
      <c r="AG1013" s="89"/>
      <c r="AH1013" s="89"/>
      <c r="AI1013" s="89"/>
      <c r="AJ1013" s="89"/>
      <c r="AK1013" s="89"/>
      <c r="AL1013" s="89"/>
      <c r="AM1013" s="89"/>
      <c r="AN1013" s="89"/>
      <c r="AO1013" s="89"/>
      <c r="AP1013" s="89"/>
      <c r="AQ1013" s="89"/>
      <c r="AR1013" s="89"/>
      <c r="AS1013" s="89"/>
      <c r="AT1013" s="89"/>
      <c r="AU1013" s="89"/>
      <c r="AV1013" s="89"/>
      <c r="AW1013" s="89"/>
      <c r="AX1013" s="89"/>
      <c r="AY1013" s="89"/>
      <c r="AZ1013" s="89"/>
      <c r="BA1013" s="89"/>
      <c r="BB1013" s="89"/>
      <c r="BC1013" s="89"/>
      <c r="BD1013" s="89"/>
      <c r="BE1013" s="89"/>
      <c r="BF1013" s="89"/>
    </row>
    <row r="1014" spans="9:58" x14ac:dyDescent="0.25">
      <c r="I1014" s="89"/>
      <c r="J1014" s="89"/>
      <c r="K1014" s="89"/>
      <c r="L1014" s="89"/>
      <c r="M1014" s="89"/>
      <c r="N1014" s="89"/>
      <c r="O1014" s="89"/>
      <c r="P1014" s="89"/>
      <c r="Q1014" s="89"/>
      <c r="R1014" s="89"/>
      <c r="S1014" s="89"/>
      <c r="T1014" s="89"/>
      <c r="U1014" s="89"/>
      <c r="V1014" s="89"/>
      <c r="W1014" s="89"/>
      <c r="X1014" s="89"/>
      <c r="Y1014" s="89"/>
      <c r="Z1014" s="89"/>
      <c r="AA1014" s="89"/>
      <c r="AB1014" s="89"/>
      <c r="AC1014" s="89"/>
      <c r="AD1014" s="89"/>
      <c r="AE1014" s="89"/>
      <c r="AF1014" s="89"/>
      <c r="AG1014" s="89"/>
      <c r="AH1014" s="89"/>
      <c r="AI1014" s="89"/>
      <c r="AJ1014" s="89"/>
      <c r="AK1014" s="89"/>
      <c r="AL1014" s="89"/>
      <c r="AM1014" s="89"/>
      <c r="AN1014" s="89"/>
      <c r="AO1014" s="89"/>
      <c r="AP1014" s="89"/>
      <c r="AQ1014" s="89"/>
      <c r="AR1014" s="89"/>
      <c r="AS1014" s="89"/>
      <c r="AT1014" s="89"/>
      <c r="AU1014" s="89"/>
      <c r="AV1014" s="89"/>
      <c r="AW1014" s="89"/>
      <c r="AX1014" s="89"/>
      <c r="AY1014" s="89"/>
      <c r="AZ1014" s="89"/>
      <c r="BA1014" s="89"/>
      <c r="BB1014" s="89"/>
      <c r="BC1014" s="89"/>
      <c r="BD1014" s="89"/>
      <c r="BE1014" s="89"/>
      <c r="BF1014" s="89"/>
    </row>
    <row r="1015" spans="9:58" x14ac:dyDescent="0.25">
      <c r="I1015" s="89"/>
      <c r="J1015" s="89"/>
      <c r="K1015" s="89"/>
      <c r="L1015" s="89"/>
      <c r="M1015" s="89"/>
      <c r="N1015" s="89"/>
      <c r="O1015" s="89"/>
      <c r="P1015" s="89"/>
      <c r="Q1015" s="89"/>
      <c r="R1015" s="89"/>
      <c r="S1015" s="89"/>
      <c r="T1015" s="89"/>
      <c r="U1015" s="89"/>
      <c r="V1015" s="89"/>
      <c r="W1015" s="89"/>
      <c r="X1015" s="89"/>
      <c r="Y1015" s="89"/>
      <c r="Z1015" s="89"/>
      <c r="AA1015" s="89"/>
      <c r="AB1015" s="89"/>
      <c r="AC1015" s="89"/>
      <c r="AD1015" s="89"/>
      <c r="AE1015" s="89"/>
      <c r="AF1015" s="89"/>
      <c r="AG1015" s="89"/>
      <c r="AH1015" s="89"/>
      <c r="AI1015" s="89"/>
      <c r="AJ1015" s="89"/>
      <c r="AK1015" s="89"/>
      <c r="AL1015" s="89"/>
      <c r="AM1015" s="89"/>
      <c r="AN1015" s="89"/>
      <c r="AO1015" s="89"/>
      <c r="AP1015" s="89"/>
      <c r="AQ1015" s="89"/>
      <c r="AR1015" s="89"/>
      <c r="AS1015" s="89"/>
      <c r="AT1015" s="89"/>
      <c r="AU1015" s="89"/>
      <c r="AV1015" s="89"/>
      <c r="AW1015" s="89"/>
      <c r="AX1015" s="89"/>
      <c r="AY1015" s="89"/>
      <c r="AZ1015" s="89"/>
      <c r="BA1015" s="89"/>
      <c r="BB1015" s="89"/>
      <c r="BC1015" s="89"/>
      <c r="BD1015" s="89"/>
      <c r="BE1015" s="89"/>
      <c r="BF1015" s="89"/>
    </row>
    <row r="1016" spans="9:58" x14ac:dyDescent="0.25">
      <c r="I1016" s="89"/>
      <c r="J1016" s="89"/>
      <c r="K1016" s="89"/>
      <c r="L1016" s="89"/>
      <c r="M1016" s="89"/>
      <c r="N1016" s="89"/>
      <c r="O1016" s="89"/>
      <c r="P1016" s="89"/>
      <c r="Q1016" s="89"/>
      <c r="R1016" s="89"/>
      <c r="S1016" s="89"/>
      <c r="T1016" s="89"/>
      <c r="U1016" s="89"/>
      <c r="V1016" s="89"/>
      <c r="W1016" s="89"/>
      <c r="X1016" s="89"/>
      <c r="Y1016" s="89"/>
      <c r="Z1016" s="89"/>
      <c r="AA1016" s="89"/>
      <c r="AB1016" s="89"/>
      <c r="AC1016" s="89"/>
      <c r="AD1016" s="89"/>
      <c r="AE1016" s="89"/>
      <c r="AF1016" s="89"/>
      <c r="AG1016" s="89"/>
      <c r="AH1016" s="89"/>
      <c r="AI1016" s="89"/>
      <c r="AJ1016" s="89"/>
      <c r="AK1016" s="89"/>
      <c r="AL1016" s="89"/>
      <c r="AM1016" s="89"/>
      <c r="AN1016" s="89"/>
      <c r="AO1016" s="89"/>
      <c r="AP1016" s="89"/>
      <c r="AQ1016" s="89"/>
      <c r="AR1016" s="89"/>
      <c r="AS1016" s="89"/>
      <c r="AT1016" s="89"/>
      <c r="AU1016" s="89"/>
      <c r="AV1016" s="89"/>
      <c r="AW1016" s="89"/>
      <c r="AX1016" s="89"/>
      <c r="AY1016" s="89"/>
      <c r="AZ1016" s="89"/>
      <c r="BA1016" s="89"/>
      <c r="BB1016" s="89"/>
      <c r="BC1016" s="89"/>
      <c r="BD1016" s="89"/>
      <c r="BE1016" s="89"/>
      <c r="BF1016" s="89"/>
    </row>
    <row r="1017" spans="9:58" x14ac:dyDescent="0.25">
      <c r="I1017" s="89"/>
      <c r="J1017" s="89"/>
      <c r="K1017" s="89"/>
      <c r="L1017" s="89"/>
      <c r="M1017" s="89"/>
      <c r="N1017" s="89"/>
      <c r="O1017" s="89"/>
      <c r="P1017" s="89"/>
      <c r="Q1017" s="89"/>
      <c r="R1017" s="89"/>
      <c r="S1017" s="89"/>
      <c r="T1017" s="89"/>
      <c r="U1017" s="89"/>
      <c r="V1017" s="89"/>
      <c r="W1017" s="89"/>
      <c r="X1017" s="89"/>
      <c r="Y1017" s="89"/>
      <c r="Z1017" s="89"/>
      <c r="AA1017" s="89"/>
      <c r="AB1017" s="89"/>
      <c r="AC1017" s="89"/>
      <c r="AD1017" s="89"/>
      <c r="AE1017" s="89"/>
      <c r="AF1017" s="89"/>
      <c r="AG1017" s="89"/>
      <c r="AH1017" s="89"/>
      <c r="AI1017" s="89"/>
      <c r="AJ1017" s="89"/>
      <c r="AK1017" s="89"/>
      <c r="AL1017" s="89"/>
      <c r="AM1017" s="89"/>
      <c r="AN1017" s="89"/>
      <c r="AO1017" s="89"/>
      <c r="AP1017" s="89"/>
      <c r="AQ1017" s="89"/>
      <c r="AR1017" s="89"/>
      <c r="AS1017" s="89"/>
      <c r="AT1017" s="89"/>
      <c r="AU1017" s="89"/>
      <c r="AV1017" s="89"/>
      <c r="AW1017" s="89"/>
      <c r="AX1017" s="89"/>
      <c r="AY1017" s="89"/>
      <c r="AZ1017" s="89"/>
      <c r="BA1017" s="89"/>
      <c r="BB1017" s="89"/>
      <c r="BC1017" s="89"/>
      <c r="BD1017" s="89"/>
      <c r="BE1017" s="89"/>
      <c r="BF1017" s="89"/>
    </row>
    <row r="1018" spans="9:58" x14ac:dyDescent="0.25">
      <c r="I1018" s="89"/>
      <c r="J1018" s="89"/>
      <c r="K1018" s="89"/>
      <c r="L1018" s="89"/>
      <c r="M1018" s="89"/>
      <c r="N1018" s="89"/>
      <c r="O1018" s="89"/>
      <c r="P1018" s="89"/>
      <c r="Q1018" s="89"/>
      <c r="R1018" s="89"/>
      <c r="S1018" s="89"/>
      <c r="T1018" s="89"/>
      <c r="U1018" s="89"/>
      <c r="V1018" s="89"/>
      <c r="W1018" s="89"/>
      <c r="X1018" s="89"/>
      <c r="Y1018" s="89"/>
      <c r="Z1018" s="89"/>
      <c r="AA1018" s="89"/>
      <c r="AB1018" s="89"/>
      <c r="AC1018" s="89"/>
      <c r="AD1018" s="89"/>
      <c r="AE1018" s="89"/>
      <c r="AF1018" s="89"/>
      <c r="AG1018" s="89"/>
      <c r="AH1018" s="89"/>
      <c r="AI1018" s="89"/>
      <c r="AJ1018" s="89"/>
      <c r="AK1018" s="89"/>
      <c r="AL1018" s="89"/>
      <c r="AM1018" s="89"/>
      <c r="AN1018" s="89"/>
      <c r="AO1018" s="89"/>
      <c r="AP1018" s="89"/>
      <c r="AQ1018" s="89"/>
      <c r="AR1018" s="89"/>
      <c r="AS1018" s="89"/>
      <c r="AT1018" s="89"/>
      <c r="AU1018" s="89"/>
      <c r="AV1018" s="89"/>
      <c r="AW1018" s="89"/>
      <c r="AX1018" s="89"/>
      <c r="AY1018" s="89"/>
      <c r="AZ1018" s="89"/>
      <c r="BA1018" s="89"/>
      <c r="BB1018" s="89"/>
      <c r="BC1018" s="89"/>
      <c r="BD1018" s="89"/>
      <c r="BE1018" s="89"/>
      <c r="BF1018" s="89"/>
    </row>
    <row r="1019" spans="9:58" x14ac:dyDescent="0.25">
      <c r="I1019" s="89"/>
      <c r="J1019" s="89"/>
      <c r="K1019" s="89"/>
      <c r="L1019" s="89"/>
      <c r="M1019" s="89"/>
      <c r="N1019" s="89"/>
      <c r="O1019" s="89"/>
      <c r="P1019" s="89"/>
      <c r="Q1019" s="89"/>
      <c r="R1019" s="89"/>
      <c r="S1019" s="89"/>
      <c r="T1019" s="89"/>
      <c r="U1019" s="89"/>
      <c r="V1019" s="89"/>
      <c r="W1019" s="89"/>
      <c r="X1019" s="89"/>
      <c r="Y1019" s="89"/>
      <c r="Z1019" s="89"/>
      <c r="AA1019" s="89"/>
      <c r="AB1019" s="89"/>
      <c r="AC1019" s="89"/>
      <c r="AD1019" s="89"/>
      <c r="AE1019" s="89"/>
      <c r="AF1019" s="89"/>
      <c r="AG1019" s="89"/>
      <c r="AH1019" s="89"/>
      <c r="AI1019" s="89"/>
      <c r="AJ1019" s="89"/>
      <c r="AK1019" s="89"/>
      <c r="AL1019" s="89"/>
      <c r="AM1019" s="89"/>
      <c r="AN1019" s="89"/>
      <c r="AO1019" s="89"/>
      <c r="AP1019" s="89"/>
      <c r="AQ1019" s="89"/>
      <c r="AR1019" s="89"/>
      <c r="AS1019" s="89"/>
      <c r="AT1019" s="89"/>
      <c r="AU1019" s="89"/>
      <c r="AV1019" s="89"/>
      <c r="AW1019" s="89"/>
      <c r="AX1019" s="89"/>
      <c r="AY1019" s="89"/>
      <c r="AZ1019" s="89"/>
      <c r="BA1019" s="89"/>
      <c r="BB1019" s="89"/>
      <c r="BC1019" s="89"/>
      <c r="BD1019" s="89"/>
      <c r="BE1019" s="89"/>
      <c r="BF1019" s="89"/>
    </row>
    <row r="1020" spans="9:58" x14ac:dyDescent="0.25">
      <c r="I1020" s="89"/>
      <c r="J1020" s="89"/>
      <c r="K1020" s="89"/>
      <c r="L1020" s="89"/>
      <c r="M1020" s="89"/>
      <c r="N1020" s="89"/>
      <c r="O1020" s="89"/>
      <c r="P1020" s="89"/>
      <c r="Q1020" s="89"/>
      <c r="R1020" s="89"/>
      <c r="S1020" s="89"/>
      <c r="T1020" s="89"/>
      <c r="U1020" s="89"/>
      <c r="V1020" s="89"/>
      <c r="W1020" s="89"/>
      <c r="X1020" s="89"/>
      <c r="Y1020" s="89"/>
      <c r="Z1020" s="89"/>
      <c r="AA1020" s="89"/>
      <c r="AB1020" s="89"/>
      <c r="AC1020" s="89"/>
      <c r="AD1020" s="89"/>
      <c r="AE1020" s="89"/>
      <c r="AF1020" s="89"/>
      <c r="AG1020" s="89"/>
      <c r="AH1020" s="89"/>
      <c r="AI1020" s="89"/>
      <c r="AJ1020" s="89"/>
      <c r="AK1020" s="89"/>
      <c r="AL1020" s="89"/>
      <c r="AM1020" s="89"/>
      <c r="AN1020" s="89"/>
      <c r="AO1020" s="89"/>
      <c r="AP1020" s="89"/>
      <c r="AQ1020" s="89"/>
      <c r="AR1020" s="89"/>
      <c r="AS1020" s="89"/>
      <c r="AT1020" s="89"/>
      <c r="AU1020" s="89"/>
      <c r="AV1020" s="89"/>
      <c r="AW1020" s="89"/>
      <c r="AX1020" s="89"/>
      <c r="AY1020" s="89"/>
      <c r="AZ1020" s="89"/>
      <c r="BA1020" s="89"/>
      <c r="BB1020" s="89"/>
      <c r="BC1020" s="89"/>
      <c r="BD1020" s="89"/>
      <c r="BE1020" s="89"/>
      <c r="BF1020" s="89"/>
    </row>
    <row r="1021" spans="9:58" x14ac:dyDescent="0.25">
      <c r="I1021" s="89"/>
      <c r="J1021" s="89"/>
      <c r="K1021" s="89"/>
      <c r="L1021" s="89"/>
      <c r="M1021" s="89"/>
      <c r="N1021" s="89"/>
      <c r="O1021" s="89"/>
      <c r="P1021" s="89"/>
      <c r="Q1021" s="89"/>
      <c r="R1021" s="89"/>
      <c r="S1021" s="89"/>
      <c r="T1021" s="89"/>
      <c r="U1021" s="89"/>
      <c r="V1021" s="89"/>
      <c r="W1021" s="89"/>
      <c r="X1021" s="89"/>
      <c r="Y1021" s="89"/>
      <c r="Z1021" s="89"/>
      <c r="AA1021" s="89"/>
      <c r="AB1021" s="89"/>
      <c r="AC1021" s="89"/>
      <c r="AD1021" s="89"/>
      <c r="AE1021" s="89"/>
      <c r="AF1021" s="89"/>
      <c r="AG1021" s="89"/>
      <c r="AH1021" s="89"/>
      <c r="AI1021" s="89"/>
      <c r="AJ1021" s="89"/>
      <c r="AK1021" s="89"/>
      <c r="AL1021" s="89"/>
      <c r="AM1021" s="89"/>
      <c r="AN1021" s="89"/>
      <c r="AO1021" s="89"/>
      <c r="AP1021" s="89"/>
      <c r="AQ1021" s="89"/>
      <c r="AR1021" s="89"/>
      <c r="AS1021" s="89"/>
      <c r="AT1021" s="89"/>
      <c r="AU1021" s="89"/>
      <c r="AV1021" s="89"/>
      <c r="AW1021" s="89"/>
      <c r="AX1021" s="89"/>
      <c r="AY1021" s="89"/>
      <c r="AZ1021" s="89"/>
      <c r="BA1021" s="89"/>
      <c r="BB1021" s="89"/>
      <c r="BC1021" s="89"/>
      <c r="BD1021" s="89"/>
      <c r="BE1021" s="89"/>
      <c r="BF1021" s="89"/>
    </row>
    <row r="1022" spans="9:58" x14ac:dyDescent="0.25">
      <c r="I1022" s="89"/>
      <c r="J1022" s="89"/>
      <c r="K1022" s="89"/>
      <c r="L1022" s="89"/>
      <c r="M1022" s="89"/>
      <c r="N1022" s="89"/>
      <c r="O1022" s="89"/>
      <c r="P1022" s="89"/>
      <c r="Q1022" s="89"/>
      <c r="R1022" s="89"/>
      <c r="S1022" s="89"/>
      <c r="T1022" s="89"/>
      <c r="U1022" s="89"/>
      <c r="V1022" s="89"/>
      <c r="W1022" s="89"/>
      <c r="X1022" s="89"/>
      <c r="Y1022" s="89"/>
      <c r="Z1022" s="89"/>
      <c r="AA1022" s="89"/>
      <c r="AB1022" s="89"/>
      <c r="AC1022" s="89"/>
      <c r="AD1022" s="89"/>
      <c r="AE1022" s="89"/>
      <c r="AF1022" s="89"/>
      <c r="AG1022" s="89"/>
      <c r="AH1022" s="89"/>
      <c r="AI1022" s="89"/>
      <c r="AJ1022" s="89"/>
      <c r="AK1022" s="89"/>
      <c r="AL1022" s="89"/>
      <c r="AM1022" s="89"/>
      <c r="AN1022" s="89"/>
      <c r="AO1022" s="89"/>
      <c r="AP1022" s="89"/>
      <c r="AQ1022" s="89"/>
      <c r="AR1022" s="89"/>
      <c r="AS1022" s="89"/>
      <c r="AT1022" s="89"/>
      <c r="AU1022" s="89"/>
      <c r="AV1022" s="89"/>
      <c r="AW1022" s="89"/>
      <c r="AX1022" s="89"/>
      <c r="AY1022" s="89"/>
      <c r="AZ1022" s="89"/>
      <c r="BA1022" s="89"/>
      <c r="BB1022" s="89"/>
      <c r="BC1022" s="89"/>
      <c r="BD1022" s="89"/>
      <c r="BE1022" s="89"/>
      <c r="BF1022" s="89"/>
    </row>
    <row r="1023" spans="9:58" x14ac:dyDescent="0.25">
      <c r="I1023" s="89"/>
      <c r="J1023" s="89"/>
      <c r="K1023" s="89"/>
      <c r="L1023" s="89"/>
      <c r="M1023" s="89"/>
      <c r="N1023" s="89"/>
      <c r="O1023" s="89"/>
      <c r="P1023" s="89"/>
      <c r="Q1023" s="89"/>
      <c r="R1023" s="89"/>
      <c r="S1023" s="89"/>
      <c r="T1023" s="89"/>
      <c r="U1023" s="89"/>
      <c r="V1023" s="89"/>
      <c r="W1023" s="89"/>
      <c r="X1023" s="89"/>
      <c r="Y1023" s="89"/>
      <c r="Z1023" s="89"/>
      <c r="AA1023" s="89"/>
      <c r="AB1023" s="89"/>
      <c r="AC1023" s="89"/>
      <c r="AD1023" s="89"/>
      <c r="AE1023" s="89"/>
      <c r="AF1023" s="89"/>
      <c r="AG1023" s="89"/>
      <c r="AH1023" s="89"/>
      <c r="AI1023" s="89"/>
      <c r="AJ1023" s="89"/>
      <c r="AK1023" s="89"/>
      <c r="AL1023" s="89"/>
      <c r="AM1023" s="89"/>
      <c r="AN1023" s="89"/>
      <c r="AO1023" s="89"/>
      <c r="AP1023" s="89"/>
      <c r="AQ1023" s="89"/>
      <c r="AR1023" s="89"/>
      <c r="AS1023" s="89"/>
      <c r="AT1023" s="89"/>
      <c r="AU1023" s="89"/>
      <c r="AV1023" s="89"/>
      <c r="AW1023" s="89"/>
      <c r="AX1023" s="89"/>
      <c r="AY1023" s="89"/>
      <c r="AZ1023" s="89"/>
      <c r="BA1023" s="89"/>
      <c r="BB1023" s="89"/>
      <c r="BC1023" s="89"/>
      <c r="BD1023" s="89"/>
      <c r="BE1023" s="89"/>
      <c r="BF1023" s="89"/>
    </row>
    <row r="1024" spans="9:58" x14ac:dyDescent="0.25">
      <c r="I1024" s="89"/>
      <c r="J1024" s="89"/>
      <c r="K1024" s="89"/>
      <c r="L1024" s="89"/>
      <c r="M1024" s="89"/>
      <c r="N1024" s="89"/>
      <c r="O1024" s="89"/>
      <c r="P1024" s="89"/>
      <c r="Q1024" s="89"/>
      <c r="R1024" s="89"/>
      <c r="S1024" s="89"/>
      <c r="T1024" s="89"/>
      <c r="U1024" s="89"/>
      <c r="V1024" s="89"/>
      <c r="W1024" s="89"/>
      <c r="X1024" s="89"/>
      <c r="Y1024" s="89"/>
      <c r="Z1024" s="89"/>
      <c r="AA1024" s="89"/>
      <c r="AB1024" s="89"/>
      <c r="AC1024" s="89"/>
      <c r="AD1024" s="89"/>
      <c r="AE1024" s="89"/>
      <c r="AF1024" s="89"/>
      <c r="AG1024" s="89"/>
      <c r="AH1024" s="89"/>
      <c r="AI1024" s="89"/>
      <c r="AJ1024" s="89"/>
      <c r="AK1024" s="89"/>
      <c r="AL1024" s="89"/>
      <c r="AM1024" s="89"/>
      <c r="AN1024" s="89"/>
      <c r="AO1024" s="89"/>
      <c r="AP1024" s="89"/>
      <c r="AQ1024" s="89"/>
      <c r="AR1024" s="89"/>
      <c r="AS1024" s="89"/>
      <c r="AT1024" s="89"/>
      <c r="AU1024" s="89"/>
      <c r="AV1024" s="89"/>
      <c r="AW1024" s="89"/>
      <c r="AX1024" s="89"/>
      <c r="AY1024" s="89"/>
      <c r="AZ1024" s="89"/>
      <c r="BA1024" s="89"/>
      <c r="BB1024" s="89"/>
      <c r="BC1024" s="89"/>
      <c r="BD1024" s="89"/>
      <c r="BE1024" s="89"/>
      <c r="BF1024" s="89"/>
    </row>
    <row r="1025" spans="9:58" x14ac:dyDescent="0.25">
      <c r="I1025" s="89"/>
      <c r="J1025" s="89"/>
      <c r="K1025" s="89"/>
      <c r="L1025" s="89"/>
      <c r="M1025" s="89"/>
      <c r="N1025" s="89"/>
      <c r="O1025" s="89"/>
      <c r="P1025" s="89"/>
      <c r="Q1025" s="89"/>
      <c r="R1025" s="89"/>
      <c r="S1025" s="89"/>
      <c r="T1025" s="89"/>
      <c r="U1025" s="89"/>
      <c r="V1025" s="89"/>
      <c r="W1025" s="89"/>
      <c r="X1025" s="89"/>
      <c r="Y1025" s="89"/>
      <c r="Z1025" s="89"/>
      <c r="AA1025" s="89"/>
      <c r="AB1025" s="89"/>
      <c r="AC1025" s="89"/>
      <c r="AD1025" s="89"/>
      <c r="AE1025" s="89"/>
      <c r="AF1025" s="89"/>
      <c r="AG1025" s="89"/>
      <c r="AH1025" s="89"/>
      <c r="AI1025" s="89"/>
      <c r="AJ1025" s="89"/>
      <c r="AK1025" s="89"/>
      <c r="AL1025" s="89"/>
      <c r="AM1025" s="89"/>
      <c r="AN1025" s="89"/>
      <c r="AO1025" s="89"/>
      <c r="AP1025" s="89"/>
      <c r="AQ1025" s="89"/>
      <c r="AR1025" s="89"/>
      <c r="AS1025" s="89"/>
      <c r="AT1025" s="89"/>
      <c r="AU1025" s="89"/>
      <c r="AV1025" s="89"/>
      <c r="AW1025" s="89"/>
      <c r="AX1025" s="89"/>
      <c r="AY1025" s="89"/>
      <c r="AZ1025" s="89"/>
      <c r="BA1025" s="89"/>
      <c r="BB1025" s="89"/>
      <c r="BC1025" s="89"/>
      <c r="BD1025" s="89"/>
      <c r="BE1025" s="89"/>
      <c r="BF1025" s="89"/>
    </row>
    <row r="1026" spans="9:58" x14ac:dyDescent="0.25">
      <c r="I1026" s="89"/>
      <c r="J1026" s="89"/>
      <c r="K1026" s="89"/>
      <c r="L1026" s="89"/>
      <c r="M1026" s="89"/>
      <c r="N1026" s="89"/>
      <c r="O1026" s="89"/>
      <c r="P1026" s="89"/>
      <c r="Q1026" s="89"/>
      <c r="R1026" s="89"/>
      <c r="S1026" s="89"/>
      <c r="T1026" s="89"/>
      <c r="U1026" s="89"/>
      <c r="V1026" s="89"/>
      <c r="W1026" s="89"/>
      <c r="X1026" s="89"/>
      <c r="Y1026" s="89"/>
      <c r="Z1026" s="89"/>
      <c r="AA1026" s="89"/>
      <c r="AB1026" s="89"/>
      <c r="AC1026" s="89"/>
      <c r="AD1026" s="89"/>
      <c r="AE1026" s="89"/>
      <c r="AF1026" s="89"/>
      <c r="AG1026" s="89"/>
      <c r="AH1026" s="89"/>
      <c r="AI1026" s="89"/>
      <c r="AJ1026" s="89"/>
      <c r="AK1026" s="89"/>
      <c r="AL1026" s="89"/>
      <c r="AM1026" s="89"/>
      <c r="AN1026" s="89"/>
      <c r="AO1026" s="89"/>
      <c r="AP1026" s="89"/>
      <c r="AQ1026" s="89"/>
      <c r="AR1026" s="89"/>
      <c r="AS1026" s="89"/>
      <c r="AT1026" s="89"/>
      <c r="AU1026" s="89"/>
      <c r="AV1026" s="89"/>
      <c r="AW1026" s="89"/>
      <c r="AX1026" s="89"/>
      <c r="AY1026" s="89"/>
      <c r="AZ1026" s="89"/>
      <c r="BA1026" s="89"/>
      <c r="BB1026" s="89"/>
      <c r="BC1026" s="89"/>
      <c r="BD1026" s="89"/>
      <c r="BE1026" s="89"/>
      <c r="BF1026" s="89"/>
    </row>
    <row r="1027" spans="9:58" x14ac:dyDescent="0.25">
      <c r="I1027" s="89"/>
      <c r="J1027" s="89"/>
      <c r="K1027" s="89"/>
      <c r="L1027" s="89"/>
      <c r="M1027" s="89"/>
      <c r="N1027" s="89"/>
      <c r="O1027" s="89"/>
      <c r="P1027" s="89"/>
      <c r="Q1027" s="89"/>
      <c r="R1027" s="89"/>
      <c r="S1027" s="89"/>
      <c r="T1027" s="89"/>
      <c r="U1027" s="89"/>
      <c r="V1027" s="89"/>
      <c r="W1027" s="89"/>
      <c r="X1027" s="89"/>
      <c r="Y1027" s="89"/>
      <c r="Z1027" s="89"/>
      <c r="AA1027" s="89"/>
      <c r="AB1027" s="89"/>
      <c r="AC1027" s="89"/>
      <c r="AD1027" s="89"/>
      <c r="AE1027" s="89"/>
      <c r="AF1027" s="89"/>
      <c r="AG1027" s="89"/>
      <c r="AH1027" s="89"/>
      <c r="AI1027" s="89"/>
      <c r="AJ1027" s="89"/>
      <c r="AK1027" s="89"/>
      <c r="AL1027" s="89"/>
      <c r="AM1027" s="89"/>
      <c r="AN1027" s="89"/>
      <c r="AO1027" s="89"/>
      <c r="AP1027" s="89"/>
      <c r="AQ1027" s="89"/>
      <c r="AR1027" s="89"/>
      <c r="AS1027" s="89"/>
      <c r="AT1027" s="89"/>
      <c r="AU1027" s="89"/>
      <c r="AV1027" s="89"/>
      <c r="AW1027" s="89"/>
      <c r="AX1027" s="89"/>
      <c r="AY1027" s="89"/>
      <c r="AZ1027" s="89"/>
      <c r="BA1027" s="89"/>
      <c r="BB1027" s="89"/>
      <c r="BC1027" s="89"/>
      <c r="BD1027" s="89"/>
      <c r="BE1027" s="89"/>
      <c r="BF1027" s="89"/>
    </row>
    <row r="1028" spans="9:58" x14ac:dyDescent="0.25">
      <c r="I1028" s="89"/>
      <c r="J1028" s="89"/>
      <c r="K1028" s="89"/>
      <c r="L1028" s="89"/>
      <c r="M1028" s="89"/>
      <c r="N1028" s="89"/>
      <c r="O1028" s="89"/>
      <c r="P1028" s="89"/>
      <c r="Q1028" s="89"/>
      <c r="R1028" s="89"/>
      <c r="S1028" s="89"/>
      <c r="T1028" s="89"/>
      <c r="U1028" s="89"/>
      <c r="V1028" s="89"/>
      <c r="W1028" s="89"/>
      <c r="X1028" s="89"/>
      <c r="Y1028" s="89"/>
      <c r="Z1028" s="89"/>
      <c r="AA1028" s="89"/>
      <c r="AB1028" s="89"/>
      <c r="AC1028" s="89"/>
      <c r="AD1028" s="89"/>
      <c r="AE1028" s="89"/>
      <c r="AF1028" s="89"/>
      <c r="AG1028" s="89"/>
      <c r="AH1028" s="89"/>
      <c r="AI1028" s="89"/>
      <c r="AJ1028" s="89"/>
      <c r="AK1028" s="89"/>
      <c r="AL1028" s="89"/>
      <c r="AM1028" s="89"/>
      <c r="AN1028" s="89"/>
      <c r="AO1028" s="89"/>
      <c r="AP1028" s="89"/>
      <c r="AQ1028" s="89"/>
      <c r="AR1028" s="89"/>
      <c r="AS1028" s="89"/>
      <c r="AT1028" s="89"/>
      <c r="AU1028" s="89"/>
      <c r="AV1028" s="89"/>
      <c r="AW1028" s="89"/>
      <c r="AX1028" s="89"/>
      <c r="AY1028" s="89"/>
      <c r="AZ1028" s="89"/>
      <c r="BA1028" s="89"/>
      <c r="BB1028" s="89"/>
      <c r="BC1028" s="89"/>
      <c r="BD1028" s="89"/>
      <c r="BE1028" s="89"/>
      <c r="BF1028" s="89"/>
    </row>
    <row r="1029" spans="9:58" x14ac:dyDescent="0.25">
      <c r="I1029" s="89"/>
      <c r="J1029" s="89"/>
      <c r="K1029" s="89"/>
      <c r="L1029" s="89"/>
      <c r="M1029" s="89"/>
      <c r="N1029" s="89"/>
      <c r="O1029" s="89"/>
      <c r="P1029" s="89"/>
      <c r="Q1029" s="89"/>
      <c r="R1029" s="89"/>
      <c r="S1029" s="89"/>
      <c r="T1029" s="89"/>
      <c r="U1029" s="89"/>
      <c r="V1029" s="89"/>
      <c r="W1029" s="89"/>
      <c r="X1029" s="89"/>
      <c r="Y1029" s="89"/>
      <c r="Z1029" s="89"/>
      <c r="AA1029" s="89"/>
      <c r="AB1029" s="89"/>
      <c r="AC1029" s="89"/>
      <c r="AD1029" s="89"/>
      <c r="AE1029" s="89"/>
      <c r="AF1029" s="89"/>
      <c r="AG1029" s="89"/>
      <c r="AH1029" s="89"/>
      <c r="AI1029" s="89"/>
      <c r="AJ1029" s="89"/>
      <c r="AK1029" s="89"/>
      <c r="AL1029" s="89"/>
      <c r="AM1029" s="89"/>
      <c r="AN1029" s="89"/>
      <c r="AO1029" s="89"/>
      <c r="AP1029" s="89"/>
      <c r="AQ1029" s="89"/>
      <c r="AR1029" s="89"/>
      <c r="AS1029" s="89"/>
      <c r="AT1029" s="89"/>
      <c r="AU1029" s="89"/>
      <c r="AV1029" s="89"/>
      <c r="AW1029" s="89"/>
      <c r="AX1029" s="89"/>
      <c r="AY1029" s="89"/>
      <c r="AZ1029" s="89"/>
      <c r="BA1029" s="89"/>
      <c r="BB1029" s="89"/>
      <c r="BC1029" s="89"/>
      <c r="BD1029" s="89"/>
      <c r="BE1029" s="89"/>
      <c r="BF1029" s="89"/>
    </row>
    <row r="1030" spans="9:58" x14ac:dyDescent="0.25">
      <c r="I1030" s="89"/>
      <c r="J1030" s="89"/>
      <c r="K1030" s="89"/>
      <c r="L1030" s="89"/>
      <c r="M1030" s="89"/>
      <c r="N1030" s="89"/>
      <c r="O1030" s="89"/>
      <c r="P1030" s="89"/>
      <c r="Q1030" s="89"/>
      <c r="R1030" s="89"/>
      <c r="S1030" s="89"/>
      <c r="T1030" s="89"/>
      <c r="U1030" s="89"/>
      <c r="V1030" s="89"/>
      <c r="W1030" s="89"/>
      <c r="X1030" s="89"/>
      <c r="Y1030" s="89"/>
      <c r="Z1030" s="89"/>
      <c r="AA1030" s="89"/>
      <c r="AB1030" s="89"/>
      <c r="AC1030" s="89"/>
      <c r="AD1030" s="89"/>
      <c r="AE1030" s="89"/>
      <c r="AF1030" s="89"/>
      <c r="AG1030" s="89"/>
      <c r="AH1030" s="89"/>
      <c r="AI1030" s="89"/>
      <c r="AJ1030" s="89"/>
      <c r="AK1030" s="89"/>
      <c r="AL1030" s="89"/>
      <c r="AM1030" s="89"/>
      <c r="AN1030" s="89"/>
      <c r="AO1030" s="89"/>
      <c r="AP1030" s="89"/>
      <c r="AQ1030" s="89"/>
      <c r="AR1030" s="89"/>
      <c r="AS1030" s="89"/>
      <c r="AT1030" s="89"/>
      <c r="AU1030" s="89"/>
      <c r="AV1030" s="89"/>
      <c r="AW1030" s="89"/>
      <c r="AX1030" s="89"/>
      <c r="AY1030" s="89"/>
      <c r="AZ1030" s="89"/>
      <c r="BA1030" s="89"/>
      <c r="BB1030" s="89"/>
      <c r="BC1030" s="89"/>
      <c r="BD1030" s="89"/>
      <c r="BE1030" s="89"/>
      <c r="BF1030" s="89"/>
    </row>
    <row r="1031" spans="9:58" x14ac:dyDescent="0.25">
      <c r="I1031" s="89"/>
      <c r="J1031" s="89"/>
      <c r="K1031" s="89"/>
      <c r="L1031" s="89"/>
      <c r="M1031" s="89"/>
      <c r="N1031" s="89"/>
      <c r="O1031" s="89"/>
      <c r="P1031" s="89"/>
      <c r="Q1031" s="89"/>
      <c r="R1031" s="89"/>
      <c r="S1031" s="89"/>
      <c r="T1031" s="89"/>
      <c r="U1031" s="89"/>
      <c r="V1031" s="89"/>
      <c r="W1031" s="89"/>
      <c r="X1031" s="89"/>
      <c r="Y1031" s="89"/>
      <c r="Z1031" s="89"/>
      <c r="AA1031" s="89"/>
      <c r="AB1031" s="89"/>
      <c r="AC1031" s="89"/>
      <c r="AD1031" s="89"/>
      <c r="AE1031" s="89"/>
      <c r="AF1031" s="89"/>
      <c r="AG1031" s="89"/>
      <c r="AH1031" s="89"/>
      <c r="AI1031" s="89"/>
      <c r="AJ1031" s="89"/>
      <c r="AK1031" s="89"/>
      <c r="AL1031" s="89"/>
      <c r="AM1031" s="89"/>
      <c r="AN1031" s="89"/>
      <c r="AO1031" s="89"/>
      <c r="AP1031" s="89"/>
      <c r="AQ1031" s="89"/>
      <c r="AR1031" s="89"/>
      <c r="AS1031" s="89"/>
      <c r="AT1031" s="89"/>
      <c r="AU1031" s="89"/>
      <c r="AV1031" s="89"/>
      <c r="AW1031" s="89"/>
      <c r="AX1031" s="89"/>
      <c r="AY1031" s="89"/>
      <c r="AZ1031" s="89"/>
      <c r="BA1031" s="89"/>
      <c r="BB1031" s="89"/>
      <c r="BC1031" s="89"/>
      <c r="BD1031" s="89"/>
      <c r="BE1031" s="89"/>
      <c r="BF1031" s="89"/>
    </row>
    <row r="1032" spans="9:58" x14ac:dyDescent="0.25">
      <c r="I1032" s="89"/>
      <c r="J1032" s="89"/>
      <c r="K1032" s="89"/>
      <c r="L1032" s="89"/>
      <c r="M1032" s="89"/>
      <c r="N1032" s="89"/>
      <c r="O1032" s="89"/>
      <c r="P1032" s="89"/>
      <c r="Q1032" s="89"/>
      <c r="R1032" s="89"/>
      <c r="S1032" s="89"/>
      <c r="T1032" s="89"/>
      <c r="U1032" s="89"/>
      <c r="V1032" s="89"/>
      <c r="W1032" s="89"/>
      <c r="X1032" s="89"/>
      <c r="Y1032" s="89"/>
      <c r="Z1032" s="89"/>
      <c r="AA1032" s="89"/>
      <c r="AB1032" s="89"/>
      <c r="AC1032" s="89"/>
      <c r="AD1032" s="89"/>
      <c r="AE1032" s="89"/>
      <c r="AF1032" s="89"/>
      <c r="AG1032" s="89"/>
      <c r="AH1032" s="89"/>
      <c r="AI1032" s="89"/>
      <c r="AJ1032" s="89"/>
      <c r="AK1032" s="89"/>
      <c r="AL1032" s="89"/>
      <c r="AM1032" s="89"/>
      <c r="AN1032" s="89"/>
      <c r="AO1032" s="89"/>
      <c r="AP1032" s="89"/>
      <c r="AQ1032" s="89"/>
      <c r="AR1032" s="89"/>
      <c r="AS1032" s="89"/>
      <c r="AT1032" s="89"/>
      <c r="AU1032" s="89"/>
      <c r="AV1032" s="89"/>
      <c r="AW1032" s="89"/>
      <c r="AX1032" s="89"/>
      <c r="AY1032" s="89"/>
      <c r="AZ1032" s="89"/>
      <c r="BA1032" s="89"/>
      <c r="BB1032" s="89"/>
      <c r="BC1032" s="89"/>
      <c r="BD1032" s="89"/>
      <c r="BE1032" s="89"/>
      <c r="BF1032" s="89"/>
    </row>
    <row r="1033" spans="9:58" x14ac:dyDescent="0.25">
      <c r="I1033" s="89"/>
      <c r="J1033" s="89"/>
      <c r="K1033" s="89"/>
      <c r="L1033" s="89"/>
      <c r="M1033" s="89"/>
      <c r="N1033" s="89"/>
      <c r="O1033" s="89"/>
      <c r="P1033" s="89"/>
      <c r="Q1033" s="89"/>
      <c r="R1033" s="89"/>
      <c r="S1033" s="89"/>
      <c r="T1033" s="89"/>
      <c r="U1033" s="89"/>
      <c r="V1033" s="89"/>
      <c r="W1033" s="89"/>
      <c r="X1033" s="89"/>
      <c r="Y1033" s="89"/>
      <c r="Z1033" s="89"/>
      <c r="AA1033" s="89"/>
      <c r="AB1033" s="89"/>
      <c r="AC1033" s="89"/>
      <c r="AD1033" s="89"/>
      <c r="AE1033" s="89"/>
      <c r="AF1033" s="89"/>
      <c r="AG1033" s="89"/>
      <c r="AH1033" s="89"/>
      <c r="AI1033" s="89"/>
      <c r="AJ1033" s="89"/>
      <c r="AK1033" s="89"/>
      <c r="AL1033" s="89"/>
      <c r="AM1033" s="89"/>
      <c r="AN1033" s="89"/>
      <c r="AO1033" s="89"/>
      <c r="AP1033" s="89"/>
      <c r="AQ1033" s="89"/>
      <c r="AR1033" s="89"/>
      <c r="AS1033" s="89"/>
      <c r="AT1033" s="89"/>
      <c r="AU1033" s="89"/>
      <c r="AV1033" s="89"/>
      <c r="AW1033" s="89"/>
      <c r="AX1033" s="89"/>
      <c r="AY1033" s="89"/>
      <c r="AZ1033" s="89"/>
      <c r="BA1033" s="89"/>
      <c r="BB1033" s="89"/>
      <c r="BC1033" s="89"/>
      <c r="BD1033" s="89"/>
      <c r="BE1033" s="89"/>
      <c r="BF1033" s="89"/>
    </row>
    <row r="1034" spans="9:58" x14ac:dyDescent="0.25">
      <c r="I1034" s="89"/>
      <c r="J1034" s="89"/>
      <c r="K1034" s="89"/>
      <c r="L1034" s="89"/>
      <c r="M1034" s="89"/>
      <c r="N1034" s="89"/>
      <c r="O1034" s="89"/>
      <c r="P1034" s="89"/>
      <c r="Q1034" s="89"/>
      <c r="R1034" s="89"/>
      <c r="S1034" s="89"/>
      <c r="T1034" s="89"/>
      <c r="U1034" s="89"/>
      <c r="V1034" s="89"/>
      <c r="W1034" s="89"/>
      <c r="X1034" s="89"/>
      <c r="Y1034" s="89"/>
      <c r="Z1034" s="89"/>
      <c r="AA1034" s="89"/>
      <c r="AB1034" s="89"/>
      <c r="AC1034" s="89"/>
      <c r="AD1034" s="89"/>
      <c r="AE1034" s="89"/>
      <c r="AF1034" s="89"/>
      <c r="AG1034" s="89"/>
      <c r="AH1034" s="89"/>
      <c r="AI1034" s="89"/>
      <c r="AJ1034" s="89"/>
      <c r="AK1034" s="89"/>
      <c r="AL1034" s="89"/>
      <c r="AM1034" s="89"/>
      <c r="AN1034" s="89"/>
      <c r="AO1034" s="89"/>
      <c r="AP1034" s="89"/>
      <c r="AQ1034" s="89"/>
      <c r="AR1034" s="89"/>
      <c r="AS1034" s="89"/>
      <c r="AT1034" s="89"/>
      <c r="AU1034" s="89"/>
      <c r="AV1034" s="89"/>
      <c r="AW1034" s="89"/>
      <c r="AX1034" s="89"/>
      <c r="AY1034" s="89"/>
      <c r="AZ1034" s="89"/>
      <c r="BA1034" s="89"/>
      <c r="BB1034" s="89"/>
      <c r="BC1034" s="89"/>
      <c r="BD1034" s="89"/>
      <c r="BE1034" s="89"/>
      <c r="BF1034" s="89"/>
    </row>
    <row r="1035" spans="9:58" x14ac:dyDescent="0.25">
      <c r="I1035" s="89"/>
      <c r="J1035" s="89"/>
      <c r="K1035" s="89"/>
      <c r="L1035" s="89"/>
      <c r="M1035" s="89"/>
      <c r="N1035" s="89"/>
      <c r="O1035" s="89"/>
      <c r="P1035" s="89"/>
      <c r="Q1035" s="89"/>
      <c r="R1035" s="89"/>
      <c r="S1035" s="89"/>
      <c r="T1035" s="89"/>
      <c r="U1035" s="89"/>
      <c r="V1035" s="89"/>
      <c r="W1035" s="89"/>
      <c r="X1035" s="89"/>
      <c r="Y1035" s="89"/>
      <c r="Z1035" s="89"/>
      <c r="AA1035" s="89"/>
      <c r="AB1035" s="89"/>
      <c r="AC1035" s="89"/>
      <c r="AD1035" s="89"/>
      <c r="AE1035" s="89"/>
      <c r="AF1035" s="89"/>
      <c r="AG1035" s="89"/>
      <c r="AH1035" s="89"/>
      <c r="AI1035" s="89"/>
      <c r="AJ1035" s="89"/>
      <c r="AK1035" s="89"/>
      <c r="AL1035" s="89"/>
      <c r="AM1035" s="89"/>
      <c r="AN1035" s="89"/>
      <c r="AO1035" s="89"/>
      <c r="AP1035" s="89"/>
      <c r="AQ1035" s="89"/>
      <c r="AR1035" s="89"/>
      <c r="AS1035" s="89"/>
      <c r="AT1035" s="89"/>
      <c r="AU1035" s="89"/>
      <c r="AV1035" s="89"/>
      <c r="AW1035" s="89"/>
      <c r="AX1035" s="89"/>
      <c r="AY1035" s="89"/>
      <c r="AZ1035" s="89"/>
      <c r="BA1035" s="89"/>
      <c r="BB1035" s="89"/>
      <c r="BC1035" s="89"/>
      <c r="BD1035" s="89"/>
      <c r="BE1035" s="89"/>
      <c r="BF1035" s="89"/>
    </row>
    <row r="1036" spans="9:58" x14ac:dyDescent="0.25">
      <c r="I1036" s="89"/>
      <c r="J1036" s="89"/>
      <c r="K1036" s="89"/>
      <c r="L1036" s="89"/>
      <c r="M1036" s="89"/>
      <c r="N1036" s="89"/>
      <c r="O1036" s="89"/>
      <c r="P1036" s="89"/>
      <c r="Q1036" s="89"/>
      <c r="R1036" s="89"/>
      <c r="S1036" s="89"/>
      <c r="T1036" s="89"/>
      <c r="U1036" s="89"/>
      <c r="V1036" s="89"/>
      <c r="W1036" s="89"/>
      <c r="X1036" s="89"/>
      <c r="Y1036" s="89"/>
      <c r="Z1036" s="89"/>
      <c r="AA1036" s="89"/>
      <c r="AB1036" s="89"/>
      <c r="AC1036" s="89"/>
      <c r="AD1036" s="89"/>
      <c r="AE1036" s="89"/>
      <c r="AF1036" s="89"/>
      <c r="AG1036" s="89"/>
      <c r="AH1036" s="89"/>
      <c r="AI1036" s="89"/>
      <c r="AJ1036" s="89"/>
      <c r="AK1036" s="89"/>
      <c r="AL1036" s="89"/>
      <c r="AM1036" s="89"/>
      <c r="AN1036" s="89"/>
      <c r="AO1036" s="89"/>
      <c r="AP1036" s="89"/>
      <c r="AQ1036" s="89"/>
      <c r="AR1036" s="89"/>
      <c r="AS1036" s="89"/>
      <c r="AT1036" s="89"/>
      <c r="AU1036" s="89"/>
      <c r="AV1036" s="89"/>
      <c r="AW1036" s="89"/>
      <c r="AX1036" s="89"/>
      <c r="AY1036" s="89"/>
      <c r="AZ1036" s="89"/>
      <c r="BA1036" s="89"/>
      <c r="BB1036" s="89"/>
      <c r="BC1036" s="89"/>
      <c r="BD1036" s="89"/>
      <c r="BE1036" s="89"/>
      <c r="BF1036" s="89"/>
    </row>
    <row r="1037" spans="9:58" x14ac:dyDescent="0.25">
      <c r="I1037" s="89"/>
      <c r="J1037" s="89"/>
      <c r="K1037" s="89"/>
      <c r="L1037" s="89"/>
      <c r="M1037" s="89"/>
      <c r="N1037" s="89"/>
      <c r="O1037" s="89"/>
      <c r="P1037" s="89"/>
      <c r="Q1037" s="89"/>
      <c r="R1037" s="89"/>
      <c r="S1037" s="89"/>
      <c r="T1037" s="89"/>
      <c r="U1037" s="89"/>
      <c r="V1037" s="89"/>
      <c r="W1037" s="89"/>
      <c r="X1037" s="89"/>
      <c r="Y1037" s="89"/>
      <c r="Z1037" s="89"/>
      <c r="AA1037" s="89"/>
      <c r="AB1037" s="89"/>
      <c r="AC1037" s="89"/>
      <c r="AD1037" s="89"/>
      <c r="AE1037" s="89"/>
      <c r="AF1037" s="89"/>
      <c r="AG1037" s="89"/>
      <c r="AH1037" s="89"/>
      <c r="AI1037" s="89"/>
      <c r="AJ1037" s="89"/>
      <c r="AK1037" s="89"/>
      <c r="AL1037" s="89"/>
      <c r="AM1037" s="89"/>
      <c r="AN1037" s="89"/>
      <c r="AO1037" s="89"/>
      <c r="AP1037" s="89"/>
      <c r="AQ1037" s="89"/>
      <c r="AR1037" s="89"/>
      <c r="AS1037" s="89"/>
      <c r="AT1037" s="89"/>
      <c r="AU1037" s="89"/>
      <c r="AV1037" s="89"/>
      <c r="AW1037" s="89"/>
      <c r="AX1037" s="89"/>
      <c r="AY1037" s="89"/>
      <c r="AZ1037" s="89"/>
      <c r="BA1037" s="89"/>
      <c r="BB1037" s="89"/>
      <c r="BC1037" s="89"/>
      <c r="BD1037" s="89"/>
      <c r="BE1037" s="89"/>
      <c r="BF1037" s="89"/>
    </row>
    <row r="1038" spans="9:58" x14ac:dyDescent="0.25">
      <c r="I1038" s="89"/>
      <c r="J1038" s="89"/>
      <c r="K1038" s="89"/>
      <c r="L1038" s="89"/>
      <c r="M1038" s="89"/>
      <c r="N1038" s="89"/>
      <c r="O1038" s="89"/>
      <c r="P1038" s="89"/>
      <c r="Q1038" s="89"/>
      <c r="R1038" s="89"/>
      <c r="S1038" s="89"/>
      <c r="T1038" s="89"/>
      <c r="U1038" s="89"/>
      <c r="V1038" s="89"/>
      <c r="W1038" s="89"/>
      <c r="X1038" s="89"/>
      <c r="Y1038" s="89"/>
      <c r="Z1038" s="89"/>
      <c r="AA1038" s="89"/>
      <c r="AB1038" s="89"/>
      <c r="AC1038" s="89"/>
      <c r="AD1038" s="89"/>
      <c r="AE1038" s="89"/>
      <c r="AF1038" s="89"/>
      <c r="AG1038" s="89"/>
      <c r="AH1038" s="89"/>
      <c r="AI1038" s="89"/>
      <c r="AJ1038" s="89"/>
      <c r="AK1038" s="89"/>
      <c r="AL1038" s="89"/>
      <c r="AM1038" s="89"/>
      <c r="AN1038" s="89"/>
      <c r="AO1038" s="89"/>
      <c r="AP1038" s="89"/>
      <c r="AQ1038" s="89"/>
      <c r="AR1038" s="89"/>
      <c r="AS1038" s="89"/>
      <c r="AT1038" s="89"/>
      <c r="AU1038" s="89"/>
      <c r="AV1038" s="89"/>
      <c r="AW1038" s="89"/>
      <c r="AX1038" s="89"/>
      <c r="AY1038" s="89"/>
      <c r="AZ1038" s="89"/>
      <c r="BA1038" s="89"/>
      <c r="BB1038" s="89"/>
      <c r="BC1038" s="89"/>
      <c r="BD1038" s="89"/>
      <c r="BE1038" s="89"/>
      <c r="BF1038" s="89"/>
    </row>
    <row r="1039" spans="9:58" x14ac:dyDescent="0.25">
      <c r="I1039" s="89"/>
      <c r="J1039" s="89"/>
      <c r="K1039" s="89"/>
      <c r="L1039" s="89"/>
      <c r="M1039" s="89"/>
      <c r="N1039" s="89"/>
      <c r="O1039" s="89"/>
      <c r="P1039" s="89"/>
      <c r="Q1039" s="89"/>
      <c r="R1039" s="89"/>
      <c r="S1039" s="89"/>
      <c r="T1039" s="89"/>
      <c r="U1039" s="89"/>
      <c r="V1039" s="89"/>
      <c r="W1039" s="89"/>
      <c r="X1039" s="89"/>
      <c r="Y1039" s="89"/>
      <c r="Z1039" s="89"/>
      <c r="AA1039" s="89"/>
      <c r="AB1039" s="89"/>
      <c r="AC1039" s="89"/>
      <c r="AD1039" s="89"/>
      <c r="AE1039" s="89"/>
      <c r="AF1039" s="89"/>
      <c r="AG1039" s="89"/>
      <c r="AH1039" s="89"/>
      <c r="AI1039" s="89"/>
      <c r="AJ1039" s="89"/>
      <c r="AK1039" s="89"/>
      <c r="AL1039" s="89"/>
      <c r="AM1039" s="89"/>
      <c r="AN1039" s="89"/>
      <c r="AO1039" s="89"/>
      <c r="AP1039" s="89"/>
      <c r="AQ1039" s="89"/>
      <c r="AR1039" s="89"/>
      <c r="AS1039" s="89"/>
      <c r="AT1039" s="89"/>
      <c r="AU1039" s="89"/>
      <c r="AV1039" s="89"/>
      <c r="AW1039" s="89"/>
      <c r="AX1039" s="89"/>
      <c r="AY1039" s="89"/>
      <c r="AZ1039" s="89"/>
      <c r="BA1039" s="89"/>
      <c r="BB1039" s="89"/>
      <c r="BC1039" s="89"/>
      <c r="BD1039" s="89"/>
      <c r="BE1039" s="89"/>
      <c r="BF1039" s="89"/>
    </row>
    <row r="1040" spans="9:58" x14ac:dyDescent="0.25">
      <c r="I1040" s="89"/>
      <c r="J1040" s="89"/>
      <c r="K1040" s="89"/>
      <c r="L1040" s="89"/>
      <c r="M1040" s="89"/>
      <c r="N1040" s="89"/>
      <c r="O1040" s="89"/>
      <c r="P1040" s="89"/>
      <c r="Q1040" s="89"/>
      <c r="R1040" s="89"/>
      <c r="S1040" s="89"/>
      <c r="T1040" s="89"/>
      <c r="U1040" s="89"/>
      <c r="V1040" s="89"/>
      <c r="W1040" s="89"/>
      <c r="X1040" s="89"/>
      <c r="Y1040" s="89"/>
      <c r="Z1040" s="89"/>
      <c r="AA1040" s="89"/>
      <c r="AB1040" s="89"/>
      <c r="AC1040" s="89"/>
      <c r="AD1040" s="89"/>
      <c r="AE1040" s="89"/>
      <c r="AF1040" s="89"/>
      <c r="AG1040" s="89"/>
      <c r="AH1040" s="89"/>
      <c r="AI1040" s="89"/>
      <c r="AJ1040" s="89"/>
      <c r="AK1040" s="89"/>
      <c r="AL1040" s="89"/>
      <c r="AM1040" s="89"/>
      <c r="AN1040" s="89"/>
      <c r="AO1040" s="89"/>
      <c r="AP1040" s="89"/>
      <c r="AQ1040" s="89"/>
      <c r="AR1040" s="89"/>
      <c r="AS1040" s="89"/>
      <c r="AT1040" s="89"/>
      <c r="AU1040" s="89"/>
      <c r="AV1040" s="89"/>
      <c r="AW1040" s="89"/>
      <c r="AX1040" s="89"/>
      <c r="AY1040" s="89"/>
      <c r="AZ1040" s="89"/>
      <c r="BA1040" s="89"/>
      <c r="BB1040" s="89"/>
      <c r="BC1040" s="89"/>
      <c r="BD1040" s="89"/>
      <c r="BE1040" s="89"/>
      <c r="BF1040" s="89"/>
    </row>
    <row r="1041" spans="9:58" x14ac:dyDescent="0.25">
      <c r="I1041" s="89"/>
      <c r="J1041" s="89"/>
      <c r="K1041" s="89"/>
      <c r="L1041" s="89"/>
      <c r="M1041" s="89"/>
      <c r="N1041" s="89"/>
      <c r="O1041" s="89"/>
      <c r="P1041" s="89"/>
      <c r="Q1041" s="89"/>
      <c r="R1041" s="89"/>
      <c r="S1041" s="89"/>
      <c r="T1041" s="89"/>
      <c r="U1041" s="89"/>
      <c r="V1041" s="89"/>
      <c r="W1041" s="89"/>
      <c r="X1041" s="89"/>
      <c r="Y1041" s="89"/>
      <c r="Z1041" s="89"/>
      <c r="AA1041" s="89"/>
      <c r="AB1041" s="89"/>
      <c r="AC1041" s="89"/>
      <c r="AD1041" s="89"/>
      <c r="AE1041" s="89"/>
      <c r="AF1041" s="89"/>
      <c r="AG1041" s="89"/>
      <c r="AH1041" s="89"/>
      <c r="AI1041" s="89"/>
      <c r="AJ1041" s="89"/>
      <c r="AK1041" s="89"/>
      <c r="AL1041" s="89"/>
      <c r="AM1041" s="89"/>
      <c r="AN1041" s="89"/>
      <c r="AO1041" s="89"/>
      <c r="AP1041" s="89"/>
      <c r="AQ1041" s="89"/>
      <c r="AR1041" s="89"/>
      <c r="AS1041" s="89"/>
      <c r="AT1041" s="89"/>
      <c r="AU1041" s="89"/>
      <c r="AV1041" s="89"/>
      <c r="AW1041" s="89"/>
      <c r="AX1041" s="89"/>
      <c r="AY1041" s="89"/>
      <c r="AZ1041" s="89"/>
      <c r="BA1041" s="89"/>
      <c r="BB1041" s="89"/>
      <c r="BC1041" s="89"/>
      <c r="BD1041" s="89"/>
      <c r="BE1041" s="89"/>
      <c r="BF1041" s="89"/>
    </row>
    <row r="1042" spans="9:58" x14ac:dyDescent="0.25">
      <c r="I1042" s="89"/>
      <c r="J1042" s="89"/>
      <c r="K1042" s="89"/>
      <c r="L1042" s="89"/>
      <c r="M1042" s="89"/>
      <c r="N1042" s="89"/>
      <c r="O1042" s="89"/>
      <c r="P1042" s="89"/>
      <c r="Q1042" s="89"/>
      <c r="R1042" s="89"/>
      <c r="S1042" s="89"/>
      <c r="T1042" s="89"/>
      <c r="U1042" s="89"/>
      <c r="V1042" s="89"/>
      <c r="W1042" s="89"/>
      <c r="X1042" s="89"/>
      <c r="Y1042" s="89"/>
      <c r="Z1042" s="89"/>
      <c r="AA1042" s="89"/>
      <c r="AB1042" s="89"/>
      <c r="AC1042" s="89"/>
      <c r="AD1042" s="89"/>
      <c r="AE1042" s="89"/>
      <c r="AF1042" s="89"/>
      <c r="AG1042" s="89"/>
      <c r="AH1042" s="89"/>
      <c r="AI1042" s="89"/>
      <c r="AJ1042" s="89"/>
      <c r="AK1042" s="89"/>
      <c r="AL1042" s="89"/>
      <c r="AM1042" s="89"/>
      <c r="AN1042" s="89"/>
      <c r="AO1042" s="89"/>
      <c r="AP1042" s="89"/>
      <c r="AQ1042" s="89"/>
      <c r="AR1042" s="89"/>
      <c r="AS1042" s="89"/>
      <c r="AT1042" s="89"/>
      <c r="AU1042" s="89"/>
      <c r="AV1042" s="89"/>
      <c r="AW1042" s="89"/>
      <c r="AX1042" s="89"/>
      <c r="AY1042" s="89"/>
      <c r="AZ1042" s="89"/>
      <c r="BA1042" s="89"/>
      <c r="BB1042" s="89"/>
      <c r="BC1042" s="89"/>
      <c r="BD1042" s="89"/>
      <c r="BE1042" s="89"/>
      <c r="BF1042" s="89"/>
    </row>
    <row r="1043" spans="9:58" x14ac:dyDescent="0.25">
      <c r="I1043" s="89"/>
      <c r="J1043" s="89"/>
      <c r="K1043" s="89"/>
      <c r="L1043" s="89"/>
      <c r="M1043" s="89"/>
      <c r="N1043" s="89"/>
      <c r="O1043" s="89"/>
      <c r="P1043" s="89"/>
      <c r="Q1043" s="89"/>
      <c r="R1043" s="89"/>
      <c r="S1043" s="89"/>
      <c r="T1043" s="89"/>
      <c r="U1043" s="89"/>
      <c r="V1043" s="89"/>
      <c r="W1043" s="89"/>
      <c r="X1043" s="89"/>
      <c r="Y1043" s="89"/>
      <c r="Z1043" s="89"/>
      <c r="AA1043" s="89"/>
      <c r="AB1043" s="89"/>
      <c r="AC1043" s="89"/>
      <c r="AD1043" s="89"/>
      <c r="AE1043" s="89"/>
      <c r="AF1043" s="89"/>
      <c r="AG1043" s="89"/>
      <c r="AH1043" s="89"/>
      <c r="AI1043" s="89"/>
      <c r="AJ1043" s="89"/>
      <c r="AK1043" s="89"/>
      <c r="AL1043" s="89"/>
      <c r="AM1043" s="89"/>
      <c r="AN1043" s="89"/>
      <c r="AO1043" s="89"/>
      <c r="AP1043" s="89"/>
      <c r="AQ1043" s="89"/>
      <c r="AR1043" s="89"/>
      <c r="AS1043" s="89"/>
      <c r="AT1043" s="89"/>
      <c r="AU1043" s="89"/>
      <c r="AV1043" s="89"/>
      <c r="AW1043" s="89"/>
      <c r="AX1043" s="89"/>
      <c r="AY1043" s="89"/>
      <c r="AZ1043" s="89"/>
      <c r="BA1043" s="89"/>
      <c r="BB1043" s="89"/>
      <c r="BC1043" s="89"/>
      <c r="BD1043" s="89"/>
      <c r="BE1043" s="89"/>
      <c r="BF1043" s="89"/>
    </row>
    <row r="1044" spans="9:58" x14ac:dyDescent="0.25">
      <c r="I1044" s="89"/>
      <c r="J1044" s="89"/>
      <c r="K1044" s="89"/>
      <c r="L1044" s="89"/>
      <c r="M1044" s="89"/>
      <c r="N1044" s="89"/>
      <c r="O1044" s="89"/>
      <c r="P1044" s="89"/>
      <c r="Q1044" s="89"/>
      <c r="R1044" s="89"/>
      <c r="S1044" s="89"/>
      <c r="T1044" s="89"/>
      <c r="U1044" s="89"/>
      <c r="V1044" s="89"/>
      <c r="W1044" s="89"/>
      <c r="X1044" s="89"/>
      <c r="Y1044" s="89"/>
      <c r="Z1044" s="89"/>
      <c r="AA1044" s="89"/>
      <c r="AB1044" s="89"/>
      <c r="AC1044" s="89"/>
      <c r="AD1044" s="89"/>
      <c r="AE1044" s="89"/>
      <c r="AF1044" s="89"/>
      <c r="AG1044" s="89"/>
      <c r="AH1044" s="89"/>
      <c r="AI1044" s="89"/>
      <c r="AJ1044" s="89"/>
      <c r="AK1044" s="89"/>
      <c r="AL1044" s="89"/>
      <c r="AM1044" s="89"/>
      <c r="AN1044" s="89"/>
      <c r="AO1044" s="89"/>
      <c r="AP1044" s="89"/>
      <c r="AQ1044" s="89"/>
      <c r="AR1044" s="89"/>
      <c r="AS1044" s="89"/>
      <c r="AT1044" s="89"/>
      <c r="AU1044" s="89"/>
      <c r="AV1044" s="89"/>
      <c r="AW1044" s="89"/>
      <c r="AX1044" s="89"/>
      <c r="AY1044" s="89"/>
      <c r="AZ1044" s="89"/>
      <c r="BA1044" s="89"/>
      <c r="BB1044" s="89"/>
      <c r="BC1044" s="89"/>
      <c r="BD1044" s="89"/>
      <c r="BE1044" s="89"/>
      <c r="BF1044" s="89"/>
    </row>
    <row r="1045" spans="9:58" x14ac:dyDescent="0.25">
      <c r="I1045" s="89"/>
      <c r="J1045" s="89"/>
      <c r="K1045" s="89"/>
      <c r="L1045" s="89"/>
      <c r="M1045" s="89"/>
      <c r="N1045" s="89"/>
      <c r="O1045" s="89"/>
      <c r="P1045" s="89"/>
      <c r="Q1045" s="89"/>
      <c r="R1045" s="89"/>
      <c r="S1045" s="89"/>
      <c r="T1045" s="89"/>
      <c r="U1045" s="89"/>
      <c r="V1045" s="89"/>
      <c r="W1045" s="89"/>
      <c r="X1045" s="89"/>
      <c r="Y1045" s="89"/>
      <c r="Z1045" s="89"/>
      <c r="AA1045" s="89"/>
      <c r="AB1045" s="89"/>
      <c r="AC1045" s="89"/>
      <c r="AD1045" s="89"/>
      <c r="AE1045" s="89"/>
      <c r="AF1045" s="89"/>
      <c r="AG1045" s="89"/>
      <c r="AH1045" s="89"/>
      <c r="AI1045" s="89"/>
      <c r="AJ1045" s="89"/>
      <c r="AK1045" s="89"/>
      <c r="AL1045" s="89"/>
      <c r="AM1045" s="89"/>
      <c r="AN1045" s="89"/>
      <c r="AO1045" s="89"/>
      <c r="AP1045" s="89"/>
      <c r="AQ1045" s="89"/>
      <c r="AR1045" s="89"/>
      <c r="AS1045" s="89"/>
      <c r="AT1045" s="89"/>
      <c r="AU1045" s="89"/>
      <c r="AV1045" s="89"/>
      <c r="AW1045" s="89"/>
      <c r="AX1045" s="89"/>
      <c r="AY1045" s="89"/>
      <c r="AZ1045" s="89"/>
      <c r="BA1045" s="89"/>
      <c r="BB1045" s="89"/>
      <c r="BC1045" s="89"/>
      <c r="BD1045" s="89"/>
      <c r="BE1045" s="89"/>
      <c r="BF1045" s="89"/>
    </row>
    <row r="1046" spans="9:58" x14ac:dyDescent="0.25">
      <c r="I1046" s="89"/>
      <c r="J1046" s="89"/>
      <c r="K1046" s="89"/>
      <c r="L1046" s="89"/>
      <c r="M1046" s="89"/>
      <c r="N1046" s="89"/>
      <c r="O1046" s="89"/>
      <c r="P1046" s="89"/>
      <c r="Q1046" s="89"/>
      <c r="R1046" s="89"/>
      <c r="S1046" s="89"/>
      <c r="T1046" s="89"/>
      <c r="U1046" s="89"/>
      <c r="V1046" s="89"/>
      <c r="W1046" s="89"/>
      <c r="X1046" s="89"/>
      <c r="Y1046" s="89"/>
      <c r="Z1046" s="89"/>
      <c r="AA1046" s="89"/>
      <c r="AB1046" s="89"/>
      <c r="AC1046" s="89"/>
      <c r="AD1046" s="89"/>
      <c r="AE1046" s="89"/>
      <c r="AF1046" s="89"/>
      <c r="AG1046" s="89"/>
      <c r="AH1046" s="89"/>
      <c r="AI1046" s="89"/>
      <c r="AJ1046" s="89"/>
      <c r="AK1046" s="89"/>
      <c r="AL1046" s="89"/>
      <c r="AM1046" s="89"/>
      <c r="AN1046" s="89"/>
      <c r="AO1046" s="89"/>
      <c r="AP1046" s="89"/>
      <c r="AQ1046" s="89"/>
      <c r="AR1046" s="89"/>
      <c r="AS1046" s="89"/>
      <c r="AT1046" s="89"/>
      <c r="AU1046" s="89"/>
      <c r="AV1046" s="89"/>
      <c r="AW1046" s="89"/>
      <c r="AX1046" s="89"/>
      <c r="AY1046" s="89"/>
      <c r="AZ1046" s="89"/>
      <c r="BA1046" s="89"/>
      <c r="BB1046" s="89"/>
      <c r="BC1046" s="89"/>
      <c r="BD1046" s="89"/>
      <c r="BE1046" s="89"/>
      <c r="BF1046" s="89"/>
    </row>
    <row r="1047" spans="9:58" x14ac:dyDescent="0.25">
      <c r="I1047" s="89"/>
      <c r="J1047" s="89"/>
      <c r="K1047" s="89"/>
      <c r="L1047" s="89"/>
      <c r="M1047" s="89"/>
      <c r="N1047" s="89"/>
      <c r="O1047" s="89"/>
      <c r="P1047" s="89"/>
      <c r="Q1047" s="89"/>
      <c r="R1047" s="89"/>
      <c r="S1047" s="89"/>
      <c r="T1047" s="89"/>
      <c r="U1047" s="89"/>
      <c r="V1047" s="89"/>
      <c r="W1047" s="89"/>
      <c r="X1047" s="89"/>
      <c r="Y1047" s="89"/>
      <c r="Z1047" s="89"/>
      <c r="AA1047" s="89"/>
      <c r="AB1047" s="89"/>
      <c r="AC1047" s="89"/>
      <c r="AD1047" s="89"/>
      <c r="AE1047" s="89"/>
      <c r="AF1047" s="89"/>
      <c r="AG1047" s="89"/>
      <c r="AH1047" s="89"/>
      <c r="AI1047" s="89"/>
      <c r="AJ1047" s="89"/>
      <c r="AK1047" s="89"/>
      <c r="AL1047" s="89"/>
      <c r="AM1047" s="89"/>
      <c r="AN1047" s="89"/>
      <c r="AO1047" s="89"/>
      <c r="AP1047" s="89"/>
      <c r="AQ1047" s="89"/>
      <c r="AR1047" s="89"/>
      <c r="AS1047" s="89"/>
      <c r="AT1047" s="89"/>
      <c r="AU1047" s="89"/>
      <c r="AV1047" s="89"/>
      <c r="AW1047" s="89"/>
      <c r="AX1047" s="89"/>
      <c r="AY1047" s="89"/>
      <c r="AZ1047" s="89"/>
      <c r="BA1047" s="89"/>
      <c r="BB1047" s="89"/>
      <c r="BC1047" s="89"/>
      <c r="BD1047" s="89"/>
      <c r="BE1047" s="89"/>
      <c r="BF1047" s="89"/>
    </row>
    <row r="1048" spans="9:58" x14ac:dyDescent="0.25">
      <c r="I1048" s="89"/>
      <c r="J1048" s="89"/>
      <c r="K1048" s="89"/>
      <c r="L1048" s="89"/>
      <c r="M1048" s="89"/>
      <c r="N1048" s="89"/>
      <c r="O1048" s="89"/>
      <c r="P1048" s="89"/>
      <c r="Q1048" s="89"/>
      <c r="R1048" s="89"/>
      <c r="S1048" s="89"/>
      <c r="T1048" s="89"/>
      <c r="U1048" s="89"/>
      <c r="V1048" s="89"/>
      <c r="W1048" s="89"/>
      <c r="X1048" s="89"/>
      <c r="Y1048" s="89"/>
      <c r="Z1048" s="89"/>
      <c r="AA1048" s="89"/>
      <c r="AB1048" s="89"/>
      <c r="AC1048" s="89"/>
      <c r="AD1048" s="89"/>
      <c r="AE1048" s="89"/>
      <c r="AF1048" s="89"/>
      <c r="AG1048" s="89"/>
      <c r="AH1048" s="89"/>
      <c r="AI1048" s="89"/>
      <c r="AJ1048" s="89"/>
      <c r="AK1048" s="89"/>
      <c r="AL1048" s="89"/>
      <c r="AM1048" s="89"/>
      <c r="AN1048" s="89"/>
      <c r="AO1048" s="89"/>
      <c r="AP1048" s="89"/>
      <c r="AQ1048" s="89"/>
      <c r="AR1048" s="89"/>
      <c r="AS1048" s="89"/>
      <c r="AT1048" s="89"/>
      <c r="AU1048" s="89"/>
      <c r="AV1048" s="89"/>
      <c r="AW1048" s="89"/>
      <c r="AX1048" s="89"/>
      <c r="AY1048" s="89"/>
      <c r="AZ1048" s="89"/>
      <c r="BA1048" s="89"/>
      <c r="BB1048" s="89"/>
      <c r="BC1048" s="89"/>
      <c r="BD1048" s="89"/>
      <c r="BE1048" s="89"/>
      <c r="BF1048" s="89"/>
    </row>
    <row r="1049" spans="9:58" x14ac:dyDescent="0.25">
      <c r="I1049" s="89"/>
      <c r="J1049" s="89"/>
      <c r="K1049" s="89"/>
      <c r="L1049" s="89"/>
      <c r="M1049" s="89"/>
      <c r="N1049" s="89"/>
      <c r="O1049" s="89"/>
      <c r="P1049" s="89"/>
      <c r="Q1049" s="89"/>
      <c r="R1049" s="89"/>
      <c r="S1049" s="89"/>
      <c r="T1049" s="89"/>
      <c r="U1049" s="89"/>
      <c r="V1049" s="89"/>
      <c r="W1049" s="89"/>
      <c r="X1049" s="89"/>
      <c r="Y1049" s="89"/>
      <c r="Z1049" s="89"/>
      <c r="AA1049" s="89"/>
      <c r="AB1049" s="89"/>
      <c r="AC1049" s="89"/>
      <c r="AD1049" s="89"/>
      <c r="AE1049" s="89"/>
      <c r="AF1049" s="89"/>
      <c r="AG1049" s="89"/>
      <c r="AH1049" s="89"/>
      <c r="AI1049" s="89"/>
      <c r="AJ1049" s="89"/>
      <c r="AK1049" s="89"/>
      <c r="AL1049" s="89"/>
      <c r="AM1049" s="89"/>
      <c r="AN1049" s="89"/>
      <c r="AO1049" s="89"/>
      <c r="AP1049" s="89"/>
      <c r="AQ1049" s="89"/>
      <c r="AR1049" s="89"/>
      <c r="AS1049" s="89"/>
      <c r="AT1049" s="89"/>
      <c r="AU1049" s="89"/>
      <c r="AV1049" s="89"/>
      <c r="AW1049" s="89"/>
      <c r="AX1049" s="89"/>
      <c r="AY1049" s="89"/>
      <c r="AZ1049" s="89"/>
      <c r="BA1049" s="89"/>
      <c r="BB1049" s="89"/>
      <c r="BC1049" s="89"/>
      <c r="BD1049" s="89"/>
      <c r="BE1049" s="89"/>
      <c r="BF1049" s="89"/>
    </row>
    <row r="1050" spans="9:58" x14ac:dyDescent="0.25">
      <c r="I1050" s="89"/>
      <c r="J1050" s="89"/>
      <c r="K1050" s="89"/>
      <c r="L1050" s="89"/>
      <c r="M1050" s="89"/>
      <c r="N1050" s="89"/>
      <c r="O1050" s="89"/>
      <c r="P1050" s="89"/>
      <c r="Q1050" s="89"/>
      <c r="R1050" s="89"/>
      <c r="S1050" s="89"/>
      <c r="T1050" s="89"/>
      <c r="U1050" s="89"/>
      <c r="V1050" s="89"/>
      <c r="W1050" s="89"/>
      <c r="X1050" s="89"/>
      <c r="Y1050" s="89"/>
      <c r="Z1050" s="89"/>
      <c r="AA1050" s="89"/>
      <c r="AB1050" s="89"/>
      <c r="AC1050" s="89"/>
      <c r="AD1050" s="89"/>
      <c r="AE1050" s="89"/>
      <c r="AF1050" s="89"/>
      <c r="AG1050" s="89"/>
      <c r="AH1050" s="89"/>
      <c r="AI1050" s="89"/>
      <c r="AJ1050" s="89"/>
      <c r="AK1050" s="89"/>
      <c r="AL1050" s="89"/>
      <c r="AM1050" s="89"/>
      <c r="AN1050" s="89"/>
      <c r="AO1050" s="89"/>
      <c r="AP1050" s="89"/>
      <c r="AQ1050" s="89"/>
      <c r="AR1050" s="89"/>
      <c r="AS1050" s="89"/>
      <c r="AT1050" s="89"/>
      <c r="AU1050" s="89"/>
      <c r="AV1050" s="89"/>
      <c r="AW1050" s="89"/>
      <c r="AX1050" s="89"/>
      <c r="AY1050" s="89"/>
      <c r="AZ1050" s="89"/>
      <c r="BA1050" s="89"/>
      <c r="BB1050" s="89"/>
      <c r="BC1050" s="89"/>
      <c r="BD1050" s="89"/>
      <c r="BE1050" s="89"/>
      <c r="BF1050" s="89"/>
    </row>
    <row r="1051" spans="9:58" x14ac:dyDescent="0.25">
      <c r="I1051" s="89"/>
      <c r="J1051" s="89"/>
      <c r="K1051" s="89"/>
      <c r="L1051" s="89"/>
      <c r="M1051" s="89"/>
      <c r="N1051" s="89"/>
      <c r="O1051" s="89"/>
      <c r="P1051" s="89"/>
      <c r="Q1051" s="89"/>
      <c r="R1051" s="89"/>
      <c r="S1051" s="89"/>
      <c r="T1051" s="89"/>
      <c r="U1051" s="89"/>
      <c r="V1051" s="89"/>
      <c r="W1051" s="89"/>
      <c r="X1051" s="89"/>
      <c r="Y1051" s="89"/>
      <c r="Z1051" s="89"/>
      <c r="AA1051" s="89"/>
      <c r="AB1051" s="89"/>
      <c r="AC1051" s="89"/>
      <c r="AD1051" s="89"/>
      <c r="AE1051" s="89"/>
      <c r="AF1051" s="89"/>
      <c r="AG1051" s="89"/>
      <c r="AH1051" s="89"/>
      <c r="AI1051" s="89"/>
      <c r="AJ1051" s="89"/>
      <c r="AK1051" s="89"/>
      <c r="AL1051" s="89"/>
      <c r="AM1051" s="89"/>
      <c r="AN1051" s="89"/>
      <c r="AO1051" s="89"/>
      <c r="AP1051" s="89"/>
      <c r="AQ1051" s="89"/>
      <c r="AR1051" s="89"/>
      <c r="AS1051" s="89"/>
      <c r="AT1051" s="89"/>
      <c r="AU1051" s="89"/>
      <c r="AV1051" s="89"/>
      <c r="AW1051" s="89"/>
      <c r="AX1051" s="89"/>
      <c r="AY1051" s="89"/>
      <c r="AZ1051" s="89"/>
      <c r="BA1051" s="89"/>
      <c r="BB1051" s="89"/>
      <c r="BC1051" s="89"/>
      <c r="BD1051" s="89"/>
      <c r="BE1051" s="89"/>
      <c r="BF1051" s="89"/>
    </row>
    <row r="1052" spans="9:58" x14ac:dyDescent="0.25">
      <c r="I1052" s="89"/>
      <c r="J1052" s="89"/>
      <c r="K1052" s="89"/>
      <c r="L1052" s="89"/>
      <c r="M1052" s="89"/>
      <c r="N1052" s="89"/>
      <c r="O1052" s="89"/>
      <c r="P1052" s="89"/>
      <c r="Q1052" s="89"/>
      <c r="R1052" s="89"/>
      <c r="S1052" s="89"/>
      <c r="T1052" s="89"/>
      <c r="U1052" s="89"/>
      <c r="V1052" s="89"/>
      <c r="W1052" s="89"/>
      <c r="X1052" s="89"/>
      <c r="Y1052" s="89"/>
      <c r="Z1052" s="89"/>
      <c r="AA1052" s="89"/>
      <c r="AB1052" s="89"/>
      <c r="AC1052" s="89"/>
      <c r="AD1052" s="89"/>
      <c r="AE1052" s="89"/>
      <c r="AF1052" s="89"/>
      <c r="AG1052" s="89"/>
      <c r="AH1052" s="89"/>
      <c r="AI1052" s="89"/>
      <c r="AJ1052" s="89"/>
      <c r="AK1052" s="89"/>
      <c r="AL1052" s="89"/>
      <c r="AM1052" s="89"/>
      <c r="AN1052" s="89"/>
      <c r="AO1052" s="89"/>
      <c r="AP1052" s="89"/>
      <c r="AQ1052" s="89"/>
      <c r="AR1052" s="89"/>
      <c r="AS1052" s="89"/>
      <c r="AT1052" s="89"/>
      <c r="AU1052" s="89"/>
      <c r="AV1052" s="89"/>
      <c r="AW1052" s="89"/>
      <c r="AX1052" s="89"/>
      <c r="AY1052" s="89"/>
      <c r="AZ1052" s="89"/>
      <c r="BA1052" s="89"/>
      <c r="BB1052" s="89"/>
      <c r="BC1052" s="89"/>
      <c r="BD1052" s="89"/>
      <c r="BE1052" s="89"/>
      <c r="BF1052" s="89"/>
    </row>
    <row r="1053" spans="9:58" x14ac:dyDescent="0.25">
      <c r="I1053" s="89"/>
      <c r="J1053" s="89"/>
      <c r="K1053" s="89"/>
      <c r="L1053" s="89"/>
      <c r="M1053" s="89"/>
      <c r="N1053" s="89"/>
      <c r="O1053" s="89"/>
      <c r="P1053" s="89"/>
      <c r="Q1053" s="89"/>
      <c r="R1053" s="89"/>
      <c r="S1053" s="89"/>
      <c r="T1053" s="89"/>
      <c r="U1053" s="89"/>
      <c r="V1053" s="89"/>
      <c r="W1053" s="89"/>
      <c r="X1053" s="89"/>
      <c r="Y1053" s="89"/>
      <c r="Z1053" s="89"/>
      <c r="AA1053" s="89"/>
      <c r="AB1053" s="89"/>
      <c r="AC1053" s="89"/>
      <c r="AD1053" s="89"/>
      <c r="AE1053" s="89"/>
      <c r="AF1053" s="89"/>
      <c r="AG1053" s="89"/>
      <c r="AH1053" s="89"/>
      <c r="AI1053" s="89"/>
      <c r="AJ1053" s="89"/>
      <c r="AK1053" s="89"/>
      <c r="AL1053" s="89"/>
      <c r="AM1053" s="89"/>
      <c r="AN1053" s="89"/>
      <c r="AO1053" s="89"/>
      <c r="AP1053" s="89"/>
      <c r="AQ1053" s="89"/>
      <c r="AR1053" s="89"/>
      <c r="AS1053" s="89"/>
      <c r="AT1053" s="89"/>
      <c r="AU1053" s="89"/>
      <c r="AV1053" s="89"/>
      <c r="AW1053" s="89"/>
      <c r="AX1053" s="89"/>
      <c r="AY1053" s="89"/>
      <c r="AZ1053" s="89"/>
      <c r="BA1053" s="89"/>
      <c r="BB1053" s="89"/>
      <c r="BC1053" s="89"/>
      <c r="BD1053" s="89"/>
      <c r="BE1053" s="89"/>
      <c r="BF1053" s="89"/>
    </row>
    <row r="1054" spans="9:58" x14ac:dyDescent="0.25">
      <c r="I1054" s="89"/>
      <c r="J1054" s="89"/>
      <c r="K1054" s="89"/>
      <c r="L1054" s="89"/>
      <c r="M1054" s="89"/>
      <c r="N1054" s="89"/>
      <c r="O1054" s="89"/>
      <c r="P1054" s="89"/>
      <c r="Q1054" s="89"/>
      <c r="R1054" s="89"/>
      <c r="S1054" s="89"/>
      <c r="T1054" s="89"/>
      <c r="U1054" s="89"/>
      <c r="V1054" s="89"/>
      <c r="W1054" s="89"/>
      <c r="X1054" s="89"/>
      <c r="Y1054" s="89"/>
      <c r="Z1054" s="89"/>
      <c r="AA1054" s="89"/>
      <c r="AB1054" s="89"/>
      <c r="AC1054" s="89"/>
      <c r="AD1054" s="89"/>
      <c r="AE1054" s="89"/>
      <c r="AF1054" s="89"/>
      <c r="AG1054" s="89"/>
      <c r="AH1054" s="89"/>
      <c r="AI1054" s="89"/>
      <c r="AJ1054" s="89"/>
      <c r="AK1054" s="89"/>
      <c r="AL1054" s="89"/>
      <c r="AM1054" s="89"/>
      <c r="AN1054" s="89"/>
      <c r="AO1054" s="89"/>
      <c r="AP1054" s="89"/>
      <c r="AQ1054" s="89"/>
      <c r="AR1054" s="89"/>
      <c r="AS1054" s="89"/>
      <c r="AT1054" s="89"/>
      <c r="AU1054" s="89"/>
      <c r="AV1054" s="89"/>
      <c r="AW1054" s="89"/>
      <c r="AX1054" s="89"/>
      <c r="AY1054" s="89"/>
      <c r="AZ1054" s="89"/>
      <c r="BA1054" s="89"/>
      <c r="BB1054" s="89"/>
      <c r="BC1054" s="89"/>
      <c r="BD1054" s="89"/>
      <c r="BE1054" s="89"/>
      <c r="BF1054" s="89"/>
    </row>
    <row r="1055" spans="9:58" x14ac:dyDescent="0.25">
      <c r="I1055" s="89"/>
      <c r="J1055" s="89"/>
      <c r="K1055" s="89"/>
      <c r="L1055" s="89"/>
      <c r="M1055" s="89"/>
      <c r="N1055" s="89"/>
      <c r="O1055" s="89"/>
      <c r="P1055" s="89"/>
      <c r="Q1055" s="89"/>
      <c r="R1055" s="89"/>
      <c r="S1055" s="89"/>
      <c r="T1055" s="89"/>
      <c r="U1055" s="89"/>
      <c r="V1055" s="89"/>
      <c r="W1055" s="89"/>
      <c r="X1055" s="89"/>
      <c r="Y1055" s="89"/>
      <c r="Z1055" s="89"/>
      <c r="AA1055" s="89"/>
      <c r="AB1055" s="89"/>
      <c r="AC1055" s="89"/>
      <c r="AD1055" s="89"/>
      <c r="AE1055" s="89"/>
      <c r="AF1055" s="89"/>
      <c r="AG1055" s="89"/>
      <c r="AH1055" s="89"/>
      <c r="AI1055" s="89"/>
      <c r="AJ1055" s="89"/>
      <c r="AK1055" s="89"/>
      <c r="AL1055" s="89"/>
      <c r="AM1055" s="89"/>
      <c r="AN1055" s="89"/>
      <c r="AO1055" s="89"/>
      <c r="AP1055" s="89"/>
      <c r="AQ1055" s="89"/>
      <c r="AR1055" s="89"/>
      <c r="AS1055" s="89"/>
      <c r="AT1055" s="89"/>
      <c r="AU1055" s="89"/>
      <c r="AV1055" s="89"/>
      <c r="AW1055" s="89"/>
      <c r="AX1055" s="89"/>
      <c r="AY1055" s="89"/>
      <c r="AZ1055" s="89"/>
      <c r="BA1055" s="89"/>
      <c r="BB1055" s="89"/>
      <c r="BC1055" s="89"/>
      <c r="BD1055" s="89"/>
      <c r="BE1055" s="89"/>
      <c r="BF1055" s="89"/>
    </row>
    <row r="1056" spans="9:58" x14ac:dyDescent="0.25">
      <c r="I1056" s="89"/>
      <c r="J1056" s="89"/>
      <c r="K1056" s="89"/>
      <c r="L1056" s="89"/>
      <c r="M1056" s="89"/>
      <c r="N1056" s="89"/>
      <c r="O1056" s="89"/>
      <c r="P1056" s="89"/>
      <c r="Q1056" s="89"/>
      <c r="R1056" s="89"/>
      <c r="S1056" s="89"/>
      <c r="T1056" s="89"/>
      <c r="U1056" s="89"/>
      <c r="V1056" s="89"/>
      <c r="W1056" s="89"/>
      <c r="X1056" s="89"/>
      <c r="Y1056" s="89"/>
      <c r="Z1056" s="89"/>
      <c r="AA1056" s="89"/>
      <c r="AB1056" s="89"/>
      <c r="AC1056" s="89"/>
      <c r="AD1056" s="89"/>
      <c r="AE1056" s="89"/>
      <c r="AF1056" s="89"/>
      <c r="AG1056" s="89"/>
      <c r="AH1056" s="89"/>
      <c r="AI1056" s="89"/>
      <c r="AJ1056" s="89"/>
      <c r="AK1056" s="89"/>
      <c r="AL1056" s="89"/>
      <c r="AM1056" s="89"/>
      <c r="AN1056" s="89"/>
      <c r="AO1056" s="89"/>
      <c r="AP1056" s="89"/>
      <c r="AQ1056" s="89"/>
      <c r="AR1056" s="89"/>
      <c r="AS1056" s="89"/>
      <c r="AT1056" s="89"/>
      <c r="AU1056" s="89"/>
      <c r="AV1056" s="89"/>
      <c r="AW1056" s="89"/>
      <c r="AX1056" s="89"/>
      <c r="AY1056" s="89"/>
      <c r="AZ1056" s="89"/>
      <c r="BA1056" s="89"/>
      <c r="BB1056" s="89"/>
      <c r="BC1056" s="89"/>
      <c r="BD1056" s="89"/>
      <c r="BE1056" s="89"/>
      <c r="BF1056" s="89"/>
    </row>
    <row r="1057" spans="9:58" x14ac:dyDescent="0.25">
      <c r="I1057" s="89"/>
      <c r="J1057" s="89"/>
      <c r="K1057" s="89"/>
      <c r="L1057" s="89"/>
      <c r="M1057" s="89"/>
      <c r="N1057" s="89"/>
      <c r="O1057" s="89"/>
      <c r="P1057" s="89"/>
      <c r="Q1057" s="89"/>
      <c r="R1057" s="89"/>
      <c r="S1057" s="89"/>
      <c r="T1057" s="89"/>
      <c r="U1057" s="89"/>
      <c r="V1057" s="89"/>
      <c r="W1057" s="89"/>
      <c r="X1057" s="89"/>
      <c r="Y1057" s="89"/>
      <c r="Z1057" s="89"/>
      <c r="AA1057" s="89"/>
      <c r="AB1057" s="89"/>
      <c r="AC1057" s="89"/>
      <c r="AD1057" s="89"/>
      <c r="AE1057" s="89"/>
      <c r="AF1057" s="89"/>
      <c r="AG1057" s="89"/>
      <c r="AH1057" s="89"/>
      <c r="AI1057" s="89"/>
      <c r="AJ1057" s="89"/>
      <c r="AK1057" s="89"/>
      <c r="AL1057" s="89"/>
      <c r="AM1057" s="89"/>
      <c r="AN1057" s="89"/>
      <c r="AO1057" s="89"/>
      <c r="AP1057" s="89"/>
      <c r="AQ1057" s="89"/>
      <c r="AR1057" s="89"/>
      <c r="AS1057" s="89"/>
      <c r="AT1057" s="89"/>
      <c r="AU1057" s="89"/>
      <c r="AV1057" s="89"/>
      <c r="AW1057" s="89"/>
      <c r="AX1057" s="89"/>
      <c r="AY1057" s="89"/>
      <c r="AZ1057" s="89"/>
      <c r="BA1057" s="89"/>
      <c r="BB1057" s="89"/>
      <c r="BC1057" s="89"/>
      <c r="BD1057" s="89"/>
      <c r="BE1057" s="89"/>
      <c r="BF1057" s="89"/>
    </row>
    <row r="1058" spans="9:58" x14ac:dyDescent="0.25">
      <c r="I1058" s="89"/>
      <c r="J1058" s="89"/>
      <c r="K1058" s="89"/>
      <c r="L1058" s="89"/>
      <c r="M1058" s="89"/>
      <c r="N1058" s="89"/>
      <c r="O1058" s="89"/>
      <c r="P1058" s="89"/>
      <c r="Q1058" s="89"/>
      <c r="R1058" s="89"/>
      <c r="S1058" s="89"/>
      <c r="T1058" s="89"/>
      <c r="U1058" s="89"/>
      <c r="V1058" s="89"/>
      <c r="W1058" s="89"/>
      <c r="X1058" s="89"/>
      <c r="Y1058" s="89"/>
      <c r="Z1058" s="89"/>
      <c r="AA1058" s="89"/>
      <c r="AB1058" s="89"/>
      <c r="AC1058" s="89"/>
      <c r="AD1058" s="89"/>
      <c r="AE1058" s="89"/>
      <c r="AF1058" s="89"/>
      <c r="AG1058" s="89"/>
      <c r="AH1058" s="89"/>
      <c r="AI1058" s="89"/>
      <c r="AJ1058" s="89"/>
      <c r="AK1058" s="89"/>
      <c r="AL1058" s="89"/>
      <c r="AM1058" s="89"/>
      <c r="AN1058" s="89"/>
      <c r="AO1058" s="89"/>
      <c r="AP1058" s="89"/>
      <c r="AQ1058" s="89"/>
      <c r="AR1058" s="89"/>
      <c r="AS1058" s="89"/>
      <c r="AT1058" s="89"/>
      <c r="AU1058" s="89"/>
      <c r="AV1058" s="89"/>
      <c r="AW1058" s="89"/>
      <c r="AX1058" s="89"/>
      <c r="AY1058" s="89"/>
      <c r="AZ1058" s="89"/>
      <c r="BA1058" s="89"/>
      <c r="BB1058" s="89"/>
      <c r="BC1058" s="89"/>
      <c r="BD1058" s="89"/>
      <c r="BE1058" s="89"/>
      <c r="BF1058" s="89"/>
    </row>
    <row r="1059" spans="9:58" x14ac:dyDescent="0.25">
      <c r="I1059" s="89"/>
      <c r="J1059" s="89"/>
      <c r="K1059" s="89"/>
      <c r="L1059" s="89"/>
      <c r="M1059" s="89"/>
      <c r="N1059" s="89"/>
      <c r="O1059" s="89"/>
      <c r="P1059" s="89"/>
      <c r="Q1059" s="89"/>
      <c r="R1059" s="89"/>
      <c r="S1059" s="89"/>
      <c r="T1059" s="89"/>
      <c r="U1059" s="89"/>
      <c r="V1059" s="89"/>
      <c r="W1059" s="89"/>
      <c r="X1059" s="89"/>
      <c r="Y1059" s="89"/>
      <c r="Z1059" s="89"/>
      <c r="AA1059" s="89"/>
      <c r="AB1059" s="89"/>
      <c r="AC1059" s="89"/>
      <c r="AD1059" s="89"/>
      <c r="AE1059" s="89"/>
      <c r="AF1059" s="89"/>
      <c r="AG1059" s="89"/>
      <c r="AH1059" s="89"/>
      <c r="AI1059" s="89"/>
      <c r="AJ1059" s="89"/>
      <c r="AK1059" s="89"/>
      <c r="AL1059" s="89"/>
      <c r="AM1059" s="89"/>
      <c r="AN1059" s="89"/>
      <c r="AO1059" s="89"/>
      <c r="AP1059" s="89"/>
      <c r="AQ1059" s="89"/>
      <c r="AR1059" s="89"/>
      <c r="AS1059" s="89"/>
      <c r="AT1059" s="89"/>
      <c r="AU1059" s="89"/>
      <c r="AV1059" s="89"/>
      <c r="AW1059" s="89"/>
      <c r="AX1059" s="89"/>
      <c r="AY1059" s="89"/>
      <c r="AZ1059" s="89"/>
      <c r="BA1059" s="89"/>
      <c r="BB1059" s="89"/>
      <c r="BC1059" s="89"/>
      <c r="BD1059" s="89"/>
      <c r="BE1059" s="89"/>
      <c r="BF1059" s="89"/>
    </row>
    <row r="1060" spans="9:58" x14ac:dyDescent="0.25">
      <c r="I1060" s="89"/>
      <c r="J1060" s="89"/>
      <c r="K1060" s="89"/>
      <c r="L1060" s="89"/>
      <c r="M1060" s="89"/>
      <c r="N1060" s="89"/>
      <c r="O1060" s="89"/>
      <c r="P1060" s="89"/>
      <c r="Q1060" s="89"/>
      <c r="R1060" s="89"/>
      <c r="S1060" s="89"/>
      <c r="T1060" s="89"/>
      <c r="U1060" s="89"/>
      <c r="V1060" s="89"/>
      <c r="W1060" s="89"/>
      <c r="X1060" s="89"/>
      <c r="Y1060" s="89"/>
      <c r="Z1060" s="89"/>
      <c r="AA1060" s="89"/>
      <c r="AB1060" s="89"/>
      <c r="AC1060" s="89"/>
      <c r="AD1060" s="89"/>
      <c r="AE1060" s="89"/>
      <c r="AF1060" s="89"/>
      <c r="AG1060" s="89"/>
      <c r="AH1060" s="89"/>
      <c r="AI1060" s="89"/>
      <c r="AJ1060" s="89"/>
      <c r="AK1060" s="89"/>
      <c r="AL1060" s="89"/>
      <c r="AM1060" s="89"/>
      <c r="AN1060" s="89"/>
      <c r="AO1060" s="89"/>
      <c r="AP1060" s="89"/>
      <c r="AQ1060" s="89"/>
      <c r="AR1060" s="89"/>
      <c r="AS1060" s="89"/>
      <c r="AT1060" s="89"/>
      <c r="AU1060" s="89"/>
      <c r="AV1060" s="89"/>
      <c r="AW1060" s="89"/>
      <c r="AX1060" s="89"/>
      <c r="AY1060" s="89"/>
      <c r="AZ1060" s="89"/>
      <c r="BA1060" s="89"/>
      <c r="BB1060" s="89"/>
      <c r="BC1060" s="89"/>
      <c r="BD1060" s="89"/>
      <c r="BE1060" s="89"/>
      <c r="BF1060" s="89"/>
    </row>
    <row r="1061" spans="9:58" x14ac:dyDescent="0.25">
      <c r="I1061" s="89"/>
      <c r="J1061" s="89"/>
      <c r="K1061" s="89"/>
      <c r="L1061" s="89"/>
      <c r="M1061" s="89"/>
      <c r="N1061" s="89"/>
      <c r="O1061" s="89"/>
      <c r="P1061" s="89"/>
      <c r="Q1061" s="89"/>
      <c r="R1061" s="89"/>
      <c r="S1061" s="89"/>
      <c r="T1061" s="89"/>
      <c r="U1061" s="89"/>
      <c r="V1061" s="89"/>
      <c r="W1061" s="89"/>
      <c r="X1061" s="89"/>
      <c r="Y1061" s="89"/>
      <c r="Z1061" s="89"/>
      <c r="AA1061" s="89"/>
      <c r="AB1061" s="89"/>
      <c r="AC1061" s="89"/>
      <c r="AD1061" s="89"/>
      <c r="AE1061" s="89"/>
      <c r="AF1061" s="89"/>
      <c r="AG1061" s="89"/>
      <c r="AH1061" s="89"/>
      <c r="AI1061" s="89"/>
      <c r="AJ1061" s="89"/>
      <c r="AK1061" s="89"/>
      <c r="AL1061" s="89"/>
      <c r="AM1061" s="89"/>
      <c r="AN1061" s="89"/>
      <c r="AO1061" s="89"/>
      <c r="AP1061" s="89"/>
      <c r="AQ1061" s="89"/>
      <c r="AR1061" s="89"/>
      <c r="AS1061" s="89"/>
      <c r="AT1061" s="89"/>
      <c r="AU1061" s="89"/>
      <c r="AV1061" s="89"/>
      <c r="AW1061" s="89"/>
      <c r="AX1061" s="89"/>
      <c r="AY1061" s="89"/>
      <c r="AZ1061" s="89"/>
      <c r="BA1061" s="89"/>
      <c r="BB1061" s="89"/>
      <c r="BC1061" s="89"/>
      <c r="BD1061" s="89"/>
      <c r="BE1061" s="89"/>
      <c r="BF1061" s="89"/>
    </row>
    <row r="1062" spans="9:58" x14ac:dyDescent="0.25">
      <c r="I1062" s="89"/>
      <c r="J1062" s="89"/>
      <c r="K1062" s="89"/>
      <c r="L1062" s="89"/>
      <c r="M1062" s="89"/>
      <c r="N1062" s="89"/>
      <c r="O1062" s="89"/>
      <c r="P1062" s="89"/>
      <c r="Q1062" s="89"/>
      <c r="R1062" s="89"/>
      <c r="S1062" s="89"/>
      <c r="T1062" s="89"/>
      <c r="U1062" s="89"/>
      <c r="V1062" s="89"/>
      <c r="W1062" s="89"/>
      <c r="X1062" s="89"/>
      <c r="Y1062" s="89"/>
      <c r="Z1062" s="89"/>
      <c r="AA1062" s="89"/>
      <c r="AB1062" s="89"/>
      <c r="AC1062" s="89"/>
      <c r="AD1062" s="89"/>
      <c r="AE1062" s="89"/>
      <c r="AF1062" s="89"/>
      <c r="AG1062" s="89"/>
      <c r="AH1062" s="89"/>
      <c r="AI1062" s="89"/>
      <c r="AJ1062" s="89"/>
      <c r="AK1062" s="89"/>
      <c r="AL1062" s="89"/>
      <c r="AM1062" s="89"/>
      <c r="AN1062" s="89"/>
      <c r="AO1062" s="89"/>
      <c r="AP1062" s="89"/>
      <c r="AQ1062" s="89"/>
      <c r="AR1062" s="89"/>
      <c r="AS1062" s="89"/>
      <c r="AT1062" s="89"/>
      <c r="AU1062" s="89"/>
      <c r="AV1062" s="89"/>
      <c r="AW1062" s="89"/>
      <c r="AX1062" s="89"/>
      <c r="AY1062" s="89"/>
      <c r="AZ1062" s="89"/>
      <c r="BA1062" s="89"/>
      <c r="BB1062" s="89"/>
      <c r="BC1062" s="89"/>
      <c r="BD1062" s="89"/>
      <c r="BE1062" s="89"/>
      <c r="BF1062" s="89"/>
    </row>
    <row r="1063" spans="9:58" x14ac:dyDescent="0.25">
      <c r="I1063" s="89"/>
      <c r="J1063" s="89"/>
      <c r="K1063" s="89"/>
      <c r="L1063" s="89"/>
      <c r="M1063" s="89"/>
      <c r="N1063" s="89"/>
      <c r="O1063" s="89"/>
      <c r="P1063" s="89"/>
      <c r="Q1063" s="89"/>
      <c r="R1063" s="89"/>
      <c r="S1063" s="89"/>
      <c r="T1063" s="89"/>
      <c r="U1063" s="89"/>
      <c r="V1063" s="89"/>
      <c r="W1063" s="89"/>
      <c r="X1063" s="89"/>
      <c r="Y1063" s="89"/>
      <c r="Z1063" s="89"/>
      <c r="AA1063" s="89"/>
      <c r="AB1063" s="89"/>
      <c r="AC1063" s="89"/>
      <c r="AD1063" s="89"/>
      <c r="AE1063" s="89"/>
      <c r="AF1063" s="89"/>
      <c r="AG1063" s="89"/>
      <c r="AH1063" s="89"/>
      <c r="AI1063" s="89"/>
      <c r="AJ1063" s="89"/>
      <c r="AK1063" s="89"/>
      <c r="AL1063" s="89"/>
      <c r="AM1063" s="89"/>
      <c r="AN1063" s="89"/>
      <c r="AO1063" s="89"/>
      <c r="AP1063" s="89"/>
      <c r="AQ1063" s="89"/>
      <c r="AR1063" s="89"/>
      <c r="AS1063" s="89"/>
      <c r="AT1063" s="89"/>
      <c r="AU1063" s="89"/>
      <c r="AV1063" s="89"/>
      <c r="AW1063" s="89"/>
      <c r="AX1063" s="89"/>
      <c r="AY1063" s="89"/>
      <c r="AZ1063" s="89"/>
      <c r="BA1063" s="89"/>
      <c r="BB1063" s="89"/>
      <c r="BC1063" s="89"/>
      <c r="BD1063" s="89"/>
      <c r="BE1063" s="89"/>
      <c r="BF1063" s="89"/>
    </row>
    <row r="1064" spans="9:58" x14ac:dyDescent="0.25">
      <c r="I1064" s="89"/>
      <c r="J1064" s="89"/>
      <c r="K1064" s="89"/>
      <c r="L1064" s="89"/>
      <c r="M1064" s="89"/>
      <c r="N1064" s="89"/>
      <c r="O1064" s="89"/>
      <c r="P1064" s="89"/>
      <c r="Q1064" s="89"/>
      <c r="R1064" s="89"/>
      <c r="S1064" s="89"/>
      <c r="T1064" s="89"/>
      <c r="U1064" s="89"/>
      <c r="V1064" s="89"/>
      <c r="W1064" s="89"/>
      <c r="X1064" s="89"/>
      <c r="Y1064" s="89"/>
      <c r="Z1064" s="89"/>
      <c r="AA1064" s="89"/>
      <c r="AB1064" s="89"/>
      <c r="AC1064" s="89"/>
      <c r="AD1064" s="89"/>
      <c r="AE1064" s="89"/>
      <c r="AF1064" s="89"/>
      <c r="AG1064" s="89"/>
      <c r="AH1064" s="89"/>
      <c r="AI1064" s="89"/>
      <c r="AJ1064" s="89"/>
      <c r="AK1064" s="89"/>
      <c r="AL1064" s="89"/>
      <c r="AM1064" s="89"/>
      <c r="AN1064" s="89"/>
      <c r="AO1064" s="89"/>
      <c r="AP1064" s="89"/>
      <c r="AQ1064" s="89"/>
      <c r="AR1064" s="89"/>
      <c r="AS1064" s="89"/>
      <c r="AT1064" s="89"/>
      <c r="AU1064" s="89"/>
      <c r="AV1064" s="89"/>
      <c r="AW1064" s="89"/>
      <c r="AX1064" s="89"/>
      <c r="AY1064" s="89"/>
      <c r="AZ1064" s="89"/>
      <c r="BA1064" s="89"/>
      <c r="BB1064" s="89"/>
      <c r="BC1064" s="89"/>
      <c r="BD1064" s="89"/>
      <c r="BE1064" s="89"/>
      <c r="BF1064" s="89"/>
    </row>
    <row r="1065" spans="9:58" x14ac:dyDescent="0.25">
      <c r="I1065" s="89"/>
      <c r="J1065" s="89"/>
      <c r="K1065" s="89"/>
      <c r="L1065" s="89"/>
      <c r="M1065" s="89"/>
      <c r="N1065" s="89"/>
      <c r="O1065" s="89"/>
      <c r="P1065" s="89"/>
      <c r="Q1065" s="89"/>
      <c r="R1065" s="89"/>
      <c r="S1065" s="89"/>
      <c r="T1065" s="89"/>
      <c r="U1065" s="89"/>
      <c r="V1065" s="89"/>
      <c r="W1065" s="89"/>
      <c r="X1065" s="89"/>
      <c r="Y1065" s="89"/>
      <c r="Z1065" s="89"/>
      <c r="AA1065" s="89"/>
      <c r="AB1065" s="89"/>
      <c r="AC1065" s="89"/>
      <c r="AD1065" s="89"/>
      <c r="AE1065" s="89"/>
      <c r="AF1065" s="89"/>
      <c r="AG1065" s="89"/>
      <c r="AH1065" s="89"/>
      <c r="AI1065" s="89"/>
      <c r="AJ1065" s="89"/>
      <c r="AK1065" s="89"/>
      <c r="AL1065" s="89"/>
      <c r="AM1065" s="89"/>
      <c r="AN1065" s="89"/>
      <c r="AO1065" s="89"/>
      <c r="AP1065" s="89"/>
      <c r="AQ1065" s="89"/>
      <c r="AR1065" s="89"/>
      <c r="AS1065" s="89"/>
      <c r="AT1065" s="89"/>
      <c r="AU1065" s="89"/>
      <c r="AV1065" s="89"/>
      <c r="AW1065" s="89"/>
      <c r="AX1065" s="89"/>
      <c r="AY1065" s="89"/>
      <c r="AZ1065" s="89"/>
      <c r="BA1065" s="89"/>
      <c r="BB1065" s="89"/>
      <c r="BC1065" s="89"/>
      <c r="BD1065" s="89"/>
      <c r="BE1065" s="89"/>
      <c r="BF1065" s="89"/>
    </row>
    <row r="1066" spans="9:58" x14ac:dyDescent="0.25">
      <c r="I1066" s="89"/>
      <c r="J1066" s="89"/>
      <c r="K1066" s="89"/>
      <c r="L1066" s="89"/>
      <c r="M1066" s="89"/>
      <c r="N1066" s="89"/>
      <c r="O1066" s="89"/>
      <c r="P1066" s="89"/>
      <c r="Q1066" s="89"/>
      <c r="R1066" s="89"/>
      <c r="S1066" s="89"/>
      <c r="T1066" s="89"/>
      <c r="U1066" s="89"/>
      <c r="V1066" s="89"/>
      <c r="W1066" s="89"/>
      <c r="X1066" s="89"/>
      <c r="Y1066" s="89"/>
      <c r="Z1066" s="89"/>
      <c r="AA1066" s="89"/>
      <c r="AB1066" s="89"/>
      <c r="AC1066" s="89"/>
      <c r="AD1066" s="89"/>
      <c r="AE1066" s="89"/>
      <c r="AF1066" s="89"/>
      <c r="AG1066" s="89"/>
      <c r="AH1066" s="89"/>
      <c r="AI1066" s="89"/>
      <c r="AJ1066" s="89"/>
      <c r="AK1066" s="89"/>
      <c r="AL1066" s="89"/>
      <c r="AM1066" s="89"/>
      <c r="AN1066" s="89"/>
      <c r="AO1066" s="89"/>
      <c r="AP1066" s="89"/>
      <c r="AQ1066" s="89"/>
      <c r="AR1066" s="89"/>
      <c r="AS1066" s="89"/>
      <c r="AT1066" s="89"/>
      <c r="AU1066" s="89"/>
      <c r="AV1066" s="89"/>
      <c r="AW1066" s="89"/>
      <c r="AX1066" s="89"/>
      <c r="AY1066" s="89"/>
      <c r="AZ1066" s="89"/>
      <c r="BA1066" s="89"/>
      <c r="BB1066" s="89"/>
      <c r="BC1066" s="89"/>
      <c r="BD1066" s="89"/>
      <c r="BE1066" s="89"/>
      <c r="BF1066" s="89"/>
    </row>
    <row r="1067" spans="9:58" x14ac:dyDescent="0.25">
      <c r="I1067" s="89"/>
      <c r="J1067" s="89"/>
      <c r="K1067" s="89"/>
      <c r="L1067" s="89"/>
      <c r="M1067" s="89"/>
      <c r="N1067" s="89"/>
      <c r="O1067" s="89"/>
      <c r="P1067" s="89"/>
      <c r="Q1067" s="89"/>
      <c r="R1067" s="89"/>
      <c r="S1067" s="89"/>
      <c r="T1067" s="89"/>
      <c r="U1067" s="89"/>
      <c r="V1067" s="89"/>
      <c r="W1067" s="89"/>
      <c r="X1067" s="89"/>
      <c r="Y1067" s="89"/>
      <c r="Z1067" s="89"/>
      <c r="AA1067" s="89"/>
      <c r="AB1067" s="89"/>
      <c r="AC1067" s="89"/>
      <c r="AD1067" s="89"/>
      <c r="AE1067" s="89"/>
      <c r="AF1067" s="89"/>
      <c r="AG1067" s="89"/>
      <c r="AH1067" s="89"/>
      <c r="AI1067" s="89"/>
      <c r="AJ1067" s="89"/>
      <c r="AK1067" s="89"/>
      <c r="AL1067" s="89"/>
      <c r="AM1067" s="89"/>
      <c r="AN1067" s="89"/>
      <c r="AO1067" s="89"/>
      <c r="AP1067" s="89"/>
      <c r="AQ1067" s="89"/>
      <c r="AR1067" s="89"/>
      <c r="AS1067" s="89"/>
      <c r="AT1067" s="89"/>
      <c r="AU1067" s="89"/>
      <c r="AV1067" s="89"/>
      <c r="AW1067" s="89"/>
      <c r="AX1067" s="89"/>
      <c r="AY1067" s="89"/>
      <c r="AZ1067" s="89"/>
      <c r="BA1067" s="89"/>
      <c r="BB1067" s="89"/>
      <c r="BC1067" s="89"/>
      <c r="BD1067" s="89"/>
      <c r="BE1067" s="89"/>
      <c r="BF1067" s="89"/>
    </row>
    <row r="1068" spans="9:58" x14ac:dyDescent="0.25">
      <c r="I1068" s="89"/>
      <c r="J1068" s="89"/>
      <c r="K1068" s="89"/>
      <c r="L1068" s="89"/>
      <c r="M1068" s="89"/>
      <c r="N1068" s="89"/>
      <c r="O1068" s="89"/>
      <c r="P1068" s="89"/>
      <c r="Q1068" s="89"/>
      <c r="R1068" s="89"/>
      <c r="S1068" s="89"/>
      <c r="T1068" s="89"/>
      <c r="U1068" s="89"/>
      <c r="V1068" s="89"/>
      <c r="W1068" s="89"/>
      <c r="X1068" s="89"/>
      <c r="Y1068" s="89"/>
      <c r="Z1068" s="89"/>
      <c r="AA1068" s="89"/>
      <c r="AB1068" s="89"/>
      <c r="AC1068" s="89"/>
      <c r="AD1068" s="89"/>
      <c r="AE1068" s="89"/>
      <c r="AF1068" s="89"/>
      <c r="AG1068" s="89"/>
      <c r="AH1068" s="89"/>
      <c r="AI1068" s="89"/>
      <c r="AJ1068" s="89"/>
      <c r="AK1068" s="89"/>
      <c r="AL1068" s="89"/>
      <c r="AM1068" s="89"/>
      <c r="AN1068" s="89"/>
      <c r="AO1068" s="89"/>
      <c r="AP1068" s="89"/>
      <c r="AQ1068" s="89"/>
      <c r="AR1068" s="89"/>
      <c r="AS1068" s="89"/>
      <c r="AT1068" s="89"/>
      <c r="AU1068" s="89"/>
      <c r="AV1068" s="89"/>
      <c r="AW1068" s="89"/>
      <c r="AX1068" s="89"/>
      <c r="AY1068" s="89"/>
      <c r="AZ1068" s="89"/>
      <c r="BA1068" s="89"/>
      <c r="BB1068" s="89"/>
      <c r="BC1068" s="89"/>
      <c r="BD1068" s="89"/>
      <c r="BE1068" s="89"/>
      <c r="BF1068" s="89"/>
    </row>
    <row r="1069" spans="9:58" x14ac:dyDescent="0.25">
      <c r="I1069" s="89"/>
      <c r="J1069" s="89"/>
      <c r="K1069" s="89"/>
      <c r="L1069" s="89"/>
      <c r="M1069" s="89"/>
      <c r="N1069" s="89"/>
      <c r="O1069" s="89"/>
      <c r="P1069" s="89"/>
      <c r="Q1069" s="89"/>
      <c r="R1069" s="89"/>
      <c r="S1069" s="89"/>
      <c r="T1069" s="89"/>
      <c r="U1069" s="89"/>
      <c r="V1069" s="89"/>
      <c r="W1069" s="89"/>
      <c r="X1069" s="89"/>
      <c r="Y1069" s="89"/>
      <c r="Z1069" s="89"/>
      <c r="AA1069" s="89"/>
      <c r="AB1069" s="89"/>
      <c r="AC1069" s="89"/>
      <c r="AD1069" s="89"/>
      <c r="AE1069" s="89"/>
      <c r="AF1069" s="89"/>
      <c r="AG1069" s="89"/>
      <c r="AH1069" s="89"/>
      <c r="AI1069" s="89"/>
      <c r="AJ1069" s="89"/>
      <c r="AK1069" s="89"/>
      <c r="AL1069" s="89"/>
      <c r="AM1069" s="89"/>
      <c r="AN1069" s="89"/>
      <c r="AO1069" s="89"/>
      <c r="AP1069" s="89"/>
      <c r="AQ1069" s="89"/>
      <c r="AR1069" s="89"/>
      <c r="AS1069" s="89"/>
      <c r="AT1069" s="89"/>
      <c r="AU1069" s="89"/>
      <c r="AV1069" s="89"/>
      <c r="AW1069" s="89"/>
      <c r="AX1069" s="89"/>
      <c r="AY1069" s="89"/>
      <c r="AZ1069" s="89"/>
      <c r="BA1069" s="89"/>
      <c r="BB1069" s="89"/>
      <c r="BC1069" s="89"/>
      <c r="BD1069" s="89"/>
      <c r="BE1069" s="89"/>
      <c r="BF1069" s="89"/>
    </row>
    <row r="1070" spans="9:58" x14ac:dyDescent="0.25">
      <c r="I1070" s="89"/>
      <c r="J1070" s="89"/>
      <c r="K1070" s="89"/>
      <c r="L1070" s="89"/>
      <c r="M1070" s="89"/>
      <c r="N1070" s="89"/>
      <c r="O1070" s="89"/>
      <c r="P1070" s="89"/>
      <c r="Q1070" s="89"/>
      <c r="R1070" s="89"/>
      <c r="S1070" s="89"/>
      <c r="T1070" s="89"/>
      <c r="U1070" s="89"/>
      <c r="V1070" s="89"/>
      <c r="W1070" s="89"/>
      <c r="X1070" s="89"/>
      <c r="Y1070" s="89"/>
      <c r="Z1070" s="89"/>
      <c r="AA1070" s="89"/>
      <c r="AB1070" s="89"/>
      <c r="AC1070" s="89"/>
      <c r="AD1070" s="89"/>
      <c r="AE1070" s="89"/>
      <c r="AF1070" s="89"/>
      <c r="AG1070" s="89"/>
      <c r="AH1070" s="89"/>
      <c r="AI1070" s="89"/>
      <c r="AJ1070" s="89"/>
      <c r="AK1070" s="89"/>
      <c r="AL1070" s="89"/>
      <c r="AM1070" s="89"/>
      <c r="AN1070" s="89"/>
      <c r="AO1070" s="89"/>
      <c r="AP1070" s="89"/>
      <c r="AQ1070" s="89"/>
      <c r="AR1070" s="89"/>
      <c r="AS1070" s="89"/>
      <c r="AT1070" s="89"/>
      <c r="AU1070" s="89"/>
      <c r="AV1070" s="89"/>
      <c r="AW1070" s="89"/>
      <c r="AX1070" s="89"/>
      <c r="AY1070" s="89"/>
      <c r="AZ1070" s="89"/>
      <c r="BA1070" s="89"/>
      <c r="BB1070" s="89"/>
      <c r="BC1070" s="89"/>
      <c r="BD1070" s="89"/>
      <c r="BE1070" s="89"/>
      <c r="BF1070" s="89"/>
    </row>
    <row r="1071" spans="9:58" x14ac:dyDescent="0.25">
      <c r="I1071" s="89"/>
      <c r="J1071" s="89"/>
      <c r="K1071" s="89"/>
      <c r="L1071" s="89"/>
      <c r="M1071" s="89"/>
      <c r="N1071" s="89"/>
      <c r="O1071" s="89"/>
      <c r="P1071" s="89"/>
      <c r="Q1071" s="89"/>
      <c r="R1071" s="89"/>
      <c r="S1071" s="89"/>
      <c r="T1071" s="89"/>
      <c r="U1071" s="89"/>
      <c r="V1071" s="89"/>
      <c r="W1071" s="89"/>
      <c r="X1071" s="89"/>
      <c r="Y1071" s="89"/>
      <c r="Z1071" s="89"/>
      <c r="AA1071" s="89"/>
      <c r="AB1071" s="89"/>
      <c r="AC1071" s="89"/>
      <c r="AD1071" s="89"/>
      <c r="AE1071" s="89"/>
      <c r="AF1071" s="89"/>
      <c r="AG1071" s="89"/>
      <c r="AH1071" s="89"/>
      <c r="AI1071" s="89"/>
      <c r="AJ1071" s="89"/>
      <c r="AK1071" s="89"/>
      <c r="AL1071" s="89"/>
      <c r="AM1071" s="89"/>
      <c r="AN1071" s="89"/>
      <c r="AO1071" s="89"/>
      <c r="AP1071" s="89"/>
      <c r="AQ1071" s="89"/>
      <c r="AR1071" s="89"/>
      <c r="AS1071" s="89"/>
      <c r="AT1071" s="89"/>
      <c r="AU1071" s="89"/>
      <c r="AV1071" s="89"/>
      <c r="AW1071" s="89"/>
      <c r="AX1071" s="89"/>
      <c r="AY1071" s="89"/>
      <c r="AZ1071" s="89"/>
      <c r="BA1071" s="89"/>
      <c r="BB1071" s="89"/>
      <c r="BC1071" s="89"/>
      <c r="BD1071" s="89"/>
      <c r="BE1071" s="89"/>
      <c r="BF1071" s="89"/>
    </row>
    <row r="1072" spans="9:58" x14ac:dyDescent="0.25">
      <c r="I1072" s="89"/>
      <c r="J1072" s="89"/>
      <c r="K1072" s="89"/>
      <c r="L1072" s="89"/>
      <c r="M1072" s="89"/>
      <c r="N1072" s="89"/>
      <c r="O1072" s="89"/>
      <c r="P1072" s="89"/>
      <c r="Q1072" s="89"/>
      <c r="R1072" s="89"/>
      <c r="S1072" s="89"/>
      <c r="T1072" s="89"/>
      <c r="U1072" s="89"/>
      <c r="V1072" s="89"/>
      <c r="W1072" s="89"/>
      <c r="X1072" s="89"/>
      <c r="Y1072" s="89"/>
      <c r="Z1072" s="89"/>
      <c r="AA1072" s="89"/>
      <c r="AB1072" s="89"/>
      <c r="AC1072" s="89"/>
      <c r="AD1072" s="89"/>
      <c r="AE1072" s="89"/>
      <c r="AF1072" s="89"/>
      <c r="AG1072" s="89"/>
      <c r="AH1072" s="89"/>
      <c r="AI1072" s="89"/>
      <c r="AJ1072" s="89"/>
      <c r="AK1072" s="89"/>
      <c r="AL1072" s="89"/>
      <c r="AM1072" s="89"/>
      <c r="AN1072" s="89"/>
      <c r="AO1072" s="89"/>
      <c r="AP1072" s="89"/>
      <c r="AQ1072" s="89"/>
      <c r="AR1072" s="89"/>
      <c r="AS1072" s="89"/>
      <c r="AT1072" s="89"/>
      <c r="AU1072" s="89"/>
      <c r="AV1072" s="89"/>
      <c r="AW1072" s="89"/>
      <c r="AX1072" s="89"/>
      <c r="AY1072" s="89"/>
      <c r="AZ1072" s="89"/>
      <c r="BA1072" s="89"/>
      <c r="BB1072" s="89"/>
      <c r="BC1072" s="89"/>
      <c r="BD1072" s="89"/>
      <c r="BE1072" s="89"/>
      <c r="BF1072" s="89"/>
    </row>
    <row r="1073" spans="9:58" x14ac:dyDescent="0.25">
      <c r="I1073" s="89"/>
      <c r="J1073" s="89"/>
      <c r="K1073" s="89"/>
      <c r="L1073" s="89"/>
      <c r="M1073" s="89"/>
      <c r="N1073" s="89"/>
      <c r="O1073" s="89"/>
      <c r="P1073" s="89"/>
      <c r="Q1073" s="89"/>
      <c r="R1073" s="89"/>
      <c r="S1073" s="89"/>
      <c r="T1073" s="89"/>
      <c r="U1073" s="89"/>
      <c r="V1073" s="89"/>
      <c r="W1073" s="89"/>
      <c r="X1073" s="89"/>
      <c r="Y1073" s="89"/>
      <c r="Z1073" s="89"/>
      <c r="AA1073" s="89"/>
      <c r="AB1073" s="89"/>
      <c r="AC1073" s="89"/>
      <c r="AD1073" s="89"/>
      <c r="AE1073" s="89"/>
      <c r="AF1073" s="89"/>
      <c r="AG1073" s="89"/>
      <c r="AH1073" s="89"/>
      <c r="AI1073" s="89"/>
      <c r="AJ1073" s="89"/>
      <c r="AK1073" s="89"/>
      <c r="AL1073" s="89"/>
      <c r="AM1073" s="89"/>
      <c r="AN1073" s="89"/>
      <c r="AO1073" s="89"/>
      <c r="AP1073" s="89"/>
      <c r="AQ1073" s="89"/>
      <c r="AR1073" s="89"/>
      <c r="AS1073" s="89"/>
      <c r="AT1073" s="89"/>
      <c r="AU1073" s="89"/>
      <c r="AV1073" s="89"/>
      <c r="AW1073" s="89"/>
      <c r="AX1073" s="89"/>
      <c r="AY1073" s="89"/>
      <c r="AZ1073" s="89"/>
      <c r="BA1073" s="89"/>
      <c r="BB1073" s="89"/>
      <c r="BC1073" s="89"/>
      <c r="BD1073" s="89"/>
      <c r="BE1073" s="89"/>
      <c r="BF1073" s="89"/>
    </row>
    <row r="1074" spans="9:58" x14ac:dyDescent="0.25">
      <c r="I1074" s="89"/>
      <c r="J1074" s="89"/>
      <c r="K1074" s="89"/>
      <c r="L1074" s="89"/>
      <c r="M1074" s="89"/>
      <c r="N1074" s="89"/>
      <c r="O1074" s="89"/>
      <c r="P1074" s="89"/>
      <c r="Q1074" s="89"/>
      <c r="R1074" s="89"/>
      <c r="S1074" s="89"/>
      <c r="T1074" s="89"/>
      <c r="U1074" s="89"/>
      <c r="V1074" s="89"/>
      <c r="W1074" s="89"/>
      <c r="X1074" s="89"/>
      <c r="Y1074" s="89"/>
      <c r="Z1074" s="89"/>
      <c r="AA1074" s="89"/>
      <c r="AB1074" s="89"/>
      <c r="AC1074" s="89"/>
      <c r="AD1074" s="89"/>
      <c r="AE1074" s="89"/>
      <c r="AF1074" s="89"/>
      <c r="AG1074" s="89"/>
      <c r="AH1074" s="89"/>
      <c r="AI1074" s="89"/>
      <c r="AJ1074" s="89"/>
      <c r="AK1074" s="89"/>
      <c r="AL1074" s="89"/>
      <c r="AM1074" s="89"/>
      <c r="AN1074" s="89"/>
      <c r="AO1074" s="89"/>
      <c r="AP1074" s="89"/>
      <c r="AQ1074" s="89"/>
      <c r="AR1074" s="89"/>
      <c r="AS1074" s="89"/>
      <c r="AT1074" s="89"/>
      <c r="AU1074" s="89"/>
      <c r="AV1074" s="89"/>
      <c r="AW1074" s="89"/>
      <c r="AX1074" s="89"/>
      <c r="AY1074" s="89"/>
      <c r="AZ1074" s="89"/>
      <c r="BA1074" s="89"/>
      <c r="BB1074" s="89"/>
      <c r="BC1074" s="89"/>
      <c r="BD1074" s="89"/>
      <c r="BE1074" s="89"/>
      <c r="BF1074" s="89"/>
    </row>
    <row r="1075" spans="9:58" x14ac:dyDescent="0.25">
      <c r="I1075" s="89"/>
      <c r="J1075" s="89"/>
      <c r="K1075" s="89"/>
      <c r="L1075" s="89"/>
      <c r="M1075" s="89"/>
      <c r="N1075" s="89"/>
      <c r="O1075" s="89"/>
      <c r="P1075" s="89"/>
      <c r="Q1075" s="89"/>
      <c r="R1075" s="89"/>
      <c r="S1075" s="89"/>
      <c r="T1075" s="89"/>
      <c r="U1075" s="89"/>
      <c r="V1075" s="89"/>
      <c r="W1075" s="89"/>
      <c r="X1075" s="89"/>
      <c r="Y1075" s="89"/>
      <c r="Z1075" s="89"/>
      <c r="AA1075" s="89"/>
      <c r="AB1075" s="89"/>
      <c r="AC1075" s="89"/>
      <c r="AD1075" s="89"/>
      <c r="AE1075" s="89"/>
      <c r="AF1075" s="89"/>
      <c r="AG1075" s="89"/>
      <c r="AH1075" s="89"/>
      <c r="AI1075" s="89"/>
      <c r="AJ1075" s="89"/>
      <c r="AK1075" s="89"/>
      <c r="AL1075" s="89"/>
      <c r="AM1075" s="89"/>
      <c r="AN1075" s="89"/>
      <c r="AO1075" s="89"/>
      <c r="AP1075" s="89"/>
      <c r="AQ1075" s="89"/>
      <c r="AR1075" s="89"/>
      <c r="AS1075" s="89"/>
      <c r="AT1075" s="89"/>
      <c r="AU1075" s="89"/>
      <c r="AV1075" s="89"/>
      <c r="AW1075" s="89"/>
      <c r="AX1075" s="89"/>
      <c r="AY1075" s="89"/>
      <c r="AZ1075" s="89"/>
      <c r="BA1075" s="89"/>
      <c r="BB1075" s="89"/>
      <c r="BC1075" s="89"/>
      <c r="BD1075" s="89"/>
      <c r="BE1075" s="89"/>
      <c r="BF1075" s="89"/>
    </row>
    <row r="1076" spans="9:58" x14ac:dyDescent="0.25">
      <c r="I1076" s="89"/>
      <c r="J1076" s="89"/>
      <c r="K1076" s="89"/>
      <c r="L1076" s="89"/>
      <c r="M1076" s="89"/>
      <c r="N1076" s="89"/>
      <c r="O1076" s="89"/>
      <c r="P1076" s="89"/>
      <c r="Q1076" s="89"/>
      <c r="R1076" s="89"/>
      <c r="S1076" s="89"/>
      <c r="T1076" s="89"/>
      <c r="U1076" s="89"/>
      <c r="V1076" s="89"/>
      <c r="W1076" s="89"/>
      <c r="X1076" s="89"/>
      <c r="Y1076" s="89"/>
      <c r="Z1076" s="89"/>
      <c r="AA1076" s="89"/>
      <c r="AB1076" s="89"/>
      <c r="AC1076" s="89"/>
      <c r="AD1076" s="89"/>
      <c r="AE1076" s="89"/>
      <c r="AF1076" s="89"/>
      <c r="AG1076" s="89"/>
      <c r="AH1076" s="89"/>
      <c r="AI1076" s="89"/>
      <c r="AJ1076" s="89"/>
      <c r="AK1076" s="89"/>
      <c r="AL1076" s="89"/>
      <c r="AM1076" s="89"/>
      <c r="AN1076" s="89"/>
      <c r="AO1076" s="89"/>
      <c r="AP1076" s="89"/>
      <c r="AQ1076" s="89"/>
      <c r="AR1076" s="89"/>
      <c r="AS1076" s="89"/>
      <c r="AT1076" s="89"/>
      <c r="AU1076" s="89"/>
      <c r="AV1076" s="89"/>
      <c r="AW1076" s="89"/>
      <c r="AX1076" s="89"/>
      <c r="AY1076" s="89"/>
      <c r="AZ1076" s="89"/>
      <c r="BA1076" s="89"/>
      <c r="BB1076" s="89"/>
      <c r="BC1076" s="89"/>
      <c r="BD1076" s="89"/>
      <c r="BE1076" s="89"/>
      <c r="BF1076" s="89"/>
    </row>
    <row r="1077" spans="9:58" x14ac:dyDescent="0.25">
      <c r="I1077" s="89"/>
      <c r="J1077" s="89"/>
      <c r="K1077" s="89"/>
      <c r="L1077" s="89"/>
      <c r="M1077" s="89"/>
      <c r="N1077" s="89"/>
      <c r="O1077" s="89"/>
      <c r="P1077" s="89"/>
      <c r="Q1077" s="89"/>
      <c r="R1077" s="89"/>
      <c r="S1077" s="89"/>
      <c r="T1077" s="89"/>
      <c r="U1077" s="89"/>
      <c r="V1077" s="89"/>
      <c r="W1077" s="89"/>
      <c r="X1077" s="89"/>
      <c r="Y1077" s="89"/>
      <c r="Z1077" s="89"/>
      <c r="AA1077" s="89"/>
      <c r="AB1077" s="89"/>
      <c r="AC1077" s="89"/>
      <c r="AD1077" s="89"/>
      <c r="AE1077" s="89"/>
      <c r="AF1077" s="89"/>
      <c r="AG1077" s="89"/>
      <c r="AH1077" s="89"/>
      <c r="AI1077" s="89"/>
      <c r="AJ1077" s="89"/>
      <c r="AK1077" s="89"/>
      <c r="AL1077" s="89"/>
      <c r="AM1077" s="89"/>
      <c r="AN1077" s="89"/>
      <c r="AO1077" s="89"/>
      <c r="AP1077" s="89"/>
      <c r="AQ1077" s="89"/>
      <c r="AR1077" s="89"/>
      <c r="AS1077" s="89"/>
      <c r="AT1077" s="89"/>
      <c r="AU1077" s="89"/>
      <c r="AV1077" s="89"/>
      <c r="AW1077" s="89"/>
      <c r="AX1077" s="89"/>
      <c r="AY1077" s="89"/>
      <c r="AZ1077" s="89"/>
      <c r="BA1077" s="89"/>
      <c r="BB1077" s="89"/>
      <c r="BC1077" s="89"/>
      <c r="BD1077" s="89"/>
      <c r="BE1077" s="89"/>
      <c r="BF1077" s="89"/>
    </row>
    <row r="1078" spans="9:58" x14ac:dyDescent="0.25">
      <c r="I1078" s="89"/>
      <c r="J1078" s="89"/>
      <c r="K1078" s="89"/>
      <c r="L1078" s="89"/>
      <c r="M1078" s="89"/>
      <c r="N1078" s="89"/>
      <c r="O1078" s="89"/>
      <c r="P1078" s="89"/>
      <c r="Q1078" s="89"/>
      <c r="R1078" s="89"/>
      <c r="S1078" s="89"/>
      <c r="T1078" s="89"/>
      <c r="U1078" s="89"/>
      <c r="V1078" s="89"/>
      <c r="W1078" s="89"/>
      <c r="X1078" s="89"/>
      <c r="Y1078" s="89"/>
      <c r="Z1078" s="89"/>
      <c r="AA1078" s="89"/>
      <c r="AB1078" s="89"/>
      <c r="AC1078" s="89"/>
      <c r="AD1078" s="89"/>
      <c r="AE1078" s="89"/>
      <c r="AF1078" s="89"/>
      <c r="AG1078" s="89"/>
      <c r="AH1078" s="89"/>
      <c r="AI1078" s="89"/>
      <c r="AJ1078" s="89"/>
      <c r="AK1078" s="89"/>
      <c r="AL1078" s="89"/>
      <c r="AM1078" s="89"/>
      <c r="AN1078" s="89"/>
      <c r="AO1078" s="89"/>
      <c r="AP1078" s="89"/>
      <c r="AQ1078" s="89"/>
      <c r="AR1078" s="89"/>
      <c r="AS1078" s="89"/>
      <c r="AT1078" s="89"/>
      <c r="AU1078" s="89"/>
      <c r="AV1078" s="89"/>
      <c r="AW1078" s="89"/>
      <c r="AX1078" s="89"/>
      <c r="AY1078" s="89"/>
      <c r="AZ1078" s="89"/>
      <c r="BA1078" s="89"/>
      <c r="BB1078" s="89"/>
      <c r="BC1078" s="89"/>
      <c r="BD1078" s="89"/>
      <c r="BE1078" s="89"/>
      <c r="BF1078" s="89"/>
    </row>
    <row r="1079" spans="9:58" x14ac:dyDescent="0.25">
      <c r="I1079" s="89"/>
      <c r="J1079" s="89"/>
      <c r="K1079" s="89"/>
      <c r="L1079" s="89"/>
      <c r="M1079" s="89"/>
      <c r="N1079" s="89"/>
      <c r="O1079" s="89"/>
      <c r="P1079" s="89"/>
      <c r="Q1079" s="89"/>
      <c r="R1079" s="89"/>
      <c r="S1079" s="89"/>
      <c r="T1079" s="89"/>
      <c r="U1079" s="89"/>
      <c r="V1079" s="89"/>
      <c r="W1079" s="89"/>
      <c r="X1079" s="89"/>
      <c r="Y1079" s="89"/>
      <c r="Z1079" s="89"/>
      <c r="AA1079" s="89"/>
      <c r="AB1079" s="89"/>
      <c r="AC1079" s="89"/>
      <c r="AD1079" s="89"/>
      <c r="AE1079" s="89"/>
      <c r="AF1079" s="89"/>
      <c r="AG1079" s="89"/>
      <c r="AH1079" s="89"/>
      <c r="AI1079" s="89"/>
      <c r="AJ1079" s="89"/>
      <c r="AK1079" s="89"/>
      <c r="AL1079" s="89"/>
      <c r="AM1079" s="89"/>
      <c r="AN1079" s="89"/>
      <c r="AO1079" s="89"/>
      <c r="AP1079" s="89"/>
      <c r="AQ1079" s="89"/>
      <c r="AR1079" s="89"/>
      <c r="AS1079" s="89"/>
      <c r="AT1079" s="89"/>
      <c r="AU1079" s="89"/>
      <c r="AV1079" s="89"/>
      <c r="AW1079" s="89"/>
      <c r="AX1079" s="89"/>
      <c r="AY1079" s="89"/>
      <c r="AZ1079" s="89"/>
      <c r="BA1079" s="89"/>
      <c r="BB1079" s="89"/>
      <c r="BC1079" s="89"/>
      <c r="BD1079" s="89"/>
      <c r="BE1079" s="89"/>
      <c r="BF1079" s="89"/>
    </row>
    <row r="1080" spans="9:58" x14ac:dyDescent="0.25">
      <c r="I1080" s="89"/>
      <c r="J1080" s="89"/>
      <c r="K1080" s="89"/>
      <c r="L1080" s="89"/>
      <c r="M1080" s="89"/>
      <c r="N1080" s="89"/>
      <c r="O1080" s="89"/>
      <c r="P1080" s="89"/>
      <c r="Q1080" s="89"/>
      <c r="R1080" s="89"/>
      <c r="S1080" s="89"/>
      <c r="T1080" s="89"/>
      <c r="U1080" s="89"/>
      <c r="V1080" s="89"/>
      <c r="W1080" s="89"/>
      <c r="X1080" s="89"/>
      <c r="Y1080" s="89"/>
      <c r="Z1080" s="89"/>
      <c r="AA1080" s="89"/>
      <c r="AB1080" s="89"/>
      <c r="AC1080" s="89"/>
      <c r="AD1080" s="89"/>
      <c r="AE1080" s="89"/>
      <c r="AF1080" s="89"/>
      <c r="AG1080" s="89"/>
      <c r="AH1080" s="89"/>
      <c r="AI1080" s="89"/>
      <c r="AJ1080" s="89"/>
      <c r="AK1080" s="89"/>
      <c r="AL1080" s="89"/>
      <c r="AM1080" s="89"/>
      <c r="AN1080" s="89"/>
      <c r="AO1080" s="89"/>
      <c r="AP1080" s="89"/>
      <c r="AQ1080" s="89"/>
      <c r="AR1080" s="89"/>
      <c r="AS1080" s="89"/>
      <c r="AT1080" s="89"/>
      <c r="AU1080" s="89"/>
      <c r="AV1080" s="89"/>
      <c r="AW1080" s="89"/>
      <c r="AX1080" s="89"/>
      <c r="AY1080" s="89"/>
      <c r="AZ1080" s="89"/>
      <c r="BA1080" s="89"/>
      <c r="BB1080" s="89"/>
      <c r="BC1080" s="89"/>
      <c r="BD1080" s="89"/>
      <c r="BE1080" s="89"/>
      <c r="BF1080" s="89"/>
    </row>
    <row r="1081" spans="9:58" x14ac:dyDescent="0.25">
      <c r="I1081" s="89"/>
      <c r="J1081" s="89"/>
      <c r="K1081" s="89"/>
      <c r="L1081" s="89"/>
      <c r="M1081" s="89"/>
      <c r="N1081" s="89"/>
      <c r="O1081" s="89"/>
      <c r="P1081" s="89"/>
      <c r="Q1081" s="89"/>
      <c r="R1081" s="89"/>
      <c r="S1081" s="89"/>
      <c r="T1081" s="89"/>
      <c r="U1081" s="89"/>
      <c r="V1081" s="89"/>
      <c r="W1081" s="89"/>
      <c r="X1081" s="89"/>
      <c r="Y1081" s="89"/>
      <c r="Z1081" s="89"/>
      <c r="AA1081" s="89"/>
      <c r="AB1081" s="89"/>
      <c r="AC1081" s="89"/>
      <c r="AD1081" s="89"/>
      <c r="AE1081" s="89"/>
      <c r="AF1081" s="89"/>
      <c r="AG1081" s="89"/>
      <c r="AH1081" s="89"/>
      <c r="AI1081" s="89"/>
      <c r="AJ1081" s="89"/>
      <c r="AK1081" s="89"/>
      <c r="AL1081" s="89"/>
      <c r="AM1081" s="89"/>
      <c r="AN1081" s="89"/>
      <c r="AO1081" s="89"/>
      <c r="AP1081" s="89"/>
      <c r="AQ1081" s="89"/>
      <c r="AR1081" s="89"/>
      <c r="AS1081" s="89"/>
      <c r="AT1081" s="89"/>
      <c r="AU1081" s="89"/>
      <c r="AV1081" s="89"/>
      <c r="AW1081" s="89"/>
      <c r="AX1081" s="89"/>
      <c r="AY1081" s="89"/>
      <c r="AZ1081" s="89"/>
      <c r="BA1081" s="89"/>
      <c r="BB1081" s="89"/>
      <c r="BC1081" s="89"/>
      <c r="BD1081" s="89"/>
      <c r="BE1081" s="89"/>
      <c r="BF1081" s="89"/>
    </row>
    <row r="1082" spans="9:58" x14ac:dyDescent="0.25">
      <c r="I1082" s="89"/>
      <c r="J1082" s="89"/>
      <c r="K1082" s="89"/>
      <c r="L1082" s="89"/>
      <c r="M1082" s="89"/>
      <c r="N1082" s="89"/>
      <c r="O1082" s="89"/>
      <c r="P1082" s="89"/>
      <c r="Q1082" s="89"/>
      <c r="R1082" s="89"/>
      <c r="S1082" s="89"/>
      <c r="T1082" s="89"/>
      <c r="U1082" s="89"/>
      <c r="V1082" s="89"/>
      <c r="W1082" s="89"/>
      <c r="X1082" s="89"/>
      <c r="Y1082" s="89"/>
      <c r="Z1082" s="89"/>
      <c r="AA1082" s="89"/>
      <c r="AB1082" s="89"/>
      <c r="AC1082" s="89"/>
      <c r="AD1082" s="89"/>
      <c r="AE1082" s="89"/>
      <c r="AF1082" s="89"/>
      <c r="AG1082" s="89"/>
      <c r="AH1082" s="89"/>
      <c r="AI1082" s="89"/>
      <c r="AJ1082" s="89"/>
      <c r="AK1082" s="89"/>
      <c r="AL1082" s="89"/>
      <c r="AM1082" s="89"/>
      <c r="AN1082" s="89"/>
      <c r="AO1082" s="89"/>
      <c r="AP1082" s="89"/>
      <c r="AQ1082" s="89"/>
      <c r="AR1082" s="89"/>
      <c r="AS1082" s="89"/>
      <c r="AT1082" s="89"/>
      <c r="AU1082" s="89"/>
      <c r="AV1082" s="89"/>
      <c r="AW1082" s="89"/>
      <c r="AX1082" s="89"/>
      <c r="AY1082" s="89"/>
      <c r="AZ1082" s="89"/>
      <c r="BA1082" s="89"/>
      <c r="BB1082" s="89"/>
      <c r="BC1082" s="89"/>
      <c r="BD1082" s="89"/>
      <c r="BE1082" s="89"/>
      <c r="BF1082" s="89"/>
    </row>
    <row r="1083" spans="9:58" x14ac:dyDescent="0.25">
      <c r="I1083" s="89"/>
      <c r="J1083" s="89"/>
      <c r="K1083" s="89"/>
      <c r="L1083" s="89"/>
      <c r="M1083" s="89"/>
      <c r="N1083" s="89"/>
      <c r="O1083" s="89"/>
      <c r="P1083" s="89"/>
      <c r="Q1083" s="89"/>
      <c r="R1083" s="89"/>
      <c r="S1083" s="89"/>
      <c r="T1083" s="89"/>
      <c r="U1083" s="89"/>
      <c r="V1083" s="89"/>
      <c r="W1083" s="89"/>
      <c r="X1083" s="89"/>
      <c r="Y1083" s="89"/>
      <c r="Z1083" s="89"/>
      <c r="AA1083" s="89"/>
      <c r="AB1083" s="89"/>
      <c r="AC1083" s="89"/>
      <c r="AD1083" s="89"/>
      <c r="AE1083" s="89"/>
      <c r="AF1083" s="89"/>
      <c r="AG1083" s="89"/>
      <c r="AH1083" s="89"/>
      <c r="AI1083" s="89"/>
      <c r="AJ1083" s="89"/>
      <c r="AK1083" s="89"/>
      <c r="AL1083" s="89"/>
      <c r="AM1083" s="89"/>
      <c r="AN1083" s="89"/>
      <c r="AO1083" s="89"/>
      <c r="AP1083" s="89"/>
      <c r="AQ1083" s="89"/>
      <c r="AR1083" s="89"/>
      <c r="AS1083" s="89"/>
      <c r="AT1083" s="89"/>
      <c r="AU1083" s="89"/>
      <c r="AV1083" s="89"/>
      <c r="AW1083" s="89"/>
      <c r="AX1083" s="89"/>
      <c r="AY1083" s="89"/>
      <c r="AZ1083" s="89"/>
      <c r="BA1083" s="89"/>
      <c r="BB1083" s="89"/>
      <c r="BC1083" s="89"/>
      <c r="BD1083" s="89"/>
      <c r="BE1083" s="89"/>
      <c r="BF1083" s="89"/>
    </row>
    <row r="1084" spans="9:58" x14ac:dyDescent="0.25">
      <c r="I1084" s="89"/>
      <c r="J1084" s="89"/>
      <c r="K1084" s="89"/>
      <c r="L1084" s="89"/>
      <c r="M1084" s="89"/>
      <c r="N1084" s="89"/>
      <c r="O1084" s="89"/>
      <c r="P1084" s="89"/>
      <c r="Q1084" s="89"/>
      <c r="R1084" s="89"/>
      <c r="S1084" s="89"/>
      <c r="T1084" s="89"/>
      <c r="U1084" s="89"/>
      <c r="V1084" s="89"/>
      <c r="W1084" s="89"/>
      <c r="X1084" s="89"/>
      <c r="Y1084" s="89"/>
      <c r="Z1084" s="89"/>
      <c r="AA1084" s="89"/>
      <c r="AB1084" s="89"/>
      <c r="AC1084" s="89"/>
      <c r="AD1084" s="89"/>
      <c r="AE1084" s="89"/>
      <c r="AF1084" s="89"/>
      <c r="AG1084" s="89"/>
      <c r="AH1084" s="89"/>
      <c r="AI1084" s="89"/>
      <c r="AJ1084" s="89"/>
      <c r="AK1084" s="89"/>
      <c r="AL1084" s="89"/>
      <c r="AM1084" s="89"/>
      <c r="AN1084" s="89"/>
      <c r="AO1084" s="89"/>
      <c r="AP1084" s="89"/>
      <c r="AQ1084" s="89"/>
      <c r="AR1084" s="89"/>
      <c r="AS1084" s="89"/>
      <c r="AT1084" s="89"/>
      <c r="AU1084" s="89"/>
      <c r="AV1084" s="89"/>
      <c r="AW1084" s="89"/>
      <c r="AX1084" s="89"/>
      <c r="AY1084" s="89"/>
      <c r="AZ1084" s="89"/>
      <c r="BA1084" s="89"/>
      <c r="BB1084" s="89"/>
      <c r="BC1084" s="89"/>
      <c r="BD1084" s="89"/>
      <c r="BE1084" s="89"/>
      <c r="BF1084" s="89"/>
    </row>
    <row r="1085" spans="9:58" x14ac:dyDescent="0.25">
      <c r="I1085" s="89"/>
      <c r="J1085" s="89"/>
      <c r="K1085" s="89"/>
      <c r="L1085" s="89"/>
      <c r="M1085" s="89"/>
      <c r="N1085" s="89"/>
      <c r="O1085" s="89"/>
      <c r="P1085" s="89"/>
      <c r="Q1085" s="89"/>
      <c r="R1085" s="89"/>
      <c r="S1085" s="89"/>
      <c r="T1085" s="89"/>
      <c r="U1085" s="89"/>
      <c r="V1085" s="89"/>
      <c r="W1085" s="89"/>
      <c r="X1085" s="89"/>
      <c r="Y1085" s="89"/>
      <c r="Z1085" s="89"/>
      <c r="AA1085" s="89"/>
      <c r="AB1085" s="89"/>
      <c r="AC1085" s="89"/>
      <c r="AD1085" s="89"/>
      <c r="AE1085" s="89"/>
      <c r="AF1085" s="89"/>
      <c r="AG1085" s="89"/>
      <c r="AH1085" s="89"/>
      <c r="AI1085" s="89"/>
      <c r="AJ1085" s="89"/>
      <c r="AK1085" s="89"/>
      <c r="AL1085" s="89"/>
      <c r="AM1085" s="89"/>
      <c r="AN1085" s="89"/>
      <c r="AO1085" s="89"/>
      <c r="AP1085" s="89"/>
      <c r="AQ1085" s="89"/>
      <c r="AR1085" s="89"/>
      <c r="AS1085" s="89"/>
      <c r="AT1085" s="89"/>
      <c r="AU1085" s="89"/>
      <c r="AV1085" s="89"/>
      <c r="AW1085" s="89"/>
      <c r="AX1085" s="89"/>
      <c r="AY1085" s="89"/>
      <c r="AZ1085" s="89"/>
      <c r="BA1085" s="89"/>
      <c r="BB1085" s="89"/>
      <c r="BC1085" s="89"/>
      <c r="BD1085" s="89"/>
      <c r="BE1085" s="89"/>
      <c r="BF1085" s="89"/>
    </row>
    <row r="1086" spans="9:58" x14ac:dyDescent="0.25">
      <c r="I1086" s="89"/>
      <c r="J1086" s="89"/>
      <c r="K1086" s="89"/>
      <c r="L1086" s="89"/>
      <c r="M1086" s="89"/>
      <c r="N1086" s="89"/>
      <c r="O1086" s="89"/>
      <c r="P1086" s="89"/>
      <c r="Q1086" s="89"/>
      <c r="R1086" s="89"/>
      <c r="S1086" s="89"/>
      <c r="T1086" s="89"/>
      <c r="U1086" s="89"/>
      <c r="V1086" s="89"/>
      <c r="W1086" s="89"/>
      <c r="X1086" s="89"/>
      <c r="Y1086" s="89"/>
      <c r="Z1086" s="89"/>
      <c r="AA1086" s="89"/>
      <c r="AB1086" s="89"/>
      <c r="AC1086" s="89"/>
      <c r="AD1086" s="89"/>
      <c r="AE1086" s="89"/>
      <c r="AF1086" s="89"/>
      <c r="AG1086" s="89"/>
      <c r="AH1086" s="89"/>
      <c r="AI1086" s="89"/>
      <c r="AJ1086" s="89"/>
      <c r="AK1086" s="89"/>
      <c r="AL1086" s="89"/>
      <c r="AM1086" s="89"/>
      <c r="AN1086" s="89"/>
      <c r="AO1086" s="89"/>
      <c r="AP1086" s="89"/>
      <c r="AQ1086" s="89"/>
      <c r="AR1086" s="89"/>
      <c r="AS1086" s="89"/>
      <c r="AT1086" s="89"/>
      <c r="AU1086" s="89"/>
      <c r="AV1086" s="89"/>
      <c r="AW1086" s="89"/>
      <c r="AX1086" s="89"/>
      <c r="AY1086" s="89"/>
      <c r="AZ1086" s="89"/>
      <c r="BA1086" s="89"/>
      <c r="BB1086" s="89"/>
      <c r="BC1086" s="89"/>
      <c r="BD1086" s="89"/>
      <c r="BE1086" s="89"/>
      <c r="BF1086" s="89"/>
    </row>
    <row r="1087" spans="9:58" x14ac:dyDescent="0.25">
      <c r="I1087" s="89"/>
      <c r="J1087" s="89"/>
      <c r="K1087" s="89"/>
      <c r="L1087" s="89"/>
      <c r="M1087" s="89"/>
      <c r="N1087" s="89"/>
      <c r="O1087" s="89"/>
      <c r="P1087" s="89"/>
      <c r="Q1087" s="89"/>
      <c r="R1087" s="89"/>
      <c r="S1087" s="89"/>
      <c r="T1087" s="89"/>
      <c r="U1087" s="89"/>
      <c r="V1087" s="89"/>
      <c r="W1087" s="89"/>
      <c r="X1087" s="89"/>
      <c r="Y1087" s="89"/>
      <c r="Z1087" s="89"/>
      <c r="AA1087" s="89"/>
      <c r="AB1087" s="89"/>
      <c r="AC1087" s="89"/>
      <c r="AD1087" s="89"/>
      <c r="AE1087" s="89"/>
      <c r="AF1087" s="89"/>
      <c r="AG1087" s="89"/>
      <c r="AH1087" s="89"/>
      <c r="AI1087" s="89"/>
      <c r="AJ1087" s="89"/>
      <c r="AK1087" s="89"/>
      <c r="AL1087" s="89"/>
      <c r="AM1087" s="89"/>
      <c r="AN1087" s="89"/>
      <c r="AO1087" s="89"/>
      <c r="AP1087" s="89"/>
      <c r="AQ1087" s="89"/>
      <c r="AR1087" s="89"/>
      <c r="AS1087" s="89"/>
      <c r="AT1087" s="89"/>
      <c r="AU1087" s="89"/>
      <c r="AV1087" s="89"/>
      <c r="AW1087" s="89"/>
      <c r="AX1087" s="89"/>
      <c r="AY1087" s="89"/>
      <c r="AZ1087" s="89"/>
      <c r="BA1087" s="89"/>
      <c r="BB1087" s="89"/>
      <c r="BC1087" s="89"/>
      <c r="BD1087" s="89"/>
      <c r="BE1087" s="89"/>
      <c r="BF1087" s="89"/>
    </row>
    <row r="1088" spans="9:58" x14ac:dyDescent="0.25">
      <c r="I1088" s="89"/>
      <c r="J1088" s="89"/>
      <c r="K1088" s="89"/>
      <c r="L1088" s="89"/>
      <c r="M1088" s="89"/>
      <c r="N1088" s="89"/>
      <c r="O1088" s="89"/>
      <c r="P1088" s="89"/>
      <c r="Q1088" s="89"/>
      <c r="R1088" s="89"/>
      <c r="S1088" s="89"/>
      <c r="T1088" s="89"/>
      <c r="U1088" s="89"/>
      <c r="V1088" s="89"/>
      <c r="W1088" s="89"/>
      <c r="X1088" s="89"/>
      <c r="Y1088" s="89"/>
      <c r="Z1088" s="89"/>
      <c r="AA1088" s="89"/>
      <c r="AB1088" s="89"/>
      <c r="AC1088" s="89"/>
      <c r="AD1088" s="89"/>
      <c r="AE1088" s="89"/>
      <c r="AF1088" s="89"/>
      <c r="AG1088" s="89"/>
      <c r="AH1088" s="89"/>
      <c r="AI1088" s="89"/>
      <c r="AJ1088" s="89"/>
      <c r="AK1088" s="89"/>
      <c r="AL1088" s="89"/>
      <c r="AM1088" s="89"/>
      <c r="AN1088" s="89"/>
      <c r="AO1088" s="89"/>
      <c r="AP1088" s="89"/>
      <c r="AQ1088" s="89"/>
      <c r="AR1088" s="89"/>
      <c r="AS1088" s="89"/>
      <c r="AT1088" s="89"/>
      <c r="AU1088" s="89"/>
      <c r="AV1088" s="89"/>
      <c r="AW1088" s="89"/>
      <c r="AX1088" s="89"/>
      <c r="AY1088" s="89"/>
      <c r="AZ1088" s="89"/>
      <c r="BA1088" s="89"/>
      <c r="BB1088" s="89"/>
      <c r="BC1088" s="89"/>
      <c r="BD1088" s="89"/>
      <c r="BE1088" s="89"/>
      <c r="BF1088" s="89"/>
    </row>
    <row r="1089" spans="9:58" x14ac:dyDescent="0.25">
      <c r="I1089" s="89"/>
      <c r="J1089" s="89"/>
      <c r="K1089" s="89"/>
      <c r="L1089" s="89"/>
      <c r="M1089" s="89"/>
      <c r="N1089" s="89"/>
      <c r="O1089" s="89"/>
      <c r="P1089" s="89"/>
      <c r="Q1089" s="89"/>
      <c r="R1089" s="89"/>
      <c r="S1089" s="89"/>
      <c r="T1089" s="89"/>
      <c r="U1089" s="89"/>
      <c r="V1089" s="89"/>
      <c r="W1089" s="89"/>
      <c r="X1089" s="89"/>
      <c r="Y1089" s="89"/>
      <c r="Z1089" s="89"/>
      <c r="AA1089" s="89"/>
      <c r="AB1089" s="89"/>
      <c r="AC1089" s="89"/>
      <c r="AD1089" s="89"/>
      <c r="AE1089" s="89"/>
      <c r="AF1089" s="89"/>
      <c r="AG1089" s="89"/>
      <c r="AH1089" s="89"/>
      <c r="AI1089" s="89"/>
      <c r="AJ1089" s="89"/>
      <c r="AK1089" s="89"/>
      <c r="AL1089" s="89"/>
      <c r="AM1089" s="89"/>
      <c r="AN1089" s="89"/>
      <c r="AO1089" s="89"/>
      <c r="AP1089" s="89"/>
      <c r="AQ1089" s="89"/>
      <c r="AR1089" s="89"/>
      <c r="AS1089" s="89"/>
      <c r="AT1089" s="89"/>
      <c r="AU1089" s="89"/>
      <c r="AV1089" s="89"/>
      <c r="AW1089" s="89"/>
      <c r="AX1089" s="89"/>
      <c r="AY1089" s="89"/>
      <c r="AZ1089" s="89"/>
      <c r="BA1089" s="89"/>
      <c r="BB1089" s="89"/>
      <c r="BC1089" s="89"/>
      <c r="BD1089" s="89"/>
      <c r="BE1089" s="89"/>
      <c r="BF1089" s="89"/>
    </row>
    <row r="1090" spans="9:58" x14ac:dyDescent="0.25">
      <c r="I1090" s="89"/>
      <c r="J1090" s="89"/>
      <c r="K1090" s="89"/>
      <c r="L1090" s="89"/>
      <c r="M1090" s="89"/>
      <c r="N1090" s="89"/>
      <c r="O1090" s="89"/>
      <c r="P1090" s="89"/>
      <c r="Q1090" s="89"/>
      <c r="R1090" s="89"/>
      <c r="S1090" s="89"/>
      <c r="T1090" s="89"/>
      <c r="U1090" s="89"/>
      <c r="V1090" s="89"/>
      <c r="W1090" s="89"/>
      <c r="X1090" s="89"/>
      <c r="Y1090" s="89"/>
      <c r="Z1090" s="89"/>
      <c r="AA1090" s="89"/>
      <c r="AB1090" s="89"/>
      <c r="AC1090" s="89"/>
      <c r="AD1090" s="89"/>
      <c r="AE1090" s="89"/>
      <c r="AF1090" s="89"/>
      <c r="AG1090" s="89"/>
      <c r="AH1090" s="89"/>
      <c r="AI1090" s="89"/>
      <c r="AJ1090" s="89"/>
      <c r="AK1090" s="89"/>
      <c r="AL1090" s="89"/>
      <c r="AM1090" s="89"/>
      <c r="AN1090" s="89"/>
      <c r="AO1090" s="89"/>
      <c r="AP1090" s="89"/>
      <c r="AQ1090" s="89"/>
      <c r="AR1090" s="89"/>
      <c r="AS1090" s="89"/>
      <c r="AT1090" s="89"/>
      <c r="AU1090" s="89"/>
      <c r="AV1090" s="89"/>
      <c r="AW1090" s="89"/>
      <c r="AX1090" s="89"/>
      <c r="AY1090" s="89"/>
      <c r="AZ1090" s="89"/>
      <c r="BA1090" s="89"/>
      <c r="BB1090" s="89"/>
      <c r="BC1090" s="89"/>
      <c r="BD1090" s="89"/>
      <c r="BE1090" s="89"/>
      <c r="BF1090" s="89"/>
    </row>
    <row r="1091" spans="9:58" x14ac:dyDescent="0.25">
      <c r="I1091" s="89"/>
      <c r="J1091" s="89"/>
      <c r="K1091" s="89"/>
      <c r="L1091" s="89"/>
      <c r="M1091" s="89"/>
      <c r="N1091" s="89"/>
      <c r="O1091" s="89"/>
      <c r="P1091" s="89"/>
      <c r="Q1091" s="89"/>
      <c r="R1091" s="89"/>
      <c r="S1091" s="89"/>
      <c r="T1091" s="89"/>
      <c r="U1091" s="89"/>
      <c r="V1091" s="89"/>
      <c r="W1091" s="89"/>
      <c r="X1091" s="89"/>
      <c r="Y1091" s="89"/>
      <c r="Z1091" s="89"/>
      <c r="AA1091" s="89"/>
      <c r="AB1091" s="89"/>
      <c r="AC1091" s="89"/>
      <c r="AD1091" s="89"/>
      <c r="AE1091" s="89"/>
      <c r="AF1091" s="89"/>
      <c r="AG1091" s="89"/>
      <c r="AH1091" s="89"/>
      <c r="AI1091" s="89"/>
      <c r="AJ1091" s="89"/>
      <c r="AK1091" s="89"/>
      <c r="AL1091" s="89"/>
      <c r="AM1091" s="89"/>
      <c r="AN1091" s="89"/>
      <c r="AO1091" s="89"/>
      <c r="AP1091" s="89"/>
      <c r="AQ1091" s="89"/>
      <c r="AR1091" s="89"/>
      <c r="AS1091" s="89"/>
      <c r="AT1091" s="89"/>
      <c r="AU1091" s="89"/>
      <c r="AV1091" s="89"/>
      <c r="AW1091" s="89"/>
      <c r="AX1091" s="89"/>
      <c r="AY1091" s="89"/>
      <c r="AZ1091" s="89"/>
      <c r="BA1091" s="89"/>
      <c r="BB1091" s="89"/>
      <c r="BC1091" s="89"/>
      <c r="BD1091" s="89"/>
      <c r="BE1091" s="89"/>
      <c r="BF1091" s="89"/>
    </row>
    <row r="1092" spans="9:58" x14ac:dyDescent="0.25">
      <c r="I1092" s="89"/>
      <c r="J1092" s="89"/>
      <c r="K1092" s="89"/>
      <c r="L1092" s="89"/>
      <c r="M1092" s="89"/>
      <c r="N1092" s="89"/>
      <c r="O1092" s="89"/>
      <c r="P1092" s="89"/>
      <c r="Q1092" s="89"/>
      <c r="R1092" s="89"/>
      <c r="S1092" s="89"/>
      <c r="T1092" s="89"/>
      <c r="U1092" s="89"/>
      <c r="V1092" s="89"/>
      <c r="W1092" s="89"/>
      <c r="X1092" s="89"/>
      <c r="Y1092" s="89"/>
      <c r="Z1092" s="89"/>
      <c r="AA1092" s="89"/>
      <c r="AB1092" s="89"/>
      <c r="AC1092" s="89"/>
      <c r="AD1092" s="89"/>
      <c r="AE1092" s="89"/>
      <c r="AF1092" s="89"/>
      <c r="AG1092" s="89"/>
      <c r="AH1092" s="89"/>
      <c r="AI1092" s="89"/>
      <c r="AJ1092" s="89"/>
      <c r="AK1092" s="89"/>
      <c r="AL1092" s="89"/>
      <c r="AM1092" s="89"/>
      <c r="AN1092" s="89"/>
      <c r="AO1092" s="89"/>
      <c r="AP1092" s="89"/>
      <c r="AQ1092" s="89"/>
      <c r="AR1092" s="89"/>
      <c r="AS1092" s="89"/>
      <c r="AT1092" s="89"/>
      <c r="AU1092" s="89"/>
      <c r="AV1092" s="89"/>
      <c r="AW1092" s="89"/>
      <c r="AX1092" s="89"/>
      <c r="AY1092" s="89"/>
      <c r="AZ1092" s="89"/>
      <c r="BA1092" s="89"/>
      <c r="BB1092" s="89"/>
      <c r="BC1092" s="89"/>
      <c r="BD1092" s="89"/>
      <c r="BE1092" s="89"/>
      <c r="BF1092" s="89"/>
    </row>
    <row r="1093" spans="9:58" x14ac:dyDescent="0.25">
      <c r="I1093" s="89"/>
      <c r="J1093" s="89"/>
      <c r="K1093" s="89"/>
      <c r="L1093" s="89"/>
      <c r="M1093" s="89"/>
      <c r="N1093" s="89"/>
      <c r="O1093" s="89"/>
      <c r="P1093" s="89"/>
      <c r="Q1093" s="89"/>
      <c r="R1093" s="89"/>
      <c r="S1093" s="89"/>
      <c r="T1093" s="89"/>
      <c r="U1093" s="89"/>
      <c r="V1093" s="89"/>
      <c r="W1093" s="89"/>
      <c r="X1093" s="89"/>
      <c r="Y1093" s="89"/>
      <c r="Z1093" s="89"/>
      <c r="AA1093" s="89"/>
      <c r="AB1093" s="89"/>
      <c r="AC1093" s="89"/>
      <c r="AD1093" s="89"/>
      <c r="AE1093" s="89"/>
      <c r="AF1093" s="89"/>
      <c r="AG1093" s="89"/>
      <c r="AH1093" s="89"/>
      <c r="AI1093" s="89"/>
      <c r="AJ1093" s="89"/>
      <c r="AK1093" s="89"/>
      <c r="AL1093" s="89"/>
      <c r="AM1093" s="89"/>
      <c r="AN1093" s="89"/>
      <c r="AO1093" s="89"/>
      <c r="AP1093" s="89"/>
      <c r="AQ1093" s="89"/>
      <c r="AR1093" s="89"/>
      <c r="AS1093" s="89"/>
      <c r="AT1093" s="89"/>
      <c r="AU1093" s="89"/>
      <c r="AV1093" s="89"/>
      <c r="AW1093" s="89"/>
      <c r="AX1093" s="89"/>
      <c r="AY1093" s="89"/>
      <c r="AZ1093" s="89"/>
      <c r="BA1093" s="89"/>
      <c r="BB1093" s="89"/>
      <c r="BC1093" s="89"/>
      <c r="BD1093" s="89"/>
      <c r="BE1093" s="89"/>
      <c r="BF1093" s="89"/>
    </row>
    <row r="1094" spans="9:58" x14ac:dyDescent="0.25">
      <c r="I1094" s="89"/>
      <c r="J1094" s="89"/>
      <c r="K1094" s="89"/>
      <c r="L1094" s="89"/>
      <c r="M1094" s="89"/>
      <c r="N1094" s="89"/>
      <c r="O1094" s="89"/>
      <c r="P1094" s="89"/>
      <c r="Q1094" s="89"/>
      <c r="R1094" s="89"/>
      <c r="S1094" s="89"/>
      <c r="T1094" s="89"/>
      <c r="U1094" s="89"/>
      <c r="V1094" s="89"/>
      <c r="W1094" s="89"/>
      <c r="X1094" s="89"/>
      <c r="Y1094" s="89"/>
      <c r="Z1094" s="89"/>
      <c r="AA1094" s="89"/>
      <c r="AB1094" s="89"/>
      <c r="AC1094" s="89"/>
      <c r="AD1094" s="89"/>
      <c r="AE1094" s="89"/>
      <c r="AF1094" s="89"/>
      <c r="AG1094" s="89"/>
      <c r="AH1094" s="89"/>
      <c r="AI1094" s="89"/>
      <c r="AJ1094" s="89"/>
      <c r="AK1094" s="89"/>
      <c r="AL1094" s="89"/>
      <c r="AM1094" s="89"/>
      <c r="AN1094" s="89"/>
      <c r="AO1094" s="89"/>
      <c r="AP1094" s="89"/>
      <c r="AQ1094" s="89"/>
      <c r="AR1094" s="89"/>
      <c r="AS1094" s="89"/>
      <c r="AT1094" s="89"/>
      <c r="AU1094" s="89"/>
      <c r="AV1094" s="89"/>
      <c r="AW1094" s="89"/>
      <c r="AX1094" s="89"/>
      <c r="AY1094" s="89"/>
      <c r="AZ1094" s="89"/>
      <c r="BA1094" s="89"/>
      <c r="BB1094" s="89"/>
      <c r="BC1094" s="89"/>
      <c r="BD1094" s="89"/>
      <c r="BE1094" s="89"/>
      <c r="BF1094" s="89"/>
    </row>
    <row r="1095" spans="9:58" x14ac:dyDescent="0.25">
      <c r="I1095" s="89"/>
      <c r="J1095" s="89"/>
      <c r="K1095" s="89"/>
      <c r="L1095" s="89"/>
      <c r="M1095" s="89"/>
      <c r="N1095" s="89"/>
      <c r="O1095" s="89"/>
      <c r="P1095" s="89"/>
      <c r="Q1095" s="89"/>
      <c r="R1095" s="89"/>
      <c r="S1095" s="89"/>
      <c r="T1095" s="89"/>
      <c r="U1095" s="89"/>
      <c r="V1095" s="89"/>
      <c r="W1095" s="89"/>
      <c r="X1095" s="89"/>
      <c r="Y1095" s="89"/>
      <c r="Z1095" s="89"/>
      <c r="AA1095" s="89"/>
      <c r="AB1095" s="89"/>
      <c r="AC1095" s="89"/>
      <c r="AD1095" s="89"/>
      <c r="AE1095" s="89"/>
      <c r="AF1095" s="89"/>
      <c r="AG1095" s="89"/>
      <c r="AH1095" s="89"/>
      <c r="AI1095" s="89"/>
      <c r="AJ1095" s="89"/>
      <c r="AK1095" s="89"/>
      <c r="AL1095" s="89"/>
      <c r="AM1095" s="89"/>
      <c r="AN1095" s="89"/>
      <c r="AO1095" s="89"/>
      <c r="AP1095" s="89"/>
      <c r="AQ1095" s="89"/>
      <c r="AR1095" s="89"/>
      <c r="AS1095" s="89"/>
      <c r="AT1095" s="89"/>
      <c r="AU1095" s="89"/>
      <c r="AV1095" s="89"/>
      <c r="AW1095" s="89"/>
      <c r="AX1095" s="89"/>
      <c r="AY1095" s="89"/>
      <c r="AZ1095" s="89"/>
      <c r="BA1095" s="89"/>
      <c r="BB1095" s="89"/>
      <c r="BC1095" s="89"/>
      <c r="BD1095" s="89"/>
      <c r="BE1095" s="89"/>
      <c r="BF1095" s="89"/>
    </row>
    <row r="1096" spans="9:58" x14ac:dyDescent="0.25">
      <c r="I1096" s="89"/>
      <c r="J1096" s="89"/>
      <c r="K1096" s="89"/>
      <c r="L1096" s="89"/>
      <c r="M1096" s="89"/>
      <c r="N1096" s="89"/>
      <c r="O1096" s="89"/>
      <c r="P1096" s="89"/>
      <c r="Q1096" s="89"/>
      <c r="R1096" s="89"/>
      <c r="S1096" s="89"/>
      <c r="T1096" s="89"/>
      <c r="U1096" s="89"/>
      <c r="V1096" s="89"/>
      <c r="W1096" s="89"/>
      <c r="X1096" s="89"/>
      <c r="Y1096" s="89"/>
      <c r="Z1096" s="89"/>
      <c r="AA1096" s="89"/>
      <c r="AB1096" s="89"/>
      <c r="AC1096" s="89"/>
      <c r="AD1096" s="89"/>
      <c r="AE1096" s="89"/>
      <c r="AF1096" s="89"/>
      <c r="AG1096" s="89"/>
      <c r="AH1096" s="89"/>
      <c r="AI1096" s="89"/>
      <c r="AJ1096" s="89"/>
      <c r="AK1096" s="89"/>
      <c r="AL1096" s="89"/>
      <c r="AM1096" s="89"/>
      <c r="AN1096" s="89"/>
      <c r="AO1096" s="89"/>
      <c r="AP1096" s="89"/>
      <c r="AQ1096" s="89"/>
      <c r="AR1096" s="89"/>
      <c r="AS1096" s="89"/>
      <c r="AT1096" s="89"/>
      <c r="AU1096" s="89"/>
      <c r="AV1096" s="89"/>
      <c r="AW1096" s="89"/>
      <c r="AX1096" s="89"/>
      <c r="AY1096" s="89"/>
      <c r="AZ1096" s="89"/>
      <c r="BA1096" s="89"/>
      <c r="BB1096" s="89"/>
      <c r="BC1096" s="89"/>
      <c r="BD1096" s="89"/>
      <c r="BE1096" s="89"/>
      <c r="BF1096" s="89"/>
    </row>
    <row r="1097" spans="9:58" x14ac:dyDescent="0.25">
      <c r="I1097" s="89"/>
      <c r="J1097" s="89"/>
      <c r="K1097" s="89"/>
      <c r="L1097" s="89"/>
      <c r="M1097" s="89"/>
      <c r="N1097" s="89"/>
      <c r="O1097" s="89"/>
      <c r="P1097" s="89"/>
      <c r="Q1097" s="89"/>
      <c r="R1097" s="89"/>
      <c r="S1097" s="89"/>
      <c r="T1097" s="89"/>
      <c r="U1097" s="89"/>
      <c r="V1097" s="89"/>
      <c r="W1097" s="89"/>
      <c r="X1097" s="89"/>
      <c r="Y1097" s="89"/>
      <c r="Z1097" s="89"/>
      <c r="AA1097" s="89"/>
      <c r="AB1097" s="89"/>
      <c r="AC1097" s="89"/>
      <c r="AD1097" s="89"/>
      <c r="AE1097" s="89"/>
      <c r="AF1097" s="89"/>
      <c r="AG1097" s="89"/>
      <c r="AH1097" s="89"/>
      <c r="AI1097" s="89"/>
      <c r="AJ1097" s="89"/>
      <c r="AK1097" s="89"/>
      <c r="AL1097" s="89"/>
      <c r="AM1097" s="89"/>
      <c r="AN1097" s="89"/>
      <c r="AO1097" s="89"/>
      <c r="AP1097" s="89"/>
      <c r="AQ1097" s="89"/>
      <c r="AR1097" s="89"/>
      <c r="AS1097" s="89"/>
      <c r="AT1097" s="89"/>
      <c r="AU1097" s="89"/>
      <c r="AV1097" s="89"/>
      <c r="AW1097" s="89"/>
      <c r="AX1097" s="89"/>
      <c r="AY1097" s="89"/>
      <c r="AZ1097" s="89"/>
      <c r="BA1097" s="89"/>
      <c r="BB1097" s="89"/>
      <c r="BC1097" s="89"/>
      <c r="BD1097" s="89"/>
      <c r="BE1097" s="89"/>
      <c r="BF1097" s="89"/>
    </row>
    <row r="1098" spans="9:58" x14ac:dyDescent="0.25">
      <c r="I1098" s="89"/>
      <c r="J1098" s="89"/>
      <c r="K1098" s="89"/>
      <c r="L1098" s="89"/>
      <c r="M1098" s="89"/>
      <c r="N1098" s="89"/>
      <c r="O1098" s="89"/>
      <c r="P1098" s="89"/>
      <c r="Q1098" s="89"/>
      <c r="R1098" s="89"/>
      <c r="S1098" s="89"/>
      <c r="T1098" s="89"/>
      <c r="U1098" s="89"/>
      <c r="V1098" s="89"/>
      <c r="W1098" s="89"/>
      <c r="X1098" s="89"/>
      <c r="Y1098" s="89"/>
      <c r="Z1098" s="89"/>
      <c r="AA1098" s="89"/>
      <c r="AB1098" s="89"/>
      <c r="AC1098" s="89"/>
      <c r="AD1098" s="89"/>
      <c r="AE1098" s="89"/>
      <c r="AF1098" s="89"/>
      <c r="AG1098" s="89"/>
      <c r="AH1098" s="89"/>
      <c r="AI1098" s="89"/>
      <c r="AJ1098" s="89"/>
      <c r="AK1098" s="89"/>
      <c r="AL1098" s="89"/>
      <c r="AM1098" s="89"/>
      <c r="AN1098" s="89"/>
      <c r="AO1098" s="89"/>
      <c r="AP1098" s="89"/>
      <c r="AQ1098" s="89"/>
      <c r="AR1098" s="89"/>
      <c r="AS1098" s="89"/>
      <c r="AT1098" s="89"/>
      <c r="AU1098" s="89"/>
      <c r="AV1098" s="89"/>
      <c r="AW1098" s="89"/>
      <c r="AX1098" s="89"/>
      <c r="AY1098" s="89"/>
      <c r="AZ1098" s="89"/>
      <c r="BA1098" s="89"/>
      <c r="BB1098" s="89"/>
      <c r="BC1098" s="89"/>
      <c r="BD1098" s="89"/>
      <c r="BE1098" s="89"/>
      <c r="BF1098" s="89"/>
    </row>
    <row r="1099" spans="9:58" x14ac:dyDescent="0.25">
      <c r="I1099" s="89"/>
      <c r="J1099" s="89"/>
      <c r="K1099" s="89"/>
      <c r="L1099" s="89"/>
      <c r="M1099" s="89"/>
      <c r="N1099" s="89"/>
      <c r="O1099" s="89"/>
      <c r="P1099" s="89"/>
      <c r="Q1099" s="89"/>
      <c r="R1099" s="89"/>
      <c r="S1099" s="89"/>
      <c r="T1099" s="89"/>
      <c r="U1099" s="89"/>
      <c r="V1099" s="89"/>
      <c r="W1099" s="89"/>
      <c r="X1099" s="89"/>
      <c r="Y1099" s="89"/>
      <c r="Z1099" s="89"/>
      <c r="AA1099" s="89"/>
      <c r="AB1099" s="89"/>
      <c r="AC1099" s="89"/>
      <c r="AD1099" s="89"/>
      <c r="AE1099" s="89"/>
      <c r="AF1099" s="89"/>
      <c r="AG1099" s="89"/>
      <c r="AH1099" s="89"/>
      <c r="AI1099" s="89"/>
      <c r="AJ1099" s="89"/>
      <c r="AK1099" s="89"/>
      <c r="AL1099" s="89"/>
      <c r="AM1099" s="89"/>
      <c r="AN1099" s="89"/>
      <c r="AO1099" s="89"/>
      <c r="AP1099" s="89"/>
      <c r="AQ1099" s="89"/>
      <c r="AR1099" s="89"/>
      <c r="AS1099" s="89"/>
      <c r="AT1099" s="89"/>
      <c r="AU1099" s="89"/>
      <c r="AV1099" s="89"/>
      <c r="AW1099" s="89"/>
      <c r="AX1099" s="89"/>
      <c r="AY1099" s="89"/>
      <c r="AZ1099" s="89"/>
      <c r="BA1099" s="89"/>
      <c r="BB1099" s="89"/>
      <c r="BC1099" s="89"/>
      <c r="BD1099" s="89"/>
      <c r="BE1099" s="89"/>
      <c r="BF1099" s="89"/>
    </row>
    <row r="1100" spans="9:58" x14ac:dyDescent="0.25">
      <c r="I1100" s="89"/>
      <c r="J1100" s="89"/>
      <c r="K1100" s="89"/>
      <c r="L1100" s="89"/>
      <c r="M1100" s="89"/>
      <c r="N1100" s="89"/>
      <c r="O1100" s="89"/>
      <c r="P1100" s="89"/>
      <c r="Q1100" s="89"/>
      <c r="R1100" s="89"/>
      <c r="S1100" s="89"/>
      <c r="T1100" s="89"/>
      <c r="U1100" s="89"/>
      <c r="V1100" s="89"/>
      <c r="W1100" s="89"/>
      <c r="X1100" s="89"/>
      <c r="Y1100" s="89"/>
      <c r="Z1100" s="89"/>
      <c r="AA1100" s="89"/>
      <c r="AB1100" s="89"/>
      <c r="AC1100" s="89"/>
      <c r="AD1100" s="89"/>
      <c r="AE1100" s="89"/>
      <c r="AF1100" s="89"/>
      <c r="AG1100" s="89"/>
      <c r="AH1100" s="89"/>
      <c r="AI1100" s="89"/>
      <c r="AJ1100" s="89"/>
      <c r="AK1100" s="89"/>
      <c r="AL1100" s="89"/>
      <c r="AM1100" s="89"/>
      <c r="AN1100" s="89"/>
      <c r="AO1100" s="89"/>
      <c r="AP1100" s="89"/>
      <c r="AQ1100" s="89"/>
      <c r="AR1100" s="89"/>
      <c r="AS1100" s="89"/>
      <c r="AT1100" s="89"/>
      <c r="AU1100" s="89"/>
      <c r="AV1100" s="89"/>
      <c r="AW1100" s="89"/>
      <c r="AX1100" s="89"/>
      <c r="AY1100" s="89"/>
      <c r="AZ1100" s="89"/>
      <c r="BA1100" s="89"/>
      <c r="BB1100" s="89"/>
      <c r="BC1100" s="89"/>
      <c r="BD1100" s="89"/>
      <c r="BE1100" s="89"/>
      <c r="BF1100" s="89"/>
    </row>
    <row r="1101" spans="9:58" x14ac:dyDescent="0.25">
      <c r="I1101" s="89"/>
      <c r="J1101" s="89"/>
      <c r="K1101" s="89"/>
      <c r="L1101" s="89"/>
      <c r="M1101" s="89"/>
      <c r="N1101" s="89"/>
      <c r="O1101" s="89"/>
      <c r="P1101" s="89"/>
      <c r="Q1101" s="89"/>
      <c r="R1101" s="89"/>
      <c r="S1101" s="89"/>
      <c r="T1101" s="89"/>
      <c r="U1101" s="89"/>
      <c r="V1101" s="89"/>
      <c r="W1101" s="89"/>
      <c r="X1101" s="89"/>
      <c r="Y1101" s="89"/>
      <c r="Z1101" s="89"/>
      <c r="AA1101" s="89"/>
      <c r="AB1101" s="89"/>
      <c r="AC1101" s="89"/>
      <c r="AD1101" s="89"/>
      <c r="AE1101" s="89"/>
      <c r="AF1101" s="89"/>
      <c r="AG1101" s="89"/>
      <c r="AH1101" s="89"/>
      <c r="AI1101" s="89"/>
      <c r="AJ1101" s="89"/>
      <c r="AK1101" s="89"/>
      <c r="AL1101" s="89"/>
      <c r="AM1101" s="89"/>
      <c r="AN1101" s="89"/>
      <c r="AO1101" s="89"/>
      <c r="AP1101" s="89"/>
      <c r="AQ1101" s="89"/>
      <c r="AR1101" s="89"/>
      <c r="AS1101" s="89"/>
      <c r="AT1101" s="89"/>
      <c r="AU1101" s="89"/>
      <c r="AV1101" s="89"/>
      <c r="AW1101" s="89"/>
      <c r="AX1101" s="89"/>
      <c r="AY1101" s="89"/>
      <c r="AZ1101" s="89"/>
      <c r="BA1101" s="89"/>
      <c r="BB1101" s="89"/>
      <c r="BC1101" s="89"/>
      <c r="BD1101" s="89"/>
      <c r="BE1101" s="89"/>
      <c r="BF1101" s="89"/>
    </row>
    <row r="1102" spans="9:58" x14ac:dyDescent="0.25">
      <c r="I1102" s="89"/>
      <c r="J1102" s="89"/>
      <c r="K1102" s="89"/>
      <c r="L1102" s="89"/>
      <c r="M1102" s="89"/>
      <c r="N1102" s="89"/>
      <c r="O1102" s="89"/>
      <c r="P1102" s="89"/>
      <c r="Q1102" s="89"/>
      <c r="R1102" s="89"/>
      <c r="S1102" s="89"/>
      <c r="T1102" s="89"/>
      <c r="U1102" s="89"/>
      <c r="V1102" s="89"/>
      <c r="W1102" s="89"/>
      <c r="X1102" s="89"/>
      <c r="Y1102" s="89"/>
      <c r="Z1102" s="89"/>
      <c r="AA1102" s="89"/>
      <c r="AB1102" s="89"/>
      <c r="AC1102" s="89"/>
      <c r="AD1102" s="89"/>
      <c r="AE1102" s="89"/>
      <c r="AF1102" s="89"/>
      <c r="AG1102" s="89"/>
      <c r="AH1102" s="89"/>
      <c r="AI1102" s="89"/>
      <c r="AJ1102" s="89"/>
      <c r="AK1102" s="89"/>
      <c r="AL1102" s="89"/>
      <c r="AM1102" s="89"/>
      <c r="AN1102" s="89"/>
      <c r="AO1102" s="89"/>
      <c r="AP1102" s="89"/>
      <c r="AQ1102" s="89"/>
      <c r="AR1102" s="89"/>
      <c r="AS1102" s="89"/>
      <c r="AT1102" s="89"/>
      <c r="AU1102" s="89"/>
      <c r="AV1102" s="89"/>
      <c r="AW1102" s="89"/>
      <c r="AX1102" s="89"/>
      <c r="AY1102" s="89"/>
      <c r="AZ1102" s="89"/>
      <c r="BA1102" s="89"/>
      <c r="BB1102" s="89"/>
      <c r="BC1102" s="89"/>
      <c r="BD1102" s="89"/>
      <c r="BE1102" s="89"/>
      <c r="BF1102" s="89"/>
    </row>
    <row r="1103" spans="9:58" x14ac:dyDescent="0.25">
      <c r="I1103" s="89"/>
      <c r="J1103" s="89"/>
      <c r="K1103" s="89"/>
      <c r="L1103" s="89"/>
      <c r="M1103" s="89"/>
      <c r="N1103" s="89"/>
      <c r="O1103" s="89"/>
      <c r="P1103" s="89"/>
      <c r="Q1103" s="89"/>
      <c r="R1103" s="89"/>
      <c r="S1103" s="89"/>
      <c r="T1103" s="89"/>
      <c r="U1103" s="89"/>
      <c r="V1103" s="89"/>
      <c r="W1103" s="89"/>
      <c r="X1103" s="89"/>
      <c r="Y1103" s="89"/>
      <c r="Z1103" s="89"/>
      <c r="AA1103" s="89"/>
      <c r="AB1103" s="89"/>
      <c r="AC1103" s="89"/>
      <c r="AD1103" s="89"/>
      <c r="AE1103" s="89"/>
      <c r="AF1103" s="89"/>
      <c r="AG1103" s="89"/>
      <c r="AH1103" s="89"/>
      <c r="AI1103" s="89"/>
      <c r="AJ1103" s="89"/>
      <c r="AK1103" s="89"/>
      <c r="AL1103" s="89"/>
      <c r="AM1103" s="89"/>
      <c r="AN1103" s="89"/>
      <c r="AO1103" s="89"/>
      <c r="AP1103" s="89"/>
      <c r="AQ1103" s="89"/>
      <c r="AR1103" s="89"/>
      <c r="AS1103" s="89"/>
      <c r="AT1103" s="89"/>
      <c r="AU1103" s="89"/>
      <c r="AV1103" s="89"/>
      <c r="AW1103" s="89"/>
      <c r="AX1103" s="89"/>
      <c r="AY1103" s="89"/>
      <c r="AZ1103" s="89"/>
      <c r="BA1103" s="89"/>
      <c r="BB1103" s="89"/>
      <c r="BC1103" s="89"/>
      <c r="BD1103" s="89"/>
      <c r="BE1103" s="89"/>
      <c r="BF1103" s="89"/>
    </row>
    <row r="1104" spans="9:58" x14ac:dyDescent="0.25">
      <c r="I1104" s="89"/>
      <c r="J1104" s="89"/>
      <c r="K1104" s="89"/>
      <c r="L1104" s="89"/>
      <c r="M1104" s="89"/>
      <c r="N1104" s="89"/>
      <c r="O1104" s="89"/>
      <c r="P1104" s="89"/>
      <c r="Q1104" s="89"/>
      <c r="R1104" s="89"/>
      <c r="S1104" s="89"/>
      <c r="T1104" s="89"/>
      <c r="U1104" s="89"/>
      <c r="V1104" s="89"/>
      <c r="W1104" s="89"/>
      <c r="X1104" s="89"/>
      <c r="Y1104" s="89"/>
      <c r="Z1104" s="89"/>
      <c r="AA1104" s="89"/>
      <c r="AB1104" s="89"/>
      <c r="AC1104" s="89"/>
      <c r="AD1104" s="89"/>
      <c r="AE1104" s="89"/>
      <c r="AF1104" s="89"/>
      <c r="AG1104" s="89"/>
      <c r="AH1104" s="89"/>
      <c r="AI1104" s="89"/>
      <c r="AJ1104" s="89"/>
      <c r="AK1104" s="89"/>
      <c r="AL1104" s="89"/>
      <c r="AM1104" s="89"/>
      <c r="AN1104" s="89"/>
      <c r="AO1104" s="89"/>
      <c r="AP1104" s="89"/>
      <c r="AQ1104" s="89"/>
      <c r="AR1104" s="89"/>
      <c r="AS1104" s="89"/>
      <c r="AT1104" s="89"/>
      <c r="AU1104" s="89"/>
      <c r="AV1104" s="89"/>
      <c r="AW1104" s="89"/>
      <c r="AX1104" s="89"/>
      <c r="AY1104" s="89"/>
      <c r="AZ1104" s="89"/>
      <c r="BA1104" s="89"/>
      <c r="BB1104" s="89"/>
      <c r="BC1104" s="89"/>
      <c r="BD1104" s="89"/>
      <c r="BE1104" s="89"/>
      <c r="BF1104" s="89"/>
    </row>
    <row r="1105" spans="9:58" x14ac:dyDescent="0.25">
      <c r="I1105" s="89"/>
      <c r="J1105" s="89"/>
      <c r="K1105" s="89"/>
      <c r="L1105" s="89"/>
      <c r="M1105" s="89"/>
      <c r="N1105" s="89"/>
      <c r="O1105" s="89"/>
      <c r="P1105" s="89"/>
      <c r="Q1105" s="89"/>
      <c r="R1105" s="89"/>
      <c r="S1105" s="89"/>
      <c r="T1105" s="89"/>
      <c r="U1105" s="89"/>
      <c r="V1105" s="89"/>
      <c r="W1105" s="89"/>
      <c r="X1105" s="89"/>
      <c r="Y1105" s="89"/>
      <c r="Z1105" s="89"/>
      <c r="AA1105" s="89"/>
      <c r="AB1105" s="89"/>
      <c r="AC1105" s="89"/>
      <c r="AD1105" s="89"/>
      <c r="AE1105" s="89"/>
      <c r="AF1105" s="89"/>
      <c r="AG1105" s="89"/>
      <c r="AH1105" s="89"/>
      <c r="AI1105" s="89"/>
      <c r="AJ1105" s="89"/>
      <c r="AK1105" s="89"/>
      <c r="AL1105" s="89"/>
      <c r="AM1105" s="89"/>
      <c r="AN1105" s="89"/>
      <c r="AO1105" s="89"/>
      <c r="AP1105" s="89"/>
      <c r="AQ1105" s="89"/>
      <c r="AR1105" s="89"/>
      <c r="AS1105" s="89"/>
      <c r="AT1105" s="89"/>
      <c r="AU1105" s="89"/>
      <c r="AV1105" s="89"/>
      <c r="AW1105" s="89"/>
      <c r="AX1105" s="89"/>
      <c r="AY1105" s="89"/>
      <c r="AZ1105" s="89"/>
      <c r="BA1105" s="89"/>
      <c r="BB1105" s="89"/>
      <c r="BC1105" s="89"/>
      <c r="BD1105" s="89"/>
      <c r="BE1105" s="89"/>
      <c r="BF1105" s="89"/>
    </row>
    <row r="1106" spans="9:58" x14ac:dyDescent="0.25">
      <c r="I1106" s="89"/>
      <c r="J1106" s="89"/>
      <c r="K1106" s="89"/>
      <c r="L1106" s="89"/>
      <c r="M1106" s="89"/>
      <c r="N1106" s="89"/>
      <c r="O1106" s="89"/>
      <c r="P1106" s="89"/>
      <c r="Q1106" s="89"/>
      <c r="R1106" s="89"/>
      <c r="S1106" s="89"/>
      <c r="T1106" s="89"/>
      <c r="U1106" s="89"/>
      <c r="V1106" s="89"/>
      <c r="W1106" s="89"/>
      <c r="X1106" s="89"/>
      <c r="Y1106" s="89"/>
      <c r="Z1106" s="89"/>
      <c r="AA1106" s="89"/>
      <c r="AB1106" s="89"/>
      <c r="AC1106" s="89"/>
      <c r="AD1106" s="89"/>
      <c r="AE1106" s="89"/>
      <c r="AF1106" s="89"/>
      <c r="AG1106" s="89"/>
      <c r="AH1106" s="89"/>
      <c r="AI1106" s="89"/>
      <c r="AJ1106" s="89"/>
      <c r="AK1106" s="89"/>
      <c r="AL1106" s="89"/>
      <c r="AM1106" s="89"/>
      <c r="AN1106" s="89"/>
      <c r="AO1106" s="89"/>
      <c r="AP1106" s="89"/>
      <c r="AQ1106" s="89"/>
      <c r="AR1106" s="89"/>
      <c r="AS1106" s="89"/>
      <c r="AT1106" s="89"/>
      <c r="AU1106" s="89"/>
      <c r="AV1106" s="89"/>
      <c r="AW1106" s="89"/>
      <c r="AX1106" s="89"/>
      <c r="AY1106" s="89"/>
      <c r="AZ1106" s="89"/>
      <c r="BA1106" s="89"/>
      <c r="BB1106" s="89"/>
      <c r="BC1106" s="89"/>
      <c r="BD1106" s="89"/>
      <c r="BE1106" s="89"/>
      <c r="BF1106" s="89"/>
    </row>
    <row r="1107" spans="9:58" x14ac:dyDescent="0.25">
      <c r="I1107" s="89"/>
      <c r="J1107" s="89"/>
      <c r="K1107" s="89"/>
      <c r="L1107" s="89"/>
      <c r="M1107" s="89"/>
      <c r="N1107" s="89"/>
      <c r="O1107" s="89"/>
      <c r="P1107" s="89"/>
      <c r="Q1107" s="89"/>
      <c r="R1107" s="89"/>
      <c r="S1107" s="89"/>
      <c r="T1107" s="89"/>
      <c r="U1107" s="89"/>
      <c r="V1107" s="89"/>
      <c r="W1107" s="89"/>
      <c r="X1107" s="89"/>
      <c r="Y1107" s="89"/>
      <c r="Z1107" s="89"/>
      <c r="AA1107" s="89"/>
      <c r="AB1107" s="89"/>
      <c r="AC1107" s="89"/>
      <c r="AD1107" s="89"/>
      <c r="AE1107" s="89"/>
      <c r="AF1107" s="89"/>
      <c r="AG1107" s="89"/>
      <c r="AH1107" s="89"/>
      <c r="AI1107" s="89"/>
      <c r="AJ1107" s="89"/>
      <c r="AK1107" s="89"/>
      <c r="AL1107" s="89"/>
      <c r="AM1107" s="89"/>
      <c r="AN1107" s="89"/>
      <c r="AO1107" s="89"/>
      <c r="AP1107" s="89"/>
      <c r="AQ1107" s="89"/>
      <c r="AR1107" s="89"/>
      <c r="AS1107" s="89"/>
      <c r="AT1107" s="89"/>
      <c r="AU1107" s="89"/>
      <c r="AV1107" s="89"/>
      <c r="AW1107" s="89"/>
      <c r="AX1107" s="89"/>
      <c r="AY1107" s="89"/>
      <c r="AZ1107" s="89"/>
      <c r="BA1107" s="89"/>
      <c r="BB1107" s="89"/>
      <c r="BC1107" s="89"/>
      <c r="BD1107" s="89"/>
      <c r="BE1107" s="89"/>
      <c r="BF1107" s="89"/>
    </row>
    <row r="1108" spans="9:58" x14ac:dyDescent="0.25">
      <c r="I1108" s="89"/>
      <c r="J1108" s="89"/>
      <c r="K1108" s="89"/>
      <c r="L1108" s="89"/>
      <c r="M1108" s="89"/>
      <c r="N1108" s="89"/>
      <c r="O1108" s="89"/>
      <c r="P1108" s="89"/>
      <c r="Q1108" s="89"/>
      <c r="R1108" s="89"/>
      <c r="S1108" s="89"/>
      <c r="T1108" s="89"/>
      <c r="U1108" s="89"/>
      <c r="V1108" s="89"/>
      <c r="W1108" s="89"/>
      <c r="X1108" s="89"/>
      <c r="Y1108" s="89"/>
      <c r="Z1108" s="89"/>
      <c r="AA1108" s="89"/>
      <c r="AB1108" s="89"/>
      <c r="AC1108" s="89"/>
      <c r="AD1108" s="89"/>
      <c r="AE1108" s="89"/>
      <c r="AF1108" s="89"/>
      <c r="AG1108" s="89"/>
      <c r="AH1108" s="89"/>
      <c r="AI1108" s="89"/>
      <c r="AJ1108" s="89"/>
      <c r="AK1108" s="89"/>
      <c r="AL1108" s="89"/>
      <c r="AM1108" s="89"/>
      <c r="AN1108" s="89"/>
      <c r="AO1108" s="89"/>
      <c r="AP1108" s="89"/>
      <c r="AQ1108" s="89"/>
      <c r="AR1108" s="89"/>
      <c r="AS1108" s="89"/>
      <c r="AT1108" s="89"/>
      <c r="AU1108" s="89"/>
      <c r="AV1108" s="89"/>
      <c r="AW1108" s="89"/>
      <c r="AX1108" s="89"/>
      <c r="AY1108" s="89"/>
      <c r="AZ1108" s="89"/>
      <c r="BA1108" s="89"/>
      <c r="BB1108" s="89"/>
      <c r="BC1108" s="89"/>
      <c r="BD1108" s="89"/>
      <c r="BE1108" s="89"/>
      <c r="BF1108" s="89"/>
    </row>
    <row r="1109" spans="9:58" x14ac:dyDescent="0.25">
      <c r="I1109" s="89"/>
      <c r="J1109" s="89"/>
      <c r="K1109" s="89"/>
      <c r="L1109" s="89"/>
      <c r="M1109" s="89"/>
      <c r="N1109" s="89"/>
      <c r="O1109" s="89"/>
      <c r="P1109" s="89"/>
      <c r="Q1109" s="89"/>
      <c r="R1109" s="89"/>
      <c r="S1109" s="89"/>
      <c r="T1109" s="89"/>
      <c r="U1109" s="89"/>
      <c r="V1109" s="89"/>
      <c r="W1109" s="89"/>
      <c r="X1109" s="89"/>
      <c r="Y1109" s="89"/>
      <c r="Z1109" s="89"/>
      <c r="AA1109" s="89"/>
      <c r="AB1109" s="89"/>
      <c r="AC1109" s="89"/>
      <c r="AD1109" s="89"/>
      <c r="AE1109" s="89"/>
      <c r="AF1109" s="89"/>
      <c r="AG1109" s="89"/>
      <c r="AH1109" s="89"/>
      <c r="AI1109" s="89"/>
      <c r="AJ1109" s="89"/>
      <c r="AK1109" s="89"/>
      <c r="AL1109" s="89"/>
      <c r="AM1109" s="89"/>
      <c r="AN1109" s="89"/>
      <c r="AO1109" s="89"/>
      <c r="AP1109" s="89"/>
      <c r="AQ1109" s="89"/>
      <c r="AR1109" s="89"/>
      <c r="AS1109" s="89"/>
      <c r="AT1109" s="89"/>
      <c r="AU1109" s="89"/>
      <c r="AV1109" s="89"/>
      <c r="AW1109" s="89"/>
      <c r="AX1109" s="89"/>
      <c r="AY1109" s="89"/>
      <c r="AZ1109" s="89"/>
      <c r="BA1109" s="89"/>
      <c r="BB1109" s="89"/>
      <c r="BC1109" s="89"/>
      <c r="BD1109" s="89"/>
      <c r="BE1109" s="89"/>
      <c r="BF1109" s="89"/>
    </row>
    <row r="1110" spans="9:58" x14ac:dyDescent="0.25">
      <c r="I1110" s="89"/>
      <c r="J1110" s="89"/>
      <c r="K1110" s="89"/>
      <c r="L1110" s="89"/>
      <c r="M1110" s="89"/>
      <c r="N1110" s="89"/>
      <c r="O1110" s="89"/>
      <c r="P1110" s="89"/>
      <c r="Q1110" s="89"/>
      <c r="R1110" s="89"/>
      <c r="S1110" s="89"/>
      <c r="T1110" s="89"/>
      <c r="U1110" s="89"/>
      <c r="V1110" s="89"/>
      <c r="W1110" s="89"/>
      <c r="X1110" s="89"/>
      <c r="Y1110" s="89"/>
      <c r="Z1110" s="89"/>
      <c r="AA1110" s="89"/>
      <c r="AB1110" s="89"/>
      <c r="AC1110" s="89"/>
      <c r="AD1110" s="89"/>
      <c r="AE1110" s="89"/>
      <c r="AF1110" s="89"/>
      <c r="AG1110" s="89"/>
      <c r="AH1110" s="89"/>
      <c r="AI1110" s="89"/>
      <c r="AJ1110" s="89"/>
      <c r="AK1110" s="89"/>
      <c r="AL1110" s="89"/>
      <c r="AM1110" s="89"/>
      <c r="AN1110" s="89"/>
      <c r="AO1110" s="89"/>
      <c r="AP1110" s="89"/>
      <c r="AQ1110" s="89"/>
      <c r="AR1110" s="89"/>
      <c r="AS1110" s="89"/>
      <c r="AT1110" s="89"/>
      <c r="AU1110" s="89"/>
      <c r="AV1110" s="89"/>
      <c r="AW1110" s="89"/>
      <c r="AX1110" s="89"/>
      <c r="AY1110" s="89"/>
      <c r="AZ1110" s="89"/>
      <c r="BA1110" s="89"/>
      <c r="BB1110" s="89"/>
      <c r="BC1110" s="89"/>
      <c r="BD1110" s="89"/>
      <c r="BE1110" s="89"/>
      <c r="BF1110" s="89"/>
    </row>
    <row r="1111" spans="9:58" x14ac:dyDescent="0.25">
      <c r="I1111" s="89"/>
      <c r="J1111" s="89"/>
      <c r="K1111" s="89"/>
      <c r="L1111" s="89"/>
      <c r="M1111" s="89"/>
      <c r="N1111" s="89"/>
      <c r="O1111" s="89"/>
      <c r="P1111" s="89"/>
      <c r="Q1111" s="89"/>
      <c r="R1111" s="89"/>
      <c r="S1111" s="89"/>
      <c r="T1111" s="89"/>
      <c r="U1111" s="89"/>
      <c r="V1111" s="89"/>
      <c r="W1111" s="89"/>
      <c r="X1111" s="89"/>
      <c r="Y1111" s="89"/>
      <c r="Z1111" s="89"/>
      <c r="AA1111" s="89"/>
      <c r="AB1111" s="89"/>
      <c r="AC1111" s="89"/>
      <c r="AD1111" s="89"/>
      <c r="AE1111" s="89"/>
      <c r="AF1111" s="89"/>
      <c r="AG1111" s="89"/>
      <c r="AH1111" s="89"/>
      <c r="AI1111" s="89"/>
      <c r="AJ1111" s="89"/>
      <c r="AK1111" s="89"/>
      <c r="AL1111" s="89"/>
      <c r="AM1111" s="89"/>
      <c r="AN1111" s="89"/>
      <c r="AO1111" s="89"/>
      <c r="AP1111" s="89"/>
      <c r="AQ1111" s="89"/>
      <c r="AR1111" s="89"/>
      <c r="AS1111" s="89"/>
      <c r="AT1111" s="89"/>
      <c r="AU1111" s="89"/>
      <c r="AV1111" s="89"/>
      <c r="AW1111" s="89"/>
      <c r="AX1111" s="89"/>
      <c r="AY1111" s="89"/>
      <c r="AZ1111" s="89"/>
      <c r="BA1111" s="89"/>
      <c r="BB1111" s="89"/>
      <c r="BC1111" s="89"/>
      <c r="BD1111" s="89"/>
      <c r="BE1111" s="89"/>
      <c r="BF1111" s="89"/>
    </row>
    <row r="1112" spans="9:58" x14ac:dyDescent="0.25">
      <c r="I1112" s="89"/>
      <c r="J1112" s="89"/>
      <c r="K1112" s="89"/>
      <c r="L1112" s="89"/>
      <c r="M1112" s="89"/>
      <c r="N1112" s="89"/>
      <c r="O1112" s="89"/>
      <c r="P1112" s="89"/>
      <c r="Q1112" s="89"/>
      <c r="R1112" s="89"/>
      <c r="S1112" s="89"/>
      <c r="T1112" s="89"/>
      <c r="U1112" s="89"/>
      <c r="V1112" s="89"/>
      <c r="W1112" s="89"/>
      <c r="X1112" s="89"/>
      <c r="Y1112" s="89"/>
      <c r="Z1112" s="89"/>
      <c r="AA1112" s="89"/>
      <c r="AB1112" s="89"/>
      <c r="AC1112" s="89"/>
      <c r="AD1112" s="89"/>
      <c r="AE1112" s="89"/>
      <c r="AF1112" s="89"/>
      <c r="AG1112" s="89"/>
      <c r="AH1112" s="89"/>
      <c r="AI1112" s="89"/>
      <c r="AJ1112" s="89"/>
      <c r="AK1112" s="89"/>
      <c r="AL1112" s="89"/>
      <c r="AM1112" s="89"/>
      <c r="AN1112" s="89"/>
      <c r="AO1112" s="89"/>
      <c r="AP1112" s="89"/>
      <c r="AQ1112" s="89"/>
      <c r="AR1112" s="89"/>
      <c r="AS1112" s="89"/>
      <c r="AT1112" s="89"/>
      <c r="AU1112" s="89"/>
      <c r="AV1112" s="89"/>
      <c r="AW1112" s="89"/>
      <c r="AX1112" s="89"/>
      <c r="AY1112" s="89"/>
      <c r="AZ1112" s="89"/>
      <c r="BA1112" s="89"/>
      <c r="BB1112" s="89"/>
      <c r="BC1112" s="89"/>
      <c r="BD1112" s="89"/>
      <c r="BE1112" s="89"/>
      <c r="BF1112" s="89"/>
    </row>
    <row r="1113" spans="9:58" x14ac:dyDescent="0.25">
      <c r="I1113" s="89"/>
      <c r="J1113" s="89"/>
      <c r="K1113" s="89"/>
      <c r="L1113" s="89"/>
      <c r="M1113" s="89"/>
      <c r="N1113" s="89"/>
      <c r="O1113" s="89"/>
      <c r="P1113" s="89"/>
      <c r="Q1113" s="89"/>
      <c r="R1113" s="89"/>
      <c r="S1113" s="89"/>
      <c r="T1113" s="89"/>
      <c r="U1113" s="89"/>
      <c r="V1113" s="89"/>
      <c r="W1113" s="89"/>
      <c r="X1113" s="89"/>
      <c r="Y1113" s="89"/>
      <c r="Z1113" s="89"/>
      <c r="AA1113" s="89"/>
      <c r="AB1113" s="89"/>
      <c r="AC1113" s="89"/>
      <c r="AD1113" s="89"/>
      <c r="AE1113" s="89"/>
      <c r="AF1113" s="89"/>
      <c r="AG1113" s="89"/>
      <c r="AH1113" s="89"/>
      <c r="AI1113" s="89"/>
      <c r="AJ1113" s="89"/>
      <c r="AK1113" s="89"/>
      <c r="AL1113" s="89"/>
      <c r="AM1113" s="89"/>
      <c r="AN1113" s="89"/>
      <c r="AO1113" s="89"/>
      <c r="AP1113" s="89"/>
      <c r="AQ1113" s="89"/>
      <c r="AR1113" s="89"/>
      <c r="AS1113" s="89"/>
      <c r="AT1113" s="89"/>
      <c r="AU1113" s="89"/>
      <c r="AV1113" s="89"/>
      <c r="AW1113" s="89"/>
      <c r="AX1113" s="89"/>
      <c r="AY1113" s="89"/>
      <c r="AZ1113" s="89"/>
      <c r="BA1113" s="89"/>
      <c r="BB1113" s="89"/>
      <c r="BC1113" s="89"/>
      <c r="BD1113" s="89"/>
      <c r="BE1113" s="89"/>
      <c r="BF1113" s="89"/>
    </row>
    <row r="1114" spans="9:58" x14ac:dyDescent="0.25">
      <c r="I1114" s="89"/>
      <c r="J1114" s="89"/>
      <c r="K1114" s="89"/>
      <c r="L1114" s="89"/>
      <c r="M1114" s="89"/>
      <c r="N1114" s="89"/>
      <c r="O1114" s="89"/>
      <c r="P1114" s="89"/>
      <c r="Q1114" s="89"/>
      <c r="R1114" s="89"/>
      <c r="S1114" s="89"/>
      <c r="T1114" s="89"/>
      <c r="U1114" s="89"/>
      <c r="V1114" s="89"/>
      <c r="W1114" s="89"/>
      <c r="X1114" s="89"/>
      <c r="Y1114" s="89"/>
      <c r="Z1114" s="89"/>
      <c r="AA1114" s="89"/>
      <c r="AB1114" s="89"/>
      <c r="AC1114" s="89"/>
      <c r="AD1114" s="89"/>
      <c r="AE1114" s="89"/>
      <c r="AF1114" s="89"/>
      <c r="AG1114" s="89"/>
      <c r="AH1114" s="89"/>
      <c r="AI1114" s="89"/>
      <c r="AJ1114" s="89"/>
      <c r="AK1114" s="89"/>
      <c r="AL1114" s="89"/>
      <c r="AM1114" s="89"/>
      <c r="AN1114" s="89"/>
      <c r="AO1114" s="89"/>
      <c r="AP1114" s="89"/>
      <c r="AQ1114" s="89"/>
      <c r="AR1114" s="89"/>
      <c r="AS1114" s="89"/>
      <c r="AT1114" s="89"/>
      <c r="AU1114" s="89"/>
      <c r="AV1114" s="89"/>
      <c r="AW1114" s="89"/>
      <c r="AX1114" s="89"/>
      <c r="AY1114" s="89"/>
      <c r="AZ1114" s="89"/>
      <c r="BA1114" s="89"/>
      <c r="BB1114" s="89"/>
      <c r="BC1114" s="89"/>
      <c r="BD1114" s="89"/>
      <c r="BE1114" s="89"/>
      <c r="BF1114" s="89"/>
    </row>
    <row r="1115" spans="9:58" x14ac:dyDescent="0.25">
      <c r="I1115" s="89"/>
      <c r="J1115" s="89"/>
      <c r="K1115" s="89"/>
      <c r="L1115" s="89"/>
      <c r="M1115" s="89"/>
      <c r="N1115" s="89"/>
      <c r="O1115" s="89"/>
      <c r="P1115" s="89"/>
      <c r="Q1115" s="89"/>
      <c r="R1115" s="89"/>
      <c r="S1115" s="89"/>
      <c r="T1115" s="89"/>
      <c r="U1115" s="89"/>
      <c r="V1115" s="89"/>
      <c r="W1115" s="89"/>
      <c r="X1115" s="89"/>
      <c r="Y1115" s="89"/>
      <c r="Z1115" s="89"/>
      <c r="AA1115" s="89"/>
      <c r="AB1115" s="89"/>
      <c r="AC1115" s="89"/>
      <c r="AD1115" s="89"/>
      <c r="AE1115" s="89"/>
      <c r="AF1115" s="89"/>
      <c r="AG1115" s="89"/>
      <c r="AH1115" s="89"/>
      <c r="AI1115" s="89"/>
      <c r="AJ1115" s="89"/>
      <c r="AK1115" s="89"/>
      <c r="AL1115" s="89"/>
      <c r="AM1115" s="89"/>
      <c r="AN1115" s="89"/>
      <c r="AO1115" s="89"/>
      <c r="AP1115" s="89"/>
      <c r="AQ1115" s="89"/>
      <c r="AR1115" s="89"/>
      <c r="AS1115" s="89"/>
      <c r="AT1115" s="89"/>
      <c r="AU1115" s="89"/>
      <c r="AV1115" s="89"/>
      <c r="AW1115" s="89"/>
      <c r="AX1115" s="89"/>
      <c r="AY1115" s="89"/>
      <c r="AZ1115" s="89"/>
      <c r="BA1115" s="89"/>
      <c r="BB1115" s="89"/>
      <c r="BC1115" s="89"/>
      <c r="BD1115" s="89"/>
      <c r="BE1115" s="89"/>
      <c r="BF1115" s="89"/>
    </row>
    <row r="1116" spans="9:58" x14ac:dyDescent="0.25">
      <c r="I1116" s="89"/>
      <c r="J1116" s="89"/>
      <c r="K1116" s="89"/>
      <c r="L1116" s="89"/>
      <c r="M1116" s="89"/>
      <c r="N1116" s="89"/>
      <c r="O1116" s="89"/>
      <c r="P1116" s="89"/>
      <c r="Q1116" s="89"/>
      <c r="R1116" s="89"/>
      <c r="S1116" s="89"/>
      <c r="T1116" s="89"/>
      <c r="U1116" s="89"/>
      <c r="V1116" s="89"/>
      <c r="W1116" s="89"/>
      <c r="X1116" s="89"/>
      <c r="Y1116" s="89"/>
      <c r="Z1116" s="89"/>
      <c r="AA1116" s="89"/>
      <c r="AB1116" s="89"/>
      <c r="AC1116" s="89"/>
      <c r="AD1116" s="89"/>
      <c r="AE1116" s="89"/>
      <c r="AF1116" s="89"/>
      <c r="AG1116" s="89"/>
      <c r="AH1116" s="89"/>
      <c r="AI1116" s="89"/>
      <c r="AJ1116" s="89"/>
      <c r="AK1116" s="89"/>
      <c r="AL1116" s="89"/>
      <c r="AM1116" s="89"/>
      <c r="AN1116" s="89"/>
      <c r="AO1116" s="89"/>
      <c r="AP1116" s="89"/>
      <c r="AQ1116" s="89"/>
      <c r="AR1116" s="89"/>
      <c r="AS1116" s="89"/>
      <c r="AT1116" s="89"/>
      <c r="AU1116" s="89"/>
      <c r="AV1116" s="89"/>
      <c r="AW1116" s="89"/>
      <c r="AX1116" s="89"/>
      <c r="AY1116" s="89"/>
      <c r="AZ1116" s="89"/>
      <c r="BA1116" s="89"/>
      <c r="BB1116" s="89"/>
      <c r="BC1116" s="89"/>
      <c r="BD1116" s="89"/>
      <c r="BE1116" s="89"/>
      <c r="BF1116" s="89"/>
    </row>
    <row r="1117" spans="9:58" x14ac:dyDescent="0.25">
      <c r="I1117" s="89"/>
      <c r="J1117" s="89"/>
      <c r="K1117" s="89"/>
      <c r="L1117" s="89"/>
      <c r="M1117" s="89"/>
      <c r="N1117" s="89"/>
      <c r="O1117" s="89"/>
      <c r="P1117" s="89"/>
      <c r="Q1117" s="89"/>
      <c r="R1117" s="89"/>
      <c r="S1117" s="89"/>
      <c r="T1117" s="89"/>
      <c r="U1117" s="89"/>
      <c r="V1117" s="89"/>
      <c r="W1117" s="89"/>
      <c r="X1117" s="89"/>
      <c r="Y1117" s="89"/>
      <c r="Z1117" s="89"/>
      <c r="AA1117" s="89"/>
      <c r="AB1117" s="89"/>
      <c r="AC1117" s="89"/>
      <c r="AD1117" s="89"/>
      <c r="AE1117" s="89"/>
      <c r="AF1117" s="89"/>
      <c r="AG1117" s="89"/>
      <c r="AH1117" s="89"/>
      <c r="AI1117" s="89"/>
      <c r="AJ1117" s="89"/>
      <c r="AK1117" s="89"/>
      <c r="AL1117" s="89"/>
      <c r="AM1117" s="89"/>
      <c r="AN1117" s="89"/>
      <c r="AO1117" s="89"/>
      <c r="AP1117" s="89"/>
      <c r="AQ1117" s="89"/>
      <c r="AR1117" s="89"/>
      <c r="AS1117" s="89"/>
      <c r="AT1117" s="89"/>
      <c r="AU1117" s="89"/>
      <c r="AV1117" s="89"/>
      <c r="AW1117" s="89"/>
      <c r="AX1117" s="89"/>
      <c r="AY1117" s="89"/>
      <c r="AZ1117" s="89"/>
      <c r="BA1117" s="89"/>
      <c r="BB1117" s="89"/>
      <c r="BC1117" s="89"/>
      <c r="BD1117" s="89"/>
      <c r="BE1117" s="89"/>
      <c r="BF1117" s="89"/>
    </row>
    <row r="1118" spans="9:58" x14ac:dyDescent="0.25">
      <c r="I1118" s="89"/>
      <c r="J1118" s="89"/>
      <c r="K1118" s="89"/>
      <c r="L1118" s="89"/>
      <c r="M1118" s="89"/>
      <c r="N1118" s="89"/>
      <c r="O1118" s="89"/>
      <c r="P1118" s="89"/>
      <c r="Q1118" s="89"/>
      <c r="R1118" s="89"/>
      <c r="S1118" s="89"/>
      <c r="T1118" s="89"/>
      <c r="U1118" s="89"/>
      <c r="V1118" s="89"/>
      <c r="W1118" s="89"/>
      <c r="X1118" s="89"/>
      <c r="Y1118" s="89"/>
      <c r="Z1118" s="89"/>
      <c r="AA1118" s="89"/>
      <c r="AB1118" s="89"/>
      <c r="AC1118" s="89"/>
      <c r="AD1118" s="89"/>
      <c r="AE1118" s="89"/>
      <c r="AF1118" s="89"/>
      <c r="AG1118" s="89"/>
      <c r="AH1118" s="89"/>
      <c r="AI1118" s="89"/>
      <c r="AJ1118" s="89"/>
      <c r="AK1118" s="89"/>
      <c r="AL1118" s="89"/>
      <c r="AM1118" s="89"/>
      <c r="AN1118" s="89"/>
      <c r="AO1118" s="89"/>
      <c r="AP1118" s="89"/>
      <c r="AQ1118" s="89"/>
      <c r="AR1118" s="89"/>
      <c r="AS1118" s="89"/>
      <c r="AT1118" s="89"/>
      <c r="AU1118" s="89"/>
      <c r="AV1118" s="89"/>
      <c r="AW1118" s="89"/>
      <c r="AX1118" s="89"/>
      <c r="AY1118" s="89"/>
      <c r="AZ1118" s="89"/>
      <c r="BA1118" s="89"/>
      <c r="BB1118" s="89"/>
      <c r="BC1118" s="89"/>
      <c r="BD1118" s="89"/>
      <c r="BE1118" s="89"/>
      <c r="BF1118" s="89"/>
    </row>
    <row r="1119" spans="9:58" x14ac:dyDescent="0.25">
      <c r="I1119" s="89"/>
      <c r="J1119" s="89"/>
      <c r="K1119" s="89"/>
      <c r="L1119" s="89"/>
      <c r="M1119" s="89"/>
      <c r="N1119" s="89"/>
      <c r="O1119" s="89"/>
      <c r="P1119" s="89"/>
      <c r="Q1119" s="89"/>
      <c r="R1119" s="89"/>
      <c r="S1119" s="89"/>
      <c r="T1119" s="89"/>
      <c r="U1119" s="89"/>
      <c r="V1119" s="89"/>
      <c r="W1119" s="89"/>
      <c r="X1119" s="89"/>
      <c r="Y1119" s="89"/>
      <c r="Z1119" s="89"/>
      <c r="AA1119" s="89"/>
      <c r="AB1119" s="89"/>
      <c r="AC1119" s="89"/>
      <c r="AD1119" s="89"/>
      <c r="AE1119" s="89"/>
      <c r="AF1119" s="89"/>
      <c r="AG1119" s="89"/>
      <c r="AH1119" s="89"/>
      <c r="AI1119" s="89"/>
      <c r="AJ1119" s="89"/>
      <c r="AK1119" s="89"/>
      <c r="AL1119" s="89"/>
      <c r="AM1119" s="89"/>
      <c r="AN1119" s="89"/>
      <c r="AO1119" s="89"/>
      <c r="AP1119" s="89"/>
      <c r="AQ1119" s="89"/>
      <c r="AR1119" s="89"/>
      <c r="AS1119" s="89"/>
      <c r="AT1119" s="89"/>
      <c r="AU1119" s="89"/>
      <c r="AV1119" s="89"/>
      <c r="AW1119" s="89"/>
      <c r="AX1119" s="89"/>
      <c r="AY1119" s="89"/>
      <c r="AZ1119" s="89"/>
      <c r="BA1119" s="89"/>
      <c r="BB1119" s="89"/>
      <c r="BC1119" s="89"/>
      <c r="BD1119" s="89"/>
      <c r="BE1119" s="89"/>
      <c r="BF1119" s="89"/>
    </row>
    <row r="1120" spans="9:58" x14ac:dyDescent="0.25">
      <c r="I1120" s="89"/>
      <c r="J1120" s="89"/>
      <c r="K1120" s="89"/>
      <c r="L1120" s="89"/>
      <c r="M1120" s="89"/>
      <c r="N1120" s="89"/>
      <c r="O1120" s="89"/>
      <c r="P1120" s="89"/>
      <c r="Q1120" s="89"/>
      <c r="R1120" s="89"/>
      <c r="S1120" s="89"/>
      <c r="T1120" s="89"/>
      <c r="U1120" s="89"/>
      <c r="V1120" s="89"/>
      <c r="W1120" s="89"/>
      <c r="X1120" s="89"/>
      <c r="Y1120" s="89"/>
      <c r="Z1120" s="89"/>
      <c r="AA1120" s="89"/>
      <c r="AB1120" s="89"/>
      <c r="AC1120" s="89"/>
      <c r="AD1120" s="89"/>
      <c r="AE1120" s="89"/>
      <c r="AF1120" s="89"/>
      <c r="AG1120" s="89"/>
      <c r="AH1120" s="89"/>
      <c r="AI1120" s="89"/>
      <c r="AJ1120" s="89"/>
      <c r="AK1120" s="89"/>
      <c r="AL1120" s="89"/>
      <c r="AM1120" s="89"/>
      <c r="AN1120" s="89"/>
      <c r="AO1120" s="89"/>
      <c r="AP1120" s="89"/>
      <c r="AQ1120" s="89"/>
      <c r="AR1120" s="89"/>
      <c r="AS1120" s="89"/>
      <c r="AT1120" s="89"/>
      <c r="AU1120" s="89"/>
      <c r="AV1120" s="89"/>
      <c r="AW1120" s="89"/>
      <c r="AX1120" s="89"/>
      <c r="AY1120" s="89"/>
      <c r="AZ1120" s="89"/>
      <c r="BA1120" s="89"/>
      <c r="BB1120" s="89"/>
      <c r="BC1120" s="89"/>
      <c r="BD1120" s="89"/>
      <c r="BE1120" s="89"/>
      <c r="BF1120" s="89"/>
    </row>
    <row r="1121" spans="9:58" x14ac:dyDescent="0.25">
      <c r="I1121" s="89"/>
      <c r="J1121" s="89"/>
      <c r="K1121" s="89"/>
      <c r="L1121" s="89"/>
      <c r="M1121" s="89"/>
      <c r="N1121" s="89"/>
      <c r="O1121" s="89"/>
      <c r="P1121" s="89"/>
      <c r="Q1121" s="89"/>
      <c r="R1121" s="89"/>
      <c r="S1121" s="89"/>
      <c r="T1121" s="89"/>
      <c r="U1121" s="89"/>
      <c r="V1121" s="89"/>
      <c r="W1121" s="89"/>
      <c r="X1121" s="89"/>
      <c r="Y1121" s="89"/>
      <c r="Z1121" s="89"/>
      <c r="AA1121" s="89"/>
      <c r="AB1121" s="89"/>
      <c r="AC1121" s="89"/>
      <c r="AD1121" s="89"/>
      <c r="AE1121" s="89"/>
      <c r="AF1121" s="89"/>
      <c r="AG1121" s="89"/>
      <c r="AH1121" s="89"/>
      <c r="AI1121" s="89"/>
      <c r="AJ1121" s="89"/>
      <c r="AK1121" s="89"/>
      <c r="AL1121" s="89"/>
      <c r="AM1121" s="89"/>
      <c r="AN1121" s="89"/>
      <c r="AO1121" s="89"/>
      <c r="AP1121" s="89"/>
      <c r="AQ1121" s="89"/>
      <c r="AR1121" s="89"/>
      <c r="AS1121" s="89"/>
      <c r="AT1121" s="89"/>
      <c r="AU1121" s="89"/>
      <c r="AV1121" s="89"/>
      <c r="AW1121" s="89"/>
      <c r="AX1121" s="89"/>
      <c r="AY1121" s="89"/>
      <c r="AZ1121" s="89"/>
      <c r="BA1121" s="89"/>
      <c r="BB1121" s="89"/>
      <c r="BC1121" s="89"/>
      <c r="BD1121" s="89"/>
      <c r="BE1121" s="89"/>
      <c r="BF1121" s="89"/>
    </row>
    <row r="1122" spans="9:58" x14ac:dyDescent="0.25">
      <c r="I1122" s="89"/>
      <c r="J1122" s="89"/>
      <c r="K1122" s="89"/>
      <c r="L1122" s="89"/>
      <c r="M1122" s="89"/>
      <c r="N1122" s="89"/>
      <c r="O1122" s="89"/>
      <c r="P1122" s="89"/>
      <c r="Q1122" s="89"/>
      <c r="R1122" s="89"/>
      <c r="S1122" s="89"/>
      <c r="T1122" s="89"/>
      <c r="U1122" s="89"/>
      <c r="V1122" s="89"/>
      <c r="W1122" s="89"/>
      <c r="X1122" s="89"/>
      <c r="Y1122" s="89"/>
      <c r="Z1122" s="89"/>
      <c r="AA1122" s="89"/>
      <c r="AB1122" s="89"/>
      <c r="AC1122" s="89"/>
      <c r="AD1122" s="89"/>
      <c r="AE1122" s="89"/>
      <c r="AF1122" s="89"/>
      <c r="AG1122" s="89"/>
      <c r="AH1122" s="89"/>
      <c r="AI1122" s="89"/>
      <c r="AJ1122" s="89"/>
      <c r="AK1122" s="89"/>
      <c r="AL1122" s="89"/>
      <c r="AM1122" s="89"/>
      <c r="AN1122" s="89"/>
      <c r="AO1122" s="89"/>
      <c r="AP1122" s="89"/>
      <c r="AQ1122" s="89"/>
      <c r="AR1122" s="89"/>
      <c r="AS1122" s="89"/>
      <c r="AT1122" s="89"/>
      <c r="AU1122" s="89"/>
      <c r="AV1122" s="89"/>
      <c r="AW1122" s="89"/>
      <c r="AX1122" s="89"/>
      <c r="AY1122" s="89"/>
      <c r="AZ1122" s="89"/>
      <c r="BA1122" s="89"/>
      <c r="BB1122" s="89"/>
      <c r="BC1122" s="89"/>
      <c r="BD1122" s="89"/>
      <c r="BE1122" s="89"/>
      <c r="BF1122" s="89"/>
    </row>
    <row r="1123" spans="9:58" x14ac:dyDescent="0.25">
      <c r="I1123" s="89"/>
      <c r="J1123" s="89"/>
      <c r="K1123" s="89"/>
      <c r="L1123" s="89"/>
      <c r="M1123" s="89"/>
      <c r="N1123" s="89"/>
      <c r="O1123" s="89"/>
      <c r="P1123" s="89"/>
      <c r="Q1123" s="89"/>
      <c r="R1123" s="89"/>
      <c r="S1123" s="89"/>
      <c r="T1123" s="89"/>
      <c r="U1123" s="89"/>
      <c r="V1123" s="89"/>
      <c r="W1123" s="89"/>
      <c r="X1123" s="89"/>
      <c r="Y1123" s="89"/>
      <c r="Z1123" s="89"/>
      <c r="AA1123" s="89"/>
      <c r="AB1123" s="89"/>
      <c r="AC1123" s="89"/>
      <c r="AD1123" s="89"/>
      <c r="AE1123" s="89"/>
      <c r="AF1123" s="89"/>
      <c r="AG1123" s="89"/>
      <c r="AH1123" s="89"/>
      <c r="AI1123" s="89"/>
      <c r="AJ1123" s="89"/>
      <c r="AK1123" s="89"/>
      <c r="AL1123" s="89"/>
      <c r="AM1123" s="89"/>
      <c r="AN1123" s="89"/>
      <c r="AO1123" s="89"/>
      <c r="AP1123" s="89"/>
      <c r="AQ1123" s="89"/>
      <c r="AR1123" s="89"/>
      <c r="AS1123" s="89"/>
      <c r="AT1123" s="89"/>
      <c r="AU1123" s="89"/>
      <c r="AV1123" s="89"/>
      <c r="AW1123" s="89"/>
      <c r="AX1123" s="89"/>
      <c r="AY1123" s="89"/>
      <c r="AZ1123" s="89"/>
      <c r="BA1123" s="89"/>
      <c r="BB1123" s="89"/>
      <c r="BC1123" s="89"/>
      <c r="BD1123" s="89"/>
      <c r="BE1123" s="89"/>
      <c r="BF1123" s="89"/>
    </row>
    <row r="1124" spans="9:58" x14ac:dyDescent="0.25">
      <c r="I1124" s="89"/>
      <c r="J1124" s="89"/>
      <c r="K1124" s="89"/>
      <c r="L1124" s="89"/>
      <c r="M1124" s="89"/>
      <c r="N1124" s="89"/>
      <c r="O1124" s="89"/>
      <c r="P1124" s="89"/>
      <c r="Q1124" s="89"/>
      <c r="R1124" s="89"/>
      <c r="S1124" s="89"/>
      <c r="T1124" s="89"/>
      <c r="U1124" s="89"/>
      <c r="V1124" s="89"/>
      <c r="W1124" s="89"/>
      <c r="X1124" s="89"/>
      <c r="Y1124" s="89"/>
      <c r="Z1124" s="89"/>
      <c r="AA1124" s="89"/>
      <c r="AB1124" s="89"/>
      <c r="AC1124" s="89"/>
      <c r="AD1124" s="89"/>
      <c r="AE1124" s="89"/>
      <c r="AF1124" s="89"/>
      <c r="AG1124" s="89"/>
      <c r="AH1124" s="89"/>
      <c r="AI1124" s="89"/>
      <c r="AJ1124" s="89"/>
      <c r="AK1124" s="89"/>
      <c r="AL1124" s="89"/>
      <c r="AM1124" s="89"/>
      <c r="AN1124" s="89"/>
      <c r="AO1124" s="89"/>
      <c r="AP1124" s="89"/>
      <c r="AQ1124" s="89"/>
      <c r="AR1124" s="89"/>
      <c r="AS1124" s="89"/>
      <c r="AT1124" s="89"/>
      <c r="AU1124" s="89"/>
      <c r="AV1124" s="89"/>
      <c r="AW1124" s="89"/>
      <c r="AX1124" s="89"/>
      <c r="AY1124" s="89"/>
      <c r="AZ1124" s="89"/>
      <c r="BA1124" s="89"/>
      <c r="BB1124" s="89"/>
      <c r="BC1124" s="89"/>
      <c r="BD1124" s="89"/>
      <c r="BE1124" s="89"/>
      <c r="BF1124" s="89"/>
    </row>
  </sheetData>
  <mergeCells count="10">
    <mergeCell ref="AH2:AL2"/>
    <mergeCell ref="AM2:AQ2"/>
    <mergeCell ref="AR2:AV2"/>
    <mergeCell ref="AW2:BA2"/>
    <mergeCell ref="BB2:BF2"/>
    <mergeCell ref="I2:M2"/>
    <mergeCell ref="N2:R2"/>
    <mergeCell ref="S2:W2"/>
    <mergeCell ref="X2:AB2"/>
    <mergeCell ref="AC2:AG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K1052"/>
  <sheetViews>
    <sheetView tabSelected="1" zoomScale="75" zoomScaleNormal="75" workbookViewId="0">
      <selection activeCell="E10" sqref="E10"/>
    </sheetView>
  </sheetViews>
  <sheetFormatPr defaultColWidth="8.81640625" defaultRowHeight="12.5" x14ac:dyDescent="0.25"/>
  <cols>
    <col min="1" max="1" width="2.453125" customWidth="1"/>
    <col min="2" max="2" width="10" customWidth="1"/>
    <col min="3" max="3" width="13.26953125" customWidth="1"/>
    <col min="4" max="4" width="9" customWidth="1"/>
    <col min="5" max="5" width="8.54296875" bestFit="1" customWidth="1"/>
    <col min="6" max="6" width="8.453125" customWidth="1"/>
    <col min="7" max="7" width="11.1796875" customWidth="1"/>
    <col min="8" max="8" width="3.7265625" customWidth="1"/>
    <col min="9" max="10" width="8.81640625" customWidth="1"/>
    <col min="11" max="11" width="8.453125" customWidth="1"/>
    <col min="12" max="13" width="7" customWidth="1"/>
    <col min="14" max="14" width="7.81640625" customWidth="1"/>
    <col min="15" max="15" width="9" customWidth="1"/>
    <col min="16" max="16" width="8.81640625" customWidth="1"/>
    <col min="17" max="17" width="9.7265625" bestFit="1" customWidth="1"/>
    <col min="18" max="18" width="6.81640625" customWidth="1"/>
    <col min="19" max="20" width="6.54296875" customWidth="1"/>
    <col min="21" max="21" width="3.1796875" customWidth="1"/>
    <col min="22" max="22" width="3.7265625" customWidth="1"/>
    <col min="25" max="25" width="9.453125" bestFit="1" customWidth="1"/>
    <col min="28" max="28" width="9.26953125" bestFit="1" customWidth="1"/>
    <col min="32" max="32" width="14.7265625" bestFit="1" customWidth="1"/>
    <col min="35" max="35" width="14.81640625" bestFit="1" customWidth="1"/>
  </cols>
  <sheetData>
    <row r="1" spans="1:37" ht="21" customHeight="1" x14ac:dyDescent="0.25">
      <c r="A1" s="154" t="s">
        <v>105</v>
      </c>
      <c r="B1" s="154"/>
      <c r="C1" s="154"/>
      <c r="D1" s="155" t="s">
        <v>106</v>
      </c>
      <c r="E1" s="155"/>
      <c r="F1" s="155"/>
      <c r="G1" s="155"/>
      <c r="H1" s="155"/>
      <c r="I1" s="155"/>
      <c r="J1" s="155"/>
      <c r="K1" s="155"/>
      <c r="L1" s="156" t="s">
        <v>111</v>
      </c>
      <c r="M1" s="156"/>
      <c r="N1" s="156"/>
      <c r="O1" s="156"/>
      <c r="P1" s="156"/>
      <c r="Q1" s="156"/>
      <c r="R1" s="156"/>
      <c r="S1" s="153" t="s">
        <v>109</v>
      </c>
      <c r="T1" s="153"/>
      <c r="U1" s="153"/>
      <c r="V1" s="153"/>
      <c r="W1" s="153"/>
      <c r="X1" s="153"/>
      <c r="AK1" s="60"/>
    </row>
    <row r="2" spans="1:37" ht="20.25" customHeight="1" thickBot="1" x14ac:dyDescent="0.3">
      <c r="A2" s="154"/>
      <c r="B2" s="154"/>
      <c r="C2" s="154"/>
      <c r="D2" s="155" t="s">
        <v>107</v>
      </c>
      <c r="E2" s="155"/>
      <c r="F2" s="155"/>
      <c r="G2" s="155"/>
      <c r="H2" s="155"/>
      <c r="I2" s="155"/>
      <c r="J2" s="155"/>
      <c r="K2" s="155"/>
      <c r="L2" s="156" t="s">
        <v>108</v>
      </c>
      <c r="M2" s="156"/>
      <c r="N2" s="156"/>
      <c r="O2" s="156"/>
      <c r="P2" s="156"/>
      <c r="Q2" s="156"/>
      <c r="R2" s="156"/>
      <c r="S2" s="153" t="s">
        <v>110</v>
      </c>
      <c r="T2" s="153"/>
      <c r="U2" s="153"/>
      <c r="V2" s="153"/>
      <c r="W2" s="153"/>
      <c r="X2" s="153"/>
    </row>
    <row r="3" spans="1:37" ht="18" customHeight="1" thickBot="1" x14ac:dyDescent="0.4">
      <c r="C3" s="106" t="s">
        <v>81</v>
      </c>
      <c r="D3" s="106" t="s">
        <v>104</v>
      </c>
      <c r="F3" s="61" t="s">
        <v>84</v>
      </c>
      <c r="G3" s="61"/>
      <c r="H3" s="61"/>
      <c r="I3" s="61"/>
      <c r="J3" s="61"/>
      <c r="K3" s="71">
        <f>360/ABS(Y5)*3.28</f>
        <v>339.17651189459946</v>
      </c>
      <c r="W3" s="1" t="s">
        <v>14</v>
      </c>
      <c r="X3" s="2"/>
      <c r="Y3" s="3"/>
      <c r="Z3" s="1" t="s">
        <v>15</v>
      </c>
      <c r="AA3" s="4"/>
      <c r="AB3" s="4"/>
      <c r="AC3" s="2"/>
      <c r="AD3" s="5"/>
      <c r="AH3" t="s">
        <v>4</v>
      </c>
    </row>
    <row r="4" spans="1:37" ht="18.75" customHeight="1" thickBot="1" x14ac:dyDescent="0.4">
      <c r="C4" s="107" t="s">
        <v>76</v>
      </c>
      <c r="D4" s="130">
        <v>182.59</v>
      </c>
      <c r="F4" s="61" t="s">
        <v>77</v>
      </c>
      <c r="G4" s="61"/>
      <c r="H4" s="61"/>
      <c r="I4" s="61"/>
      <c r="J4" s="61"/>
      <c r="K4" s="62">
        <f>N22</f>
        <v>0.11292512511656633</v>
      </c>
      <c r="O4" s="66" t="s">
        <v>57</v>
      </c>
      <c r="P4" s="67">
        <f>SQRT(AVERAGE(R9:R20, S9:S20))</f>
        <v>0.14551908359253851</v>
      </c>
      <c r="W4" s="1" t="s">
        <v>17</v>
      </c>
      <c r="X4" s="2"/>
      <c r="Y4" s="6">
        <v>0</v>
      </c>
      <c r="Z4" s="7" t="s">
        <v>18</v>
      </c>
      <c r="AA4" s="2"/>
      <c r="AB4" s="4"/>
      <c r="AC4" s="2"/>
      <c r="AD4" s="5"/>
    </row>
    <row r="5" spans="1:37" ht="16" thickBot="1" x14ac:dyDescent="0.4">
      <c r="E5" s="149" t="s">
        <v>98</v>
      </c>
      <c r="F5" s="150"/>
      <c r="W5" s="8" t="s">
        <v>21</v>
      </c>
      <c r="X5" s="9"/>
      <c r="Y5" s="127">
        <v>-3.4813731452222099</v>
      </c>
      <c r="Z5" s="10" t="s">
        <v>68</v>
      </c>
      <c r="AA5" s="11"/>
      <c r="AB5" s="11"/>
      <c r="AC5" s="9"/>
      <c r="AD5" s="12"/>
      <c r="AH5" t="s">
        <v>12</v>
      </c>
      <c r="AI5">
        <v>0.125</v>
      </c>
      <c r="AJ5" t="s">
        <v>13</v>
      </c>
    </row>
    <row r="6" spans="1:37" ht="16" thickBot="1" x14ac:dyDescent="0.4">
      <c r="C6" s="18" t="s">
        <v>0</v>
      </c>
      <c r="D6" s="57"/>
      <c r="E6" s="151"/>
      <c r="F6" s="152"/>
      <c r="G6" s="131"/>
      <c r="H6" s="20"/>
      <c r="I6" s="19" t="s">
        <v>64</v>
      </c>
      <c r="J6" s="20"/>
      <c r="K6" s="21"/>
      <c r="L6" s="7" t="s">
        <v>1</v>
      </c>
      <c r="M6" s="22"/>
      <c r="N6" s="23"/>
      <c r="O6" s="24" t="s">
        <v>2</v>
      </c>
      <c r="P6" s="25"/>
      <c r="Q6" s="26"/>
      <c r="R6" s="90" t="s">
        <v>3</v>
      </c>
      <c r="S6" s="90"/>
      <c r="T6" s="90"/>
      <c r="W6" s="8" t="s">
        <v>23</v>
      </c>
      <c r="X6" s="9"/>
      <c r="Y6" s="127">
        <v>3.4813731452222099</v>
      </c>
      <c r="Z6" s="10" t="s">
        <v>69</v>
      </c>
      <c r="AA6" s="11"/>
      <c r="AB6" s="11"/>
      <c r="AC6" s="9"/>
      <c r="AD6" s="12"/>
      <c r="AH6" t="s">
        <v>13</v>
      </c>
      <c r="AI6">
        <v>0.16800000000000001</v>
      </c>
      <c r="AJ6" t="s">
        <v>16</v>
      </c>
    </row>
    <row r="7" spans="1:37" ht="16" thickBot="1" x14ac:dyDescent="0.4">
      <c r="C7" s="27" t="s">
        <v>5</v>
      </c>
      <c r="D7" s="57" t="s">
        <v>5</v>
      </c>
      <c r="E7" s="58" t="s">
        <v>62</v>
      </c>
      <c r="F7" s="59" t="s">
        <v>63</v>
      </c>
      <c r="G7" s="28" t="s">
        <v>67</v>
      </c>
      <c r="H7" s="29"/>
      <c r="I7" s="28" t="s">
        <v>6</v>
      </c>
      <c r="J7" s="29" t="s">
        <v>7</v>
      </c>
      <c r="K7" s="30" t="s">
        <v>8</v>
      </c>
      <c r="L7" s="31" t="s">
        <v>6</v>
      </c>
      <c r="M7" s="32" t="s">
        <v>7</v>
      </c>
      <c r="N7" s="33" t="s">
        <v>8</v>
      </c>
      <c r="O7" s="34" t="s">
        <v>6</v>
      </c>
      <c r="P7" s="35" t="s">
        <v>7</v>
      </c>
      <c r="Q7" s="36" t="s">
        <v>8</v>
      </c>
      <c r="R7" s="90"/>
      <c r="S7" s="90"/>
      <c r="T7" s="90"/>
      <c r="W7" s="8" t="s">
        <v>26</v>
      </c>
      <c r="X7" s="9"/>
      <c r="Y7" s="128">
        <v>3.5432644738921</v>
      </c>
      <c r="Z7" s="10" t="s">
        <v>70</v>
      </c>
      <c r="AA7" s="13"/>
      <c r="AB7" s="13"/>
      <c r="AC7" s="9"/>
      <c r="AD7" s="12"/>
      <c r="AH7" t="s">
        <v>19</v>
      </c>
      <c r="AI7">
        <v>3.93E-5</v>
      </c>
      <c r="AJ7" t="s">
        <v>20</v>
      </c>
    </row>
    <row r="8" spans="1:37" ht="16" thickBot="1" x14ac:dyDescent="0.4">
      <c r="C8" s="114" t="s">
        <v>9</v>
      </c>
      <c r="D8" s="115" t="s">
        <v>10</v>
      </c>
      <c r="E8" s="116" t="s">
        <v>65</v>
      </c>
      <c r="F8" s="117" t="s">
        <v>66</v>
      </c>
      <c r="G8" s="37" t="s">
        <v>66</v>
      </c>
      <c r="H8" s="38"/>
      <c r="I8" s="37" t="s">
        <v>11</v>
      </c>
      <c r="J8" s="38" t="s">
        <v>11</v>
      </c>
      <c r="K8" s="39" t="s">
        <v>11</v>
      </c>
      <c r="L8" s="40" t="s">
        <v>11</v>
      </c>
      <c r="M8" s="41" t="s">
        <v>11</v>
      </c>
      <c r="N8" s="42" t="s">
        <v>11</v>
      </c>
      <c r="O8" s="43" t="s">
        <v>11</v>
      </c>
      <c r="P8" s="44" t="s">
        <v>11</v>
      </c>
      <c r="Q8" s="45" t="s">
        <v>11</v>
      </c>
      <c r="R8" s="90"/>
      <c r="S8" s="90"/>
      <c r="T8" s="90"/>
      <c r="W8" s="8" t="s">
        <v>29</v>
      </c>
      <c r="X8" s="9"/>
      <c r="Y8" s="129">
        <v>473.96206529186401</v>
      </c>
      <c r="Z8" s="8" t="s">
        <v>71</v>
      </c>
      <c r="AA8" s="9"/>
      <c r="AB8" s="9"/>
      <c r="AC8" s="9"/>
      <c r="AD8" s="12"/>
      <c r="AH8" t="s">
        <v>22</v>
      </c>
      <c r="AI8">
        <v>3.8000000000000002E-5</v>
      </c>
      <c r="AJ8" t="s">
        <v>20</v>
      </c>
    </row>
    <row r="9" spans="1:37" ht="15.5" x14ac:dyDescent="0.35">
      <c r="B9" s="109">
        <v>10</v>
      </c>
      <c r="C9" s="118"/>
      <c r="D9" s="121"/>
      <c r="E9" s="118"/>
      <c r="F9" s="124"/>
      <c r="G9" s="111"/>
      <c r="H9" s="49"/>
      <c r="I9" s="101"/>
      <c r="J9" s="102"/>
      <c r="K9" s="49"/>
      <c r="L9" s="48"/>
      <c r="M9" s="103"/>
      <c r="N9" s="49"/>
      <c r="O9" s="103"/>
      <c r="P9" s="103"/>
      <c r="Q9" s="49"/>
      <c r="R9" s="91"/>
      <c r="S9" s="91"/>
      <c r="T9" s="91"/>
      <c r="U9" s="46"/>
      <c r="W9" s="8" t="s">
        <v>32</v>
      </c>
      <c r="X9" s="9"/>
      <c r="Y9" s="128">
        <v>3.6069048499102099</v>
      </c>
      <c r="Z9" s="10" t="s">
        <v>72</v>
      </c>
      <c r="AA9" s="11"/>
      <c r="AB9" s="11"/>
      <c r="AC9" s="9"/>
      <c r="AD9" s="12"/>
      <c r="AH9" t="s">
        <v>24</v>
      </c>
      <c r="AI9">
        <v>394</v>
      </c>
      <c r="AJ9" t="s">
        <v>25</v>
      </c>
    </row>
    <row r="10" spans="1:37" ht="15.5" x14ac:dyDescent="0.35">
      <c r="B10" s="108">
        <v>9</v>
      </c>
      <c r="C10" s="119"/>
      <c r="D10" s="122"/>
      <c r="E10" s="119"/>
      <c r="F10" s="125"/>
      <c r="G10" s="112"/>
      <c r="H10" s="51"/>
      <c r="I10" s="78"/>
      <c r="J10" s="79"/>
      <c r="K10" s="51"/>
      <c r="L10" s="50"/>
      <c r="M10" s="47"/>
      <c r="N10" s="51"/>
      <c r="O10" s="47"/>
      <c r="P10" s="47"/>
      <c r="Q10" s="51"/>
      <c r="R10" s="91"/>
      <c r="S10" s="91"/>
      <c r="T10" s="91"/>
      <c r="U10" s="46"/>
      <c r="W10" s="8" t="s">
        <v>34</v>
      </c>
      <c r="X10" s="9"/>
      <c r="Y10" s="128">
        <v>-93.330245779389202</v>
      </c>
      <c r="Z10" s="10" t="s">
        <v>73</v>
      </c>
      <c r="AA10" s="11"/>
      <c r="AB10" s="14"/>
      <c r="AC10" s="9"/>
      <c r="AD10" s="12"/>
      <c r="AH10" t="s">
        <v>27</v>
      </c>
      <c r="AI10">
        <v>1.214</v>
      </c>
      <c r="AJ10" t="s">
        <v>28</v>
      </c>
    </row>
    <row r="11" spans="1:37" ht="15.5" x14ac:dyDescent="0.35">
      <c r="B11" s="108">
        <v>8</v>
      </c>
      <c r="C11" s="119"/>
      <c r="D11" s="122"/>
      <c r="E11" s="119"/>
      <c r="F11" s="125"/>
      <c r="G11" s="112"/>
      <c r="H11" s="51"/>
      <c r="I11" s="78"/>
      <c r="J11" s="79"/>
      <c r="K11" s="51"/>
      <c r="L11" s="50"/>
      <c r="M11" s="47"/>
      <c r="N11" s="51"/>
      <c r="O11" s="47"/>
      <c r="P11" s="47"/>
      <c r="Q11" s="51"/>
      <c r="R11" s="91"/>
      <c r="S11" s="91"/>
      <c r="T11" s="91"/>
      <c r="U11" s="46"/>
      <c r="W11" s="8" t="s">
        <v>36</v>
      </c>
      <c r="X11" s="9"/>
      <c r="Y11" s="55">
        <v>-1.8E-3</v>
      </c>
      <c r="Z11" s="10" t="s">
        <v>74</v>
      </c>
      <c r="AA11" s="9"/>
      <c r="AB11" s="9"/>
      <c r="AC11" s="9"/>
      <c r="AD11" s="12"/>
      <c r="AH11" t="s">
        <v>30</v>
      </c>
      <c r="AI11">
        <v>77.5</v>
      </c>
      <c r="AJ11" t="s">
        <v>31</v>
      </c>
    </row>
    <row r="12" spans="1:37" ht="16" thickBot="1" x14ac:dyDescent="0.4">
      <c r="B12" s="108">
        <v>7</v>
      </c>
      <c r="C12" s="119">
        <v>78.849999999999994</v>
      </c>
      <c r="D12" s="122">
        <f>C12*0.3048</f>
        <v>24.033480000000001</v>
      </c>
      <c r="E12" s="119">
        <v>98</v>
      </c>
      <c r="F12" s="125">
        <v>10</v>
      </c>
      <c r="G12" s="112">
        <v>6.55</v>
      </c>
      <c r="H12" s="51"/>
      <c r="I12" s="78">
        <f>G12*COS(RADIANS(F12))</f>
        <v>6.450490782229962</v>
      </c>
      <c r="J12" s="79">
        <f>G12*SIN(RADIANS(F12))</f>
        <v>1.1373955637183937</v>
      </c>
      <c r="K12" s="51">
        <f>SQRT(I12*I12+J12*J12)</f>
        <v>6.5499999999999989</v>
      </c>
      <c r="L12" s="50">
        <f>$Y$7*EXP($Y$11*(D12-$Y$4))*COS(PI()/180*($Y$8+$Y$5*(D12-$Y$4)))+$Y$9*EXP($Y$12*(D12-$Y$4))*COS(PI()/180*($Y$10+$Y$6*(D12-$Y$4)))</f>
        <v>6.3351507039047537</v>
      </c>
      <c r="M12" s="47">
        <f>$Y$13+$Y$7*EXP($Y$11*(D12-$Y$4))*SIN(PI()/180*($Y$8+$Y$5*(D12-$Y$4)))+$Y$9*EXP($Y$12*(D12-$Y$4))*SIN(PI()/180*($Y$10+$Y$6*(D12-$Y$4)))</f>
        <v>1.1319458198428616</v>
      </c>
      <c r="N12" s="51">
        <f>SQRT(L12*L12+M12*M12)</f>
        <v>6.4354825600140222</v>
      </c>
      <c r="O12" s="47">
        <f>L12-I12</f>
        <v>-0.11534007832520832</v>
      </c>
      <c r="P12" s="47">
        <f>M12-J12</f>
        <v>-5.4497438755320982E-3</v>
      </c>
      <c r="Q12" s="51">
        <f>N12-K12</f>
        <v>-0.11451743998597674</v>
      </c>
      <c r="R12" s="91">
        <f>O12*O12</f>
        <v>1.3303333668065189E-2</v>
      </c>
      <c r="S12" s="91">
        <f>P12*P12</f>
        <v>2.9699708308899612E-5</v>
      </c>
      <c r="T12" s="91">
        <f>Q12*Q12</f>
        <v>1.3114244060941785E-2</v>
      </c>
      <c r="U12" s="46"/>
      <c r="W12" s="15" t="s">
        <v>37</v>
      </c>
      <c r="X12" s="16"/>
      <c r="Y12" s="56">
        <v>-1.8E-3</v>
      </c>
      <c r="Z12" s="15" t="s">
        <v>75</v>
      </c>
      <c r="AA12" s="16"/>
      <c r="AB12" s="16"/>
      <c r="AC12" s="16"/>
      <c r="AD12" s="17"/>
      <c r="AH12" t="s">
        <v>33</v>
      </c>
      <c r="AI12">
        <v>0.17399999999999999</v>
      </c>
    </row>
    <row r="13" spans="1:37" ht="16" thickBot="1" x14ac:dyDescent="0.4">
      <c r="B13" s="108">
        <v>6</v>
      </c>
      <c r="C13" s="119"/>
      <c r="D13" s="122"/>
      <c r="E13" s="119"/>
      <c r="F13" s="125"/>
      <c r="G13" s="112"/>
      <c r="H13" s="51"/>
      <c r="I13" s="78"/>
      <c r="J13" s="79"/>
      <c r="K13" s="51"/>
      <c r="L13" s="50"/>
      <c r="M13" s="47"/>
      <c r="N13" s="51"/>
      <c r="O13" s="47"/>
      <c r="P13" s="47"/>
      <c r="Q13" s="51"/>
      <c r="R13" s="91"/>
      <c r="S13" s="91"/>
      <c r="T13" s="91"/>
      <c r="U13" s="46"/>
      <c r="W13" s="15" t="s">
        <v>53</v>
      </c>
      <c r="X13" s="16"/>
      <c r="Y13" s="56">
        <v>0</v>
      </c>
      <c r="Z13" s="15" t="s">
        <v>52</v>
      </c>
      <c r="AA13" s="16"/>
      <c r="AB13" s="16"/>
      <c r="AC13" s="16"/>
      <c r="AD13" s="17"/>
      <c r="AH13" t="s">
        <v>35</v>
      </c>
      <c r="AI13">
        <v>1.3</v>
      </c>
    </row>
    <row r="14" spans="1:37" ht="15.5" x14ac:dyDescent="0.35">
      <c r="B14" s="108">
        <v>5</v>
      </c>
      <c r="C14" s="119"/>
      <c r="D14" s="122"/>
      <c r="E14" s="119"/>
      <c r="F14" s="125"/>
      <c r="G14" s="112"/>
      <c r="H14" s="51"/>
      <c r="I14" s="78"/>
      <c r="J14" s="79"/>
      <c r="K14" s="51"/>
      <c r="L14" s="50"/>
      <c r="M14" s="47"/>
      <c r="N14" s="51"/>
      <c r="O14" s="47"/>
      <c r="P14" s="47"/>
      <c r="Q14" s="51"/>
      <c r="R14" s="91"/>
      <c r="S14" s="91"/>
      <c r="T14" s="91"/>
      <c r="U14" s="46"/>
      <c r="AH14" t="s">
        <v>54</v>
      </c>
      <c r="AI14">
        <f>AI7/AI8*AI9*AI5/AI11</f>
        <v>0.6572241086587437</v>
      </c>
    </row>
    <row r="15" spans="1:37" ht="15.5" x14ac:dyDescent="0.35">
      <c r="B15" s="108">
        <v>4</v>
      </c>
      <c r="C15" s="119">
        <v>103.27</v>
      </c>
      <c r="D15" s="122">
        <f t="shared" ref="D15:D20" si="0">C15*0.3048</f>
        <v>31.476696</v>
      </c>
      <c r="E15" s="119">
        <v>97</v>
      </c>
      <c r="F15" s="125">
        <v>10</v>
      </c>
      <c r="G15" s="112">
        <v>6.45</v>
      </c>
      <c r="H15" s="51"/>
      <c r="I15" s="78">
        <f t="shared" ref="I15:I17" si="1">G15*COS(RADIANS(F15))</f>
        <v>6.352010006928742</v>
      </c>
      <c r="J15" s="79">
        <f t="shared" ref="J15:J18" si="2">G15*SIN(RADIANS(F15))</f>
        <v>1.1200307459517007</v>
      </c>
      <c r="K15" s="51">
        <f t="shared" ref="K15:K18" si="3">SQRT(I15*I15+J15*J15)</f>
        <v>6.45</v>
      </c>
      <c r="L15" s="50">
        <f t="shared" ref="L15:L18" si="4">$Y$7*EXP($Y$11*(D15-$Y$4))*COS(PI()/180*($Y$8+$Y$5*(D15-$Y$4)))+$Y$9*EXP($Y$12*(D15-$Y$4))*COS(PI()/180*($Y$10+$Y$6*(D15-$Y$4)))</f>
        <v>6.6103491137820489</v>
      </c>
      <c r="M15" s="47">
        <f t="shared" ref="M15:M18" si="5">$Y$13+$Y$7*EXP($Y$11*(D15-$Y$4))*SIN(PI()/180*($Y$8+$Y$5*(D15-$Y$4)))+$Y$9*EXP($Y$12*(D15-$Y$4))*SIN(PI()/180*($Y$10+$Y$6*(D15-$Y$4)))</f>
        <v>1.2095214416947209</v>
      </c>
      <c r="N15" s="51">
        <f t="shared" ref="N15:N18" si="6">SQRT(L15*L15+M15*M15)</f>
        <v>6.720093565122319</v>
      </c>
      <c r="O15" s="47">
        <f t="shared" ref="O15:Q18" si="7">L15-I15</f>
        <v>0.25833910685330697</v>
      </c>
      <c r="P15" s="47">
        <f t="shared" si="7"/>
        <v>8.9490695743020154E-2</v>
      </c>
      <c r="Q15" s="51">
        <f t="shared" si="7"/>
        <v>0.27009356512231886</v>
      </c>
      <c r="R15" s="91">
        <f t="shared" ref="R15:T18" si="8">O15*O15</f>
        <v>6.6739094129764351E-2</v>
      </c>
      <c r="S15" s="91">
        <f t="shared" si="8"/>
        <v>8.0085846245698047E-3</v>
      </c>
      <c r="T15" s="91">
        <f t="shared" si="8"/>
        <v>7.2950533920484298E-2</v>
      </c>
      <c r="U15" s="46"/>
    </row>
    <row r="16" spans="1:37" ht="15.5" x14ac:dyDescent="0.35">
      <c r="B16" s="108">
        <v>3</v>
      </c>
      <c r="C16" s="119">
        <v>123.27</v>
      </c>
      <c r="D16" s="122">
        <f t="shared" si="0"/>
        <v>37.572696000000001</v>
      </c>
      <c r="E16" s="119">
        <v>92</v>
      </c>
      <c r="F16" s="125">
        <v>11</v>
      </c>
      <c r="G16" s="112">
        <v>6.05</v>
      </c>
      <c r="H16" s="51"/>
      <c r="I16" s="78">
        <f>G16*COS(RADIANS(F16))</f>
        <v>5.938844459858367</v>
      </c>
      <c r="J16" s="79">
        <f t="shared" si="2"/>
        <v>1.1543944220280959</v>
      </c>
      <c r="K16" s="51">
        <f t="shared" si="3"/>
        <v>6.05</v>
      </c>
      <c r="L16" s="50">
        <f t="shared" si="4"/>
        <v>5.8448436908413939</v>
      </c>
      <c r="M16" s="47">
        <f t="shared" si="5"/>
        <v>1.0914600196396931</v>
      </c>
      <c r="N16" s="51">
        <f t="shared" si="6"/>
        <v>5.9458794761448308</v>
      </c>
      <c r="O16" s="47">
        <f t="shared" si="7"/>
        <v>-9.4000769016973074E-2</v>
      </c>
      <c r="P16" s="47">
        <f t="shared" si="7"/>
        <v>-6.2934402388402866E-2</v>
      </c>
      <c r="Q16" s="51">
        <f t="shared" si="7"/>
        <v>-0.10412052385516901</v>
      </c>
      <c r="R16" s="91">
        <f t="shared" si="8"/>
        <v>8.8361445757823252E-3</v>
      </c>
      <c r="S16" s="91">
        <f t="shared" si="8"/>
        <v>3.9607390039854079E-3</v>
      </c>
      <c r="T16" s="91">
        <f t="shared" si="8"/>
        <v>1.084108348787482E-2</v>
      </c>
      <c r="U16" s="46"/>
    </row>
    <row r="17" spans="2:36" ht="15.5" x14ac:dyDescent="0.35">
      <c r="B17" s="108">
        <v>2</v>
      </c>
      <c r="C17" s="119">
        <v>143.37</v>
      </c>
      <c r="D17" s="122">
        <f t="shared" si="0"/>
        <v>43.699176000000001</v>
      </c>
      <c r="E17" s="119">
        <v>70</v>
      </c>
      <c r="F17" s="125">
        <v>11</v>
      </c>
      <c r="G17" s="112">
        <v>4.3499999999999996</v>
      </c>
      <c r="H17" s="51"/>
      <c r="I17" s="78">
        <f t="shared" si="1"/>
        <v>4.270078247997338</v>
      </c>
      <c r="J17" s="79">
        <f t="shared" si="2"/>
        <v>0.83001912988796989</v>
      </c>
      <c r="K17" s="51">
        <f t="shared" si="3"/>
        <v>4.3499999999999996</v>
      </c>
      <c r="L17" s="50">
        <f t="shared" si="4"/>
        <v>4.301879559869402</v>
      </c>
      <c r="M17" s="47">
        <f t="shared" si="5"/>
        <v>0.8277912674863801</v>
      </c>
      <c r="N17" s="51">
        <f t="shared" si="6"/>
        <v>4.3807997135396262</v>
      </c>
      <c r="O17" s="47">
        <f t="shared" si="7"/>
        <v>3.180131187206392E-2</v>
      </c>
      <c r="P17" s="47">
        <f t="shared" si="7"/>
        <v>-2.2278624015897863E-3</v>
      </c>
      <c r="Q17" s="51">
        <f t="shared" si="7"/>
        <v>3.0799713539626516E-2</v>
      </c>
      <c r="R17" s="91">
        <f t="shared" si="8"/>
        <v>1.0113234367842736E-3</v>
      </c>
      <c r="S17" s="91">
        <f t="shared" si="8"/>
        <v>4.9633708804174102E-6</v>
      </c>
      <c r="T17" s="91">
        <f t="shared" si="8"/>
        <v>9.4862235412305292E-4</v>
      </c>
      <c r="U17" s="46"/>
    </row>
    <row r="18" spans="2:36" ht="15.5" x14ac:dyDescent="0.35">
      <c r="B18" s="108">
        <v>1</v>
      </c>
      <c r="C18" s="119">
        <v>157.47</v>
      </c>
      <c r="D18" s="122">
        <f t="shared" si="0"/>
        <v>47.996856000000001</v>
      </c>
      <c r="E18" s="119">
        <v>54</v>
      </c>
      <c r="F18" s="125">
        <v>12</v>
      </c>
      <c r="G18" s="112">
        <v>3.1</v>
      </c>
      <c r="H18" s="51"/>
      <c r="I18" s="78">
        <f>G18*COS(RADIANS(F18))</f>
        <v>3.0322575622747978</v>
      </c>
      <c r="J18" s="79">
        <f t="shared" si="2"/>
        <v>0.644526241535054</v>
      </c>
      <c r="K18" s="51">
        <f t="shared" si="3"/>
        <v>3.1</v>
      </c>
      <c r="L18" s="50">
        <f t="shared" si="4"/>
        <v>2.8748332915138093</v>
      </c>
      <c r="M18" s="47">
        <f t="shared" si="5"/>
        <v>0.57634509881475404</v>
      </c>
      <c r="N18" s="51">
        <f t="shared" si="6"/>
        <v>2.9320368563379131</v>
      </c>
      <c r="O18" s="47">
        <f t="shared" si="7"/>
        <v>-0.15742427076098853</v>
      </c>
      <c r="P18" s="47">
        <f t="shared" si="7"/>
        <v>-6.8181142720299959E-2</v>
      </c>
      <c r="Q18" s="51">
        <f t="shared" si="7"/>
        <v>-0.16796314366208698</v>
      </c>
      <c r="R18" s="91">
        <f t="shared" si="8"/>
        <v>2.4782401024629027E-2</v>
      </c>
      <c r="S18" s="91">
        <f t="shared" si="8"/>
        <v>4.648668222645912E-3</v>
      </c>
      <c r="T18" s="91">
        <f t="shared" si="8"/>
        <v>2.8211617628850869E-2</v>
      </c>
      <c r="U18" s="46"/>
    </row>
    <row r="19" spans="2:36" ht="15.5" x14ac:dyDescent="0.35">
      <c r="B19" s="108" t="s">
        <v>80</v>
      </c>
      <c r="C19" s="119"/>
      <c r="D19" s="122"/>
      <c r="E19" s="119"/>
      <c r="F19" s="125"/>
      <c r="G19" s="112"/>
      <c r="H19" s="51"/>
      <c r="I19" s="78"/>
      <c r="J19" s="79"/>
      <c r="K19" s="51"/>
      <c r="L19" s="50"/>
      <c r="M19" s="47"/>
      <c r="N19" s="51"/>
      <c r="O19" s="47"/>
      <c r="P19" s="47"/>
      <c r="Q19" s="51"/>
      <c r="R19" s="91"/>
      <c r="S19" s="91"/>
      <c r="T19" s="91"/>
      <c r="U19" s="46"/>
    </row>
    <row r="20" spans="2:36" ht="16" thickBot="1" x14ac:dyDescent="0.4">
      <c r="B20" s="110" t="s">
        <v>83</v>
      </c>
      <c r="C20" s="120">
        <v>178.77</v>
      </c>
      <c r="D20" s="123">
        <f t="shared" si="0"/>
        <v>54.489096000000004</v>
      </c>
      <c r="E20" s="120">
        <v>15</v>
      </c>
      <c r="F20" s="126">
        <v>14</v>
      </c>
      <c r="G20" s="113">
        <v>0.1</v>
      </c>
      <c r="H20" s="53"/>
      <c r="I20" s="104">
        <f t="shared" ref="I20" si="9">G20*COS(RADIANS(F20))</f>
        <v>9.7029572627599647E-2</v>
      </c>
      <c r="J20" s="105">
        <f t="shared" ref="J20" si="10">G20*SIN(RADIANS(F20))</f>
        <v>2.4192189559966774E-2</v>
      </c>
      <c r="K20" s="53">
        <f t="shared" ref="K20" si="11">SQRT(I20*I20+J20*J20)</f>
        <v>0.1</v>
      </c>
      <c r="L20" s="52">
        <f t="shared" ref="L20" si="12">$Y$7*EXP($Y$11*(D20-$Y$4))*COS(PI()/180*($Y$8+$Y$5*(D20-$Y$4)))+$Y$9*EXP($Y$12*(D20-$Y$4))*COS(PI()/180*($Y$10+$Y$6*(D20-$Y$4)))</f>
        <v>0.4289251700464064</v>
      </c>
      <c r="M20" s="54">
        <f t="shared" ref="M20" si="13">$Y$13+$Y$7*EXP($Y$11*(D20-$Y$4))*SIN(PI()/180*($Y$8+$Y$5*(D20-$Y$4)))+$Y$9*EXP($Y$12*(D20-$Y$4))*SIN(PI()/180*($Y$10+$Y$6*(D20-$Y$4)))</f>
        <v>0.13657548424358179</v>
      </c>
      <c r="N20" s="53">
        <f t="shared" ref="N20" si="14">SQRT(L20*L20+M20*M20)</f>
        <v>0.45014404849526501</v>
      </c>
      <c r="O20" s="54">
        <f t="shared" ref="O20" si="15">L20-I20</f>
        <v>0.33189559741880675</v>
      </c>
      <c r="P20" s="54">
        <f t="shared" ref="P20" si="16">M20-J20</f>
        <v>0.11238329468361502</v>
      </c>
      <c r="Q20" s="53">
        <f t="shared" ref="Q20" si="17">N20-K20</f>
        <v>0.35014404849526504</v>
      </c>
      <c r="R20" s="91">
        <f t="shared" ref="R20" si="18">O20*O20</f>
        <v>0.11015468758598665</v>
      </c>
      <c r="S20" s="91">
        <f t="shared" ref="S20" si="19">P20*P20</f>
        <v>1.2630004923944253E-2</v>
      </c>
      <c r="T20" s="91">
        <f t="shared" ref="T20" si="20">Q20*Q20</f>
        <v>0.12260085469665451</v>
      </c>
      <c r="U20" s="46"/>
      <c r="AH20" t="s">
        <v>38</v>
      </c>
      <c r="AI20">
        <f>AI10*3.1415*AI5*AI5/4*AI5/2/AI6</f>
        <v>5.5422552199590773E-3</v>
      </c>
    </row>
    <row r="21" spans="2:36" ht="16" thickBot="1" x14ac:dyDescent="0.4">
      <c r="O21" s="47">
        <f>SQRT(AVERAGE(R9:R20))</f>
        <v>0.19357469894118043</v>
      </c>
      <c r="P21" s="47">
        <f>SQRT(AVERAGE(S9:S20))</f>
        <v>6.9860169689571913E-2</v>
      </c>
      <c r="Q21" s="47">
        <f>SQRT(AVERAGE(T9:T20))</f>
        <v>0.20357920495838522</v>
      </c>
      <c r="R21" s="65" t="s">
        <v>79</v>
      </c>
      <c r="S21" s="46"/>
      <c r="T21" s="46"/>
      <c r="U21" s="46"/>
      <c r="AH21" t="s">
        <v>39</v>
      </c>
      <c r="AI21">
        <f>AI7/AI6/AI5/AI5</f>
        <v>1.497142857142857E-2</v>
      </c>
    </row>
    <row r="22" spans="2:36" ht="16" thickBot="1" x14ac:dyDescent="0.4">
      <c r="B22" s="63" t="s">
        <v>78</v>
      </c>
      <c r="C22" s="64">
        <f>D4-0.5*553.9/25.4/12</f>
        <v>181.68137139107611</v>
      </c>
      <c r="D22" s="64">
        <f>C22*0.3048</f>
        <v>55.376482000000003</v>
      </c>
      <c r="E22" s="64"/>
      <c r="F22" s="64"/>
      <c r="G22" s="64">
        <v>0</v>
      </c>
      <c r="H22" s="64"/>
      <c r="I22" s="64">
        <v>0</v>
      </c>
      <c r="J22" s="64"/>
      <c r="K22" s="64"/>
      <c r="L22" s="140">
        <f>$Y$7*EXP($Y$11*(D22-$Y$4))*COS(PI()/180*($Y$8+$Y$5*(D22-$Y$4)))+$Y$9*EXP($Y$12*(D22-$Y$4))*COS(PI()/180*($Y$10+$Y$6*(D22-$Y$4)))</f>
        <v>8.5248468730415583E-2</v>
      </c>
      <c r="M22" s="141">
        <f>$Y$13+$Y$7*EXP($Y$11*(D22-$Y$4))*SIN(PI()/180*($Y$8+$Y$5*(D22-$Y$4)))+$Y$9*EXP($Y$12*(D22-$Y$4))*SIN(PI()/180*($Y$10+$Y$6*(D22-$Y$4)))</f>
        <v>7.4059317183670537E-2</v>
      </c>
      <c r="N22" s="142">
        <f>SQRT(L22*L22+M22*M22)</f>
        <v>0.11292512511656633</v>
      </c>
      <c r="O22" s="47"/>
      <c r="P22" s="47"/>
      <c r="Q22" s="47"/>
      <c r="R22" s="46"/>
      <c r="S22" s="46"/>
      <c r="T22" s="46"/>
      <c r="U22" s="46"/>
      <c r="AH22" t="s">
        <v>40</v>
      </c>
      <c r="AI22">
        <f>AI8/AI6/AI5/AI5</f>
        <v>1.4476190476190476E-2</v>
      </c>
    </row>
    <row r="23" spans="2:36" x14ac:dyDescent="0.25">
      <c r="AH23" t="s">
        <v>41</v>
      </c>
      <c r="AI23">
        <f>Y5*Y6*PI()*PI()/180/180*AI5*AI5</f>
        <v>-5.7686728613647826E-5</v>
      </c>
    </row>
    <row r="24" spans="2:36" x14ac:dyDescent="0.25">
      <c r="AH24" t="s">
        <v>42</v>
      </c>
      <c r="AI24">
        <f>AI23*AI22</f>
        <v>-8.3508407135947325E-7</v>
      </c>
    </row>
    <row r="25" spans="2:36" x14ac:dyDescent="0.25">
      <c r="AH25" t="s">
        <v>43</v>
      </c>
      <c r="AI25">
        <f>AI24/AI20</f>
        <v>-1.5067585995537017E-4</v>
      </c>
    </row>
    <row r="26" spans="2:36" x14ac:dyDescent="0.25">
      <c r="AH26" t="s">
        <v>44</v>
      </c>
      <c r="AI26">
        <f>-(Y11+Y12)*PI()/180*AI5</f>
        <v>7.853981633974482E-6</v>
      </c>
    </row>
    <row r="27" spans="2:36" x14ac:dyDescent="0.25">
      <c r="AH27" t="s">
        <v>45</v>
      </c>
      <c r="AI27">
        <f>2*(-(AI26-AI13*AI20+AI12*AI20)*AI22)/AI20</f>
        <v>3.255935226293321E-2</v>
      </c>
      <c r="AJ27" t="s">
        <v>61</v>
      </c>
    </row>
    <row r="28" spans="2:36" x14ac:dyDescent="0.25">
      <c r="AH28" t="s">
        <v>46</v>
      </c>
      <c r="AI28" t="e">
        <f>-(Y5*Y12+Y6*Y11)/(Y5+Y6)*PI()/180*AI5</f>
        <v>#DIV/0!</v>
      </c>
    </row>
    <row r="29" spans="2:36" x14ac:dyDescent="0.25">
      <c r="AH29" t="s">
        <v>47</v>
      </c>
      <c r="AI29" t="e">
        <f>2*(AI28-AI13*AI20)*AI21/AI20</f>
        <v>#DIV/0!</v>
      </c>
      <c r="AJ29" t="s">
        <v>61</v>
      </c>
    </row>
    <row r="30" spans="2:36" x14ac:dyDescent="0.25">
      <c r="AH30" t="s">
        <v>55</v>
      </c>
      <c r="AI30">
        <f>9.81*AI5/AI11/AI11</f>
        <v>2.0416233090530698E-4</v>
      </c>
    </row>
    <row r="31" spans="2:36" x14ac:dyDescent="0.25">
      <c r="AH31" t="s">
        <v>56</v>
      </c>
      <c r="AI31">
        <f>AI14*AI30/AI23*180/PI()</f>
        <v>-133.27105105630156</v>
      </c>
    </row>
    <row r="32" spans="2:36" x14ac:dyDescent="0.25">
      <c r="AH32" t="s">
        <v>58</v>
      </c>
      <c r="AI32">
        <f>Y5*PI()/180*AI5</f>
        <v>-7.5951779843297816E-3</v>
      </c>
    </row>
    <row r="33" spans="34:35" x14ac:dyDescent="0.25">
      <c r="AH33" t="s">
        <v>59</v>
      </c>
      <c r="AI33">
        <f>Y6*PI()/180*AI5</f>
        <v>7.5951779843297816E-3</v>
      </c>
    </row>
    <row r="34" spans="34:35" x14ac:dyDescent="0.25">
      <c r="AH34" t="s">
        <v>60</v>
      </c>
      <c r="AI34">
        <f>AI14-AI32-AI33</f>
        <v>0.6572241086587437</v>
      </c>
    </row>
    <row r="50" spans="9:15" x14ac:dyDescent="0.25">
      <c r="J50" t="s">
        <v>48</v>
      </c>
    </row>
    <row r="51" spans="9:15" x14ac:dyDescent="0.25">
      <c r="I51" t="s">
        <v>49</v>
      </c>
      <c r="J51" t="s">
        <v>5</v>
      </c>
      <c r="K51" t="s">
        <v>5</v>
      </c>
      <c r="L51" t="s">
        <v>6</v>
      </c>
      <c r="M51" t="s">
        <v>7</v>
      </c>
      <c r="N51" t="s">
        <v>8</v>
      </c>
      <c r="O51" t="s">
        <v>50</v>
      </c>
    </row>
    <row r="52" spans="9:15" x14ac:dyDescent="0.25">
      <c r="I52">
        <v>0.25</v>
      </c>
      <c r="J52" t="s">
        <v>10</v>
      </c>
      <c r="K52" t="s">
        <v>51</v>
      </c>
      <c r="L52" t="s">
        <v>11</v>
      </c>
      <c r="M52" t="s">
        <v>11</v>
      </c>
      <c r="N52" t="s">
        <v>11</v>
      </c>
      <c r="O52" t="s">
        <v>11</v>
      </c>
    </row>
    <row r="53" spans="9:15" x14ac:dyDescent="0.25">
      <c r="J53">
        <v>0</v>
      </c>
      <c r="K53">
        <f t="shared" ref="K53:K116" si="21">J53*3.28</f>
        <v>0</v>
      </c>
      <c r="L53">
        <f t="shared" ref="L53:L116" si="22">$Y$7*EXP($Y$11*(J53-$Y$4))*COS(PI()/180*($Y$8+$Y$5*(J53-$Y$4)))+$Y$9*EXP($Y$12*(J53-$Y$4))*COS(PI()/180*($Y$10+$Y$6*(J53-$Y$4)))</f>
        <v>-1.64856088032918</v>
      </c>
      <c r="M53">
        <f t="shared" ref="M53:M116" si="23">$Y$13+$Y$7*EXP($Y$11*(J53-$Y$4))*SIN(PI()/180*($Y$8+$Y$5*(J53-$Y$4)))+$Y$9*EXP($Y$12*(J53-$Y$4))*SIN(PI()/180*($Y$10+$Y$6*(J53-$Y$4)))</f>
        <v>-0.36292719678997498</v>
      </c>
      <c r="N53">
        <f t="shared" ref="N53:N116" si="24">SQRT(L53*L53+M53*M53)</f>
        <v>1.6880370630769783</v>
      </c>
      <c r="O53">
        <f>MAX(N53:N255)</f>
        <v>6.7800447792440375</v>
      </c>
    </row>
    <row r="54" spans="9:15" x14ac:dyDescent="0.25">
      <c r="J54">
        <f t="shared" ref="J54:J117" si="25">J53+$I$52</f>
        <v>0.25</v>
      </c>
      <c r="K54">
        <f t="shared" si="21"/>
        <v>0.82</v>
      </c>
      <c r="L54">
        <f t="shared" si="22"/>
        <v>-1.5437975191187505</v>
      </c>
      <c r="M54">
        <f t="shared" si="23"/>
        <v>-0.34405459254494541</v>
      </c>
      <c r="N54">
        <f t="shared" si="24"/>
        <v>1.5816713763258401</v>
      </c>
    </row>
    <row r="55" spans="9:15" x14ac:dyDescent="0.25">
      <c r="J55">
        <f t="shared" si="25"/>
        <v>0.5</v>
      </c>
      <c r="K55">
        <f t="shared" si="21"/>
        <v>1.64</v>
      </c>
      <c r="L55">
        <f t="shared" si="22"/>
        <v>-1.4387720306371208</v>
      </c>
      <c r="M55">
        <f t="shared" si="23"/>
        <v>-0.32511954407040822</v>
      </c>
      <c r="N55">
        <f t="shared" si="24"/>
        <v>1.4750483633021034</v>
      </c>
    </row>
    <row r="56" spans="9:15" x14ac:dyDescent="0.25">
      <c r="J56">
        <f t="shared" si="25"/>
        <v>0.75</v>
      </c>
      <c r="K56">
        <f t="shared" si="21"/>
        <v>2.46</v>
      </c>
      <c r="L56">
        <f t="shared" si="22"/>
        <v>-1.333508894889436</v>
      </c>
      <c r="M56">
        <f t="shared" si="23"/>
        <v>-0.30612647852784702</v>
      </c>
      <c r="N56">
        <f t="shared" si="24"/>
        <v>1.368195670803378</v>
      </c>
    </row>
    <row r="57" spans="9:15" x14ac:dyDescent="0.25">
      <c r="J57">
        <f t="shared" si="25"/>
        <v>1</v>
      </c>
      <c r="K57">
        <f t="shared" si="21"/>
        <v>3.28</v>
      </c>
      <c r="L57">
        <f t="shared" si="22"/>
        <v>-1.2280326247174935</v>
      </c>
      <c r="M57">
        <f t="shared" si="23"/>
        <v>-0.28707983248880931</v>
      </c>
      <c r="N57">
        <f t="shared" si="24"/>
        <v>1.2611419260306664</v>
      </c>
    </row>
    <row r="58" spans="9:15" x14ac:dyDescent="0.25">
      <c r="J58">
        <f t="shared" si="25"/>
        <v>1.25</v>
      </c>
      <c r="K58">
        <f t="shared" si="21"/>
        <v>4.0999999999999996</v>
      </c>
      <c r="L58">
        <f t="shared" si="22"/>
        <v>-1.1223677601116364</v>
      </c>
      <c r="M58">
        <f t="shared" si="23"/>
        <v>-0.2679840509023057</v>
      </c>
      <c r="N58">
        <f t="shared" si="24"/>
        <v>1.1539171722771187</v>
      </c>
    </row>
    <row r="59" spans="9:15" x14ac:dyDescent="0.25">
      <c r="J59">
        <f t="shared" si="25"/>
        <v>1.5</v>
      </c>
      <c r="K59">
        <f t="shared" si="21"/>
        <v>4.92</v>
      </c>
      <c r="L59">
        <f t="shared" si="22"/>
        <v>-1.0165388625215166</v>
      </c>
      <c r="M59">
        <f t="shared" si="23"/>
        <v>-0.24884358606120394</v>
      </c>
      <c r="N59">
        <f t="shared" si="24"/>
        <v>1.0465535769086733</v>
      </c>
    </row>
    <row r="60" spans="9:15" x14ac:dyDescent="0.25">
      <c r="J60">
        <f t="shared" si="25"/>
        <v>1.75</v>
      </c>
      <c r="K60">
        <f t="shared" si="21"/>
        <v>5.7399999999999993</v>
      </c>
      <c r="L60">
        <f t="shared" si="22"/>
        <v>-0.91057050916693838</v>
      </c>
      <c r="M60">
        <f t="shared" si="23"/>
        <v>-0.22966289656782468</v>
      </c>
      <c r="N60">
        <f t="shared" si="24"/>
        <v>0.93908662977622082</v>
      </c>
    </row>
    <row r="61" spans="9:15" x14ac:dyDescent="0.25">
      <c r="J61">
        <f t="shared" si="25"/>
        <v>2</v>
      </c>
      <c r="K61">
        <f t="shared" si="21"/>
        <v>6.56</v>
      </c>
      <c r="L61">
        <f t="shared" si="22"/>
        <v>-0.80448728735029973</v>
      </c>
      <c r="M61">
        <f t="shared" si="23"/>
        <v>-0.21044644629906584</v>
      </c>
      <c r="N61">
        <f t="shared" si="24"/>
        <v>0.83155727539848345</v>
      </c>
    </row>
    <row r="62" spans="9:15" x14ac:dyDescent="0.25">
      <c r="J62">
        <f t="shared" si="25"/>
        <v>2.25</v>
      </c>
      <c r="K62">
        <f t="shared" si="21"/>
        <v>7.38</v>
      </c>
      <c r="L62">
        <f t="shared" si="22"/>
        <v>-0.6983137887717531</v>
      </c>
      <c r="M62">
        <f t="shared" si="23"/>
        <v>-0.19119870337120037</v>
      </c>
      <c r="N62">
        <f t="shared" si="24"/>
        <v>0.72401594717215234</v>
      </c>
    </row>
    <row r="63" spans="9:15" x14ac:dyDescent="0.25">
      <c r="J63">
        <f t="shared" si="25"/>
        <v>2.5</v>
      </c>
      <c r="K63">
        <f t="shared" si="21"/>
        <v>8.1999999999999993</v>
      </c>
      <c r="L63">
        <f t="shared" si="22"/>
        <v>-0.5920746038484308</v>
      </c>
      <c r="M63">
        <f t="shared" si="23"/>
        <v>-0.17192413910462578</v>
      </c>
      <c r="N63">
        <f t="shared" si="24"/>
        <v>0.61653081523079045</v>
      </c>
    </row>
    <row r="64" spans="9:15" x14ac:dyDescent="0.25">
      <c r="J64">
        <f t="shared" si="25"/>
        <v>2.75</v>
      </c>
      <c r="K64">
        <f t="shared" si="21"/>
        <v>9.02</v>
      </c>
      <c r="L64">
        <f t="shared" si="22"/>
        <v>-0.48579431603916945</v>
      </c>
      <c r="M64">
        <f t="shared" si="23"/>
        <v>-0.15262722698883691</v>
      </c>
      <c r="N64">
        <f t="shared" si="24"/>
        <v>0.50920642956885998</v>
      </c>
    </row>
    <row r="65" spans="10:14" x14ac:dyDescent="0.25">
      <c r="J65">
        <f t="shared" si="25"/>
        <v>3</v>
      </c>
      <c r="K65">
        <f t="shared" si="21"/>
        <v>9.84</v>
      </c>
      <c r="L65">
        <f t="shared" si="22"/>
        <v>-0.37949749617589673</v>
      </c>
      <c r="M65">
        <f t="shared" si="23"/>
        <v>-0.13331244164780243</v>
      </c>
      <c r="N65">
        <f t="shared" si="24"/>
        <v>0.40223196877159512</v>
      </c>
    </row>
    <row r="66" spans="10:14" x14ac:dyDescent="0.25">
      <c r="J66">
        <f t="shared" si="25"/>
        <v>3.25</v>
      </c>
      <c r="K66">
        <f t="shared" si="21"/>
        <v>10.66</v>
      </c>
      <c r="L66">
        <f t="shared" si="22"/>
        <v>-0.27320869680297805</v>
      </c>
      <c r="M66">
        <f t="shared" si="23"/>
        <v>-0.11398425780600707</v>
      </c>
      <c r="N66">
        <f t="shared" si="24"/>
        <v>0.29603277358489866</v>
      </c>
    </row>
    <row r="67" spans="10:14" x14ac:dyDescent="0.25">
      <c r="J67">
        <f t="shared" si="25"/>
        <v>3.5</v>
      </c>
      <c r="K67">
        <f t="shared" si="21"/>
        <v>11.479999999999999</v>
      </c>
      <c r="L67">
        <f t="shared" si="22"/>
        <v>-0.16695244652600794</v>
      </c>
      <c r="M67">
        <f t="shared" si="23"/>
        <v>-9.4647149255429053E-2</v>
      </c>
      <c r="N67">
        <f t="shared" si="24"/>
        <v>0.1919145702212289</v>
      </c>
    </row>
    <row r="68" spans="10:14" x14ac:dyDescent="0.25">
      <c r="J68">
        <f t="shared" si="25"/>
        <v>3.75</v>
      </c>
      <c r="K68">
        <f t="shared" si="21"/>
        <v>12.299999999999999</v>
      </c>
      <c r="L68">
        <f t="shared" si="22"/>
        <v>-6.0753244371085646E-2</v>
      </c>
      <c r="M68">
        <f t="shared" si="23"/>
        <v>-7.5305587823628617E-2</v>
      </c>
      <c r="N68">
        <f t="shared" si="24"/>
        <v>9.675685122550802E-2</v>
      </c>
    </row>
    <row r="69" spans="10:14" x14ac:dyDescent="0.25">
      <c r="J69">
        <f t="shared" si="25"/>
        <v>4</v>
      </c>
      <c r="K69">
        <f t="shared" si="21"/>
        <v>13.12</v>
      </c>
      <c r="L69">
        <f t="shared" si="22"/>
        <v>4.5364445843963375E-2</v>
      </c>
      <c r="M69">
        <f t="shared" si="23"/>
        <v>-5.5964042343237708E-2</v>
      </c>
      <c r="N69">
        <f t="shared" si="24"/>
        <v>7.2041009030451464E-2</v>
      </c>
    </row>
    <row r="70" spans="10:14" x14ac:dyDescent="0.25">
      <c r="J70">
        <f t="shared" si="25"/>
        <v>4.25</v>
      </c>
      <c r="K70">
        <f t="shared" si="21"/>
        <v>13.94</v>
      </c>
      <c r="L70">
        <f t="shared" si="22"/>
        <v>0.15137620112511418</v>
      </c>
      <c r="M70">
        <f t="shared" si="23"/>
        <v>-3.6626977623073653E-2</v>
      </c>
      <c r="N70">
        <f t="shared" si="24"/>
        <v>0.15574430890684948</v>
      </c>
    </row>
    <row r="71" spans="10:14" x14ac:dyDescent="0.25">
      <c r="J71">
        <f t="shared" si="25"/>
        <v>4.5</v>
      </c>
      <c r="K71">
        <f t="shared" si="21"/>
        <v>14.76</v>
      </c>
      <c r="L71">
        <f t="shared" si="22"/>
        <v>0.25725764490330238</v>
      </c>
      <c r="M71">
        <f t="shared" si="23"/>
        <v>-1.7298853421083393E-2</v>
      </c>
      <c r="N71">
        <f t="shared" si="24"/>
        <v>0.25783860492734162</v>
      </c>
    </row>
    <row r="72" spans="10:14" x14ac:dyDescent="0.25">
      <c r="J72">
        <f t="shared" si="25"/>
        <v>4.75</v>
      </c>
      <c r="K72">
        <f t="shared" si="21"/>
        <v>15.579999999999998</v>
      </c>
      <c r="L72">
        <f t="shared" si="22"/>
        <v>0.36298445261975393</v>
      </c>
      <c r="M72">
        <f t="shared" si="23"/>
        <v>2.015876580597098E-3</v>
      </c>
      <c r="N72">
        <f t="shared" si="24"/>
        <v>0.36299005027968823</v>
      </c>
    </row>
    <row r="73" spans="10:14" x14ac:dyDescent="0.25">
      <c r="J73">
        <f t="shared" si="25"/>
        <v>5</v>
      </c>
      <c r="K73">
        <f t="shared" si="21"/>
        <v>16.399999999999999</v>
      </c>
      <c r="L73">
        <f t="shared" si="22"/>
        <v>0.46853235729429871</v>
      </c>
      <c r="M73">
        <f t="shared" si="23"/>
        <v>2.1312765798277677E-2</v>
      </c>
      <c r="N73">
        <f t="shared" si="24"/>
        <v>0.46901684811712752</v>
      </c>
    </row>
    <row r="74" spans="10:14" x14ac:dyDescent="0.25">
      <c r="J74">
        <f t="shared" si="25"/>
        <v>5.25</v>
      </c>
      <c r="K74">
        <f t="shared" si="21"/>
        <v>17.22</v>
      </c>
      <c r="L74">
        <f t="shared" si="22"/>
        <v>0.57387715507539483</v>
      </c>
      <c r="M74">
        <f t="shared" si="23"/>
        <v>4.0587375766778067E-2</v>
      </c>
      <c r="N74">
        <f t="shared" si="24"/>
        <v>0.57531063277942507</v>
      </c>
    </row>
    <row r="75" spans="10:14" x14ac:dyDescent="0.25">
      <c r="J75">
        <f t="shared" si="25"/>
        <v>5.5</v>
      </c>
      <c r="K75">
        <f t="shared" si="21"/>
        <v>18.04</v>
      </c>
      <c r="L75">
        <f t="shared" si="22"/>
        <v>0.67899471077058393</v>
      </c>
      <c r="M75">
        <f t="shared" si="23"/>
        <v>5.9835277156703004E-2</v>
      </c>
      <c r="N75">
        <f t="shared" si="24"/>
        <v>0.68162605411387289</v>
      </c>
    </row>
    <row r="76" spans="10:14" x14ac:dyDescent="0.25">
      <c r="J76">
        <f t="shared" si="25"/>
        <v>5.75</v>
      </c>
      <c r="K76">
        <f t="shared" si="21"/>
        <v>18.86</v>
      </c>
      <c r="L76">
        <f t="shared" si="22"/>
        <v>0.78386096335611288</v>
      </c>
      <c r="M76">
        <f t="shared" si="23"/>
        <v>7.9052050788699368E-2</v>
      </c>
      <c r="N76">
        <f t="shared" si="24"/>
        <v>0.78783706222002048</v>
      </c>
    </row>
    <row r="77" spans="10:14" x14ac:dyDescent="0.25">
      <c r="J77">
        <f t="shared" si="25"/>
        <v>6</v>
      </c>
      <c r="K77">
        <f t="shared" si="21"/>
        <v>19.68</v>
      </c>
      <c r="L77">
        <f t="shared" si="22"/>
        <v>0.88845193146449397</v>
      </c>
      <c r="M77">
        <f t="shared" si="23"/>
        <v>9.8233288644452799E-2</v>
      </c>
      <c r="N77">
        <f t="shared" si="24"/>
        <v>0.89386610491778595</v>
      </c>
    </row>
    <row r="78" spans="10:14" x14ac:dyDescent="0.25">
      <c r="J78">
        <f t="shared" si="25"/>
        <v>6.25</v>
      </c>
      <c r="K78">
        <f t="shared" si="21"/>
        <v>20.5</v>
      </c>
      <c r="L78">
        <f t="shared" si="22"/>
        <v>0.99274371884871593</v>
      </c>
      <c r="M78">
        <f t="shared" si="23"/>
        <v>0.11737459487419599</v>
      </c>
      <c r="N78">
        <f t="shared" si="24"/>
        <v>0.99965838506734883</v>
      </c>
    </row>
    <row r="79" spans="10:14" x14ac:dyDescent="0.25">
      <c r="J79">
        <f t="shared" si="25"/>
        <v>6.5</v>
      </c>
      <c r="K79">
        <f t="shared" si="21"/>
        <v>21.32</v>
      </c>
      <c r="L79">
        <f t="shared" si="22"/>
        <v>1.0967125198219192</v>
      </c>
      <c r="M79">
        <f t="shared" si="23"/>
        <v>0.13647158680050353</v>
      </c>
      <c r="N79">
        <f t="shared" si="24"/>
        <v>1.1051709574260404</v>
      </c>
    </row>
    <row r="80" spans="10:14" x14ac:dyDescent="0.25">
      <c r="J80">
        <f t="shared" si="25"/>
        <v>6.75</v>
      </c>
      <c r="K80">
        <f t="shared" si="21"/>
        <v>22.139999999999997</v>
      </c>
      <c r="L80">
        <f t="shared" si="22"/>
        <v>1.2003346246712663</v>
      </c>
      <c r="M80">
        <f t="shared" si="23"/>
        <v>0.15551989591815074</v>
      </c>
      <c r="N80">
        <f t="shared" si="24"/>
        <v>1.2103675678119858</v>
      </c>
    </row>
    <row r="81" spans="10:14" x14ac:dyDescent="0.25">
      <c r="J81">
        <f t="shared" si="25"/>
        <v>7</v>
      </c>
      <c r="K81">
        <f t="shared" si="21"/>
        <v>22.959999999999997</v>
      </c>
      <c r="L81">
        <f t="shared" si="22"/>
        <v>1.3035864250447471</v>
      </c>
      <c r="M81">
        <f t="shared" si="23"/>
        <v>0.17451516888978924</v>
      </c>
      <c r="N81">
        <f t="shared" si="24"/>
        <v>1.3152159943270063</v>
      </c>
    </row>
    <row r="82" spans="10:14" x14ac:dyDescent="0.25">
      <c r="J82">
        <f t="shared" si="25"/>
        <v>7.25</v>
      </c>
      <c r="K82">
        <f t="shared" si="21"/>
        <v>23.779999999999998</v>
      </c>
      <c r="L82">
        <f t="shared" si="22"/>
        <v>1.4064444193098069</v>
      </c>
      <c r="M82">
        <f t="shared" si="23"/>
        <v>0.19345306853723399</v>
      </c>
      <c r="N82">
        <f t="shared" si="24"/>
        <v>1.4196865831352254</v>
      </c>
    </row>
    <row r="83" spans="10:14" x14ac:dyDescent="0.25">
      <c r="J83">
        <f t="shared" si="25"/>
        <v>7.5</v>
      </c>
      <c r="K83">
        <f t="shared" si="21"/>
        <v>24.599999999999998</v>
      </c>
      <c r="L83">
        <f t="shared" si="22"/>
        <v>1.5088852178824685</v>
      </c>
      <c r="M83">
        <f t="shared" si="23"/>
        <v>0.21232927482812114</v>
      </c>
      <c r="N83">
        <f t="shared" si="24"/>
        <v>1.5237513976017414</v>
      </c>
    </row>
    <row r="84" spans="10:14" x14ac:dyDescent="0.25">
      <c r="J84">
        <f t="shared" si="25"/>
        <v>7.75</v>
      </c>
      <c r="K84">
        <f t="shared" si="21"/>
        <v>25.419999999999998</v>
      </c>
      <c r="L84">
        <f t="shared" si="22"/>
        <v>1.61088554852581</v>
      </c>
      <c r="M84">
        <f t="shared" si="23"/>
        <v>0.23113948585772937</v>
      </c>
      <c r="N84">
        <f t="shared" si="24"/>
        <v>1.6273837016425705</v>
      </c>
    </row>
    <row r="85" spans="10:14" x14ac:dyDescent="0.25">
      <c r="J85">
        <f t="shared" si="25"/>
        <v>8</v>
      </c>
      <c r="K85">
        <f t="shared" si="21"/>
        <v>26.24</v>
      </c>
      <c r="L85">
        <f t="shared" si="22"/>
        <v>1.7124222616165938</v>
      </c>
      <c r="M85">
        <f t="shared" si="23"/>
        <v>0.24987941882572784</v>
      </c>
      <c r="N85">
        <f t="shared" si="24"/>
        <v>1.7305576344152118</v>
      </c>
    </row>
    <row r="86" spans="10:14" x14ac:dyDescent="0.25">
      <c r="J86">
        <f t="shared" si="25"/>
        <v>8.25</v>
      </c>
      <c r="K86">
        <f t="shared" si="21"/>
        <v>27.06</v>
      </c>
      <c r="L86">
        <f t="shared" si="22"/>
        <v>1.813472335378842</v>
      </c>
      <c r="M86">
        <f t="shared" si="23"/>
        <v>0.26854481100763561</v>
      </c>
      <c r="N86">
        <f t="shared" si="24"/>
        <v>1.8332479992361965</v>
      </c>
    </row>
    <row r="87" spans="10:14" x14ac:dyDescent="0.25">
      <c r="J87">
        <f t="shared" si="25"/>
        <v>8.5</v>
      </c>
      <c r="K87">
        <f t="shared" si="21"/>
        <v>27.88</v>
      </c>
      <c r="L87">
        <f t="shared" si="22"/>
        <v>1.9140128810832056</v>
      </c>
      <c r="M87">
        <f t="shared" si="23"/>
        <v>0.28713142072077025</v>
      </c>
      <c r="N87">
        <f t="shared" si="24"/>
        <v>1.9354301231812945</v>
      </c>
    </row>
    <row r="88" spans="10:14" x14ac:dyDescent="0.25">
      <c r="J88">
        <f t="shared" si="25"/>
        <v>8.75</v>
      </c>
      <c r="K88">
        <f t="shared" si="21"/>
        <v>28.7</v>
      </c>
      <c r="L88">
        <f t="shared" si="22"/>
        <v>2.0140211482109178</v>
      </c>
      <c r="M88">
        <f t="shared" si="23"/>
        <v>0.30563502828447797</v>
      </c>
      <c r="N88">
        <f t="shared" si="24"/>
        <v>2.0370797618049417</v>
      </c>
    </row>
    <row r="89" spans="10:14" x14ac:dyDescent="0.25">
      <c r="J89">
        <f t="shared" si="25"/>
        <v>9</v>
      </c>
      <c r="K89">
        <f t="shared" si="21"/>
        <v>29.52</v>
      </c>
      <c r="L89">
        <f t="shared" si="22"/>
        <v>2.113474529581242</v>
      </c>
      <c r="M89">
        <f t="shared" si="23"/>
        <v>0.32405143697441652</v>
      </c>
      <c r="N89">
        <f t="shared" si="24"/>
        <v>2.1381730334549252</v>
      </c>
    </row>
    <row r="90" spans="10:14" x14ac:dyDescent="0.25">
      <c r="J90">
        <f t="shared" si="25"/>
        <v>9.25</v>
      </c>
      <c r="K90">
        <f t="shared" si="21"/>
        <v>30.34</v>
      </c>
      <c r="L90">
        <f t="shared" si="22"/>
        <v>2.2123505664411698</v>
      </c>
      <c r="M90">
        <f t="shared" si="23"/>
        <v>0.34237647397067406</v>
      </c>
      <c r="N90">
        <f t="shared" si="24"/>
        <v>2.2386863734702001</v>
      </c>
    </row>
    <row r="91" spans="10:14" x14ac:dyDescent="0.25">
      <c r="J91">
        <f t="shared" si="25"/>
        <v>9.5</v>
      </c>
      <c r="K91">
        <f t="shared" si="21"/>
        <v>31.159999999999997</v>
      </c>
      <c r="L91">
        <f t="shared" si="22"/>
        <v>2.3106269535162975</v>
      </c>
      <c r="M91">
        <f t="shared" si="23"/>
        <v>0.36060599129953053</v>
      </c>
      <c r="N91">
        <f t="shared" si="24"/>
        <v>2.3385965020236226</v>
      </c>
    </row>
    <row r="92" spans="10:14" x14ac:dyDescent="0.25">
      <c r="J92">
        <f t="shared" si="25"/>
        <v>9.75</v>
      </c>
      <c r="K92">
        <f t="shared" si="21"/>
        <v>31.979999999999997</v>
      </c>
      <c r="L92">
        <f t="shared" si="22"/>
        <v>2.4082815440217495</v>
      </c>
      <c r="M92">
        <f t="shared" si="23"/>
        <v>0.3787358667686247</v>
      </c>
      <c r="N92">
        <f t="shared" si="24"/>
        <v>2.4378804015071709</v>
      </c>
    </row>
    <row r="93" spans="10:14" x14ac:dyDescent="0.25">
      <c r="J93">
        <f t="shared" si="25"/>
        <v>10</v>
      </c>
      <c r="K93">
        <f t="shared" si="21"/>
        <v>32.799999999999997</v>
      </c>
      <c r="L93">
        <f t="shared" si="22"/>
        <v>2.5052923546319756</v>
      </c>
      <c r="M93">
        <f t="shared" si="23"/>
        <v>0.39676200489533375</v>
      </c>
      <c r="N93">
        <f t="shared" si="24"/>
        <v>2.5365153007040964</v>
      </c>
    </row>
    <row r="94" spans="10:14" x14ac:dyDescent="0.25">
      <c r="J94">
        <f t="shared" si="25"/>
        <v>10.25</v>
      </c>
      <c r="K94">
        <f t="shared" si="21"/>
        <v>33.619999999999997</v>
      </c>
      <c r="L94">
        <f t="shared" si="22"/>
        <v>2.6016375704083594</v>
      </c>
      <c r="M94">
        <f t="shared" si="23"/>
        <v>0.41468033782814873</v>
      </c>
      <c r="N94">
        <f t="shared" si="24"/>
        <v>2.6344786638615201</v>
      </c>
    </row>
    <row r="95" spans="10:14" x14ac:dyDescent="0.25">
      <c r="J95">
        <f t="shared" si="25"/>
        <v>10.5</v>
      </c>
      <c r="K95">
        <f t="shared" si="21"/>
        <v>34.44</v>
      </c>
      <c r="L95">
        <f t="shared" si="22"/>
        <v>2.6972955496835258</v>
      </c>
      <c r="M95">
        <f t="shared" si="23"/>
        <v>0.43248682626084944</v>
      </c>
      <c r="N95">
        <f t="shared" si="24"/>
        <v>2.731748183349215</v>
      </c>
    </row>
    <row r="96" spans="10:14" x14ac:dyDescent="0.25">
      <c r="J96">
        <f t="shared" si="25"/>
        <v>10.75</v>
      </c>
      <c r="K96">
        <f t="shared" si="21"/>
        <v>35.26</v>
      </c>
      <c r="L96">
        <f t="shared" si="22"/>
        <v>2.7922448289012523</v>
      </c>
      <c r="M96">
        <f t="shared" si="23"/>
        <v>0.45017746033926098</v>
      </c>
      <c r="N96">
        <f t="shared" si="24"/>
        <v>2.8283017749743911</v>
      </c>
    </row>
    <row r="97" spans="10:14" x14ac:dyDescent="0.25">
      <c r="J97">
        <f t="shared" si="25"/>
        <v>11</v>
      </c>
      <c r="K97">
        <f t="shared" si="21"/>
        <v>36.08</v>
      </c>
      <c r="L97">
        <f t="shared" si="22"/>
        <v>2.8864641274109091</v>
      </c>
      <c r="M97">
        <f t="shared" si="23"/>
        <v>0.46774826056039265</v>
      </c>
      <c r="N97">
        <f t="shared" si="24"/>
        <v>2.9241175752844297</v>
      </c>
    </row>
    <row r="98" spans="10:14" x14ac:dyDescent="0.25">
      <c r="J98">
        <f t="shared" si="25"/>
        <v>11.25</v>
      </c>
      <c r="K98">
        <f t="shared" si="21"/>
        <v>36.9</v>
      </c>
      <c r="L98">
        <f t="shared" si="22"/>
        <v>2.9799323522153651</v>
      </c>
      <c r="M98">
        <f t="shared" si="23"/>
        <v>0.48519527866377965</v>
      </c>
      <c r="N98">
        <f t="shared" si="24"/>
        <v>3.0191739403713429</v>
      </c>
    </row>
    <row r="99" spans="10:14" x14ac:dyDescent="0.25">
      <c r="J99">
        <f t="shared" si="25"/>
        <v>11.5</v>
      </c>
      <c r="K99">
        <f t="shared" si="21"/>
        <v>37.72</v>
      </c>
      <c r="L99">
        <f t="shared" si="22"/>
        <v>3.0726286026713101</v>
      </c>
      <c r="M99">
        <f t="shared" si="23"/>
        <v>0.50251459851478408</v>
      </c>
      <c r="N99">
        <f t="shared" si="24"/>
        <v>3.1134494458195916</v>
      </c>
    </row>
    <row r="100" spans="10:14" x14ac:dyDescent="0.25">
      <c r="J100">
        <f t="shared" si="25"/>
        <v>11.75</v>
      </c>
      <c r="K100">
        <f t="shared" si="21"/>
        <v>38.54</v>
      </c>
      <c r="L100">
        <f t="shared" si="22"/>
        <v>3.1645321751409483</v>
      </c>
      <c r="M100">
        <f t="shared" si="23"/>
        <v>0.51970233697970647</v>
      </c>
      <c r="N100">
        <f t="shared" si="24"/>
        <v>3.2069228875301117</v>
      </c>
    </row>
    <row r="101" spans="10:14" x14ac:dyDescent="0.25">
      <c r="J101">
        <f t="shared" si="25"/>
        <v>12</v>
      </c>
      <c r="K101">
        <f t="shared" si="21"/>
        <v>39.36</v>
      </c>
      <c r="L101">
        <f t="shared" si="22"/>
        <v>3.2556225675939969</v>
      </c>
      <c r="M101">
        <f t="shared" si="23"/>
        <v>0.53675464479248713</v>
      </c>
      <c r="N101">
        <f t="shared" si="24"/>
        <v>3.2995732832191558</v>
      </c>
    </row>
    <row r="102" spans="10:14" x14ac:dyDescent="0.25">
      <c r="J102">
        <f t="shared" si="25"/>
        <v>12.25</v>
      </c>
      <c r="K102">
        <f t="shared" si="21"/>
        <v>40.18</v>
      </c>
      <c r="L102">
        <f t="shared" si="22"/>
        <v>3.3458794841590711</v>
      </c>
      <c r="M102">
        <f t="shared" si="23"/>
        <v>0.5536677074127998</v>
      </c>
      <c r="N102">
        <f t="shared" si="24"/>
        <v>3.3913798744387686</v>
      </c>
    </row>
    <row r="103" spans="10:14" x14ac:dyDescent="0.25">
      <c r="J103">
        <f t="shared" si="25"/>
        <v>12.5</v>
      </c>
      <c r="K103">
        <f t="shared" si="21"/>
        <v>41</v>
      </c>
      <c r="L103">
        <f t="shared" si="22"/>
        <v>3.4352828396233006</v>
      </c>
      <c r="M103">
        <f t="shared" si="23"/>
        <v>0.57043774587537532</v>
      </c>
      <c r="N103">
        <f t="shared" si="24"/>
        <v>3.4823221290009498</v>
      </c>
    </row>
    <row r="104" spans="10:14" x14ac:dyDescent="0.25">
      <c r="J104">
        <f t="shared" si="25"/>
        <v>12.75</v>
      </c>
      <c r="K104">
        <f t="shared" si="21"/>
        <v>41.82</v>
      </c>
      <c r="L104">
        <f t="shared" si="22"/>
        <v>3.5238127638793548</v>
      </c>
      <c r="M104">
        <f t="shared" si="23"/>
        <v>0.58706101763032903</v>
      </c>
      <c r="N104">
        <f t="shared" si="24"/>
        <v>3.5723797437142957</v>
      </c>
    </row>
    <row r="105" spans="10:14" x14ac:dyDescent="0.25">
      <c r="J105">
        <f t="shared" si="25"/>
        <v>13</v>
      </c>
      <c r="K105">
        <f t="shared" si="21"/>
        <v>42.64</v>
      </c>
      <c r="L105">
        <f t="shared" si="22"/>
        <v>3.6114496063187396</v>
      </c>
      <c r="M105">
        <f t="shared" si="23"/>
        <v>0.60353381737434697</v>
      </c>
      <c r="N105">
        <f t="shared" si="24"/>
        <v>3.6615326473615162</v>
      </c>
    </row>
    <row r="106" spans="10:14" x14ac:dyDescent="0.25">
      <c r="J106">
        <f t="shared" si="25"/>
        <v>13.25</v>
      </c>
      <c r="K106">
        <f t="shared" si="21"/>
        <v>43.46</v>
      </c>
      <c r="L106">
        <f t="shared" si="22"/>
        <v>3.6981739401705367</v>
      </c>
      <c r="M106">
        <f t="shared" si="23"/>
        <v>0.61985247787250142</v>
      </c>
      <c r="N106">
        <f t="shared" si="24"/>
        <v>3.7497610038615998</v>
      </c>
    </row>
    <row r="107" spans="10:14" x14ac:dyDescent="0.25">
      <c r="J107">
        <f t="shared" si="25"/>
        <v>13.5</v>
      </c>
      <c r="K107">
        <f t="shared" si="21"/>
        <v>44.279999999999994</v>
      </c>
      <c r="L107">
        <f t="shared" si="22"/>
        <v>3.7839665667845104</v>
      </c>
      <c r="M107">
        <f t="shared" si="23"/>
        <v>0.6360133707705633</v>
      </c>
      <c r="N107">
        <f t="shared" si="24"/>
        <v>3.8370452155717278</v>
      </c>
    </row>
    <row r="108" spans="10:14" x14ac:dyDescent="0.25">
      <c r="J108">
        <f t="shared" si="25"/>
        <v>13.75</v>
      </c>
      <c r="K108">
        <f t="shared" si="21"/>
        <v>45.099999999999994</v>
      </c>
      <c r="L108">
        <f t="shared" si="22"/>
        <v>3.8688085198577293</v>
      </c>
      <c r="M108">
        <f t="shared" si="23"/>
        <v>0.65201290739760065</v>
      </c>
      <c r="N108">
        <f t="shared" si="24"/>
        <v>3.9233659266931533</v>
      </c>
    </row>
    <row r="109" spans="10:14" x14ac:dyDescent="0.25">
      <c r="J109">
        <f t="shared" si="25"/>
        <v>14</v>
      </c>
      <c r="K109">
        <f t="shared" si="21"/>
        <v>45.919999999999995</v>
      </c>
      <c r="L109">
        <f t="shared" si="22"/>
        <v>3.9526810696037771</v>
      </c>
      <c r="M109">
        <f t="shared" si="23"/>
        <v>0.6678475395586787</v>
      </c>
      <c r="N109">
        <f t="shared" si="24"/>
        <v>4.0087040267521177</v>
      </c>
    </row>
    <row r="110" spans="10:14" x14ac:dyDescent="0.25">
      <c r="J110">
        <f t="shared" si="25"/>
        <v>14.25</v>
      </c>
      <c r="K110">
        <f t="shared" si="21"/>
        <v>46.739999999999995</v>
      </c>
      <c r="L110">
        <f t="shared" si="22"/>
        <v>4.0355657268635587</v>
      </c>
      <c r="M110">
        <f t="shared" si="23"/>
        <v>0.68351376031753164</v>
      </c>
      <c r="N110">
        <f t="shared" si="24"/>
        <v>4.0930406541322331</v>
      </c>
    </row>
    <row r="111" spans="10:14" x14ac:dyDescent="0.25">
      <c r="J111">
        <f t="shared" si="25"/>
        <v>14.5</v>
      </c>
      <c r="K111">
        <f t="shared" si="21"/>
        <v>47.559999999999995</v>
      </c>
      <c r="L111">
        <f t="shared" si="22"/>
        <v>4.1174442471568957</v>
      </c>
      <c r="M111">
        <f t="shared" si="23"/>
        <v>0.69900810476898556</v>
      </c>
      <c r="N111">
        <f t="shared" si="24"/>
        <v>4.1763571996391953</v>
      </c>
    </row>
    <row r="112" spans="10:14" x14ac:dyDescent="0.25">
      <c r="J112">
        <f t="shared" si="25"/>
        <v>14.75</v>
      </c>
      <c r="K112">
        <f t="shared" si="21"/>
        <v>48.379999999999995</v>
      </c>
      <c r="L112">
        <f t="shared" si="22"/>
        <v>4.1982986346740034</v>
      </c>
      <c r="M112">
        <f t="shared" si="23"/>
        <v>0.71432715080098808</v>
      </c>
      <c r="N112">
        <f t="shared" si="24"/>
        <v>4.2586353100819823</v>
      </c>
    </row>
    <row r="113" spans="10:14" x14ac:dyDescent="0.25">
      <c r="J113">
        <f t="shared" si="25"/>
        <v>15</v>
      </c>
      <c r="K113">
        <f t="shared" si="21"/>
        <v>49.199999999999996</v>
      </c>
      <c r="L113">
        <f t="shared" si="22"/>
        <v>4.278111146205946</v>
      </c>
      <c r="M113">
        <f t="shared" si="23"/>
        <v>0.7294675198460796</v>
      </c>
      <c r="N113">
        <f t="shared" si="24"/>
        <v>4.3398568918573739</v>
      </c>
    </row>
    <row r="114" spans="10:14" x14ac:dyDescent="0.25">
      <c r="J114">
        <f t="shared" si="25"/>
        <v>15.25</v>
      </c>
      <c r="K114">
        <f t="shared" si="21"/>
        <v>50.019999999999996</v>
      </c>
      <c r="L114">
        <f t="shared" si="22"/>
        <v>4.3568642950132714</v>
      </c>
      <c r="M114">
        <f t="shared" si="23"/>
        <v>0.74442587762212664</v>
      </c>
      <c r="N114">
        <f t="shared" si="24"/>
        <v>4.4200041145269271</v>
      </c>
    </row>
    <row r="115" spans="10:14" x14ac:dyDescent="0.25">
      <c r="J115">
        <f t="shared" si="25"/>
        <v>15.5</v>
      </c>
      <c r="K115">
        <f t="shared" si="21"/>
        <v>50.839999999999996</v>
      </c>
      <c r="L115">
        <f t="shared" si="22"/>
        <v>4.4345408546319316</v>
      </c>
      <c r="M115">
        <f t="shared" si="23"/>
        <v>0.75919893486218726</v>
      </c>
      <c r="N115">
        <f t="shared" si="24"/>
        <v>4.4990594143771405</v>
      </c>
    </row>
    <row r="116" spans="10:14" x14ac:dyDescent="0.25">
      <c r="J116">
        <f t="shared" si="25"/>
        <v>15.75</v>
      </c>
      <c r="K116">
        <f t="shared" si="21"/>
        <v>51.66</v>
      </c>
      <c r="L116">
        <f t="shared" si="22"/>
        <v>4.5111238626157419</v>
      </c>
      <c r="M116">
        <f t="shared" si="23"/>
        <v>0.77378344803329036</v>
      </c>
      <c r="N116">
        <f t="shared" si="24"/>
        <v>4.5770054979551267</v>
      </c>
    </row>
    <row r="117" spans="10:14" x14ac:dyDescent="0.25">
      <c r="J117">
        <f t="shared" si="25"/>
        <v>16</v>
      </c>
      <c r="K117">
        <f t="shared" ref="K117:K180" si="26">J117*3.28</f>
        <v>52.48</v>
      </c>
      <c r="L117">
        <f t="shared" ref="L117:L180" si="27">$Y$7*EXP($Y$11*(J117-$Y$4))*COS(PI()/180*($Y$8+$Y$5*(J117-$Y$4)))+$Y$9*EXP($Y$12*(J117-$Y$4))*COS(PI()/180*($Y$10+$Y$6*(J117-$Y$4)))</f>
        <v>4.5865966242144829</v>
      </c>
      <c r="M117">
        <f t="shared" ref="M117:M180" si="28">$Y$13+$Y$7*EXP($Y$11*(J117-$Y$4))*SIN(PI()/180*($Y$8+$Y$5*(J117-$Y$4)))+$Y$9*EXP($Y$12*(J117-$Y$4))*SIN(PI()/180*($Y$10+$Y$6*(J117-$Y$4)))</f>
        <v>0.78817622004405319</v>
      </c>
      <c r="N117">
        <f t="shared" ref="N117:N180" si="29">SQRT(L117*L117+M117*M117)</f>
        <v>4.6538253455731038</v>
      </c>
    </row>
    <row r="118" spans="10:14" x14ac:dyDescent="0.25">
      <c r="J118">
        <f t="shared" ref="J118:J181" si="30">J117+$I$52</f>
        <v>16.25</v>
      </c>
      <c r="K118">
        <f t="shared" si="26"/>
        <v>53.3</v>
      </c>
      <c r="L118">
        <f t="shared" si="27"/>
        <v>4.6609427159869119</v>
      </c>
      <c r="M118">
        <f t="shared" si="28"/>
        <v>0.80237410094091866</v>
      </c>
      <c r="N118">
        <f t="shared" si="29"/>
        <v>4.729502214776117</v>
      </c>
    </row>
    <row r="119" spans="10:14" x14ac:dyDescent="0.25">
      <c r="J119">
        <f t="shared" si="30"/>
        <v>16.5</v>
      </c>
      <c r="K119">
        <f t="shared" si="26"/>
        <v>54.12</v>
      </c>
      <c r="L119">
        <f t="shared" si="27"/>
        <v>4.7341459893479154</v>
      </c>
      <c r="M119">
        <f t="shared" si="28"/>
        <v>0.81637398859288357</v>
      </c>
      <c r="N119">
        <f t="shared" si="29"/>
        <v>4.8040196437681235</v>
      </c>
    </row>
    <row r="120" spans="10:14" x14ac:dyDescent="0.25">
      <c r="J120">
        <f t="shared" si="30"/>
        <v>16.75</v>
      </c>
      <c r="K120">
        <f t="shared" si="26"/>
        <v>54.94</v>
      </c>
      <c r="L120">
        <f t="shared" si="27"/>
        <v>4.8061905740490083</v>
      </c>
      <c r="M120">
        <f t="shared" si="28"/>
        <v>0.83017282936457892</v>
      </c>
      <c r="N120">
        <f t="shared" si="29"/>
        <v>4.8773614547922044</v>
      </c>
    </row>
    <row r="121" spans="10:14" x14ac:dyDescent="0.25">
      <c r="J121">
        <f t="shared" si="30"/>
        <v>17</v>
      </c>
      <c r="K121">
        <f t="shared" si="26"/>
        <v>55.76</v>
      </c>
      <c r="L121">
        <f t="shared" si="27"/>
        <v>4.8770608815914196</v>
      </c>
      <c r="M121">
        <f t="shared" si="28"/>
        <v>0.84376761877755468</v>
      </c>
      <c r="N121">
        <f t="shared" si="29"/>
        <v>4.9495117574612166</v>
      </c>
    </row>
    <row r="122" spans="10:14" x14ac:dyDescent="0.25">
      <c r="J122">
        <f t="shared" si="30"/>
        <v>17.25</v>
      </c>
      <c r="K122">
        <f t="shared" si="26"/>
        <v>56.58</v>
      </c>
      <c r="L122">
        <f t="shared" si="27"/>
        <v>4.9467416085711413</v>
      </c>
      <c r="M122">
        <f t="shared" si="28"/>
        <v>0.85715540215960173</v>
      </c>
      <c r="N122">
        <f t="shared" si="29"/>
        <v>5.0204549520357604</v>
      </c>
    </row>
    <row r="123" spans="10:14" x14ac:dyDescent="0.25">
      <c r="J123">
        <f t="shared" si="30"/>
        <v>17.5</v>
      </c>
      <c r="K123">
        <f t="shared" si="26"/>
        <v>57.4</v>
      </c>
      <c r="L123">
        <f t="shared" si="27"/>
        <v>5.0152177399550713</v>
      </c>
      <c r="M123">
        <f t="shared" si="28"/>
        <v>0.87033327528202453</v>
      </c>
      <c r="N123">
        <f t="shared" si="29"/>
        <v>5.090175732646486</v>
      </c>
    </row>
    <row r="124" spans="10:14" x14ac:dyDescent="0.25">
      <c r="J124">
        <f t="shared" si="30"/>
        <v>17.75</v>
      </c>
      <c r="K124">
        <f t="shared" si="26"/>
        <v>58.22</v>
      </c>
      <c r="L124">
        <f t="shared" si="27"/>
        <v>5.0824745522877102</v>
      </c>
      <c r="M124">
        <f t="shared" si="28"/>
        <v>0.88329838498465829</v>
      </c>
      <c r="N124">
        <f t="shared" si="29"/>
        <v>5.1586590904583591</v>
      </c>
    </row>
    <row r="125" spans="10:14" x14ac:dyDescent="0.25">
      <c r="J125">
        <f t="shared" si="30"/>
        <v>18</v>
      </c>
      <c r="K125">
        <f t="shared" si="26"/>
        <v>59.04</v>
      </c>
      <c r="L125">
        <f t="shared" si="27"/>
        <v>5.1484976168276209</v>
      </c>
      <c r="M125">
        <f t="shared" si="28"/>
        <v>0.89604792978857484</v>
      </c>
      <c r="N125">
        <f t="shared" si="29"/>
        <v>5.2258903167745574</v>
      </c>
    </row>
    <row r="126" spans="10:14" x14ac:dyDescent="0.25">
      <c r="J126">
        <f t="shared" si="30"/>
        <v>18.25</v>
      </c>
      <c r="K126">
        <f t="shared" si="26"/>
        <v>59.86</v>
      </c>
      <c r="L126">
        <f t="shared" si="27"/>
        <v>5.213272802613071</v>
      </c>
      <c r="M126">
        <f t="shared" si="28"/>
        <v>0.90857916049626275</v>
      </c>
      <c r="N126">
        <f t="shared" si="29"/>
        <v>5.291855006078042</v>
      </c>
    </row>
    <row r="127" spans="10:14" x14ac:dyDescent="0.25">
      <c r="J127">
        <f t="shared" si="30"/>
        <v>18.5</v>
      </c>
      <c r="K127">
        <f t="shared" si="26"/>
        <v>60.68</v>
      </c>
      <c r="L127">
        <f t="shared" si="27"/>
        <v>5.2767862794561413</v>
      </c>
      <c r="M127">
        <f t="shared" si="28"/>
        <v>0.92088938077924332</v>
      </c>
      <c r="N127">
        <f t="shared" si="29"/>
        <v>5.3565390590089574</v>
      </c>
    </row>
    <row r="128" spans="10:14" x14ac:dyDescent="0.25">
      <c r="J128">
        <f t="shared" si="30"/>
        <v>18.75</v>
      </c>
      <c r="K128">
        <f t="shared" si="26"/>
        <v>61.499999999999993</v>
      </c>
      <c r="L128">
        <f t="shared" si="27"/>
        <v>5.3390245208647222</v>
      </c>
      <c r="M128">
        <f t="shared" si="28"/>
        <v>0.93297594775293025</v>
      </c>
      <c r="N128">
        <f t="shared" si="29"/>
        <v>5.4199286852762425</v>
      </c>
    </row>
    <row r="129" spans="10:14" x14ac:dyDescent="0.25">
      <c r="J129">
        <f t="shared" si="30"/>
        <v>19</v>
      </c>
      <c r="K129">
        <f t="shared" si="26"/>
        <v>62.319999999999993</v>
      </c>
      <c r="L129">
        <f t="shared" si="27"/>
        <v>5.3999743068918082</v>
      </c>
      <c r="M129">
        <f t="shared" si="28"/>
        <v>0.94483627253862079</v>
      </c>
      <c r="N129">
        <f t="shared" si="29"/>
        <v>5.4820104065020105</v>
      </c>
    </row>
    <row r="130" spans="10:14" x14ac:dyDescent="0.25">
      <c r="J130">
        <f t="shared" si="30"/>
        <v>19.25</v>
      </c>
      <c r="K130">
        <f t="shared" si="26"/>
        <v>63.139999999999993</v>
      </c>
      <c r="L130">
        <f t="shared" si="27"/>
        <v>5.4596227269114008</v>
      </c>
      <c r="M130">
        <f t="shared" si="28"/>
        <v>0.95646782081255899</v>
      </c>
      <c r="N130">
        <f t="shared" si="29"/>
        <v>5.5427710589972419</v>
      </c>
    </row>
    <row r="131" spans="10:14" x14ac:dyDescent="0.25">
      <c r="J131">
        <f t="shared" si="30"/>
        <v>19.5</v>
      </c>
      <c r="K131">
        <f t="shared" si="26"/>
        <v>63.959999999999994</v>
      </c>
      <c r="L131">
        <f t="shared" si="27"/>
        <v>5.5179571823205791</v>
      </c>
      <c r="M131">
        <f t="shared" si="28"/>
        <v>0.96786811334186273</v>
      </c>
      <c r="N131">
        <f t="shared" si="29"/>
        <v>5.6021977964676681</v>
      </c>
    </row>
    <row r="132" spans="10:14" x14ac:dyDescent="0.25">
      <c r="J132">
        <f t="shared" si="30"/>
        <v>19.75</v>
      </c>
      <c r="K132">
        <f t="shared" si="26"/>
        <v>64.78</v>
      </c>
      <c r="L132">
        <f t="shared" si="27"/>
        <v>5.5749653891670636</v>
      </c>
      <c r="M132">
        <f t="shared" si="28"/>
        <v>0.9790347265072803</v>
      </c>
      <c r="N132">
        <f t="shared" si="29"/>
        <v>5.6602780926486158</v>
      </c>
    </row>
    <row r="133" spans="10:14" x14ac:dyDescent="0.25">
      <c r="J133">
        <f t="shared" si="30"/>
        <v>20</v>
      </c>
      <c r="K133">
        <f t="shared" si="26"/>
        <v>65.599999999999994</v>
      </c>
      <c r="L133">
        <f t="shared" si="27"/>
        <v>5.6306353807018024</v>
      </c>
      <c r="M133">
        <f t="shared" si="28"/>
        <v>0.98996529281263523</v>
      </c>
      <c r="N133">
        <f t="shared" si="29"/>
        <v>5.7169997438678042</v>
      </c>
    </row>
    <row r="134" spans="10:14" x14ac:dyDescent="0.25">
      <c r="J134">
        <f t="shared" si="30"/>
        <v>20.25</v>
      </c>
      <c r="K134">
        <f t="shared" si="26"/>
        <v>66.42</v>
      </c>
      <c r="L134">
        <f t="shared" si="27"/>
        <v>5.6849555098560405</v>
      </c>
      <c r="M134">
        <f t="shared" si="28"/>
        <v>1.000657501380845</v>
      </c>
      <c r="N134">
        <f t="shared" si="29"/>
        <v>5.7723508715351244</v>
      </c>
    </row>
    <row r="135" spans="10:14" x14ac:dyDescent="0.25">
      <c r="J135">
        <f t="shared" si="30"/>
        <v>20.5</v>
      </c>
      <c r="K135">
        <f t="shared" si="26"/>
        <v>67.239999999999995</v>
      </c>
      <c r="L135">
        <f t="shared" si="27"/>
        <v>5.7379144516423377</v>
      </c>
      <c r="M135">
        <f t="shared" si="28"/>
        <v>1.0111090984364459</v>
      </c>
      <c r="N135">
        <f t="shared" si="29"/>
        <v>5.8263199245584643</v>
      </c>
    </row>
    <row r="136" spans="10:14" x14ac:dyDescent="0.25">
      <c r="J136">
        <f t="shared" si="30"/>
        <v>20.75</v>
      </c>
      <c r="K136">
        <f t="shared" si="26"/>
        <v>68.06</v>
      </c>
      <c r="L136">
        <f t="shared" si="27"/>
        <v>5.7895012054791337</v>
      </c>
      <c r="M136">
        <f t="shared" si="28"/>
        <v>1.0213178877744702</v>
      </c>
      <c r="N136">
        <f t="shared" si="29"/>
        <v>5.8788956816848223</v>
      </c>
    </row>
    <row r="137" spans="10:14" x14ac:dyDescent="0.25">
      <c r="J137">
        <f t="shared" si="30"/>
        <v>21</v>
      </c>
      <c r="K137">
        <f t="shared" si="26"/>
        <v>68.88</v>
      </c>
      <c r="L137">
        <f t="shared" si="27"/>
        <v>5.8397050974382694</v>
      </c>
      <c r="M137">
        <f t="shared" si="28"/>
        <v>1.0312817312156435</v>
      </c>
      <c r="N137">
        <f t="shared" si="29"/>
        <v>5.9300672537658157</v>
      </c>
    </row>
    <row r="138" spans="10:14" x14ac:dyDescent="0.25">
      <c r="J138">
        <f t="shared" si="30"/>
        <v>21.25</v>
      </c>
      <c r="K138">
        <f t="shared" si="26"/>
        <v>69.7</v>
      </c>
      <c r="L138">
        <f t="shared" si="27"/>
        <v>5.8885157824151193</v>
      </c>
      <c r="M138">
        <f t="shared" si="28"/>
        <v>1.040998549047766</v>
      </c>
      <c r="N138">
        <f t="shared" si="29"/>
        <v>5.9798240859469693</v>
      </c>
    </row>
    <row r="139" spans="10:14" x14ac:dyDescent="0.25">
      <c r="J139">
        <f t="shared" si="30"/>
        <v>21.5</v>
      </c>
      <c r="K139">
        <f t="shared" si="26"/>
        <v>70.52</v>
      </c>
      <c r="L139">
        <f t="shared" si="27"/>
        <v>5.9359232462208684</v>
      </c>
      <c r="M139">
        <f t="shared" si="28"/>
        <v>1.0504663204531899</v>
      </c>
      <c r="N139">
        <f t="shared" si="29"/>
        <v>6.0281559597800518</v>
      </c>
    </row>
    <row r="140" spans="10:14" x14ac:dyDescent="0.25">
      <c r="J140">
        <f t="shared" si="30"/>
        <v>21.75</v>
      </c>
      <c r="K140">
        <f t="shared" si="26"/>
        <v>71.339999999999989</v>
      </c>
      <c r="L140">
        <f t="shared" si="27"/>
        <v>5.9819178075964974</v>
      </c>
      <c r="M140">
        <f t="shared" si="28"/>
        <v>1.0596830839223286</v>
      </c>
      <c r="N140">
        <f t="shared" si="29"/>
        <v>6.0750529952578374</v>
      </c>
    </row>
    <row r="141" spans="10:14" x14ac:dyDescent="0.25">
      <c r="J141">
        <f t="shared" si="30"/>
        <v>22</v>
      </c>
      <c r="K141">
        <f t="shared" si="26"/>
        <v>72.16</v>
      </c>
      <c r="L141">
        <f t="shared" si="27"/>
        <v>6.0264901201481198</v>
      </c>
      <c r="M141">
        <f t="shared" si="28"/>
        <v>1.0686469376531087</v>
      </c>
      <c r="N141">
        <f t="shared" si="29"/>
        <v>6.1205056527707145</v>
      </c>
    </row>
    <row r="142" spans="10:14" x14ac:dyDescent="0.25">
      <c r="J142">
        <f t="shared" si="30"/>
        <v>22.25</v>
      </c>
      <c r="K142">
        <f t="shared" si="26"/>
        <v>72.97999999999999</v>
      </c>
      <c r="L142">
        <f t="shared" si="27"/>
        <v>6.0696311742032698</v>
      </c>
      <c r="M142">
        <f t="shared" si="28"/>
        <v>1.0773560399362516</v>
      </c>
      <c r="N142">
        <f t="shared" si="29"/>
        <v>6.1645047349845781</v>
      </c>
    </row>
    <row r="143" spans="10:14" x14ac:dyDescent="0.25">
      <c r="J143">
        <f t="shared" si="30"/>
        <v>22.5</v>
      </c>
      <c r="K143">
        <f t="shared" si="26"/>
        <v>73.8</v>
      </c>
      <c r="L143">
        <f t="shared" si="27"/>
        <v>6.1113322985877829</v>
      </c>
      <c r="M143">
        <f t="shared" si="28"/>
        <v>1.0858086095263864</v>
      </c>
      <c r="N143">
        <f t="shared" si="29"/>
        <v>6.2070413886395075</v>
      </c>
    </row>
    <row r="144" spans="10:14" x14ac:dyDescent="0.25">
      <c r="J144">
        <f t="shared" si="30"/>
        <v>22.75</v>
      </c>
      <c r="K144">
        <f t="shared" si="26"/>
        <v>74.61999999999999</v>
      </c>
      <c r="L144">
        <f t="shared" si="27"/>
        <v>6.151585162322962</v>
      </c>
      <c r="M144">
        <f t="shared" si="28"/>
        <v>1.0940029259988098</v>
      </c>
      <c r="N144">
        <f t="shared" si="29"/>
        <v>6.2481071062687441</v>
      </c>
    </row>
    <row r="145" spans="10:14" x14ac:dyDescent="0.25">
      <c r="J145">
        <f t="shared" si="30"/>
        <v>23</v>
      </c>
      <c r="K145">
        <f t="shared" si="26"/>
        <v>75.44</v>
      </c>
      <c r="L145">
        <f t="shared" si="27"/>
        <v>6.1903817762426545</v>
      </c>
      <c r="M145">
        <f t="shared" si="28"/>
        <v>1.1019373300919455</v>
      </c>
      <c r="N145">
        <f t="shared" si="29"/>
        <v>6.2876937278375227</v>
      </c>
    </row>
    <row r="146" spans="10:14" x14ac:dyDescent="0.25">
      <c r="J146">
        <f t="shared" si="30"/>
        <v>23.25</v>
      </c>
      <c r="K146">
        <f t="shared" si="26"/>
        <v>76.259999999999991</v>
      </c>
      <c r="L146">
        <f t="shared" si="27"/>
        <v>6.2277144945300087</v>
      </c>
      <c r="M146">
        <f t="shared" si="28"/>
        <v>1.1096102240353214</v>
      </c>
      <c r="N146">
        <f t="shared" si="29"/>
        <v>6.3257934423013591</v>
      </c>
    </row>
    <row r="147" spans="10:14" x14ac:dyDescent="0.25">
      <c r="J147">
        <f t="shared" si="30"/>
        <v>23.5</v>
      </c>
      <c r="K147">
        <f t="shared" si="26"/>
        <v>77.08</v>
      </c>
      <c r="L147">
        <f t="shared" si="27"/>
        <v>6.2635760161735483</v>
      </c>
      <c r="M147">
        <f t="shared" si="28"/>
        <v>1.1170200718630996</v>
      </c>
      <c r="N147">
        <f t="shared" si="29"/>
        <v>6.3623987890833709</v>
      </c>
    </row>
    <row r="148" spans="10:14" x14ac:dyDescent="0.25">
      <c r="J148">
        <f t="shared" si="30"/>
        <v>23.75</v>
      </c>
      <c r="K148">
        <f t="shared" si="26"/>
        <v>77.899999999999991</v>
      </c>
      <c r="L148">
        <f t="shared" si="27"/>
        <v>6.2979593863423613</v>
      </c>
      <c r="M148">
        <f t="shared" si="28"/>
        <v>1.1241653997130481</v>
      </c>
      <c r="N148">
        <f t="shared" si="29"/>
        <v>6.397502659470323</v>
      </c>
    </row>
    <row r="149" spans="10:14" x14ac:dyDescent="0.25">
      <c r="J149">
        <f t="shared" si="30"/>
        <v>24</v>
      </c>
      <c r="K149">
        <f t="shared" si="26"/>
        <v>78.72</v>
      </c>
      <c r="L149">
        <f t="shared" si="27"/>
        <v>6.3308579976801571</v>
      </c>
      <c r="M149">
        <f t="shared" si="28"/>
        <v>1.1310447961108698</v>
      </c>
      <c r="N149">
        <f t="shared" si="29"/>
        <v>6.4310982979270568</v>
      </c>
    </row>
    <row r="150" spans="10:14" x14ac:dyDescent="0.25">
      <c r="J150">
        <f t="shared" si="30"/>
        <v>24.25</v>
      </c>
      <c r="K150">
        <f t="shared" si="26"/>
        <v>79.539999999999992</v>
      </c>
      <c r="L150">
        <f t="shared" si="27"/>
        <v>6.3622655915179038</v>
      </c>
      <c r="M150">
        <f t="shared" si="28"/>
        <v>1.1376569122399482</v>
      </c>
      <c r="N150">
        <f t="shared" si="29"/>
        <v>6.4631793033289737</v>
      </c>
    </row>
    <row r="151" spans="10:14" x14ac:dyDescent="0.25">
      <c r="J151">
        <f t="shared" si="30"/>
        <v>24.5</v>
      </c>
      <c r="K151">
        <f t="shared" si="26"/>
        <v>80.36</v>
      </c>
      <c r="L151">
        <f t="shared" si="27"/>
        <v>6.3921762590049287</v>
      </c>
      <c r="M151">
        <f t="shared" si="28"/>
        <v>1.1440004621963058</v>
      </c>
      <c r="N151">
        <f t="shared" si="29"/>
        <v>6.4937396301123442</v>
      </c>
    </row>
    <row r="152" spans="10:14" x14ac:dyDescent="0.25">
      <c r="J152">
        <f t="shared" si="30"/>
        <v>24.75</v>
      </c>
      <c r="K152">
        <f t="shared" si="26"/>
        <v>81.179999999999993</v>
      </c>
      <c r="L152">
        <f t="shared" si="27"/>
        <v>6.4205844421582192</v>
      </c>
      <c r="M152">
        <f t="shared" si="28"/>
        <v>1.1500742232288663</v>
      </c>
      <c r="N152">
        <f t="shared" si="29"/>
        <v>6.5227735893421634</v>
      </c>
    </row>
    <row r="153" spans="10:14" x14ac:dyDescent="0.25">
      <c r="J153">
        <f t="shared" si="30"/>
        <v>25</v>
      </c>
      <c r="K153">
        <f t="shared" si="26"/>
        <v>82</v>
      </c>
      <c r="L153">
        <f t="shared" si="27"/>
        <v>6.4474849348297951</v>
      </c>
      <c r="M153">
        <f t="shared" si="28"/>
        <v>1.1558770359648993</v>
      </c>
      <c r="N153">
        <f t="shared" si="29"/>
        <v>6.5502758496973374</v>
      </c>
    </row>
    <row r="154" spans="10:14" x14ac:dyDescent="0.25">
      <c r="J154">
        <f t="shared" si="30"/>
        <v>25.25</v>
      </c>
      <c r="K154">
        <f t="shared" si="26"/>
        <v>82.82</v>
      </c>
      <c r="L154">
        <f t="shared" si="27"/>
        <v>6.4728728835919958</v>
      </c>
      <c r="M154">
        <f t="shared" si="28"/>
        <v>1.1614078046206364</v>
      </c>
      <c r="N154">
        <f t="shared" si="29"/>
        <v>6.5762414383730077</v>
      </c>
    </row>
    <row r="155" spans="10:14" x14ac:dyDescent="0.25">
      <c r="J155">
        <f t="shared" si="30"/>
        <v>25.5</v>
      </c>
      <c r="K155">
        <f t="shared" si="26"/>
        <v>83.64</v>
      </c>
      <c r="L155">
        <f t="shared" si="27"/>
        <v>6.4967437885405435</v>
      </c>
      <c r="M155">
        <f t="shared" si="28"/>
        <v>1.166665497197021</v>
      </c>
      <c r="N155">
        <f t="shared" si="29"/>
        <v>6.600665741899836</v>
      </c>
    </row>
    <row r="156" spans="10:14" x14ac:dyDescent="0.25">
      <c r="J156">
        <f t="shared" si="30"/>
        <v>25.75</v>
      </c>
      <c r="K156">
        <f t="shared" si="26"/>
        <v>84.46</v>
      </c>
      <c r="L156">
        <f t="shared" si="27"/>
        <v>6.5190935040152773</v>
      </c>
      <c r="M156">
        <f t="shared" si="28"/>
        <v>1.1716491456605513</v>
      </c>
      <c r="N156">
        <f t="shared" si="29"/>
        <v>6.6235445068800809</v>
      </c>
    </row>
    <row r="157" spans="10:14" x14ac:dyDescent="0.25">
      <c r="J157">
        <f t="shared" si="30"/>
        <v>26</v>
      </c>
      <c r="K157">
        <f t="shared" si="26"/>
        <v>85.28</v>
      </c>
      <c r="L157">
        <f t="shared" si="27"/>
        <v>6.5399182392384674</v>
      </c>
      <c r="M157">
        <f t="shared" si="28"/>
        <v>1.1763578461092001</v>
      </c>
      <c r="N157">
        <f t="shared" si="29"/>
        <v>6.6448738406403667</v>
      </c>
    </row>
    <row r="158" spans="10:14" x14ac:dyDescent="0.25">
      <c r="J158">
        <f t="shared" si="30"/>
        <v>26.25</v>
      </c>
      <c r="K158">
        <f t="shared" si="26"/>
        <v>86.1</v>
      </c>
      <c r="L158">
        <f t="shared" si="27"/>
        <v>6.5592145588706288</v>
      </c>
      <c r="M158">
        <f t="shared" si="28"/>
        <v>1.1807907589233895</v>
      </c>
      <c r="N158">
        <f t="shared" si="29"/>
        <v>6.6646502118010131</v>
      </c>
    </row>
    <row r="159" spans="10:14" x14ac:dyDescent="0.25">
      <c r="J159">
        <f t="shared" si="30"/>
        <v>26.5</v>
      </c>
      <c r="K159">
        <f t="shared" si="26"/>
        <v>86.92</v>
      </c>
      <c r="L159">
        <f t="shared" si="27"/>
        <v>6.5769793834837929</v>
      </c>
      <c r="M159">
        <f t="shared" si="28"/>
        <v>1.1849471089019636</v>
      </c>
      <c r="N159">
        <f t="shared" si="29"/>
        <v>6.6828704507618557</v>
      </c>
    </row>
    <row r="160" spans="10:14" x14ac:dyDescent="0.25">
      <c r="J160">
        <f t="shared" si="30"/>
        <v>26.75</v>
      </c>
      <c r="K160">
        <f t="shared" si="26"/>
        <v>87.74</v>
      </c>
      <c r="L160">
        <f t="shared" si="27"/>
        <v>6.5932099899521841</v>
      </c>
      <c r="M160">
        <f t="shared" si="28"/>
        <v>1.1888261853832027</v>
      </c>
      <c r="N160">
        <f t="shared" si="29"/>
        <v>6.6995317501044847</v>
      </c>
    </row>
    <row r="161" spans="10:14" x14ac:dyDescent="0.25">
      <c r="J161">
        <f t="shared" si="30"/>
        <v>27</v>
      </c>
      <c r="K161">
        <f t="shared" si="26"/>
        <v>88.559999999999988</v>
      </c>
      <c r="L161">
        <f t="shared" si="27"/>
        <v>6.6079040117603052</v>
      </c>
      <c r="M161">
        <f t="shared" si="28"/>
        <v>1.1924273423508067</v>
      </c>
      <c r="N161">
        <f t="shared" si="29"/>
        <v>6.7146316649108719</v>
      </c>
    </row>
    <row r="162" spans="10:14" x14ac:dyDescent="0.25">
      <c r="J162">
        <f t="shared" si="30"/>
        <v>27.25</v>
      </c>
      <c r="K162">
        <f t="shared" si="26"/>
        <v>89.38</v>
      </c>
      <c r="L162">
        <f t="shared" si="27"/>
        <v>6.6210594392284232</v>
      </c>
      <c r="M162">
        <f t="shared" si="28"/>
        <v>1.1957499985248579</v>
      </c>
      <c r="N162">
        <f t="shared" si="29"/>
        <v>6.7281681129983664</v>
      </c>
    </row>
    <row r="163" spans="10:14" x14ac:dyDescent="0.25">
      <c r="J163">
        <f t="shared" si="30"/>
        <v>27.5</v>
      </c>
      <c r="K163">
        <f t="shared" si="26"/>
        <v>90.199999999999989</v>
      </c>
      <c r="L163">
        <f t="shared" si="27"/>
        <v>6.6326746196554716</v>
      </c>
      <c r="M163">
        <f t="shared" si="28"/>
        <v>1.1987936374377945</v>
      </c>
      <c r="N163">
        <f t="shared" si="29"/>
        <v>6.7401393750710525</v>
      </c>
    </row>
    <row r="164" spans="10:14" x14ac:dyDescent="0.25">
      <c r="J164">
        <f t="shared" si="30"/>
        <v>27.75</v>
      </c>
      <c r="K164">
        <f t="shared" si="26"/>
        <v>91.02</v>
      </c>
      <c r="L164">
        <f t="shared" si="27"/>
        <v>6.6427482573794325</v>
      </c>
      <c r="M164">
        <f t="shared" si="28"/>
        <v>1.2015578074952973</v>
      </c>
      <c r="N164">
        <f t="shared" si="29"/>
        <v>6.7505440947875002</v>
      </c>
    </row>
    <row r="165" spans="10:14" x14ac:dyDescent="0.25">
      <c r="J165">
        <f t="shared" si="30"/>
        <v>28</v>
      </c>
      <c r="K165">
        <f t="shared" si="26"/>
        <v>91.839999999999989</v>
      </c>
      <c r="L165">
        <f t="shared" si="27"/>
        <v>6.6512794137552298</v>
      </c>
      <c r="M165">
        <f t="shared" si="28"/>
        <v>1.2040421220222053</v>
      </c>
      <c r="N165">
        <f t="shared" si="29"/>
        <v>6.7593812787449599</v>
      </c>
    </row>
    <row r="166" spans="10:14" x14ac:dyDescent="0.25">
      <c r="J166">
        <f t="shared" si="30"/>
        <v>28.25</v>
      </c>
      <c r="K166">
        <f t="shared" si="26"/>
        <v>92.66</v>
      </c>
      <c r="L166">
        <f t="shared" si="27"/>
        <v>6.6582675070502502</v>
      </c>
      <c r="M166">
        <f t="shared" si="28"/>
        <v>1.2062462592933425</v>
      </c>
      <c r="N166">
        <f t="shared" si="29"/>
        <v>6.7666502963800585</v>
      </c>
    </row>
    <row r="167" spans="10:14" x14ac:dyDescent="0.25">
      <c r="J167">
        <f t="shared" si="30"/>
        <v>28.5</v>
      </c>
      <c r="K167">
        <f t="shared" si="26"/>
        <v>93.47999999999999</v>
      </c>
      <c r="L167">
        <f t="shared" si="27"/>
        <v>6.6637123122575375</v>
      </c>
      <c r="M167">
        <f t="shared" si="28"/>
        <v>1.2081699625493818</v>
      </c>
      <c r="N167">
        <f t="shared" si="29"/>
        <v>6.772350879786079</v>
      </c>
    </row>
    <row r="168" spans="10:14" x14ac:dyDescent="0.25">
      <c r="J168">
        <f t="shared" si="30"/>
        <v>28.75</v>
      </c>
      <c r="K168">
        <f t="shared" si="26"/>
        <v>94.3</v>
      </c>
      <c r="L168">
        <f t="shared" si="27"/>
        <v>6.6676139608268352</v>
      </c>
      <c r="M168">
        <f t="shared" si="28"/>
        <v>1.2098130399976756</v>
      </c>
      <c r="N168">
        <f t="shared" si="29"/>
        <v>6.7764831234469503</v>
      </c>
    </row>
    <row r="169" spans="10:14" x14ac:dyDescent="0.25">
      <c r="J169">
        <f t="shared" si="30"/>
        <v>29</v>
      </c>
      <c r="K169">
        <f t="shared" si="26"/>
        <v>95.11999999999999</v>
      </c>
      <c r="L169">
        <f t="shared" si="27"/>
        <v>6.6699729403135777</v>
      </c>
      <c r="M169">
        <f t="shared" si="28"/>
        <v>1.2111753647980534</v>
      </c>
      <c r="N169">
        <f t="shared" si="29"/>
        <v>6.7790474838880614</v>
      </c>
    </row>
    <row r="170" spans="10:14" x14ac:dyDescent="0.25">
      <c r="J170">
        <f t="shared" si="30"/>
        <v>29.25</v>
      </c>
      <c r="K170">
        <f t="shared" si="26"/>
        <v>95.94</v>
      </c>
      <c r="L170">
        <f t="shared" si="27"/>
        <v>6.6707900939459801</v>
      </c>
      <c r="M170">
        <f t="shared" si="28"/>
        <v>1.2122568750337157</v>
      </c>
      <c r="N170">
        <f t="shared" si="29"/>
        <v>6.7800447792440375</v>
      </c>
    </row>
    <row r="171" spans="10:14" x14ac:dyDescent="0.25">
      <c r="J171">
        <f t="shared" si="30"/>
        <v>29.5</v>
      </c>
      <c r="K171">
        <f t="shared" si="26"/>
        <v>96.759999999999991</v>
      </c>
      <c r="L171">
        <f t="shared" si="27"/>
        <v>6.6700666201104362</v>
      </c>
      <c r="M171">
        <f t="shared" si="28"/>
        <v>1.2130575736670854</v>
      </c>
      <c r="N171">
        <f t="shared" si="29"/>
        <v>6.7794761887436801</v>
      </c>
    </row>
    <row r="172" spans="10:14" x14ac:dyDescent="0.25">
      <c r="J172">
        <f t="shared" si="30"/>
        <v>29.75</v>
      </c>
      <c r="K172">
        <f t="shared" si="26"/>
        <v>97.58</v>
      </c>
      <c r="L172">
        <f t="shared" si="27"/>
        <v>6.6678040717553806</v>
      </c>
      <c r="M172">
        <f t="shared" si="28"/>
        <v>1.2135775284807757</v>
      </c>
      <c r="N172">
        <f t="shared" si="29"/>
        <v>6.7773432521122272</v>
      </c>
    </row>
    <row r="173" spans="10:14" x14ac:dyDescent="0.25">
      <c r="J173">
        <f t="shared" si="30"/>
        <v>30</v>
      </c>
      <c r="K173">
        <f t="shared" si="26"/>
        <v>98.399999999999991</v>
      </c>
      <c r="L173">
        <f t="shared" si="27"/>
        <v>6.6640043557138355</v>
      </c>
      <c r="M173">
        <f t="shared" si="28"/>
        <v>1.2138168720036291</v>
      </c>
      <c r="N173">
        <f t="shared" si="29"/>
        <v>6.7736478688911523</v>
      </c>
    </row>
    <row r="174" spans="10:14" x14ac:dyDescent="0.25">
      <c r="J174">
        <f t="shared" si="30"/>
        <v>30.25</v>
      </c>
      <c r="K174">
        <f t="shared" si="26"/>
        <v>99.22</v>
      </c>
      <c r="L174">
        <f t="shared" si="27"/>
        <v>6.6586697319448946</v>
      </c>
      <c r="M174">
        <f t="shared" si="28"/>
        <v>1.2137758014218767</v>
      </c>
      <c r="N174">
        <f t="shared" si="29"/>
        <v>6.7683922976757493</v>
      </c>
    </row>
    <row r="175" spans="10:14" x14ac:dyDescent="0.25">
      <c r="J175">
        <f t="shared" si="30"/>
        <v>30.5</v>
      </c>
      <c r="K175">
        <f t="shared" si="26"/>
        <v>100.03999999999999</v>
      </c>
      <c r="L175">
        <f t="shared" si="27"/>
        <v>6.6518028126943474</v>
      </c>
      <c r="M175">
        <f t="shared" si="28"/>
        <v>1.2134545784754578</v>
      </c>
      <c r="N175">
        <f t="shared" si="29"/>
        <v>6.7615791552707183</v>
      </c>
    </row>
    <row r="176" spans="10:14" x14ac:dyDescent="0.25">
      <c r="J176">
        <f t="shared" si="30"/>
        <v>30.75</v>
      </c>
      <c r="K176">
        <f t="shared" si="26"/>
        <v>100.86</v>
      </c>
      <c r="L176">
        <f t="shared" si="27"/>
        <v>6.6434065615747588</v>
      </c>
      <c r="M176">
        <f t="shared" si="28"/>
        <v>1.2128535293395226</v>
      </c>
      <c r="N176">
        <f t="shared" si="29"/>
        <v>6.753211415764051</v>
      </c>
    </row>
    <row r="177" spans="10:14" x14ac:dyDescent="0.25">
      <c r="J177">
        <f t="shared" si="30"/>
        <v>31</v>
      </c>
      <c r="K177">
        <f t="shared" si="26"/>
        <v>101.67999999999999</v>
      </c>
      <c r="L177">
        <f t="shared" si="27"/>
        <v>6.6334842925652602</v>
      </c>
      <c r="M177">
        <f t="shared" si="28"/>
        <v>1.211973044491172</v>
      </c>
      <c r="N177">
        <f t="shared" si="29"/>
        <v>6.743292409519495</v>
      </c>
    </row>
    <row r="178" spans="10:14" x14ac:dyDescent="0.25">
      <c r="J178">
        <f t="shared" si="30"/>
        <v>31.25</v>
      </c>
      <c r="K178">
        <f t="shared" si="26"/>
        <v>102.5</v>
      </c>
      <c r="L178">
        <f t="shared" si="27"/>
        <v>6.6220396689313494</v>
      </c>
      <c r="M178">
        <f t="shared" si="28"/>
        <v>1.2108135785614855</v>
      </c>
      <c r="N178">
        <f t="shared" si="29"/>
        <v>6.731825822087889</v>
      </c>
    </row>
    <row r="179" spans="10:14" x14ac:dyDescent="0.25">
      <c r="J179">
        <f t="shared" si="30"/>
        <v>31.5</v>
      </c>
      <c r="K179">
        <f t="shared" si="26"/>
        <v>103.32</v>
      </c>
      <c r="L179">
        <f t="shared" si="27"/>
        <v>6.6090767020650496</v>
      </c>
      <c r="M179">
        <f t="shared" si="28"/>
        <v>1.209375650172841</v>
      </c>
      <c r="N179">
        <f t="shared" si="29"/>
        <v>6.7188156930377261</v>
      </c>
    </row>
    <row r="180" spans="10:14" x14ac:dyDescent="0.25">
      <c r="J180">
        <f t="shared" si="30"/>
        <v>31.75</v>
      </c>
      <c r="K180">
        <f t="shared" si="26"/>
        <v>104.14</v>
      </c>
      <c r="L180">
        <f t="shared" si="27"/>
        <v>6.5945997502457399</v>
      </c>
      <c r="M180">
        <f t="shared" si="28"/>
        <v>1.2076598417616458</v>
      </c>
      <c r="N180">
        <f t="shared" si="29"/>
        <v>6.7042664147052617</v>
      </c>
    </row>
    <row r="181" spans="10:14" x14ac:dyDescent="0.25">
      <c r="J181">
        <f t="shared" si="30"/>
        <v>32</v>
      </c>
      <c r="K181">
        <f t="shared" ref="K181:K244" si="31">J181*3.28</f>
        <v>104.96</v>
      </c>
      <c r="L181">
        <f t="shared" ref="L181:L244" si="32">$Y$7*EXP($Y$11*(J181-$Y$4))*COS(PI()/180*($Y$8+$Y$5*(J181-$Y$4)))+$Y$9*EXP($Y$12*(J181-$Y$4))*COS(PI()/180*($Y$10+$Y$6*(J181-$Y$4)))</f>
        <v>6.5786135173220286</v>
      </c>
      <c r="M181">
        <f t="shared" ref="M181:M244" si="33">$Y$13+$Y$7*EXP($Y$11*(J181-$Y$4))*SIN(PI()/180*($Y$8+$Y$5*(J181-$Y$4)))+$Y$9*EXP($Y$12*(J181-$Y$4))*SIN(PI()/180*($Y$10+$Y$6*(J181-$Y$4)))</f>
        <v>1.205666799386474</v>
      </c>
      <c r="N181">
        <f t="shared" ref="N181:N244" si="34">SQRT(L181*L181+M181*M181)</f>
        <v>6.6881827308645612</v>
      </c>
    </row>
    <row r="182" spans="10:14" x14ac:dyDescent="0.25">
      <c r="J182">
        <f t="shared" ref="J182:J245" si="35">J181+$I$52</f>
        <v>32.25</v>
      </c>
      <c r="K182">
        <f t="shared" si="31"/>
        <v>105.77999999999999</v>
      </c>
      <c r="L182">
        <f t="shared" si="32"/>
        <v>6.5611230513150343</v>
      </c>
      <c r="M182">
        <f t="shared" si="33"/>
        <v>1.2033972325216833</v>
      </c>
      <c r="N182">
        <f t="shared" si="34"/>
        <v>6.6705697353178426</v>
      </c>
    </row>
    <row r="183" spans="10:14" x14ac:dyDescent="0.25">
      <c r="J183">
        <f t="shared" si="35"/>
        <v>32.5</v>
      </c>
      <c r="K183">
        <f t="shared" si="31"/>
        <v>106.6</v>
      </c>
      <c r="L183">
        <f t="shared" si="32"/>
        <v>6.5421337429434914</v>
      </c>
      <c r="M183">
        <f t="shared" si="33"/>
        <v>1.2008519138366214</v>
      </c>
      <c r="N183">
        <f t="shared" si="34"/>
        <v>6.6514328704065635</v>
      </c>
    </row>
    <row r="184" spans="10:14" x14ac:dyDescent="0.25">
      <c r="J184">
        <f t="shared" si="35"/>
        <v>32.75</v>
      </c>
      <c r="K184">
        <f t="shared" si="31"/>
        <v>107.41999999999999</v>
      </c>
      <c r="L184">
        <f t="shared" si="32"/>
        <v>6.5216513240710459</v>
      </c>
      <c r="M184">
        <f t="shared" si="33"/>
        <v>1.1980316789603762</v>
      </c>
      <c r="N184">
        <f t="shared" si="34"/>
        <v>6.6307779254436081</v>
      </c>
    </row>
    <row r="185" spans="10:14" x14ac:dyDescent="0.25">
      <c r="J185">
        <f t="shared" si="35"/>
        <v>33</v>
      </c>
      <c r="K185">
        <f t="shared" si="31"/>
        <v>108.24</v>
      </c>
      <c r="L185">
        <f t="shared" si="32"/>
        <v>6.499681866076223</v>
      </c>
      <c r="M185">
        <f t="shared" si="33"/>
        <v>1.1949374262322756</v>
      </c>
      <c r="N185">
        <f t="shared" si="34"/>
        <v>6.6086110350671046</v>
      </c>
    </row>
    <row r="186" spans="10:14" x14ac:dyDescent="0.25">
      <c r="J186">
        <f t="shared" si="35"/>
        <v>33.25</v>
      </c>
      <c r="K186">
        <f t="shared" si="31"/>
        <v>109.05999999999999</v>
      </c>
      <c r="L186">
        <f t="shared" si="32"/>
        <v>6.476231778145479</v>
      </c>
      <c r="M186">
        <f t="shared" si="33"/>
        <v>1.1915701164380605</v>
      </c>
      <c r="N186">
        <f t="shared" si="34"/>
        <v>6.5849386775162584</v>
      </c>
    </row>
    <row r="187" spans="10:14" x14ac:dyDescent="0.25">
      <c r="J187">
        <f t="shared" si="35"/>
        <v>33.5</v>
      </c>
      <c r="K187">
        <f t="shared" si="31"/>
        <v>109.88</v>
      </c>
      <c r="L187">
        <f t="shared" si="32"/>
        <v>6.4513078054898019</v>
      </c>
      <c r="M187">
        <f t="shared" si="33"/>
        <v>1.1879307725319497</v>
      </c>
      <c r="N187">
        <f t="shared" si="34"/>
        <v>6.5597676728297314</v>
      </c>
    </row>
    <row r="188" spans="10:14" x14ac:dyDescent="0.25">
      <c r="J188">
        <f t="shared" si="35"/>
        <v>33.75</v>
      </c>
      <c r="K188">
        <f t="shared" si="31"/>
        <v>110.69999999999999</v>
      </c>
      <c r="L188">
        <f t="shared" si="32"/>
        <v>6.4249170274853551</v>
      </c>
      <c r="M188">
        <f t="shared" si="33"/>
        <v>1.1840204793445741</v>
      </c>
      <c r="N188">
        <f t="shared" si="34"/>
        <v>6.5331051809670573</v>
      </c>
    </row>
    <row r="189" spans="10:14" x14ac:dyDescent="0.25">
      <c r="J189">
        <f t="shared" si="35"/>
        <v>34</v>
      </c>
      <c r="K189">
        <f t="shared" si="31"/>
        <v>111.52</v>
      </c>
      <c r="L189">
        <f t="shared" si="32"/>
        <v>6.3970668557386574</v>
      </c>
      <c r="M189">
        <f t="shared" si="33"/>
        <v>1.1798403832768589</v>
      </c>
      <c r="N189">
        <f t="shared" si="34"/>
        <v>6.504958699853594</v>
      </c>
    </row>
    <row r="190" spans="10:14" x14ac:dyDescent="0.25">
      <c r="J190">
        <f t="shared" si="35"/>
        <v>34.25</v>
      </c>
      <c r="K190">
        <f t="shared" si="31"/>
        <v>112.33999999999999</v>
      </c>
      <c r="L190">
        <f t="shared" si="32"/>
        <v>6.3677650320768002</v>
      </c>
      <c r="M190">
        <f t="shared" si="33"/>
        <v>1.1753916919800409</v>
      </c>
      <c r="N190">
        <f t="shared" si="34"/>
        <v>6.4753360633495891</v>
      </c>
    </row>
    <row r="191" spans="10:14" x14ac:dyDescent="0.25">
      <c r="J191">
        <f t="shared" si="35"/>
        <v>34.5</v>
      </c>
      <c r="K191">
        <f t="shared" si="31"/>
        <v>113.16</v>
      </c>
      <c r="L191">
        <f t="shared" si="32"/>
        <v>6.3370196264632561</v>
      </c>
      <c r="M191">
        <f t="shared" si="33"/>
        <v>1.1706756740217554</v>
      </c>
      <c r="N191">
        <f t="shared" si="34"/>
        <v>6.4442454391438879</v>
      </c>
    </row>
    <row r="192" spans="10:14" x14ac:dyDescent="0.25">
      <c r="J192">
        <f t="shared" si="35"/>
        <v>34.75</v>
      </c>
      <c r="K192">
        <f t="shared" si="31"/>
        <v>113.97999999999999</v>
      </c>
      <c r="L192">
        <f t="shared" si="32"/>
        <v>6.3048390348398113</v>
      </c>
      <c r="M192">
        <f t="shared" si="33"/>
        <v>1.1656936585384301</v>
      </c>
      <c r="N192">
        <f t="shared" si="34"/>
        <v>6.4116953265728807</v>
      </c>
    </row>
    <row r="193" spans="10:14" x14ac:dyDescent="0.25">
      <c r="J193">
        <f t="shared" si="35"/>
        <v>35</v>
      </c>
      <c r="K193">
        <f t="shared" si="31"/>
        <v>114.8</v>
      </c>
      <c r="L193">
        <f t="shared" si="32"/>
        <v>6.2712319768951801</v>
      </c>
      <c r="M193">
        <f t="shared" si="33"/>
        <v>1.1604470348739446</v>
      </c>
      <c r="N193">
        <f t="shared" si="34"/>
        <v>6.3776945543652657</v>
      </c>
    </row>
    <row r="194" spans="10:14" x14ac:dyDescent="0.25">
      <c r="J194">
        <f t="shared" si="35"/>
        <v>35.25</v>
      </c>
      <c r="K194">
        <f t="shared" si="31"/>
        <v>115.61999999999999</v>
      </c>
      <c r="L194">
        <f t="shared" si="32"/>
        <v>6.2362074937609115</v>
      </c>
      <c r="M194">
        <f t="shared" si="33"/>
        <v>1.1549372522047809</v>
      </c>
      <c r="N194">
        <f t="shared" si="34"/>
        <v>6.3422522783132873</v>
      </c>
    </row>
    <row r="195" spans="10:14" x14ac:dyDescent="0.25">
      <c r="J195">
        <f t="shared" si="35"/>
        <v>35.5</v>
      </c>
      <c r="K195">
        <f t="shared" si="31"/>
        <v>116.44</v>
      </c>
      <c r="L195">
        <f t="shared" si="32"/>
        <v>6.1997749456351521</v>
      </c>
      <c r="M195">
        <f t="shared" si="33"/>
        <v>1.1491658191516543</v>
      </c>
      <c r="N195">
        <f t="shared" si="34"/>
        <v>6.3053779788710402</v>
      </c>
    </row>
    <row r="196" spans="10:14" x14ac:dyDescent="0.25">
      <c r="J196">
        <f t="shared" si="35"/>
        <v>35.75</v>
      </c>
      <c r="K196">
        <f t="shared" si="31"/>
        <v>117.25999999999999</v>
      </c>
      <c r="L196">
        <f t="shared" si="32"/>
        <v>6.1619440093348921</v>
      </c>
      <c r="M196">
        <f t="shared" si="33"/>
        <v>1.1431343033777863</v>
      </c>
      <c r="N196">
        <f t="shared" si="34"/>
        <v>6.2670814586805221</v>
      </c>
    </row>
    <row r="197" spans="10:14" x14ac:dyDescent="0.25">
      <c r="J197">
        <f t="shared" si="35"/>
        <v>36</v>
      </c>
      <c r="K197">
        <f t="shared" si="31"/>
        <v>118.08</v>
      </c>
      <c r="L197">
        <f t="shared" si="32"/>
        <v>6.1227246757773433</v>
      </c>
      <c r="M197">
        <f t="shared" si="33"/>
        <v>1.1368443311739118</v>
      </c>
      <c r="N197">
        <f t="shared" si="34"/>
        <v>6.2273728400261241</v>
      </c>
    </row>
    <row r="198" spans="10:14" x14ac:dyDescent="0.25">
      <c r="J198">
        <f t="shared" si="35"/>
        <v>36.25</v>
      </c>
      <c r="K198">
        <f t="shared" si="31"/>
        <v>118.89999999999999</v>
      </c>
      <c r="L198">
        <f t="shared" si="32"/>
        <v>6.0821272473910435</v>
      </c>
      <c r="M198">
        <f t="shared" si="33"/>
        <v>1.1302975870301268</v>
      </c>
      <c r="N198">
        <f t="shared" si="34"/>
        <v>6.1862625622182152</v>
      </c>
    </row>
    <row r="199" spans="10:14" x14ac:dyDescent="0.25">
      <c r="J199">
        <f t="shared" si="35"/>
        <v>36.5</v>
      </c>
      <c r="K199">
        <f t="shared" si="31"/>
        <v>119.72</v>
      </c>
      <c r="L199">
        <f t="shared" si="32"/>
        <v>6.0401623354574188</v>
      </c>
      <c r="M199">
        <f t="shared" si="33"/>
        <v>1.1234958131946735</v>
      </c>
      <c r="N199">
        <f t="shared" si="34"/>
        <v>6.1437613789066043</v>
      </c>
    </row>
    <row r="200" spans="10:14" x14ac:dyDescent="0.25">
      <c r="J200">
        <f t="shared" si="35"/>
        <v>36.75</v>
      </c>
      <c r="K200">
        <f t="shared" si="31"/>
        <v>120.53999999999999</v>
      </c>
      <c r="L200">
        <f t="shared" si="32"/>
        <v>5.996840857383404</v>
      </c>
      <c r="M200">
        <f t="shared" si="33"/>
        <v>1.1164408092198079</v>
      </c>
      <c r="N200">
        <f t="shared" si="34"/>
        <v>6.0998803553245455</v>
      </c>
    </row>
    <row r="201" spans="10:14" x14ac:dyDescent="0.25">
      <c r="J201">
        <f t="shared" si="35"/>
        <v>37</v>
      </c>
      <c r="K201">
        <f t="shared" si="31"/>
        <v>121.36</v>
      </c>
      <c r="L201">
        <f t="shared" si="32"/>
        <v>5.9521740339058766</v>
      </c>
      <c r="M201">
        <f t="shared" si="33"/>
        <v>1.1091344314948357</v>
      </c>
      <c r="N201">
        <f t="shared" si="34"/>
        <v>6.0546308654641141</v>
      </c>
    </row>
    <row r="202" spans="10:14" x14ac:dyDescent="0.25">
      <c r="J202">
        <f t="shared" si="35"/>
        <v>37.25</v>
      </c>
      <c r="K202">
        <f t="shared" si="31"/>
        <v>122.17999999999999</v>
      </c>
      <c r="L202">
        <f t="shared" si="32"/>
        <v>5.9061733862285735</v>
      </c>
      <c r="M202">
        <f t="shared" si="33"/>
        <v>1.1015785927664405</v>
      </c>
      <c r="N202">
        <f t="shared" si="34"/>
        <v>6.0080245891837007</v>
      </c>
    </row>
    <row r="203" spans="10:14" x14ac:dyDescent="0.25">
      <c r="J203">
        <f t="shared" si="35"/>
        <v>37.5</v>
      </c>
      <c r="K203">
        <f t="shared" si="31"/>
        <v>122.99999999999999</v>
      </c>
      <c r="L203">
        <f t="shared" si="32"/>
        <v>5.858850733092229</v>
      </c>
      <c r="M203">
        <f t="shared" si="33"/>
        <v>1.0937752616464733</v>
      </c>
      <c r="N203">
        <f t="shared" si="34"/>
        <v>5.9600735092484518</v>
      </c>
    </row>
    <row r="204" spans="10:14" x14ac:dyDescent="0.25">
      <c r="J204">
        <f t="shared" si="35"/>
        <v>37.75</v>
      </c>
      <c r="K204">
        <f t="shared" si="31"/>
        <v>123.82</v>
      </c>
      <c r="L204">
        <f t="shared" si="32"/>
        <v>5.8102181877786538</v>
      </c>
      <c r="M204">
        <f t="shared" si="33"/>
        <v>1.0857264621072238</v>
      </c>
      <c r="N204">
        <f t="shared" si="34"/>
        <v>5.9107899083044506</v>
      </c>
    </row>
    <row r="205" spans="10:14" x14ac:dyDescent="0.25">
      <c r="J205">
        <f t="shared" si="35"/>
        <v>38</v>
      </c>
      <c r="K205">
        <f t="shared" si="31"/>
        <v>124.63999999999999</v>
      </c>
      <c r="L205">
        <f t="shared" si="32"/>
        <v>5.7602881550495315</v>
      </c>
      <c r="M205">
        <f t="shared" si="33"/>
        <v>1.0774342729644346</v>
      </c>
      <c r="N205">
        <f t="shared" si="34"/>
        <v>5.8601863657875537</v>
      </c>
    </row>
    <row r="206" spans="10:14" x14ac:dyDescent="0.25">
      <c r="J206">
        <f t="shared" si="35"/>
        <v>38.25</v>
      </c>
      <c r="K206">
        <f t="shared" si="31"/>
        <v>125.46</v>
      </c>
      <c r="L206">
        <f t="shared" si="32"/>
        <v>5.709073328020672</v>
      </c>
      <c r="M206">
        <f t="shared" si="33"/>
        <v>1.0689008273480625</v>
      </c>
      <c r="N206">
        <f t="shared" si="34"/>
        <v>5.8082757547677097</v>
      </c>
    </row>
    <row r="207" spans="10:14" x14ac:dyDescent="0.25">
      <c r="J207">
        <f t="shared" si="35"/>
        <v>38.5</v>
      </c>
      <c r="K207">
        <f t="shared" si="31"/>
        <v>126.27999999999999</v>
      </c>
      <c r="L207">
        <f t="shared" si="32"/>
        <v>5.6565866849725213</v>
      </c>
      <c r="M207">
        <f t="shared" si="33"/>
        <v>1.0601283121610228</v>
      </c>
      <c r="N207">
        <f t="shared" si="34"/>
        <v>5.7550712387296992</v>
      </c>
    </row>
    <row r="208" spans="10:14" x14ac:dyDescent="0.25">
      <c r="J208">
        <f t="shared" si="35"/>
        <v>38.75</v>
      </c>
      <c r="K208">
        <f t="shared" si="31"/>
        <v>127.1</v>
      </c>
      <c r="L208">
        <f t="shared" si="32"/>
        <v>5.6028414860976987</v>
      </c>
      <c r="M208">
        <f t="shared" si="33"/>
        <v>1.0511189675259711</v>
      </c>
      <c r="N208">
        <f t="shared" si="34"/>
        <v>5.7005862682912118</v>
      </c>
    </row>
    <row r="209" spans="10:14" x14ac:dyDescent="0.25">
      <c r="J209">
        <f t="shared" si="35"/>
        <v>39</v>
      </c>
      <c r="K209">
        <f t="shared" si="31"/>
        <v>127.91999999999999</v>
      </c>
      <c r="L209">
        <f t="shared" si="32"/>
        <v>5.5478512701864027</v>
      </c>
      <c r="M209">
        <f t="shared" si="33"/>
        <v>1.0418750862203283</v>
      </c>
      <c r="N209">
        <f t="shared" si="34"/>
        <v>5.6448345778592568</v>
      </c>
    </row>
    <row r="210" spans="10:14" x14ac:dyDescent="0.25">
      <c r="J210">
        <f t="shared" si="35"/>
        <v>39.25</v>
      </c>
      <c r="K210">
        <f t="shared" si="31"/>
        <v>128.73999999999998</v>
      </c>
      <c r="L210">
        <f t="shared" si="32"/>
        <v>5.4916298512504795</v>
      </c>
      <c r="M210">
        <f t="shared" si="33"/>
        <v>1.0323990130996503</v>
      </c>
      <c r="N210">
        <f t="shared" si="34"/>
        <v>5.5878301822258782</v>
      </c>
    </row>
    <row r="211" spans="10:14" x14ac:dyDescent="0.25">
      <c r="J211">
        <f t="shared" si="35"/>
        <v>39.5</v>
      </c>
      <c r="K211">
        <f t="shared" si="31"/>
        <v>129.56</v>
      </c>
      <c r="L211">
        <f t="shared" si="32"/>
        <v>5.4341913150869807</v>
      </c>
      <c r="M211">
        <f t="shared" si="33"/>
        <v>1.0226931445094651</v>
      </c>
      <c r="N211">
        <f t="shared" si="34"/>
        <v>5.529587373104202</v>
      </c>
    </row>
    <row r="212" spans="10:14" x14ac:dyDescent="0.25">
      <c r="J212">
        <f t="shared" si="35"/>
        <v>39.75</v>
      </c>
      <c r="K212">
        <f t="shared" si="31"/>
        <v>130.38</v>
      </c>
      <c r="L212">
        <f t="shared" si="32"/>
        <v>5.3755500157820997</v>
      </c>
      <c r="M212">
        <f t="shared" si="33"/>
        <v>1.0127599276858108</v>
      </c>
      <c r="N212">
        <f t="shared" si="34"/>
        <v>5.4701207156059271</v>
      </c>
    </row>
    <row r="213" spans="10:14" x14ac:dyDescent="0.25">
      <c r="J213">
        <f t="shared" si="35"/>
        <v>40</v>
      </c>
      <c r="K213">
        <f t="shared" si="31"/>
        <v>131.19999999999999</v>
      </c>
      <c r="L213">
        <f t="shared" si="32"/>
        <v>5.3157205721562946</v>
      </c>
      <c r="M213">
        <f t="shared" si="33"/>
        <v>1.0026018601444979</v>
      </c>
      <c r="N213">
        <f t="shared" si="34"/>
        <v>5.4094450446613145</v>
      </c>
    </row>
    <row r="214" spans="10:14" x14ac:dyDescent="0.25">
      <c r="J214">
        <f t="shared" si="35"/>
        <v>40.25</v>
      </c>
      <c r="K214">
        <f t="shared" si="31"/>
        <v>132.01999999999998</v>
      </c>
      <c r="L214">
        <f t="shared" si="32"/>
        <v>5.2547178641515213</v>
      </c>
      <c r="M214">
        <f t="shared" si="33"/>
        <v>0.99222148905937213</v>
      </c>
      <c r="N214">
        <f t="shared" si="34"/>
        <v>5.3475754613828803</v>
      </c>
    </row>
    <row r="215" spans="10:14" x14ac:dyDescent="0.25">
      <c r="J215">
        <f t="shared" si="35"/>
        <v>40.5</v>
      </c>
      <c r="K215">
        <f t="shared" si="31"/>
        <v>132.84</v>
      </c>
      <c r="L215">
        <f t="shared" si="32"/>
        <v>5.1925570291614225</v>
      </c>
      <c r="M215">
        <f t="shared" si="33"/>
        <v>0.98162141062964769</v>
      </c>
      <c r="N215">
        <f t="shared" si="34"/>
        <v>5.2845273293739563</v>
      </c>
    </row>
    <row r="216" spans="10:14" x14ac:dyDescent="0.25">
      <c r="J216">
        <f t="shared" si="35"/>
        <v>40.75</v>
      </c>
      <c r="K216">
        <f t="shared" si="31"/>
        <v>133.66</v>
      </c>
      <c r="L216">
        <f t="shared" si="32"/>
        <v>5.1292534583053957</v>
      </c>
      <c r="M216">
        <f t="shared" si="33"/>
        <v>0.97080426943647979</v>
      </c>
      <c r="N216">
        <f t="shared" si="34"/>
        <v>5.2203162709833935</v>
      </c>
    </row>
    <row r="217" spans="10:14" x14ac:dyDescent="0.25">
      <c r="J217">
        <f t="shared" si="35"/>
        <v>41</v>
      </c>
      <c r="K217">
        <f t="shared" si="31"/>
        <v>134.47999999999999</v>
      </c>
      <c r="L217">
        <f t="shared" si="32"/>
        <v>5.0648227926474396</v>
      </c>
      <c r="M217">
        <f t="shared" si="33"/>
        <v>0.95977275778898652</v>
      </c>
      <c r="N217">
        <f t="shared" si="34"/>
        <v>5.15495816350772</v>
      </c>
    </row>
    <row r="218" spans="10:14" x14ac:dyDescent="0.25">
      <c r="J218">
        <f t="shared" si="35"/>
        <v>41.25</v>
      </c>
      <c r="K218">
        <f t="shared" si="31"/>
        <v>135.29999999999998</v>
      </c>
      <c r="L218">
        <f t="shared" si="32"/>
        <v>4.9992809193607002</v>
      </c>
      <c r="M218">
        <f t="shared" si="33"/>
        <v>0.94852961505979527</v>
      </c>
      <c r="N218">
        <f t="shared" si="34"/>
        <v>5.0884691353421267</v>
      </c>
    </row>
    <row r="219" spans="10:14" x14ac:dyDescent="0.25">
      <c r="J219">
        <f t="shared" si="35"/>
        <v>41.5</v>
      </c>
      <c r="K219">
        <f t="shared" si="31"/>
        <v>136.12</v>
      </c>
      <c r="L219">
        <f t="shared" si="32"/>
        <v>4.9326439678386675</v>
      </c>
      <c r="M219">
        <f t="shared" si="33"/>
        <v>0.93707762701035402</v>
      </c>
      <c r="N219">
        <f t="shared" si="34"/>
        <v>5.0208655620817568</v>
      </c>
    </row>
    <row r="220" spans="10:14" x14ac:dyDescent="0.25">
      <c r="J220">
        <f t="shared" si="35"/>
        <v>41.75</v>
      </c>
      <c r="K220">
        <f t="shared" si="31"/>
        <v>136.94</v>
      </c>
      <c r="L220">
        <f t="shared" si="32"/>
        <v>4.8649283057539456</v>
      </c>
      <c r="M220">
        <f t="shared" si="33"/>
        <v>0.92541962510613618</v>
      </c>
      <c r="N220">
        <f t="shared" si="34"/>
        <v>4.9521640625748189</v>
      </c>
    </row>
    <row r="221" spans="10:14" x14ac:dyDescent="0.25">
      <c r="J221">
        <f t="shared" si="35"/>
        <v>42</v>
      </c>
      <c r="K221">
        <f t="shared" si="31"/>
        <v>137.76</v>
      </c>
      <c r="L221">
        <f t="shared" si="32"/>
        <v>4.7961505350655678</v>
      </c>
      <c r="M221">
        <f t="shared" si="33"/>
        <v>0.91355848582189947</v>
      </c>
      <c r="N221">
        <f t="shared" si="34"/>
        <v>4.8823814949291844</v>
      </c>
    </row>
    <row r="222" spans="10:14" x14ac:dyDescent="0.25">
      <c r="J222">
        <f t="shared" si="35"/>
        <v>42.25</v>
      </c>
      <c r="K222">
        <f t="shared" si="31"/>
        <v>138.57999999999998</v>
      </c>
      <c r="L222">
        <f t="shared" si="32"/>
        <v>4.7263274879758139</v>
      </c>
      <c r="M222">
        <f t="shared" si="33"/>
        <v>0.90149712993718278</v>
      </c>
      <c r="N222">
        <f t="shared" si="34"/>
        <v>4.8115349524741839</v>
      </c>
    </row>
    <row r="223" spans="10:14" x14ac:dyDescent="0.25">
      <c r="J223">
        <f t="shared" si="35"/>
        <v>42.5</v>
      </c>
      <c r="K223">
        <f t="shared" si="31"/>
        <v>139.4</v>
      </c>
      <c r="L223">
        <f t="shared" si="32"/>
        <v>4.655476222837529</v>
      </c>
      <c r="M223">
        <f t="shared" si="33"/>
        <v>0.8892385218222385</v>
      </c>
      <c r="N223">
        <f t="shared" si="34"/>
        <v>4.7396417596795422</v>
      </c>
    </row>
    <row r="224" spans="10:14" x14ac:dyDescent="0.25">
      <c r="J224">
        <f t="shared" si="35"/>
        <v>42.75</v>
      </c>
      <c r="K224">
        <f t="shared" si="31"/>
        <v>140.22</v>
      </c>
      <c r="L224">
        <f t="shared" si="32"/>
        <v>4.5836140200129067</v>
      </c>
      <c r="M224">
        <f t="shared" si="33"/>
        <v>0.8767856687144866</v>
      </c>
      <c r="N224">
        <f t="shared" si="34"/>
        <v>4.6667194680334054</v>
      </c>
    </row>
    <row r="225" spans="10:14" x14ac:dyDescent="0.25">
      <c r="J225">
        <f t="shared" si="35"/>
        <v>43</v>
      </c>
      <c r="K225">
        <f t="shared" si="31"/>
        <v>141.04</v>
      </c>
      <c r="L225">
        <f t="shared" si="32"/>
        <v>4.5107583776847555</v>
      </c>
      <c r="M225">
        <f t="shared" si="33"/>
        <v>0.86414161998578831</v>
      </c>
      <c r="N225">
        <f t="shared" si="34"/>
        <v>4.5927858518817173</v>
      </c>
    </row>
    <row r="226" spans="10:14" x14ac:dyDescent="0.25">
      <c r="J226">
        <f t="shared" si="35"/>
        <v>43.25</v>
      </c>
      <c r="K226">
        <f t="shared" si="31"/>
        <v>141.85999999999999</v>
      </c>
      <c r="L226">
        <f t="shared" si="32"/>
        <v>4.4369270076212484</v>
      </c>
      <c r="M226">
        <f t="shared" si="33"/>
        <v>0.85130946640059424</v>
      </c>
      <c r="N226">
        <f t="shared" si="34"/>
        <v>4.5178589042313071</v>
      </c>
    </row>
    <row r="227" spans="10:14" x14ac:dyDescent="0.25">
      <c r="J227">
        <f t="shared" si="35"/>
        <v>43.5</v>
      </c>
      <c r="K227">
        <f t="shared" si="31"/>
        <v>142.67999999999998</v>
      </c>
      <c r="L227">
        <f t="shared" si="32"/>
        <v>4.3621378308951755</v>
      </c>
      <c r="M227">
        <f t="shared" si="33"/>
        <v>0.83829233936525616</v>
      </c>
      <c r="N227">
        <f t="shared" si="34"/>
        <v>4.4419568325193497</v>
      </c>
    </row>
    <row r="228" spans="10:14" x14ac:dyDescent="0.25">
      <c r="J228">
        <f t="shared" si="35"/>
        <v>43.75</v>
      </c>
      <c r="K228">
        <f t="shared" si="31"/>
        <v>143.5</v>
      </c>
      <c r="L228">
        <f t="shared" si="32"/>
        <v>4.2864089735587321</v>
      </c>
      <c r="M228">
        <f t="shared" si="33"/>
        <v>0.8250934101685905</v>
      </c>
      <c r="N228">
        <f t="shared" si="34"/>
        <v>4.3650980543520959</v>
      </c>
    </row>
    <row r="229" spans="10:14" x14ac:dyDescent="0.25">
      <c r="J229">
        <f t="shared" si="35"/>
        <v>44</v>
      </c>
      <c r="K229">
        <f t="shared" si="31"/>
        <v>144.32</v>
      </c>
      <c r="L229">
        <f t="shared" si="32"/>
        <v>4.2097587622748982</v>
      </c>
      <c r="M229">
        <f t="shared" si="33"/>
        <v>0.81171588921394466</v>
      </c>
      <c r="N229">
        <f t="shared" si="34"/>
        <v>4.2873011932161553</v>
      </c>
    </row>
    <row r="230" spans="10:14" x14ac:dyDescent="0.25">
      <c r="J230">
        <f t="shared" si="35"/>
        <v>44.25</v>
      </c>
      <c r="K230">
        <f t="shared" si="31"/>
        <v>145.13999999999999</v>
      </c>
      <c r="L230">
        <f t="shared" si="32"/>
        <v>4.1322057199064091</v>
      </c>
      <c r="M230">
        <f t="shared" si="33"/>
        <v>0.79816302524292571</v>
      </c>
      <c r="N230">
        <f t="shared" si="34"/>
        <v>4.2085850741659225</v>
      </c>
    </row>
    <row r="231" spans="10:14" x14ac:dyDescent="0.25">
      <c r="J231">
        <f t="shared" si="35"/>
        <v>44.5</v>
      </c>
      <c r="K231">
        <f t="shared" si="31"/>
        <v>145.95999999999998</v>
      </c>
      <c r="L231">
        <f t="shared" si="32"/>
        <v>4.0537685610634213</v>
      </c>
      <c r="M231">
        <f t="shared" si="33"/>
        <v>0.78443810455094631</v>
      </c>
      <c r="N231">
        <f t="shared" si="34"/>
        <v>4.1289687194913069</v>
      </c>
    </row>
    <row r="232" spans="10:14" x14ac:dyDescent="0.25">
      <c r="J232">
        <f t="shared" si="35"/>
        <v>44.75</v>
      </c>
      <c r="K232">
        <f t="shared" si="31"/>
        <v>146.78</v>
      </c>
      <c r="L232">
        <f t="shared" si="32"/>
        <v>3.9744661876109229</v>
      </c>
      <c r="M232">
        <f t="shared" si="33"/>
        <v>0.77054445019485662</v>
      </c>
      <c r="N232">
        <f t="shared" si="34"/>
        <v>4.0484713443704399</v>
      </c>
    </row>
    <row r="233" spans="10:14" x14ac:dyDescent="0.25">
      <c r="J233">
        <f t="shared" si="35"/>
        <v>45</v>
      </c>
      <c r="K233">
        <f t="shared" si="31"/>
        <v>147.6</v>
      </c>
      <c r="L233">
        <f t="shared" si="32"/>
        <v>3.894317684136936</v>
      </c>
      <c r="M233">
        <f t="shared" si="33"/>
        <v>0.75648542119274698</v>
      </c>
      <c r="N233">
        <f t="shared" si="34"/>
        <v>3.9671123525126983</v>
      </c>
    </row>
    <row r="234" spans="10:14" x14ac:dyDescent="0.25">
      <c r="J234">
        <f t="shared" si="35"/>
        <v>45.25</v>
      </c>
      <c r="K234">
        <f t="shared" si="31"/>
        <v>148.41999999999999</v>
      </c>
      <c r="L234">
        <f t="shared" si="32"/>
        <v>3.8133423133826545</v>
      </c>
      <c r="M234">
        <f t="shared" si="33"/>
        <v>0.74226441171622071</v>
      </c>
      <c r="N234">
        <f t="shared" si="34"/>
        <v>3.884911331798321</v>
      </c>
    </row>
    <row r="235" spans="10:14" x14ac:dyDescent="0.25">
      <c r="J235">
        <f t="shared" si="35"/>
        <v>45.5</v>
      </c>
      <c r="K235">
        <f t="shared" si="31"/>
        <v>149.23999999999998</v>
      </c>
      <c r="L235">
        <f t="shared" si="32"/>
        <v>3.7315595116355311</v>
      </c>
      <c r="M235">
        <f t="shared" si="33"/>
        <v>0.72788485027524708</v>
      </c>
      <c r="N235">
        <f t="shared" si="34"/>
        <v>3.801888049921752</v>
      </c>
    </row>
    <row r="236" spans="10:14" x14ac:dyDescent="0.25">
      <c r="J236">
        <f t="shared" si="35"/>
        <v>45.75</v>
      </c>
      <c r="K236">
        <f t="shared" si="31"/>
        <v>150.06</v>
      </c>
      <c r="L236">
        <f t="shared" si="32"/>
        <v>3.648988884086473</v>
      </c>
      <c r="M236">
        <f t="shared" si="33"/>
        <v>0.71335019889582707</v>
      </c>
      <c r="N236">
        <f t="shared" si="34"/>
        <v>3.7180624500472503</v>
      </c>
    </row>
    <row r="237" spans="10:14" x14ac:dyDescent="0.25">
      <c r="J237">
        <f t="shared" si="35"/>
        <v>46</v>
      </c>
      <c r="K237">
        <f t="shared" si="31"/>
        <v>150.88</v>
      </c>
      <c r="L237">
        <f t="shared" si="32"/>
        <v>3.5656502001522066</v>
      </c>
      <c r="M237">
        <f t="shared" si="33"/>
        <v>0.69866395229067457</v>
      </c>
      <c r="N237">
        <f t="shared" si="34"/>
        <v>3.6334546464867148</v>
      </c>
    </row>
    <row r="238" spans="10:14" x14ac:dyDescent="0.25">
      <c r="J238">
        <f t="shared" si="35"/>
        <v>46.25</v>
      </c>
      <c r="K238">
        <f t="shared" si="31"/>
        <v>151.69999999999999</v>
      </c>
      <c r="L238">
        <f t="shared" si="32"/>
        <v>3.4815633887639477</v>
      </c>
      <c r="M238">
        <f t="shared" si="33"/>
        <v>0.6838296370230772</v>
      </c>
      <c r="N238">
        <f t="shared" si="34"/>
        <v>3.54808492041166</v>
      </c>
    </row>
    <row r="239" spans="10:14" x14ac:dyDescent="0.25">
      <c r="J239">
        <f t="shared" si="35"/>
        <v>46.5</v>
      </c>
      <c r="K239">
        <f t="shared" si="31"/>
        <v>152.51999999999998</v>
      </c>
      <c r="L239">
        <f t="shared" si="32"/>
        <v>3.3967485336234913</v>
      </c>
      <c r="M239">
        <f t="shared" si="33"/>
        <v>0.6688508106641744</v>
      </c>
      <c r="N239">
        <f t="shared" si="34"/>
        <v>3.4619737156136039</v>
      </c>
    </row>
    <row r="240" spans="10:14" x14ac:dyDescent="0.25">
      <c r="J240">
        <f t="shared" si="35"/>
        <v>46.75</v>
      </c>
      <c r="K240">
        <f t="shared" si="31"/>
        <v>153.34</v>
      </c>
      <c r="L240">
        <f t="shared" si="32"/>
        <v>3.3112258684278331</v>
      </c>
      <c r="M240">
        <f t="shared" si="33"/>
        <v>0.65373106094382516</v>
      </c>
      <c r="N240">
        <f t="shared" si="34"/>
        <v>3.3751416343300908</v>
      </c>
    </row>
    <row r="241" spans="10:14" x14ac:dyDescent="0.25">
      <c r="J241">
        <f t="shared" si="35"/>
        <v>47</v>
      </c>
      <c r="K241">
        <f t="shared" si="31"/>
        <v>154.16</v>
      </c>
      <c r="L241">
        <f t="shared" si="32"/>
        <v>3.2250157720634727</v>
      </c>
      <c r="M241">
        <f t="shared" si="33"/>
        <v>0.63847400489528727</v>
      </c>
      <c r="N241">
        <f t="shared" si="34"/>
        <v>3.2876094331573489</v>
      </c>
    </row>
    <row r="242" spans="10:14" x14ac:dyDescent="0.25">
      <c r="J242">
        <f t="shared" si="35"/>
        <v>47.25</v>
      </c>
      <c r="K242">
        <f t="shared" si="31"/>
        <v>154.97999999999999</v>
      </c>
      <c r="L242">
        <f t="shared" si="32"/>
        <v>3.1381387637715057</v>
      </c>
      <c r="M242">
        <f t="shared" si="33"/>
        <v>0.62308328799389345</v>
      </c>
      <c r="N242">
        <f t="shared" si="34"/>
        <v>3.1993980190752502</v>
      </c>
    </row>
    <row r="243" spans="10:14" x14ac:dyDescent="0.25">
      <c r="J243">
        <f t="shared" si="35"/>
        <v>47.5</v>
      </c>
      <c r="K243">
        <f t="shared" si="31"/>
        <v>155.79999999999998</v>
      </c>
      <c r="L243">
        <f t="shared" si="32"/>
        <v>3.0506154982846914</v>
      </c>
      <c r="M243">
        <f t="shared" si="33"/>
        <v>0.60756258328993828</v>
      </c>
      <c r="N243">
        <f t="shared" si="34"/>
        <v>3.1105284456163873</v>
      </c>
    </row>
    <row r="244" spans="10:14" x14ac:dyDescent="0.25">
      <c r="J244">
        <f t="shared" si="35"/>
        <v>47.75</v>
      </c>
      <c r="K244">
        <f t="shared" si="31"/>
        <v>156.62</v>
      </c>
      <c r="L244">
        <f t="shared" si="32"/>
        <v>2.9624667609375943</v>
      </c>
      <c r="M244">
        <f t="shared" si="33"/>
        <v>0.5919155905359812</v>
      </c>
      <c r="N244">
        <f t="shared" si="34"/>
        <v>3.02102190921874</v>
      </c>
    </row>
    <row r="245" spans="10:14" x14ac:dyDescent="0.25">
      <c r="J245">
        <f t="shared" si="35"/>
        <v>48</v>
      </c>
      <c r="K245">
        <f t="shared" ref="K245:K308" si="36">J245*3.28</f>
        <v>157.44</v>
      </c>
      <c r="L245">
        <f t="shared" ref="L245:L308" si="37">$Y$7*EXP($Y$11*(J245-$Y$4))*COS(PI()/180*($Y$8+$Y$5*(J245-$Y$4)))+$Y$9*EXP($Y$12*(J245-$Y$4))*COS(PI()/180*($Y$10+$Y$6*(J245-$Y$4)))</f>
        <v>2.8737134627509988</v>
      </c>
      <c r="M245">
        <f t="shared" ref="M245:M308" si="38">$Y$13+$Y$7*EXP($Y$11*(J245-$Y$4))*SIN(PI()/180*($Y$8+$Y$5*(J245-$Y$4)))+$Y$9*EXP($Y$12*(J245-$Y$4))*SIN(PI()/180*($Y$10+$Y$6*(J245-$Y$4)))</f>
        <v>0.57614603530877906</v>
      </c>
      <c r="N245">
        <f t="shared" ref="N245:N308" si="39">SQRT(L245*L245+M245*M245)</f>
        <v>2.9308997458115758</v>
      </c>
    </row>
    <row r="246" spans="10:14" x14ac:dyDescent="0.25">
      <c r="J246">
        <f t="shared" ref="J246:J309" si="40">J245+$I$52</f>
        <v>48.25</v>
      </c>
      <c r="K246">
        <f t="shared" si="36"/>
        <v>158.26</v>
      </c>
      <c r="L246">
        <f t="shared" si="37"/>
        <v>2.7843766354916943</v>
      </c>
      <c r="M246">
        <f t="shared" si="38"/>
        <v>0.56025766812601985</v>
      </c>
      <c r="N246">
        <f t="shared" si="39"/>
        <v>2.8401834276972417</v>
      </c>
    </row>
    <row r="247" spans="10:14" x14ac:dyDescent="0.25">
      <c r="J247">
        <f t="shared" si="40"/>
        <v>48.5</v>
      </c>
      <c r="K247">
        <f t="shared" si="36"/>
        <v>159.07999999999998</v>
      </c>
      <c r="L247">
        <f t="shared" si="37"/>
        <v>2.6944774267088976</v>
      </c>
      <c r="M247">
        <f t="shared" si="38"/>
        <v>0.54425426355813356</v>
      </c>
      <c r="N247">
        <f t="shared" si="39"/>
        <v>2.7488945608089459</v>
      </c>
    </row>
    <row r="248" spans="10:14" x14ac:dyDescent="0.25">
      <c r="J248">
        <f t="shared" si="40"/>
        <v>48.75</v>
      </c>
      <c r="K248">
        <f t="shared" si="36"/>
        <v>159.89999999999998</v>
      </c>
      <c r="L248">
        <f t="shared" si="37"/>
        <v>2.6040370947483256</v>
      </c>
      <c r="M248">
        <f t="shared" si="38"/>
        <v>0.52813961933531184</v>
      </c>
      <c r="N248">
        <f t="shared" si="39"/>
        <v>2.6570548824472837</v>
      </c>
    </row>
    <row r="249" spans="10:14" x14ac:dyDescent="0.25">
      <c r="J249">
        <f t="shared" si="40"/>
        <v>49</v>
      </c>
      <c r="K249">
        <f t="shared" si="36"/>
        <v>160.72</v>
      </c>
      <c r="L249">
        <f t="shared" si="37"/>
        <v>2.513077003745261</v>
      </c>
      <c r="M249">
        <f t="shared" si="38"/>
        <v>0.5119175554500095</v>
      </c>
      <c r="N249">
        <f t="shared" si="39"/>
        <v>2.5646862596292692</v>
      </c>
    </row>
    <row r="250" spans="10:14" x14ac:dyDescent="0.25">
      <c r="J250">
        <f t="shared" si="40"/>
        <v>49.25</v>
      </c>
      <c r="K250">
        <f t="shared" si="36"/>
        <v>161.54</v>
      </c>
      <c r="L250">
        <f t="shared" si="37"/>
        <v>2.4216186185976536</v>
      </c>
      <c r="M250">
        <f t="shared" si="38"/>
        <v>0.49559191325511209</v>
      </c>
      <c r="N250">
        <f t="shared" si="39"/>
        <v>2.4718106882248629</v>
      </c>
    </row>
    <row r="251" spans="10:14" x14ac:dyDescent="0.25">
      <c r="J251">
        <f t="shared" si="40"/>
        <v>49.5</v>
      </c>
      <c r="K251">
        <f t="shared" si="36"/>
        <v>162.35999999999999</v>
      </c>
      <c r="L251">
        <f t="shared" si="37"/>
        <v>2.3296834999204785</v>
      </c>
      <c r="M251">
        <f t="shared" si="38"/>
        <v>0.47916655455796198</v>
      </c>
      <c r="N251">
        <f t="shared" si="39"/>
        <v>2.3784502931128659</v>
      </c>
    </row>
    <row r="252" spans="10:14" x14ac:dyDescent="0.25">
      <c r="J252">
        <f t="shared" si="40"/>
        <v>49.75</v>
      </c>
      <c r="K252">
        <f t="shared" si="36"/>
        <v>163.17999999999998</v>
      </c>
      <c r="L252">
        <f t="shared" si="37"/>
        <v>2.2372932989825869</v>
      </c>
      <c r="M252">
        <f t="shared" si="38"/>
        <v>0.46264536071051188</v>
      </c>
      <c r="N252">
        <f t="shared" si="39"/>
        <v>2.2846273296665576</v>
      </c>
    </row>
    <row r="253" spans="10:14" x14ac:dyDescent="0.25">
      <c r="J253">
        <f t="shared" si="40"/>
        <v>50</v>
      </c>
      <c r="K253">
        <f t="shared" si="36"/>
        <v>164</v>
      </c>
      <c r="L253">
        <f t="shared" si="37"/>
        <v>2.1444697526271126</v>
      </c>
      <c r="M253">
        <f t="shared" si="38"/>
        <v>0.44603223169574813</v>
      </c>
      <c r="N253">
        <f t="shared" si="39"/>
        <v>2.1903641869890218</v>
      </c>
    </row>
    <row r="254" spans="10:14" x14ac:dyDescent="0.25">
      <c r="J254">
        <f t="shared" si="40"/>
        <v>50.25</v>
      </c>
      <c r="K254">
        <f t="shared" si="36"/>
        <v>164.82</v>
      </c>
      <c r="L254">
        <f t="shared" si="37"/>
        <v>2.0512346781767663</v>
      </c>
      <c r="M254">
        <f t="shared" si="38"/>
        <v>0.42933108521067398</v>
      </c>
      <c r="N254">
        <f t="shared" si="39"/>
        <v>2.0956833934740993</v>
      </c>
    </row>
    <row r="255" spans="10:14" x14ac:dyDescent="0.25">
      <c r="J255">
        <f t="shared" si="40"/>
        <v>50.5</v>
      </c>
      <c r="K255">
        <f t="shared" si="36"/>
        <v>165.64</v>
      </c>
      <c r="L255">
        <f t="shared" si="37"/>
        <v>1.9576099683250852</v>
      </c>
      <c r="M255">
        <f t="shared" si="38"/>
        <v>0.41254585574599201</v>
      </c>
      <c r="N255">
        <f t="shared" si="39"/>
        <v>2.0006076254925484</v>
      </c>
    </row>
    <row r="256" spans="10:14" x14ac:dyDescent="0.25">
      <c r="J256">
        <f t="shared" si="40"/>
        <v>50.75</v>
      </c>
      <c r="K256">
        <f t="shared" si="36"/>
        <v>166.45999999999998</v>
      </c>
      <c r="L256">
        <f t="shared" si="37"/>
        <v>1.8636175860148994</v>
      </c>
      <c r="M256">
        <f t="shared" si="38"/>
        <v>0.39568049366276625</v>
      </c>
      <c r="N256">
        <f t="shared" si="39"/>
        <v>1.9051597203303483</v>
      </c>
    </row>
    <row r="257" spans="10:14" x14ac:dyDescent="0.25">
      <c r="J257">
        <f t="shared" si="40"/>
        <v>51</v>
      </c>
      <c r="K257">
        <f t="shared" si="36"/>
        <v>167.28</v>
      </c>
      <c r="L257">
        <f t="shared" si="37"/>
        <v>1.7692795593051982</v>
      </c>
      <c r="M257">
        <f t="shared" si="38"/>
        <v>0.37873896426623332</v>
      </c>
      <c r="N257">
        <f t="shared" si="39"/>
        <v>1.8093626949919841</v>
      </c>
    </row>
    <row r="258" spans="10:14" x14ac:dyDescent="0.25">
      <c r="J258">
        <f t="shared" si="40"/>
        <v>51.25</v>
      </c>
      <c r="K258">
        <f t="shared" si="36"/>
        <v>168.1</v>
      </c>
      <c r="L258">
        <f t="shared" si="37"/>
        <v>1.674617976227547</v>
      </c>
      <c r="M258">
        <f t="shared" si="38"/>
        <v>0.36172524687700491</v>
      </c>
      <c r="N258">
        <f t="shared" si="39"/>
        <v>1.713239773217011</v>
      </c>
    </row>
    <row r="259" spans="10:14" x14ac:dyDescent="0.25">
      <c r="J259">
        <f t="shared" si="40"/>
        <v>51.5</v>
      </c>
      <c r="K259">
        <f t="shared" si="36"/>
        <v>168.92</v>
      </c>
      <c r="L259">
        <f t="shared" si="37"/>
        <v>1.5796549796333448</v>
      </c>
      <c r="M259">
        <f t="shared" si="38"/>
        <v>0.34464333389987178</v>
      </c>
      <c r="N259">
        <f t="shared" si="39"/>
        <v>1.6168144241940823</v>
      </c>
    </row>
    <row r="260" spans="10:14" x14ac:dyDescent="0.25">
      <c r="J260">
        <f t="shared" si="40"/>
        <v>51.75</v>
      </c>
      <c r="K260">
        <f t="shared" si="36"/>
        <v>169.73999999999998</v>
      </c>
      <c r="L260">
        <f t="shared" si="37"/>
        <v>1.4844127620329912</v>
      </c>
      <c r="M260">
        <f t="shared" si="38"/>
        <v>0.32749722989041574</v>
      </c>
      <c r="N260">
        <f t="shared" si="39"/>
        <v>1.5201104182500393</v>
      </c>
    </row>
    <row r="261" spans="10:14" x14ac:dyDescent="0.25">
      <c r="J261">
        <f t="shared" si="40"/>
        <v>52</v>
      </c>
      <c r="K261">
        <f t="shared" si="36"/>
        <v>170.56</v>
      </c>
      <c r="L261">
        <f t="shared" si="37"/>
        <v>1.3889135604282903</v>
      </c>
      <c r="M261">
        <f t="shared" si="38"/>
        <v>0.31029095061966538</v>
      </c>
      <c r="N261">
        <f t="shared" si="39"/>
        <v>1.4231519076957475</v>
      </c>
    </row>
    <row r="262" spans="10:14" x14ac:dyDescent="0.25">
      <c r="J262">
        <f t="shared" si="40"/>
        <v>52.25</v>
      </c>
      <c r="K262">
        <f t="shared" si="36"/>
        <v>171.38</v>
      </c>
      <c r="L262">
        <f t="shared" si="37"/>
        <v>1.2931796511392286</v>
      </c>
      <c r="M262">
        <f t="shared" si="38"/>
        <v>0.29302852213701103</v>
      </c>
      <c r="N262">
        <f t="shared" si="39"/>
        <v>1.3259635458436925</v>
      </c>
    </row>
    <row r="263" spans="10:14" x14ac:dyDescent="0.25">
      <c r="J263">
        <f t="shared" si="40"/>
        <v>52.5</v>
      </c>
      <c r="K263">
        <f t="shared" si="36"/>
        <v>172.2</v>
      </c>
      <c r="L263">
        <f t="shared" si="37"/>
        <v>1.1972333446262815</v>
      </c>
      <c r="M263">
        <f t="shared" si="38"/>
        <v>0.27571397983156665</v>
      </c>
      <c r="N263">
        <f t="shared" si="39"/>
        <v>1.2285706655132191</v>
      </c>
    </row>
    <row r="264" spans="10:14" x14ac:dyDescent="0.25">
      <c r="J264">
        <f t="shared" si="40"/>
        <v>52.75</v>
      </c>
      <c r="K264">
        <f t="shared" si="36"/>
        <v>173.01999999999998</v>
      </c>
      <c r="L264">
        <f t="shared" si="37"/>
        <v>1.1010969803095543</v>
      </c>
      <c r="M264">
        <f t="shared" si="38"/>
        <v>0.25835136749224219</v>
      </c>
      <c r="N264">
        <f t="shared" si="39"/>
        <v>1.1309995531086343</v>
      </c>
    </row>
    <row r="265" spans="10:14" x14ac:dyDescent="0.25">
      <c r="J265">
        <f t="shared" si="40"/>
        <v>53</v>
      </c>
      <c r="K265">
        <f t="shared" si="36"/>
        <v>173.84</v>
      </c>
      <c r="L265">
        <f t="shared" si="37"/>
        <v>1.0047929213858702</v>
      </c>
      <c r="M265">
        <f t="shared" si="38"/>
        <v>0.24094473636671587</v>
      </c>
      <c r="N265">
        <f t="shared" si="39"/>
        <v>1.0332778817191326</v>
      </c>
    </row>
    <row r="266" spans="10:14" x14ac:dyDescent="0.25">
      <c r="J266">
        <f t="shared" si="40"/>
        <v>53.25</v>
      </c>
      <c r="K266">
        <f t="shared" si="36"/>
        <v>174.66</v>
      </c>
      <c r="L266">
        <f t="shared" si="37"/>
        <v>0.90834354964501707</v>
      </c>
      <c r="M266">
        <f t="shared" si="38"/>
        <v>0.22349814421952185</v>
      </c>
      <c r="N266">
        <f t="shared" si="39"/>
        <v>0.93543541981864242</v>
      </c>
    </row>
    <row r="267" spans="10:14" x14ac:dyDescent="0.25">
      <c r="J267">
        <f t="shared" si="40"/>
        <v>53.5</v>
      </c>
      <c r="K267">
        <f t="shared" si="36"/>
        <v>175.48</v>
      </c>
      <c r="L267">
        <f t="shared" si="37"/>
        <v>0.81177126028642455</v>
      </c>
      <c r="M267">
        <f t="shared" si="38"/>
        <v>0.2060156543895002</v>
      </c>
      <c r="N267">
        <f t="shared" si="39"/>
        <v>0.8375052411063133</v>
      </c>
    </row>
    <row r="268" spans="10:14" x14ac:dyDescent="0.25">
      <c r="J268">
        <f t="shared" si="40"/>
        <v>53.75</v>
      </c>
      <c r="K268">
        <f t="shared" si="36"/>
        <v>176.29999999999998</v>
      </c>
      <c r="L268">
        <f t="shared" si="37"/>
        <v>0.71509845673732197</v>
      </c>
      <c r="M268">
        <f t="shared" si="38"/>
        <v>0.18850133484678633</v>
      </c>
      <c r="N268">
        <f t="shared" si="39"/>
        <v>0.73952589952422887</v>
      </c>
    </row>
    <row r="269" spans="10:14" x14ac:dyDescent="0.25">
      <c r="J269">
        <f t="shared" si="40"/>
        <v>54</v>
      </c>
      <c r="K269">
        <f t="shared" si="36"/>
        <v>177.11999999999998</v>
      </c>
      <c r="L269">
        <f t="shared" si="37"/>
        <v>0.61834754547374304</v>
      </c>
      <c r="M269">
        <f t="shared" si="38"/>
        <v>0.1709592572495966</v>
      </c>
      <c r="N269">
        <f t="shared" si="39"/>
        <v>0.64154559824905388</v>
      </c>
    </row>
    <row r="270" spans="10:14" x14ac:dyDescent="0.25">
      <c r="J270">
        <f t="shared" si="40"/>
        <v>54.25</v>
      </c>
      <c r="K270">
        <f t="shared" si="36"/>
        <v>177.94</v>
      </c>
      <c r="L270">
        <f t="shared" si="37"/>
        <v>0.52154093084543218</v>
      </c>
      <c r="M270">
        <f t="shared" si="38"/>
        <v>0.15339349600100372</v>
      </c>
      <c r="N270">
        <f t="shared" si="39"/>
        <v>0.54363085560196989</v>
      </c>
    </row>
    <row r="271" spans="10:14" x14ac:dyDescent="0.25">
      <c r="J271">
        <f t="shared" si="40"/>
        <v>54.5</v>
      </c>
      <c r="K271">
        <f t="shared" si="36"/>
        <v>178.76</v>
      </c>
      <c r="L271">
        <f t="shared" si="37"/>
        <v>0.4247010099059077</v>
      </c>
      <c r="M271">
        <f t="shared" si="38"/>
        <v>0.13580812730592351</v>
      </c>
      <c r="N271">
        <f t="shared" si="39"/>
        <v>0.44588652733340106</v>
      </c>
    </row>
    <row r="272" spans="10:14" x14ac:dyDescent="0.25">
      <c r="J272">
        <f t="shared" si="40"/>
        <v>54.75</v>
      </c>
      <c r="K272">
        <f t="shared" si="36"/>
        <v>179.57999999999998</v>
      </c>
      <c r="L272">
        <f t="shared" si="37"/>
        <v>0.3278501672488866</v>
      </c>
      <c r="M272">
        <f t="shared" si="38"/>
        <v>0.11820722822854757</v>
      </c>
      <c r="N272">
        <f t="shared" si="39"/>
        <v>0.34850922652147798</v>
      </c>
    </row>
    <row r="273" spans="10:14" x14ac:dyDescent="0.25">
      <c r="J273">
        <f t="shared" si="40"/>
        <v>55</v>
      </c>
      <c r="K273">
        <f t="shared" si="36"/>
        <v>180.39999999999998</v>
      </c>
      <c r="L273">
        <f t="shared" si="37"/>
        <v>0.23101076985217589</v>
      </c>
      <c r="M273">
        <f t="shared" si="38"/>
        <v>0.10059487575040427</v>
      </c>
      <c r="N273">
        <f t="shared" si="39"/>
        <v>0.25196290364840268</v>
      </c>
    </row>
    <row r="274" spans="10:14" x14ac:dyDescent="0.25">
      <c r="J274">
        <f t="shared" si="40"/>
        <v>55.25</v>
      </c>
      <c r="K274">
        <f t="shared" si="36"/>
        <v>181.22</v>
      </c>
      <c r="L274">
        <f t="shared" si="37"/>
        <v>0.13420516193033949</v>
      </c>
      <c r="M274">
        <f t="shared" si="38"/>
        <v>8.2975145829306651E-2</v>
      </c>
      <c r="N274">
        <f t="shared" si="39"/>
        <v>0.1577843474941141</v>
      </c>
    </row>
    <row r="275" spans="10:14" x14ac:dyDescent="0.25">
      <c r="J275">
        <f t="shared" si="40"/>
        <v>55.5</v>
      </c>
      <c r="K275">
        <f t="shared" si="36"/>
        <v>182.04</v>
      </c>
      <c r="L275">
        <f t="shared" si="37"/>
        <v>3.7455659797185903E-2</v>
      </c>
      <c r="M275">
        <f t="shared" si="38"/>
        <v>6.5352112459375888E-2</v>
      </c>
      <c r="N275">
        <f t="shared" si="39"/>
        <v>7.5324797070721941E-2</v>
      </c>
    </row>
    <row r="276" spans="10:14" x14ac:dyDescent="0.25">
      <c r="J276">
        <f t="shared" si="40"/>
        <v>55.75</v>
      </c>
      <c r="K276">
        <f t="shared" si="36"/>
        <v>182.85999999999999</v>
      </c>
      <c r="L276">
        <f t="shared" si="37"/>
        <v>-5.9215453260642814E-2</v>
      </c>
      <c r="M276">
        <f t="shared" si="38"/>
        <v>4.7729846732355252E-2</v>
      </c>
      <c r="N276">
        <f t="shared" si="39"/>
        <v>7.6056611638683311E-2</v>
      </c>
    </row>
    <row r="277" spans="10:14" x14ac:dyDescent="0.25">
      <c r="J277">
        <f t="shared" si="40"/>
        <v>56</v>
      </c>
      <c r="K277">
        <f t="shared" si="36"/>
        <v>183.67999999999998</v>
      </c>
      <c r="L277">
        <f t="shared" si="37"/>
        <v>-0.15578593209784986</v>
      </c>
      <c r="M277">
        <f t="shared" si="38"/>
        <v>3.0112415900453104E-2</v>
      </c>
      <c r="N277">
        <f t="shared" si="39"/>
        <v>0.15866951260704668</v>
      </c>
    </row>
    <row r="278" spans="10:14" x14ac:dyDescent="0.25">
      <c r="J278">
        <f t="shared" si="40"/>
        <v>56.25</v>
      </c>
      <c r="K278">
        <f t="shared" si="36"/>
        <v>184.5</v>
      </c>
      <c r="L278">
        <f t="shared" si="37"/>
        <v>-0.25223357481128889</v>
      </c>
      <c r="M278">
        <f t="shared" si="38"/>
        <v>1.2503882440904945E-2</v>
      </c>
      <c r="N278">
        <f t="shared" si="39"/>
        <v>0.25254330982660783</v>
      </c>
    </row>
    <row r="279" spans="10:14" x14ac:dyDescent="0.25">
      <c r="J279">
        <f t="shared" si="40"/>
        <v>56.5</v>
      </c>
      <c r="K279">
        <f t="shared" si="36"/>
        <v>185.32</v>
      </c>
      <c r="L279">
        <f t="shared" si="37"/>
        <v>-0.34853622782614058</v>
      </c>
      <c r="M279">
        <f t="shared" si="38"/>
        <v>-5.0916968775189808E-3</v>
      </c>
      <c r="N279">
        <f t="shared" si="39"/>
        <v>0.34857341763876359</v>
      </c>
    </row>
    <row r="280" spans="10:14" x14ac:dyDescent="0.25">
      <c r="J280">
        <f t="shared" si="40"/>
        <v>56.75</v>
      </c>
      <c r="K280">
        <f t="shared" si="36"/>
        <v>186.14</v>
      </c>
      <c r="L280">
        <f t="shared" si="37"/>
        <v>-0.44467179096643183</v>
      </c>
      <c r="M280">
        <f t="shared" si="38"/>
        <v>-2.2670271925844254E-2</v>
      </c>
      <c r="N280">
        <f t="shared" si="39"/>
        <v>0.44524930422234882</v>
      </c>
    </row>
    <row r="281" spans="10:14" x14ac:dyDescent="0.25">
      <c r="J281">
        <f t="shared" si="40"/>
        <v>57</v>
      </c>
      <c r="K281">
        <f t="shared" si="36"/>
        <v>186.95999999999998</v>
      </c>
      <c r="L281">
        <f t="shared" si="37"/>
        <v>-0.54061822250860447</v>
      </c>
      <c r="M281">
        <f t="shared" si="38"/>
        <v>-4.0227800143858961E-2</v>
      </c>
      <c r="N281">
        <f t="shared" si="39"/>
        <v>0.54211284656681691</v>
      </c>
    </row>
    <row r="282" spans="10:14" x14ac:dyDescent="0.25">
      <c r="J282">
        <f t="shared" si="40"/>
        <v>57.25</v>
      </c>
      <c r="K282">
        <f t="shared" si="36"/>
        <v>187.78</v>
      </c>
      <c r="L282">
        <f t="shared" si="37"/>
        <v>-0.63635354421705026</v>
      </c>
      <c r="M282">
        <f t="shared" si="38"/>
        <v>-5.7760247466487336E-2</v>
      </c>
      <c r="N282">
        <f t="shared" si="39"/>
        <v>0.63896954499020631</v>
      </c>
    </row>
    <row r="283" spans="10:14" x14ac:dyDescent="0.25">
      <c r="J283">
        <f t="shared" si="40"/>
        <v>57.5</v>
      </c>
      <c r="K283">
        <f t="shared" si="36"/>
        <v>188.6</v>
      </c>
      <c r="L283">
        <f t="shared" si="37"/>
        <v>-0.73185584636051737</v>
      </c>
      <c r="M283">
        <f t="shared" si="38"/>
        <v>-7.5263589247384299E-2</v>
      </c>
      <c r="N283">
        <f t="shared" si="39"/>
        <v>0.73571569761591216</v>
      </c>
    </row>
    <row r="284" spans="10:14" x14ac:dyDescent="0.25">
      <c r="J284">
        <f t="shared" si="40"/>
        <v>57.75</v>
      </c>
      <c r="K284">
        <f t="shared" si="36"/>
        <v>189.42</v>
      </c>
      <c r="L284">
        <f t="shared" si="37"/>
        <v>-0.82710329270810912</v>
      </c>
      <c r="M284">
        <f t="shared" si="38"/>
        <v>-9.2733811179507963E-2</v>
      </c>
      <c r="N284">
        <f t="shared" si="39"/>
        <v>0.83228565801921195</v>
      </c>
    </row>
    <row r="285" spans="10:14" x14ac:dyDescent="0.25">
      <c r="J285">
        <f t="shared" si="40"/>
        <v>58</v>
      </c>
      <c r="K285">
        <f t="shared" si="36"/>
        <v>190.23999999999998</v>
      </c>
      <c r="L285">
        <f t="shared" si="37"/>
        <v>-0.92207412550389389</v>
      </c>
      <c r="M285">
        <f t="shared" si="38"/>
        <v>-0.11016691021249159</v>
      </c>
      <c r="N285">
        <f t="shared" si="39"/>
        <v>0.92863202670893163</v>
      </c>
    </row>
    <row r="286" spans="10:14" x14ac:dyDescent="0.25">
      <c r="J286">
        <f t="shared" si="40"/>
        <v>58.25</v>
      </c>
      <c r="K286">
        <f t="shared" si="36"/>
        <v>191.06</v>
      </c>
      <c r="L286">
        <f t="shared" si="37"/>
        <v>-1.016746670418887</v>
      </c>
      <c r="M286">
        <f t="shared" si="38"/>
        <v>-0.12755889546658317</v>
      </c>
      <c r="N286">
        <f t="shared" si="39"/>
        <v>1.0247170651553275</v>
      </c>
    </row>
    <row r="287" spans="10:14" x14ac:dyDescent="0.25">
      <c r="J287">
        <f t="shared" si="40"/>
        <v>58.5</v>
      </c>
      <c r="K287">
        <f t="shared" si="36"/>
        <v>191.88</v>
      </c>
      <c r="L287">
        <f t="shared" si="37"/>
        <v>-1.1110993414792967</v>
      </c>
      <c r="M287">
        <f t="shared" si="38"/>
        <v>-0.14490578914295149</v>
      </c>
      <c r="N287">
        <f t="shared" si="39"/>
        <v>1.1205085605932996</v>
      </c>
    </row>
    <row r="288" spans="10:14" x14ac:dyDescent="0.25">
      <c r="J288">
        <f t="shared" si="40"/>
        <v>58.75</v>
      </c>
      <c r="K288">
        <f t="shared" si="36"/>
        <v>192.7</v>
      </c>
      <c r="L288">
        <f t="shared" si="37"/>
        <v>-1.2051106459700194</v>
      </c>
      <c r="M288">
        <f t="shared" si="38"/>
        <v>-0.16220362743016681</v>
      </c>
      <c r="N288">
        <f t="shared" si="39"/>
        <v>1.2159776666459716</v>
      </c>
    </row>
    <row r="289" spans="10:14" x14ac:dyDescent="0.25">
      <c r="J289">
        <f t="shared" si="40"/>
        <v>59</v>
      </c>
      <c r="K289">
        <f t="shared" si="36"/>
        <v>193.51999999999998</v>
      </c>
      <c r="L289">
        <f t="shared" si="37"/>
        <v>-1.2987591893121022</v>
      </c>
      <c r="M289">
        <f t="shared" si="38"/>
        <v>-0.17944846140662074</v>
      </c>
      <c r="N289">
        <f t="shared" si="39"/>
        <v>1.3110977012121685</v>
      </c>
    </row>
    <row r="290" spans="10:14" x14ac:dyDescent="0.25">
      <c r="J290">
        <f t="shared" si="40"/>
        <v>59.25</v>
      </c>
      <c r="K290">
        <f t="shared" si="36"/>
        <v>194.33999999999997</v>
      </c>
      <c r="L290">
        <f t="shared" si="37"/>
        <v>-1.3920236799132266</v>
      </c>
      <c r="M290">
        <f t="shared" si="38"/>
        <v>-0.19663635793871048</v>
      </c>
      <c r="N290">
        <f t="shared" si="39"/>
        <v>1.4058434417468262</v>
      </c>
    </row>
    <row r="291" spans="10:14" x14ac:dyDescent="0.25">
      <c r="J291">
        <f t="shared" si="40"/>
        <v>59.5</v>
      </c>
      <c r="K291">
        <f t="shared" si="36"/>
        <v>195.16</v>
      </c>
      <c r="L291">
        <f t="shared" si="37"/>
        <v>-1.4848829339900436</v>
      </c>
      <c r="M291">
        <f t="shared" si="38"/>
        <v>-0.21376340057455945</v>
      </c>
      <c r="N291">
        <f t="shared" si="39"/>
        <v>1.5001906942385956</v>
      </c>
    </row>
    <row r="292" spans="10:14" x14ac:dyDescent="0.25">
      <c r="J292">
        <f t="shared" si="40"/>
        <v>59.75</v>
      </c>
      <c r="K292">
        <f t="shared" si="36"/>
        <v>195.98</v>
      </c>
      <c r="L292">
        <f t="shared" si="37"/>
        <v>-1.5773158803612493</v>
      </c>
      <c r="M292">
        <f t="shared" si="38"/>
        <v>-0.23082569043308965</v>
      </c>
      <c r="N292">
        <f t="shared" si="39"/>
        <v>1.594116020182877</v>
      </c>
    </row>
    <row r="293" spans="10:14" x14ac:dyDescent="0.25">
      <c r="J293">
        <f t="shared" si="40"/>
        <v>60</v>
      </c>
      <c r="K293">
        <f t="shared" si="36"/>
        <v>196.79999999999998</v>
      </c>
      <c r="L293">
        <f t="shared" si="37"/>
        <v>-1.6693015652104277</v>
      </c>
      <c r="M293">
        <f t="shared" si="38"/>
        <v>-0.24781934708824238</v>
      </c>
      <c r="N293">
        <f t="shared" si="39"/>
        <v>1.6875965585427184</v>
      </c>
    </row>
    <row r="294" spans="10:14" x14ac:dyDescent="0.25">
      <c r="J294">
        <f t="shared" si="40"/>
        <v>60.25</v>
      </c>
      <c r="K294">
        <f t="shared" si="36"/>
        <v>197.61999999999998</v>
      </c>
      <c r="L294">
        <f t="shared" si="37"/>
        <v>-1.7608191568174159</v>
      </c>
      <c r="M294">
        <f t="shared" si="38"/>
        <v>-0.26474050944813055</v>
      </c>
      <c r="N294">
        <f t="shared" si="39"/>
        <v>1.7806099068459804</v>
      </c>
    </row>
    <row r="295" spans="10:14" x14ac:dyDescent="0.25">
      <c r="J295">
        <f t="shared" si="40"/>
        <v>60.5</v>
      </c>
      <c r="K295">
        <f t="shared" si="36"/>
        <v>198.44</v>
      </c>
      <c r="L295">
        <f t="shared" si="37"/>
        <v>-1.8518479502573344</v>
      </c>
      <c r="M295">
        <f t="shared" si="38"/>
        <v>-0.28158533662894758</v>
      </c>
      <c r="N295">
        <f t="shared" si="39"/>
        <v>1.873134040232233</v>
      </c>
    </row>
    <row r="296" spans="10:14" x14ac:dyDescent="0.25">
      <c r="J296">
        <f t="shared" si="40"/>
        <v>60.75</v>
      </c>
      <c r="K296">
        <f t="shared" si="36"/>
        <v>199.26</v>
      </c>
      <c r="L296">
        <f t="shared" si="37"/>
        <v>-1.9423673720660433</v>
      </c>
      <c r="M296">
        <f t="shared" si="38"/>
        <v>-0.29835000882342522</v>
      </c>
      <c r="N296">
        <f t="shared" si="39"/>
        <v>1.9651472555082699</v>
      </c>
    </row>
    <row r="297" spans="10:14" x14ac:dyDescent="0.25">
      <c r="J297">
        <f t="shared" si="40"/>
        <v>61</v>
      </c>
      <c r="K297">
        <f t="shared" si="36"/>
        <v>200.07999999999998</v>
      </c>
      <c r="L297">
        <f t="shared" si="37"/>
        <v>-2.0323569848710723</v>
      </c>
      <c r="M297">
        <f t="shared" si="38"/>
        <v>-0.3150307281636362</v>
      </c>
      <c r="N297">
        <f t="shared" si="39"/>
        <v>2.0566281320748159</v>
      </c>
    </row>
    <row r="298" spans="10:14" x14ac:dyDescent="0.25">
      <c r="J298">
        <f t="shared" si="40"/>
        <v>61.25</v>
      </c>
      <c r="K298">
        <f t="shared" si="36"/>
        <v>200.89999999999998</v>
      </c>
      <c r="L298">
        <f t="shared" si="37"/>
        <v>-2.1217964919870109</v>
      </c>
      <c r="M298">
        <f t="shared" si="38"/>
        <v>-0.33162371957796255</v>
      </c>
      <c r="N298">
        <f t="shared" si="39"/>
        <v>2.1475555044736585</v>
      </c>
    </row>
    <row r="299" spans="10:14" x14ac:dyDescent="0.25">
      <c r="J299">
        <f t="shared" si="40"/>
        <v>61.5</v>
      </c>
      <c r="K299">
        <f t="shared" si="36"/>
        <v>201.72</v>
      </c>
      <c r="L299">
        <f t="shared" si="37"/>
        <v>-2.2106657419742164</v>
      </c>
      <c r="M299">
        <f t="shared" si="38"/>
        <v>-0.34812523164203446</v>
      </c>
      <c r="N299">
        <f t="shared" si="39"/>
        <v>2.2379084430879277</v>
      </c>
    </row>
    <row r="300" spans="10:14" x14ac:dyDescent="0.25">
      <c r="J300">
        <f t="shared" si="40"/>
        <v>61.75</v>
      </c>
      <c r="K300">
        <f t="shared" si="36"/>
        <v>202.54</v>
      </c>
      <c r="L300">
        <f t="shared" si="37"/>
        <v>-2.2989447331599688</v>
      </c>
      <c r="M300">
        <f t="shared" si="38"/>
        <v>-0.36453153742343192</v>
      </c>
      <c r="N300">
        <f t="shared" si="39"/>
        <v>2.3276662406582802</v>
      </c>
    </row>
    <row r="301" spans="10:14" x14ac:dyDescent="0.25">
      <c r="J301">
        <f t="shared" si="40"/>
        <v>62</v>
      </c>
      <c r="K301">
        <f t="shared" si="36"/>
        <v>203.35999999999999</v>
      </c>
      <c r="L301">
        <f t="shared" si="37"/>
        <v>-2.386613618120935</v>
      </c>
      <c r="M301">
        <f t="shared" si="38"/>
        <v>-0.38083893531999236</v>
      </c>
      <c r="N301">
        <f t="shared" si="39"/>
        <v>2.4168084030092181</v>
      </c>
    </row>
    <row r="302" spans="10:14" x14ac:dyDescent="0.25">
      <c r="J302">
        <f t="shared" si="40"/>
        <v>62.25</v>
      </c>
      <c r="K302">
        <f t="shared" si="36"/>
        <v>204.17999999999998</v>
      </c>
      <c r="L302">
        <f t="shared" si="37"/>
        <v>-2.4736527081259845</v>
      </c>
      <c r="M302">
        <f t="shared" si="38"/>
        <v>-0.39704374989149205</v>
      </c>
      <c r="N302">
        <f t="shared" si="39"/>
        <v>2.5053146428636293</v>
      </c>
    </row>
    <row r="303" spans="10:14" x14ac:dyDescent="0.25">
      <c r="J303">
        <f t="shared" si="40"/>
        <v>62.5</v>
      </c>
      <c r="K303">
        <f t="shared" si="36"/>
        <v>205</v>
      </c>
      <c r="L303">
        <f t="shared" si="37"/>
        <v>-2.5600424775384365</v>
      </c>
      <c r="M303">
        <f t="shared" si="38"/>
        <v>-0.41314233268456668</v>
      </c>
      <c r="N303">
        <f t="shared" si="39"/>
        <v>2.5931648759493062</v>
      </c>
    </row>
    <row r="304" spans="10:14" x14ac:dyDescent="0.25">
      <c r="J304">
        <f t="shared" si="40"/>
        <v>62.75</v>
      </c>
      <c r="K304">
        <f t="shared" si="36"/>
        <v>205.82</v>
      </c>
      <c r="L304">
        <f t="shared" si="37"/>
        <v>-2.6457635681766249</v>
      </c>
      <c r="M304">
        <f t="shared" si="38"/>
        <v>-0.42913106305063753</v>
      </c>
      <c r="N304">
        <f t="shared" si="39"/>
        <v>2.6803392188239301</v>
      </c>
    </row>
    <row r="305" spans="10:14" x14ac:dyDescent="0.25">
      <c r="J305">
        <f t="shared" si="40"/>
        <v>63</v>
      </c>
      <c r="K305">
        <f t="shared" si="36"/>
        <v>206.64</v>
      </c>
      <c r="L305">
        <f t="shared" si="37"/>
        <v>-2.730796793631955</v>
      </c>
      <c r="M305">
        <f t="shared" si="38"/>
        <v>-0.44500634895669444</v>
      </c>
      <c r="N305">
        <f t="shared" si="39"/>
        <v>2.7668179880003554</v>
      </c>
    </row>
    <row r="306" spans="10:14" x14ac:dyDescent="0.25">
      <c r="J306">
        <f t="shared" si="40"/>
        <v>63.25</v>
      </c>
      <c r="K306">
        <f t="shared" si="36"/>
        <v>207.45999999999998</v>
      </c>
      <c r="L306">
        <f t="shared" si="37"/>
        <v>-2.8151231435433628</v>
      </c>
      <c r="M306">
        <f t="shared" si="38"/>
        <v>-0.46076462778874738</v>
      </c>
      <c r="N306">
        <f t="shared" si="39"/>
        <v>2.8525817000630793</v>
      </c>
    </row>
    <row r="307" spans="10:14" x14ac:dyDescent="0.25">
      <c r="J307">
        <f t="shared" si="40"/>
        <v>63.5</v>
      </c>
      <c r="K307">
        <f t="shared" si="36"/>
        <v>208.28</v>
      </c>
      <c r="L307">
        <f t="shared" si="37"/>
        <v>-2.8987237878273158</v>
      </c>
      <c r="M307">
        <f t="shared" si="38"/>
        <v>-0.47640236714775286</v>
      </c>
      <c r="N307">
        <f t="shared" si="39"/>
        <v>2.9376110725451596</v>
      </c>
    </row>
    <row r="308" spans="10:14" x14ac:dyDescent="0.25">
      <c r="J308">
        <f t="shared" si="40"/>
        <v>63.75</v>
      </c>
      <c r="K308">
        <f t="shared" si="36"/>
        <v>209.1</v>
      </c>
      <c r="L308">
        <f t="shared" si="37"/>
        <v>-2.9815800808624129</v>
      </c>
      <c r="M308">
        <f t="shared" si="38"/>
        <v>-0.49191606563786161</v>
      </c>
      <c r="N308">
        <f t="shared" si="39"/>
        <v>3.021887025391278</v>
      </c>
    </row>
    <row r="309" spans="10:14" x14ac:dyDescent="0.25">
      <c r="J309">
        <f t="shared" si="40"/>
        <v>64</v>
      </c>
      <c r="K309">
        <f t="shared" ref="K309:K372" si="41">J309*3.28</f>
        <v>209.92</v>
      </c>
      <c r="L309">
        <f t="shared" ref="L309:L372" si="42">$Y$7*EXP($Y$11*(J309-$Y$4))*COS(PI()/180*($Y$8+$Y$5*(J309-$Y$4)))+$Y$9*EXP($Y$12*(J309-$Y$4))*COS(PI()/180*($Y$10+$Y$6*(J309-$Y$4)))</f>
        <v>-3.0636735656275946</v>
      </c>
      <c r="M309">
        <f t="shared" ref="M309:M372" si="43">$Y$13+$Y$7*EXP($Y$11*(J309-$Y$4))*SIN(PI()/180*($Y$8+$Y$5*(J309-$Y$4)))+$Y$9*EXP($Y$12*(J309-$Y$4))*SIN(PI()/180*($Y$10+$Y$6*(J309-$Y$4)))</f>
        <v>-0.50730225364678505</v>
      </c>
      <c r="N309">
        <f t="shared" ref="N309:N372" si="44">SQRT(L309*L309+M309*M309)</f>
        <v>3.1053906828739608</v>
      </c>
    </row>
    <row r="310" spans="10:14" x14ac:dyDescent="0.25">
      <c r="J310">
        <f t="shared" ref="J310:J373" si="45">J309+$I$52</f>
        <v>64.25</v>
      </c>
      <c r="K310">
        <f t="shared" si="41"/>
        <v>210.73999999999998</v>
      </c>
      <c r="L310">
        <f t="shared" si="42"/>
        <v>-3.1449859777931395</v>
      </c>
      <c r="M310">
        <f t="shared" si="43"/>
        <v>-0.52255749411814101</v>
      </c>
      <c r="N310">
        <f t="shared" si="44"/>
        <v>3.1881033758607171</v>
      </c>
    </row>
    <row r="311" spans="10:14" x14ac:dyDescent="0.25">
      <c r="J311">
        <f t="shared" si="45"/>
        <v>64.5</v>
      </c>
      <c r="K311">
        <f t="shared" si="41"/>
        <v>211.55999999999997</v>
      </c>
      <c r="L311">
        <f t="shared" si="42"/>
        <v>-3.2254992497634598</v>
      </c>
      <c r="M311">
        <f t="shared" si="43"/>
        <v>-0.53767838331557627</v>
      </c>
      <c r="N311">
        <f t="shared" si="44"/>
        <v>3.2700066443524998</v>
      </c>
    </row>
    <row r="312" spans="10:14" x14ac:dyDescent="0.25">
      <c r="J312">
        <f t="shared" si="45"/>
        <v>64.75</v>
      </c>
      <c r="K312">
        <f t="shared" si="41"/>
        <v>212.38</v>
      </c>
      <c r="L312">
        <f t="shared" si="42"/>
        <v>-3.3051955146708734</v>
      </c>
      <c r="M312">
        <f t="shared" si="43"/>
        <v>-0.55266155157851449</v>
      </c>
      <c r="N312">
        <f t="shared" si="44"/>
        <v>3.3510822402313001</v>
      </c>
    </row>
    <row r="313" spans="10:14" x14ac:dyDescent="0.25">
      <c r="J313">
        <f t="shared" si="45"/>
        <v>65</v>
      </c>
      <c r="K313">
        <f t="shared" si="41"/>
        <v>213.2</v>
      </c>
      <c r="L313">
        <f t="shared" si="42"/>
        <v>-3.3840571103194375</v>
      </c>
      <c r="M313">
        <f t="shared" si="43"/>
        <v>-0.56750366406935893</v>
      </c>
      <c r="N313">
        <f t="shared" si="44"/>
        <v>3.431312130167655</v>
      </c>
    </row>
    <row r="314" spans="10:14" x14ac:dyDescent="0.25">
      <c r="J314">
        <f t="shared" si="45"/>
        <v>65.25</v>
      </c>
      <c r="K314">
        <f t="shared" si="41"/>
        <v>214.01999999999998</v>
      </c>
      <c r="L314">
        <f t="shared" si="42"/>
        <v>-3.4620665830779722</v>
      </c>
      <c r="M314">
        <f t="shared" si="43"/>
        <v>-0.58220142151198351</v>
      </c>
      <c r="N314">
        <f t="shared" si="44"/>
        <v>3.5106784986489092</v>
      </c>
    </row>
    <row r="315" spans="10:14" x14ac:dyDescent="0.25">
      <c r="J315">
        <f t="shared" si="45"/>
        <v>65.5</v>
      </c>
      <c r="K315">
        <f t="shared" si="41"/>
        <v>214.83999999999997</v>
      </c>
      <c r="L315">
        <f t="shared" si="42"/>
        <v>-3.5392066917214797</v>
      </c>
      <c r="M315">
        <f t="shared" si="43"/>
        <v>-0.59675156092134429</v>
      </c>
      <c r="N315">
        <f t="shared" si="44"/>
        <v>3.589163751096927</v>
      </c>
    </row>
    <row r="316" spans="10:14" x14ac:dyDescent="0.25">
      <c r="J316">
        <f t="shared" si="45"/>
        <v>65.75</v>
      </c>
      <c r="K316">
        <f t="shared" si="41"/>
        <v>215.66</v>
      </c>
      <c r="L316">
        <f t="shared" si="42"/>
        <v>-3.6154604112200248</v>
      </c>
      <c r="M316">
        <f t="shared" si="43"/>
        <v>-0.61115085632407373</v>
      </c>
      <c r="N316">
        <f t="shared" si="44"/>
        <v>3.6667505170497923</v>
      </c>
    </row>
    <row r="317" spans="10:14" x14ac:dyDescent="0.25">
      <c r="J317">
        <f t="shared" si="45"/>
        <v>66</v>
      </c>
      <c r="K317">
        <f t="shared" si="41"/>
        <v>216.48</v>
      </c>
      <c r="L317">
        <f t="shared" si="42"/>
        <v>-3.6908109364743229</v>
      </c>
      <c r="M317">
        <f t="shared" si="43"/>
        <v>-0.62539611946986806</v>
      </c>
      <c r="N317">
        <f t="shared" si="44"/>
        <v>3.74342165338697</v>
      </c>
    </row>
    <row r="318" spans="10:14" x14ac:dyDescent="0.25">
      <c r="J318">
        <f t="shared" si="45"/>
        <v>66.25</v>
      </c>
      <c r="K318">
        <f t="shared" si="41"/>
        <v>217.29999999999998</v>
      </c>
      <c r="L318">
        <f t="shared" si="42"/>
        <v>-3.7652416859972151</v>
      </c>
      <c r="M318">
        <f t="shared" si="43"/>
        <v>-0.63948420053352528</v>
      </c>
      <c r="N318">
        <f t="shared" si="44"/>
        <v>3.8191602475810247</v>
      </c>
    </row>
    <row r="319" spans="10:14" x14ac:dyDescent="0.25">
      <c r="J319">
        <f t="shared" si="45"/>
        <v>66.5</v>
      </c>
      <c r="K319">
        <f t="shared" si="41"/>
        <v>218.11999999999998</v>
      </c>
      <c r="L319">
        <f t="shared" si="42"/>
        <v>-3.838736305540182</v>
      </c>
      <c r="M319">
        <f t="shared" si="43"/>
        <v>-0.65341198880749207</v>
      </c>
      <c r="N319">
        <f t="shared" si="44"/>
        <v>3.8939496209619415</v>
      </c>
    </row>
    <row r="320" spans="10:14" x14ac:dyDescent="0.25">
      <c r="J320">
        <f t="shared" si="45"/>
        <v>66.75</v>
      </c>
      <c r="K320">
        <f t="shared" si="41"/>
        <v>218.94</v>
      </c>
      <c r="L320">
        <f t="shared" si="42"/>
        <v>-3.9112786716641597</v>
      </c>
      <c r="M320">
        <f t="shared" si="43"/>
        <v>-0.66717641338475664</v>
      </c>
      <c r="N320">
        <f t="shared" si="44"/>
        <v>3.9677733319825492</v>
      </c>
    </row>
    <row r="321" spans="10:14" x14ac:dyDescent="0.25">
      <c r="J321">
        <f t="shared" si="45"/>
        <v>67</v>
      </c>
      <c r="K321">
        <f t="shared" si="41"/>
        <v>219.76</v>
      </c>
      <c r="L321">
        <f t="shared" si="42"/>
        <v>-3.9828528952538544</v>
      </c>
      <c r="M321">
        <f t="shared" si="43"/>
        <v>-0.68077444383192587</v>
      </c>
      <c r="N321">
        <f t="shared" si="44"/>
        <v>4.040615179475358</v>
      </c>
    </row>
    <row r="322" spans="10:14" x14ac:dyDescent="0.25">
      <c r="J322">
        <f t="shared" si="45"/>
        <v>67.25</v>
      </c>
      <c r="K322">
        <f t="shared" si="41"/>
        <v>220.57999999999998</v>
      </c>
      <c r="L322">
        <f t="shared" si="42"/>
        <v>-4.0534433249748059</v>
      </c>
      <c r="M322">
        <f t="shared" si="43"/>
        <v>-0.69420309085237486</v>
      </c>
      <c r="N322">
        <f t="shared" si="44"/>
        <v>4.1124592058927227</v>
      </c>
    </row>
    <row r="323" spans="10:14" x14ac:dyDescent="0.25">
      <c r="J323">
        <f t="shared" si="45"/>
        <v>67.5</v>
      </c>
      <c r="K323">
        <f t="shared" si="41"/>
        <v>221.39999999999998</v>
      </c>
      <c r="L323">
        <f t="shared" si="42"/>
        <v>-4.1230345506724575</v>
      </c>
      <c r="M323">
        <f t="shared" si="43"/>
        <v>-0.70745940693928411</v>
      </c>
      <c r="N323">
        <f t="shared" si="44"/>
        <v>4.183289700523467</v>
      </c>
    </row>
    <row r="324" spans="10:14" x14ac:dyDescent="0.25">
      <c r="J324">
        <f t="shared" si="45"/>
        <v>67.75</v>
      </c>
      <c r="K324">
        <f t="shared" si="41"/>
        <v>222.22</v>
      </c>
      <c r="L324">
        <f t="shared" si="42"/>
        <v>-4.1916114067124717</v>
      </c>
      <c r="M324">
        <f t="shared" si="43"/>
        <v>-0.72054048701845907</v>
      </c>
      <c r="N324">
        <f t="shared" si="44"/>
        <v>4.2530912026801051</v>
      </c>
    </row>
    <row r="325" spans="10:14" x14ac:dyDescent="0.25">
      <c r="J325">
        <f t="shared" si="45"/>
        <v>68</v>
      </c>
      <c r="K325">
        <f t="shared" si="41"/>
        <v>223.04</v>
      </c>
      <c r="L325">
        <f t="shared" si="42"/>
        <v>-4.2591589752616406</v>
      </c>
      <c r="M325">
        <f t="shared" si="43"/>
        <v>-0.73344346908075875</v>
      </c>
      <c r="N325">
        <f t="shared" si="44"/>
        <v>4.3218485048517152</v>
      </c>
    </row>
    <row r="326" spans="10:14" x14ac:dyDescent="0.25">
      <c r="J326">
        <f t="shared" si="45"/>
        <v>68.25</v>
      </c>
      <c r="K326">
        <f t="shared" si="41"/>
        <v>223.85999999999999</v>
      </c>
      <c r="L326">
        <f t="shared" si="42"/>
        <v>-4.3256625895085898</v>
      </c>
      <c r="M326">
        <f t="shared" si="43"/>
        <v>-0.74616553480403169</v>
      </c>
      <c r="N326">
        <f t="shared" si="44"/>
        <v>4.389546655818064</v>
      </c>
    </row>
    <row r="327" spans="10:14" x14ac:dyDescent="0.25">
      <c r="J327">
        <f t="shared" si="45"/>
        <v>68.5</v>
      </c>
      <c r="K327">
        <f t="shared" si="41"/>
        <v>224.67999999999998</v>
      </c>
      <c r="L327">
        <f t="shared" si="42"/>
        <v>-4.3911078368236662</v>
      </c>
      <c r="M327">
        <f t="shared" si="43"/>
        <v>-0.75870391016440086</v>
      </c>
      <c r="N327">
        <f t="shared" si="44"/>
        <v>4.4561709637213172</v>
      </c>
    </row>
    <row r="328" spans="10:14" x14ac:dyDescent="0.25">
      <c r="J328">
        <f t="shared" si="45"/>
        <v>68.75</v>
      </c>
      <c r="K328">
        <f t="shared" si="41"/>
        <v>225.5</v>
      </c>
      <c r="L328">
        <f t="shared" si="42"/>
        <v>-4.4554805618573186</v>
      </c>
      <c r="M328">
        <f t="shared" si="43"/>
        <v>-0.77105586603676701</v>
      </c>
      <c r="N328">
        <f t="shared" si="44"/>
        <v>4.5217069990920589</v>
      </c>
    </row>
    <row r="329" spans="10:14" x14ac:dyDescent="0.25">
      <c r="J329">
        <f t="shared" si="45"/>
        <v>69</v>
      </c>
      <c r="K329">
        <f t="shared" si="41"/>
        <v>226.32</v>
      </c>
      <c r="L329">
        <f t="shared" si="42"/>
        <v>-4.5187668695762691</v>
      </c>
      <c r="M329">
        <f t="shared" si="43"/>
        <v>-0.78321871878440885</v>
      </c>
      <c r="N329">
        <f t="shared" si="44"/>
        <v>4.5861405978267182</v>
      </c>
    </row>
    <row r="330" spans="10:14" x14ac:dyDescent="0.25">
      <c r="J330">
        <f t="shared" si="45"/>
        <v>69.25</v>
      </c>
      <c r="K330">
        <f t="shared" si="41"/>
        <v>227.14</v>
      </c>
      <c r="L330">
        <f t="shared" si="42"/>
        <v>-4.5809531282368878</v>
      </c>
      <c r="M330">
        <f t="shared" si="43"/>
        <v>-0.79518983083756489</v>
      </c>
      <c r="N330">
        <f t="shared" si="44"/>
        <v>4.6494578641139235</v>
      </c>
    </row>
    <row r="331" spans="10:14" x14ac:dyDescent="0.25">
      <c r="J331">
        <f t="shared" si="45"/>
        <v>69.5</v>
      </c>
      <c r="K331">
        <f t="shared" si="41"/>
        <v>227.95999999999998</v>
      </c>
      <c r="L331">
        <f t="shared" si="42"/>
        <v>-4.6420259722951043</v>
      </c>
      <c r="M331">
        <f t="shared" si="43"/>
        <v>-0.80696661126084712</v>
      </c>
      <c r="N331">
        <f t="shared" si="44"/>
        <v>4.7116451733075282</v>
      </c>
    </row>
    <row r="332" spans="10:14" x14ac:dyDescent="0.25">
      <c r="J332">
        <f t="shared" si="45"/>
        <v>69.75</v>
      </c>
      <c r="K332">
        <f t="shared" si="41"/>
        <v>228.77999999999997</v>
      </c>
      <c r="L332">
        <f t="shared" si="42"/>
        <v>-4.7019723052522497</v>
      </c>
      <c r="M332">
        <f t="shared" si="43"/>
        <v>-0.81854651630938036</v>
      </c>
      <c r="N332">
        <f t="shared" si="44"/>
        <v>4.7726891747442952</v>
      </c>
    </row>
    <row r="333" spans="10:14" x14ac:dyDescent="0.25">
      <c r="J333">
        <f t="shared" si="45"/>
        <v>70</v>
      </c>
      <c r="K333">
        <f t="shared" si="41"/>
        <v>229.6</v>
      </c>
      <c r="L333">
        <f t="shared" si="42"/>
        <v>-4.7607793024362381</v>
      </c>
      <c r="M333">
        <f t="shared" si="43"/>
        <v>-0.82992704997355449</v>
      </c>
      <c r="N333">
        <f t="shared" si="44"/>
        <v>4.8325767945044689</v>
      </c>
    </row>
    <row r="334" spans="10:14" x14ac:dyDescent="0.25">
      <c r="J334">
        <f t="shared" si="45"/>
        <v>70.25</v>
      </c>
      <c r="K334">
        <f t="shared" si="41"/>
        <v>230.42</v>
      </c>
      <c r="L334">
        <f t="shared" si="42"/>
        <v>-4.8184344137174815</v>
      </c>
      <c r="M334">
        <f t="shared" si="43"/>
        <v>-0.84110576451226216</v>
      </c>
      <c r="N334">
        <f t="shared" si="44"/>
        <v>4.8912952381135906</v>
      </c>
    </row>
    <row r="335" spans="10:14" x14ac:dyDescent="0.25">
      <c r="J335">
        <f t="shared" si="45"/>
        <v>70.5</v>
      </c>
      <c r="K335">
        <f t="shared" si="41"/>
        <v>231.23999999999998</v>
      </c>
      <c r="L335">
        <f t="shared" si="42"/>
        <v>-4.8749253661590188</v>
      </c>
      <c r="M335">
        <f t="shared" si="43"/>
        <v>-0.8520802609745175</v>
      </c>
      <c r="N335">
        <f t="shared" si="44"/>
        <v>4.9488319931841538</v>
      </c>
    </row>
    <row r="336" spans="10:14" x14ac:dyDescent="0.25">
      <c r="J336">
        <f t="shared" si="45"/>
        <v>70.75</v>
      </c>
      <c r="K336">
        <f t="shared" si="41"/>
        <v>232.05999999999997</v>
      </c>
      <c r="L336">
        <f t="shared" si="42"/>
        <v>-4.9302401666002424</v>
      </c>
      <c r="M336">
        <f t="shared" si="43"/>
        <v>-0.86284818970933586</v>
      </c>
      <c r="N336">
        <f t="shared" si="44"/>
        <v>5.0051748319956877</v>
      </c>
    </row>
    <row r="337" spans="10:14" x14ac:dyDescent="0.25">
      <c r="J337">
        <f t="shared" si="45"/>
        <v>71</v>
      </c>
      <c r="K337">
        <f t="shared" si="41"/>
        <v>232.88</v>
      </c>
      <c r="L337">
        <f t="shared" si="42"/>
        <v>-4.9843671041737156</v>
      </c>
      <c r="M337">
        <f t="shared" si="43"/>
        <v>-0.87340725086378534</v>
      </c>
      <c r="N337">
        <f t="shared" si="44"/>
        <v>5.0603118140121079</v>
      </c>
    </row>
    <row r="338" spans="10:14" x14ac:dyDescent="0.25">
      <c r="J338">
        <f t="shared" si="45"/>
        <v>71.25</v>
      </c>
      <c r="K338">
        <f t="shared" si="41"/>
        <v>233.7</v>
      </c>
      <c r="L338">
        <f t="shared" si="42"/>
        <v>-5.0372947527545957</v>
      </c>
      <c r="M338">
        <f t="shared" si="43"/>
        <v>-0.88375519486908982</v>
      </c>
      <c r="N338">
        <f t="shared" si="44"/>
        <v>5.1142312883352359</v>
      </c>
    </row>
    <row r="339" spans="10:14" x14ac:dyDescent="0.25">
      <c r="J339">
        <f t="shared" si="45"/>
        <v>71.5</v>
      </c>
      <c r="K339">
        <f t="shared" si="41"/>
        <v>234.51999999999998</v>
      </c>
      <c r="L339">
        <f t="shared" si="42"/>
        <v>-5.0890119733420773</v>
      </c>
      <c r="M339">
        <f t="shared" si="43"/>
        <v>-0.89388982291468033</v>
      </c>
      <c r="N339">
        <f t="shared" si="44"/>
        <v>5.1669218960934042</v>
      </c>
    </row>
    <row r="340" spans="10:14" x14ac:dyDescent="0.25">
      <c r="J340">
        <f t="shared" si="45"/>
        <v>71.75</v>
      </c>
      <c r="K340">
        <f t="shared" si="41"/>
        <v>235.33999999999997</v>
      </c>
      <c r="L340">
        <f t="shared" si="42"/>
        <v>-5.1395079163724509</v>
      </c>
      <c r="M340">
        <f t="shared" si="43"/>
        <v>-0.90380898741011562</v>
      </c>
      <c r="N340">
        <f t="shared" si="44"/>
        <v>5.2183725727642702</v>
      </c>
    </row>
    <row r="341" spans="10:14" x14ac:dyDescent="0.25">
      <c r="J341">
        <f t="shared" si="45"/>
        <v>72</v>
      </c>
      <c r="K341">
        <f t="shared" si="41"/>
        <v>236.16</v>
      </c>
      <c r="L341">
        <f t="shared" si="42"/>
        <v>-5.1887720239632467</v>
      </c>
      <c r="M341">
        <f t="shared" si="43"/>
        <v>-0.91351059243475308</v>
      </c>
      <c r="N341">
        <f t="shared" si="44"/>
        <v>5.2685725504309175</v>
      </c>
    </row>
    <row r="342" spans="10:14" x14ac:dyDescent="0.25">
      <c r="J342">
        <f t="shared" si="45"/>
        <v>72.25</v>
      </c>
      <c r="K342">
        <f t="shared" si="41"/>
        <v>236.98</v>
      </c>
      <c r="L342">
        <f t="shared" si="42"/>
        <v>-5.2367940320880262</v>
      </c>
      <c r="M342">
        <f t="shared" si="43"/>
        <v>-0.92299259417509094</v>
      </c>
      <c r="N342">
        <f t="shared" si="44"/>
        <v>5.317511359970454</v>
      </c>
    </row>
    <row r="343" spans="10:14" x14ac:dyDescent="0.25">
      <c r="J343">
        <f t="shared" si="45"/>
        <v>72.5</v>
      </c>
      <c r="K343">
        <f t="shared" si="41"/>
        <v>237.79999999999998</v>
      </c>
      <c r="L343">
        <f t="shared" si="42"/>
        <v>-5.2835639726814065</v>
      </c>
      <c r="M343">
        <f t="shared" si="43"/>
        <v>-0.93225300134969302</v>
      </c>
      <c r="N343">
        <f t="shared" si="44"/>
        <v>5.365178833174383</v>
      </c>
    </row>
    <row r="344" spans="10:14" x14ac:dyDescent="0.25">
      <c r="J344">
        <f t="shared" si="45"/>
        <v>72.75</v>
      </c>
      <c r="K344">
        <f t="shared" si="41"/>
        <v>238.61999999999998</v>
      </c>
      <c r="L344">
        <f t="shared" si="42"/>
        <v>-5.3290721756738346</v>
      </c>
      <c r="M344">
        <f t="shared" si="43"/>
        <v>-0.94128987562159572</v>
      </c>
      <c r="N344">
        <f t="shared" si="44"/>
        <v>5.4115651047999762</v>
      </c>
    </row>
    <row r="345" spans="10:14" x14ac:dyDescent="0.25">
      <c r="J345">
        <f t="shared" si="45"/>
        <v>73</v>
      </c>
      <c r="K345">
        <f t="shared" si="41"/>
        <v>239.44</v>
      </c>
      <c r="L345">
        <f t="shared" si="42"/>
        <v>-5.3733092709557706</v>
      </c>
      <c r="M345">
        <f t="shared" si="43"/>
        <v>-0.95010133199813085</v>
      </c>
      <c r="N345">
        <f t="shared" si="44"/>
        <v>5.456660614552078</v>
      </c>
    </row>
    <row r="346" spans="10:14" x14ac:dyDescent="0.25">
      <c r="J346">
        <f t="shared" si="45"/>
        <v>73.25</v>
      </c>
      <c r="K346">
        <f t="shared" si="41"/>
        <v>240.26</v>
      </c>
      <c r="L346">
        <f t="shared" si="42"/>
        <v>-5.4162661902708553</v>
      </c>
      <c r="M346">
        <f t="shared" si="43"/>
        <v>-0.9586855392180702</v>
      </c>
      <c r="N346">
        <f t="shared" si="44"/>
        <v>5.5004561089946904</v>
      </c>
    </row>
    <row r="347" spans="10:14" x14ac:dyDescent="0.25">
      <c r="J347">
        <f t="shared" si="45"/>
        <v>73.5</v>
      </c>
      <c r="K347">
        <f t="shared" si="41"/>
        <v>241.07999999999998</v>
      </c>
      <c r="L347">
        <f t="shared" si="42"/>
        <v>-5.4579341690376815</v>
      </c>
      <c r="M347">
        <f t="shared" si="43"/>
        <v>-0.96704072012601772</v>
      </c>
      <c r="N347">
        <f t="shared" si="44"/>
        <v>5.5429426433917657</v>
      </c>
    </row>
    <row r="348" spans="10:14" x14ac:dyDescent="0.25">
      <c r="J348">
        <f t="shared" si="45"/>
        <v>73.75</v>
      </c>
      <c r="K348">
        <f t="shared" si="41"/>
        <v>241.89999999999998</v>
      </c>
      <c r="L348">
        <f t="shared" si="42"/>
        <v>-5.4983047480998417</v>
      </c>
      <c r="M348">
        <f t="shared" si="43"/>
        <v>-0.9751651520339788</v>
      </c>
      <c r="N348">
        <f t="shared" si="44"/>
        <v>5.5841115834767052</v>
      </c>
    </row>
    <row r="349" spans="10:14" x14ac:dyDescent="0.25">
      <c r="J349">
        <f t="shared" si="45"/>
        <v>74</v>
      </c>
      <c r="K349">
        <f t="shared" si="41"/>
        <v>242.72</v>
      </c>
      <c r="L349">
        <f t="shared" si="42"/>
        <v>-5.5373697754038886</v>
      </c>
      <c r="M349">
        <f t="shared" si="43"/>
        <v>-0.9830571670700281</v>
      </c>
      <c r="N349">
        <f t="shared" si="44"/>
        <v>5.6239546071500488</v>
      </c>
    </row>
    <row r="350" spans="10:14" x14ac:dyDescent="0.25">
      <c r="J350">
        <f t="shared" si="45"/>
        <v>74.25</v>
      </c>
      <c r="K350">
        <f t="shared" si="41"/>
        <v>243.54</v>
      </c>
      <c r="L350">
        <f t="shared" si="42"/>
        <v>-5.5751214076048896</v>
      </c>
      <c r="M350">
        <f t="shared" si="43"/>
        <v>-0.99071515251400899</v>
      </c>
      <c r="N350">
        <f t="shared" si="44"/>
        <v>5.6624637061048952</v>
      </c>
    </row>
    <row r="351" spans="10:14" x14ac:dyDescent="0.25">
      <c r="J351">
        <f t="shared" si="45"/>
        <v>74.5</v>
      </c>
      <c r="K351">
        <f t="shared" si="41"/>
        <v>244.35999999999999</v>
      </c>
      <c r="L351">
        <f t="shared" si="42"/>
        <v>-5.6115521115992859</v>
      </c>
      <c r="M351">
        <f t="shared" si="43"/>
        <v>-0.99813755112020319</v>
      </c>
      <c r="N351">
        <f t="shared" si="44"/>
        <v>5.6996311873796399</v>
      </c>
    </row>
    <row r="352" spans="10:14" x14ac:dyDescent="0.25">
      <c r="J352">
        <f t="shared" si="45"/>
        <v>74.75</v>
      </c>
      <c r="K352">
        <f t="shared" si="41"/>
        <v>245.17999999999998</v>
      </c>
      <c r="L352">
        <f t="shared" si="42"/>
        <v>-5.6466546659847578</v>
      </c>
      <c r="M352">
        <f t="shared" si="43"/>
        <v>-1.0053228614269065</v>
      </c>
      <c r="N352">
        <f t="shared" si="44"/>
        <v>5.7354496748376258</v>
      </c>
    </row>
    <row r="353" spans="10:14" x14ac:dyDescent="0.25">
      <c r="J353">
        <f t="shared" si="45"/>
        <v>75</v>
      </c>
      <c r="K353">
        <f t="shared" si="41"/>
        <v>245.99999999999997</v>
      </c>
      <c r="L353">
        <f t="shared" si="42"/>
        <v>-5.680422162446801</v>
      </c>
      <c r="M353">
        <f t="shared" si="43"/>
        <v>-1.0122696380528331</v>
      </c>
      <c r="N353">
        <f t="shared" si="44"/>
        <v>5.7699121105732978</v>
      </c>
    </row>
    <row r="354" spans="10:14" x14ac:dyDescent="0.25">
      <c r="J354">
        <f t="shared" si="45"/>
        <v>75.25</v>
      </c>
      <c r="K354">
        <f t="shared" si="41"/>
        <v>246.82</v>
      </c>
      <c r="L354">
        <f t="shared" si="42"/>
        <v>-5.7128480070718037</v>
      </c>
      <c r="M354">
        <f t="shared" si="43"/>
        <v>-1.0189764919803308</v>
      </c>
      <c r="N354">
        <f t="shared" si="44"/>
        <v>5.8030117562445822</v>
      </c>
    </row>
    <row r="355" spans="10:14" x14ac:dyDescent="0.25">
      <c r="J355">
        <f t="shared" si="45"/>
        <v>75.5</v>
      </c>
      <c r="K355">
        <f t="shared" si="41"/>
        <v>247.64</v>
      </c>
      <c r="L355">
        <f t="shared" si="42"/>
        <v>-5.7439259215863663</v>
      </c>
      <c r="M355">
        <f t="shared" si="43"/>
        <v>-1.0254420908253148</v>
      </c>
      <c r="N355">
        <f t="shared" si="44"/>
        <v>5.8347421943311248</v>
      </c>
    </row>
    <row r="356" spans="10:14" x14ac:dyDescent="0.25">
      <c r="J356">
        <f t="shared" si="45"/>
        <v>75.75</v>
      </c>
      <c r="K356">
        <f t="shared" si="41"/>
        <v>248.45999999999998</v>
      </c>
      <c r="L356">
        <f t="shared" si="42"/>
        <v>-5.7736499445226226</v>
      </c>
      <c r="M356">
        <f t="shared" si="43"/>
        <v>-1.0316651590938877</v>
      </c>
      <c r="N356">
        <f t="shared" si="44"/>
        <v>5.8650973293180995</v>
      </c>
    </row>
    <row r="357" spans="10:14" x14ac:dyDescent="0.25">
      <c r="J357">
        <f t="shared" si="45"/>
        <v>76</v>
      </c>
      <c r="K357">
        <f t="shared" si="41"/>
        <v>249.27999999999997</v>
      </c>
      <c r="L357">
        <f t="shared" si="42"/>
        <v>-5.8020144323094058</v>
      </c>
      <c r="M357">
        <f t="shared" si="43"/>
        <v>-1.0376444784255985</v>
      </c>
      <c r="N357">
        <f t="shared" si="44"/>
        <v>5.8940713888053455</v>
      </c>
    </row>
    <row r="358" spans="10:14" x14ac:dyDescent="0.25">
      <c r="J358">
        <f t="shared" si="45"/>
        <v>76.25</v>
      </c>
      <c r="K358">
        <f t="shared" si="41"/>
        <v>250.1</v>
      </c>
      <c r="L358">
        <f t="shared" si="42"/>
        <v>-5.8290140602890306</v>
      </c>
      <c r="M358">
        <f t="shared" si="43"/>
        <v>-1.0433788878233001</v>
      </c>
      <c r="N358">
        <f t="shared" si="44"/>
        <v>5.9216589245415507</v>
      </c>
    </row>
    <row r="359" spans="10:14" x14ac:dyDescent="0.25">
      <c r="J359">
        <f t="shared" si="45"/>
        <v>76.5</v>
      </c>
      <c r="K359">
        <f t="shared" si="41"/>
        <v>250.92</v>
      </c>
      <c r="L359">
        <f t="shared" si="42"/>
        <v>-5.854643823659563</v>
      </c>
      <c r="M359">
        <f t="shared" si="43"/>
        <v>-1.0488672838695372</v>
      </c>
      <c r="N359">
        <f t="shared" si="44"/>
        <v>5.9478548133833034</v>
      </c>
    </row>
    <row r="360" spans="10:14" x14ac:dyDescent="0.25">
      <c r="J360">
        <f t="shared" si="45"/>
        <v>76.75</v>
      </c>
      <c r="K360">
        <f t="shared" si="41"/>
        <v>251.73999999999998</v>
      </c>
      <c r="L360">
        <f t="shared" si="42"/>
        <v>-5.8788990383423743</v>
      </c>
      <c r="M360">
        <f t="shared" si="43"/>
        <v>-1.054108620929475</v>
      </c>
      <c r="N360">
        <f t="shared" si="44"/>
        <v>5.9726542581787481</v>
      </c>
    </row>
    <row r="361" spans="10:14" x14ac:dyDescent="0.25">
      <c r="J361">
        <f t="shared" si="45"/>
        <v>77</v>
      </c>
      <c r="K361">
        <f t="shared" si="41"/>
        <v>252.55999999999997</v>
      </c>
      <c r="L361">
        <f t="shared" si="42"/>
        <v>-5.9017753417749095</v>
      </c>
      <c r="M361">
        <f t="shared" si="43"/>
        <v>-1.0591019113402873</v>
      </c>
      <c r="N361">
        <f t="shared" si="44"/>
        <v>5.9960527885757475</v>
      </c>
    </row>
    <row r="362" spans="10:14" x14ac:dyDescent="0.25">
      <c r="J362">
        <f t="shared" si="45"/>
        <v>77.25</v>
      </c>
      <c r="K362">
        <f t="shared" si="41"/>
        <v>253.38</v>
      </c>
      <c r="L362">
        <f t="shared" si="42"/>
        <v>-5.9232686936285184</v>
      </c>
      <c r="M362">
        <f t="shared" si="43"/>
        <v>-1.0638462255869996</v>
      </c>
      <c r="N362">
        <f t="shared" si="44"/>
        <v>6.0180462617543409</v>
      </c>
    </row>
    <row r="363" spans="10:14" x14ac:dyDescent="0.25">
      <c r="J363">
        <f t="shared" si="45"/>
        <v>77.5</v>
      </c>
      <c r="K363">
        <f t="shared" si="41"/>
        <v>254.2</v>
      </c>
      <c r="L363">
        <f t="shared" si="42"/>
        <v>-5.9433753764512272</v>
      </c>
      <c r="M363">
        <f t="shared" si="43"/>
        <v>-1.0683406924647538</v>
      </c>
      <c r="N363">
        <f t="shared" si="44"/>
        <v>6.0386308630833554</v>
      </c>
    </row>
    <row r="364" spans="10:14" x14ac:dyDescent="0.25">
      <c r="J364">
        <f t="shared" si="45"/>
        <v>77.75</v>
      </c>
      <c r="K364">
        <f t="shared" si="41"/>
        <v>255.01999999999998</v>
      </c>
      <c r="L364">
        <f t="shared" si="42"/>
        <v>-5.9620919962354435</v>
      </c>
      <c r="M364">
        <f t="shared" si="43"/>
        <v>-1.0725844992274525</v>
      </c>
      <c r="N364">
        <f t="shared" si="44"/>
        <v>6.0578031067011198</v>
      </c>
    </row>
    <row r="365" spans="10:14" x14ac:dyDescent="0.25">
      <c r="J365">
        <f t="shared" si="45"/>
        <v>78</v>
      </c>
      <c r="K365">
        <f t="shared" si="41"/>
        <v>255.83999999999997</v>
      </c>
      <c r="L365">
        <f t="shared" si="42"/>
        <v>-5.9794154829104542</v>
      </c>
      <c r="M365">
        <f t="shared" si="43"/>
        <v>-1.0765768917227954</v>
      </c>
      <c r="N365">
        <f t="shared" si="44"/>
        <v>6.0755598360201155</v>
      </c>
    </row>
    <row r="366" spans="10:14" x14ac:dyDescent="0.25">
      <c r="J366">
        <f t="shared" si="45"/>
        <v>78.25</v>
      </c>
      <c r="K366">
        <f t="shared" si="41"/>
        <v>256.65999999999997</v>
      </c>
      <c r="L366">
        <f t="shared" si="42"/>
        <v>-5.9953430907597092</v>
      </c>
      <c r="M366">
        <f t="shared" si="43"/>
        <v>-1.0803171745136535</v>
      </c>
      <c r="N366">
        <f t="shared" si="44"/>
        <v>6.0918982241555337</v>
      </c>
    </row>
    <row r="367" spans="10:14" x14ac:dyDescent="0.25">
      <c r="J367">
        <f t="shared" si="45"/>
        <v>78.5</v>
      </c>
      <c r="K367">
        <f t="shared" si="41"/>
        <v>257.47999999999996</v>
      </c>
      <c r="L367">
        <f t="shared" si="42"/>
        <v>-6.0098723987628606</v>
      </c>
      <c r="M367">
        <f t="shared" si="43"/>
        <v>-1.0838047109857838</v>
      </c>
      <c r="N367">
        <f t="shared" si="44"/>
        <v>6.106815774277675</v>
      </c>
    </row>
    <row r="368" spans="10:14" x14ac:dyDescent="0.25">
      <c r="J368">
        <f t="shared" si="45"/>
        <v>78.75</v>
      </c>
      <c r="K368">
        <f t="shared" si="41"/>
        <v>258.3</v>
      </c>
      <c r="L368">
        <f t="shared" si="42"/>
        <v>-6.0230013108625426</v>
      </c>
      <c r="M368">
        <f t="shared" si="43"/>
        <v>-1.0870389234418711</v>
      </c>
      <c r="N368">
        <f t="shared" si="44"/>
        <v>6.1203103198881648</v>
      </c>
    </row>
    <row r="369" spans="10:14" x14ac:dyDescent="0.25">
      <c r="J369">
        <f t="shared" si="45"/>
        <v>79</v>
      </c>
      <c r="K369">
        <f t="shared" si="41"/>
        <v>259.12</v>
      </c>
      <c r="L369">
        <f t="shared" si="42"/>
        <v>-6.0347280561558874</v>
      </c>
      <c r="M369">
        <f t="shared" si="43"/>
        <v>-1.0900192931818831</v>
      </c>
      <c r="N369">
        <f t="shared" si="44"/>
        <v>6.1323800250199554</v>
      </c>
    </row>
    <row r="370" spans="10:14" x14ac:dyDescent="0.25">
      <c r="J370">
        <f t="shared" si="45"/>
        <v>79.25</v>
      </c>
      <c r="K370">
        <f t="shared" si="41"/>
        <v>259.94</v>
      </c>
      <c r="L370">
        <f t="shared" si="42"/>
        <v>-6.045051189010815</v>
      </c>
      <c r="M370">
        <f t="shared" si="43"/>
        <v>-1.0927453605697315</v>
      </c>
      <c r="N370">
        <f t="shared" si="44"/>
        <v>6.1430233843611353</v>
      </c>
    </row>
    <row r="371" spans="10:14" x14ac:dyDescent="0.25">
      <c r="J371">
        <f t="shared" si="45"/>
        <v>79.5</v>
      </c>
      <c r="K371">
        <f t="shared" si="41"/>
        <v>260.76</v>
      </c>
      <c r="L371">
        <f t="shared" si="42"/>
        <v>-6.0539695891071377</v>
      </c>
      <c r="M371">
        <f t="shared" si="43"/>
        <v>-1.0952167250862439</v>
      </c>
      <c r="N371">
        <f t="shared" si="44"/>
        <v>6.1522392233025753</v>
      </c>
    </row>
    <row r="372" spans="10:14" x14ac:dyDescent="0.25">
      <c r="J372">
        <f t="shared" si="45"/>
        <v>79.75</v>
      </c>
      <c r="K372">
        <f t="shared" si="41"/>
        <v>261.58</v>
      </c>
      <c r="L372">
        <f t="shared" si="42"/>
        <v>-6.0614824614025178</v>
      </c>
      <c r="M372">
        <f t="shared" si="43"/>
        <v>-1.097433045368436</v>
      </c>
      <c r="N372">
        <f t="shared" si="44"/>
        <v>6.1600266979094309</v>
      </c>
    </row>
    <row r="373" spans="10:14" x14ac:dyDescent="0.25">
      <c r="J373">
        <f t="shared" si="45"/>
        <v>80</v>
      </c>
      <c r="K373">
        <f t="shared" ref="K373:K436" si="46">J373*3.28</f>
        <v>262.39999999999998</v>
      </c>
      <c r="L373">
        <f t="shared" ref="L373:L436" si="47">$Y$7*EXP($Y$11*(J373-$Y$4))*COS(PI()/180*($Y$8+$Y$5*(J373-$Y$4)))+$Y$9*EXP($Y$12*(J373-$Y$4))*COS(PI()/180*($Y$10+$Y$6*(J373-$Y$4)))</f>
        <v>-6.0675893360233903</v>
      </c>
      <c r="M373">
        <f t="shared" ref="M373:M436" si="48">$Y$13+$Y$7*EXP($Y$11*(J373-$Y$4))*SIN(PI()/180*($Y$8+$Y$5*(J373-$Y$4)))+$Y$9*EXP($Y$12*(J373-$Y$4))*SIN(PI()/180*($Y$10+$Y$6*(J373-$Y$4)))</f>
        <v>-1.0993940392351031</v>
      </c>
      <c r="N373">
        <f t="shared" ref="N373:N436" si="49">SQRT(L373*L373+M373*M373)</f>
        <v>6.1663852948166031</v>
      </c>
    </row>
    <row r="374" spans="10:14" x14ac:dyDescent="0.25">
      <c r="J374">
        <f t="shared" ref="J374:J437" si="50">J373+$I$52</f>
        <v>80.25</v>
      </c>
      <c r="K374">
        <f t="shared" si="46"/>
        <v>263.21999999999997</v>
      </c>
      <c r="L374">
        <f t="shared" si="47"/>
        <v>-6.0722900680808944</v>
      </c>
      <c r="M374">
        <f t="shared" si="48"/>
        <v>-1.1010994836987056</v>
      </c>
      <c r="N374">
        <f t="shared" si="49"/>
        <v>6.1713148310481962</v>
      </c>
    </row>
    <row r="375" spans="10:14" x14ac:dyDescent="0.25">
      <c r="J375">
        <f t="shared" si="50"/>
        <v>80.5</v>
      </c>
      <c r="K375">
        <f t="shared" si="46"/>
        <v>264.03999999999996</v>
      </c>
      <c r="L375">
        <f t="shared" si="47"/>
        <v>-6.0755848374119781</v>
      </c>
      <c r="M375">
        <f t="shared" si="48"/>
        <v>-1.1025492149636067</v>
      </c>
      <c r="N375">
        <f t="shared" si="49"/>
        <v>6.1748154537611244</v>
      </c>
    </row>
    <row r="376" spans="10:14" x14ac:dyDescent="0.25">
      <c r="J376">
        <f t="shared" si="50"/>
        <v>80.75</v>
      </c>
      <c r="K376">
        <f t="shared" si="46"/>
        <v>264.85999999999996</v>
      </c>
      <c r="L376">
        <f t="shared" si="47"/>
        <v>-6.0774741482457548</v>
      </c>
      <c r="M376">
        <f t="shared" si="48"/>
        <v>-1.1037431284106276</v>
      </c>
      <c r="N376">
        <f t="shared" si="49"/>
        <v>6.1768876399129313</v>
      </c>
    </row>
    <row r="377" spans="10:14" x14ac:dyDescent="0.25">
      <c r="J377">
        <f t="shared" si="50"/>
        <v>81</v>
      </c>
      <c r="K377">
        <f t="shared" si="46"/>
        <v>265.68</v>
      </c>
      <c r="L377">
        <f t="shared" si="47"/>
        <v>-6.0779588287952864</v>
      </c>
      <c r="M377">
        <f t="shared" si="48"/>
        <v>-1.1046811785679658</v>
      </c>
      <c r="N377">
        <f t="shared" si="49"/>
        <v>6.1775321958540115</v>
      </c>
    </row>
    <row r="378" spans="10:14" x14ac:dyDescent="0.25">
      <c r="J378">
        <f t="shared" si="50"/>
        <v>81.25</v>
      </c>
      <c r="K378">
        <f t="shared" si="46"/>
        <v>266.5</v>
      </c>
      <c r="L378">
        <f t="shared" si="47"/>
        <v>-6.0770400307749437</v>
      </c>
      <c r="M378">
        <f t="shared" si="48"/>
        <v>-1.1053633790684798</v>
      </c>
      <c r="N378">
        <f t="shared" si="49"/>
        <v>6.1767502568443566</v>
      </c>
    </row>
    <row r="379" spans="10:14" x14ac:dyDescent="0.25">
      <c r="J379">
        <f t="shared" si="50"/>
        <v>81.5</v>
      </c>
      <c r="K379">
        <f t="shared" si="46"/>
        <v>267.32</v>
      </c>
      <c r="L379">
        <f t="shared" si="47"/>
        <v>-6.0747192288435246</v>
      </c>
      <c r="M379">
        <f t="shared" si="48"/>
        <v>-1.1057898025933763</v>
      </c>
      <c r="N379">
        <f t="shared" si="49"/>
        <v>6.1745432864950232</v>
      </c>
    </row>
    <row r="380" spans="10:14" x14ac:dyDescent="0.25">
      <c r="J380">
        <f t="shared" si="50"/>
        <v>81.75</v>
      </c>
      <c r="K380">
        <f t="shared" si="46"/>
        <v>268.14</v>
      </c>
      <c r="L380">
        <f t="shared" si="47"/>
        <v>-6.0709982199733243</v>
      </c>
      <c r="M380">
        <f t="shared" si="48"/>
        <v>-1.1059605808023096</v>
      </c>
      <c r="N380">
        <f t="shared" si="49"/>
        <v>6.1709130761345081</v>
      </c>
    </row>
    <row r="381" spans="10:14" x14ac:dyDescent="0.25">
      <c r="J381">
        <f t="shared" si="50"/>
        <v>82</v>
      </c>
      <c r="K381">
        <f t="shared" si="46"/>
        <v>268.95999999999998</v>
      </c>
      <c r="L381">
        <f t="shared" si="47"/>
        <v>-6.0658791227453612</v>
      </c>
      <c r="M381">
        <f t="shared" si="48"/>
        <v>-1.1058759042499329</v>
      </c>
      <c r="N381">
        <f t="shared" si="49"/>
        <v>6.1658617441002228</v>
      </c>
    </row>
    <row r="382" spans="10:14" x14ac:dyDescent="0.25">
      <c r="J382">
        <f t="shared" si="50"/>
        <v>82.25</v>
      </c>
      <c r="K382">
        <f t="shared" si="46"/>
        <v>269.77999999999997</v>
      </c>
      <c r="L382">
        <f t="shared" si="47"/>
        <v>-6.059364376571013</v>
      </c>
      <c r="M382">
        <f t="shared" si="48"/>
        <v>-1.1055360222889299</v>
      </c>
      <c r="N382">
        <f t="shared" si="49"/>
        <v>6.1593917349553475</v>
      </c>
    </row>
    <row r="383" spans="10:14" x14ac:dyDescent="0.25">
      <c r="J383">
        <f t="shared" si="50"/>
        <v>82.5</v>
      </c>
      <c r="K383">
        <f t="shared" si="46"/>
        <v>270.59999999999997</v>
      </c>
      <c r="L383">
        <f t="shared" si="47"/>
        <v>-6.051456740840278</v>
      </c>
      <c r="M383">
        <f t="shared" si="48"/>
        <v>-1.1049412429595575</v>
      </c>
      <c r="N383">
        <f t="shared" si="49"/>
        <v>6.1515058186312599</v>
      </c>
    </row>
    <row r="384" spans="10:14" x14ac:dyDescent="0.25">
      <c r="J384">
        <f t="shared" si="50"/>
        <v>82.75</v>
      </c>
      <c r="K384">
        <f t="shared" si="46"/>
        <v>271.41999999999996</v>
      </c>
      <c r="L384">
        <f t="shared" si="47"/>
        <v>-6.042159293996944</v>
      </c>
      <c r="M384">
        <f t="shared" si="48"/>
        <v>-1.1040919328657484</v>
      </c>
      <c r="N384">
        <f t="shared" si="49"/>
        <v>6.1422070894958329</v>
      </c>
    </row>
    <row r="385" spans="10:14" x14ac:dyDescent="0.25">
      <c r="J385">
        <f t="shared" si="50"/>
        <v>83</v>
      </c>
      <c r="K385">
        <f t="shared" si="46"/>
        <v>272.24</v>
      </c>
      <c r="L385">
        <f t="shared" si="47"/>
        <v>-6.0314754325409341</v>
      </c>
      <c r="M385">
        <f t="shared" si="48"/>
        <v>-1.1029885170377887</v>
      </c>
      <c r="N385">
        <f t="shared" si="49"/>
        <v>6.1314989653478751</v>
      </c>
    </row>
    <row r="386" spans="10:14" x14ac:dyDescent="0.25">
      <c r="J386">
        <f t="shared" si="50"/>
        <v>83.25</v>
      </c>
      <c r="K386">
        <f t="shared" si="46"/>
        <v>273.06</v>
      </c>
      <c r="L386">
        <f t="shared" si="47"/>
        <v>-6.0194088699581441</v>
      </c>
      <c r="M386">
        <f t="shared" si="48"/>
        <v>-1.1016314787816548</v>
      </c>
      <c r="N386">
        <f t="shared" si="49"/>
        <v>6.1193851863380386</v>
      </c>
    </row>
    <row r="387" spans="10:14" x14ac:dyDescent="0.25">
      <c r="J387">
        <f t="shared" si="50"/>
        <v>83.5</v>
      </c>
      <c r="K387">
        <f t="shared" si="46"/>
        <v>273.88</v>
      </c>
      <c r="L387">
        <f t="shared" si="47"/>
        <v>-6.0059636355780448</v>
      </c>
      <c r="M387">
        <f t="shared" si="48"/>
        <v>-1.1000213595150163</v>
      </c>
      <c r="N387">
        <f t="shared" si="49"/>
        <v>6.1058698138164642</v>
      </c>
    </row>
    <row r="388" spans="10:14" x14ac:dyDescent="0.25">
      <c r="J388">
        <f t="shared" si="50"/>
        <v>83.75</v>
      </c>
      <c r="K388">
        <f t="shared" si="46"/>
        <v>274.7</v>
      </c>
      <c r="L388">
        <f t="shared" si="47"/>
        <v>-5.991144073359429</v>
      </c>
      <c r="M388">
        <f t="shared" si="48"/>
        <v>-1.0981587585899792</v>
      </c>
      <c r="N388">
        <f t="shared" si="49"/>
        <v>6.0909572291075635</v>
      </c>
    </row>
    <row r="389" spans="10:14" x14ac:dyDescent="0.25">
      <c r="J389">
        <f t="shared" si="50"/>
        <v>84</v>
      </c>
      <c r="K389">
        <f t="shared" si="46"/>
        <v>275.52</v>
      </c>
      <c r="L389">
        <f t="shared" si="47"/>
        <v>-5.9749548406045951</v>
      </c>
      <c r="M389">
        <f t="shared" si="48"/>
        <v>-1.0960443331026131</v>
      </c>
      <c r="N389">
        <f t="shared" si="49"/>
        <v>6.0746521322122335</v>
      </c>
    </row>
    <row r="390" spans="10:14" x14ac:dyDescent="0.25">
      <c r="J390">
        <f t="shared" si="50"/>
        <v>84.25</v>
      </c>
      <c r="K390">
        <f t="shared" si="46"/>
        <v>276.33999999999997</v>
      </c>
      <c r="L390">
        <f t="shared" si="47"/>
        <v>-5.9574009066023796</v>
      </c>
      <c r="M390">
        <f t="shared" si="48"/>
        <v>-1.0936787976893185</v>
      </c>
      <c r="N390">
        <f t="shared" si="49"/>
        <v>6.0569595404379255</v>
      </c>
    </row>
    <row r="391" spans="10:14" x14ac:dyDescent="0.25">
      <c r="J391">
        <f t="shared" si="50"/>
        <v>84.5</v>
      </c>
      <c r="K391">
        <f t="shared" si="46"/>
        <v>277.15999999999997</v>
      </c>
      <c r="L391">
        <f t="shared" si="47"/>
        <v>-5.9384875512003745</v>
      </c>
      <c r="M391">
        <f t="shared" si="48"/>
        <v>-1.0910629243101</v>
      </c>
      <c r="N391">
        <f t="shared" si="49"/>
        <v>6.0378847869569299</v>
      </c>
    </row>
    <row r="392" spans="10:14" x14ac:dyDescent="0.25">
      <c r="J392">
        <f t="shared" si="50"/>
        <v>84.75</v>
      </c>
      <c r="K392">
        <f t="shared" si="46"/>
        <v>277.97999999999996</v>
      </c>
      <c r="L392">
        <f t="shared" si="47"/>
        <v>-5.9182203633067401</v>
      </c>
      <c r="M392">
        <f t="shared" si="48"/>
        <v>-1.0881975420187944</v>
      </c>
      <c r="N392">
        <f t="shared" si="49"/>
        <v>6.01743351929328</v>
      </c>
    </row>
    <row r="393" spans="10:14" x14ac:dyDescent="0.25">
      <c r="J393">
        <f t="shared" si="50"/>
        <v>85</v>
      </c>
      <c r="K393">
        <f t="shared" si="46"/>
        <v>278.8</v>
      </c>
      <c r="L393">
        <f t="shared" si="47"/>
        <v>-5.8966052393220378</v>
      </c>
      <c r="M393">
        <f t="shared" si="48"/>
        <v>-1.0850835367203309</v>
      </c>
      <c r="N393">
        <f t="shared" si="49"/>
        <v>5.9956116977387399</v>
      </c>
    </row>
    <row r="394" spans="10:14" x14ac:dyDescent="0.25">
      <c r="J394">
        <f t="shared" si="50"/>
        <v>85.25</v>
      </c>
      <c r="K394">
        <f t="shared" si="46"/>
        <v>279.62</v>
      </c>
      <c r="L394">
        <f t="shared" si="47"/>
        <v>-5.8736483815014697</v>
      </c>
      <c r="M394">
        <f t="shared" si="48"/>
        <v>-1.0817218509150901</v>
      </c>
      <c r="N394">
        <f t="shared" si="49"/>
        <v>5.9724255936982598</v>
      </c>
    </row>
    <row r="395" spans="10:14" x14ac:dyDescent="0.25">
      <c r="J395">
        <f t="shared" si="50"/>
        <v>85.5</v>
      </c>
      <c r="K395">
        <f t="shared" si="46"/>
        <v>280.44</v>
      </c>
      <c r="L395">
        <f t="shared" si="47"/>
        <v>-5.8493562962479961</v>
      </c>
      <c r="M395">
        <f t="shared" si="48"/>
        <v>-1.0781134834304109</v>
      </c>
      <c r="N395">
        <f t="shared" si="49"/>
        <v>5.9478817879654038</v>
      </c>
    </row>
    <row r="396" spans="10:14" x14ac:dyDescent="0.25">
      <c r="J396">
        <f t="shared" si="50"/>
        <v>85.75</v>
      </c>
      <c r="K396">
        <f t="shared" si="46"/>
        <v>281.26</v>
      </c>
      <c r="L396">
        <f t="shared" si="47"/>
        <v>-5.8237357923367963</v>
      </c>
      <c r="M396">
        <f t="shared" si="48"/>
        <v>-1.0742594891393615</v>
      </c>
      <c r="N396">
        <f t="shared" si="49"/>
        <v>5.9219871689282355</v>
      </c>
    </row>
    <row r="397" spans="10:14" x14ac:dyDescent="0.25">
      <c r="J397">
        <f t="shared" si="50"/>
        <v>86</v>
      </c>
      <c r="K397">
        <f t="shared" si="46"/>
        <v>282.08</v>
      </c>
      <c r="L397">
        <f t="shared" si="47"/>
        <v>-5.7967939790714915</v>
      </c>
      <c r="M397">
        <f t="shared" si="48"/>
        <v>-1.0701609786668063</v>
      </c>
      <c r="N397">
        <f t="shared" si="49"/>
        <v>5.8947489307060899</v>
      </c>
    </row>
    <row r="398" spans="10:14" x14ac:dyDescent="0.25">
      <c r="J398">
        <f t="shared" si="50"/>
        <v>86.25</v>
      </c>
      <c r="K398">
        <f t="shared" si="46"/>
        <v>282.89999999999998</v>
      </c>
      <c r="L398">
        <f t="shared" si="47"/>
        <v>-5.7685382643726868</v>
      </c>
      <c r="M398">
        <f t="shared" si="48"/>
        <v>-1.0658191180828753</v>
      </c>
      <c r="N398">
        <f t="shared" si="49"/>
        <v>5.8661745712178401</v>
      </c>
    </row>
    <row r="399" spans="10:14" x14ac:dyDescent="0.25">
      <c r="J399">
        <f t="shared" si="50"/>
        <v>86.5</v>
      </c>
      <c r="K399">
        <f t="shared" si="46"/>
        <v>283.71999999999997</v>
      </c>
      <c r="L399">
        <f t="shared" si="47"/>
        <v>-5.7389763527992717</v>
      </c>
      <c r="M399">
        <f t="shared" si="48"/>
        <v>-1.0612351285839083</v>
      </c>
      <c r="N399">
        <f t="shared" si="49"/>
        <v>5.8362718901820996</v>
      </c>
    </row>
    <row r="400" spans="10:14" x14ac:dyDescent="0.25">
      <c r="J400">
        <f t="shared" si="50"/>
        <v>86.75</v>
      </c>
      <c r="K400">
        <f t="shared" si="46"/>
        <v>284.53999999999996</v>
      </c>
      <c r="L400">
        <f t="shared" si="47"/>
        <v>-5.7081162435030492</v>
      </c>
      <c r="M400">
        <f t="shared" si="48"/>
        <v>-1.0564102861609632</v>
      </c>
      <c r="N400">
        <f t="shared" si="49"/>
        <v>5.8050489870499842</v>
      </c>
    </row>
    <row r="401" spans="10:14" x14ac:dyDescent="0.25">
      <c r="J401">
        <f t="shared" si="50"/>
        <v>87</v>
      </c>
      <c r="K401">
        <f t="shared" si="46"/>
        <v>285.35999999999996</v>
      </c>
      <c r="L401">
        <f t="shared" si="47"/>
        <v>-5.6759662281171845</v>
      </c>
      <c r="M401">
        <f t="shared" si="48"/>
        <v>-1.0513459212559697</v>
      </c>
      <c r="N401">
        <f t="shared" si="49"/>
        <v>5.7725142588709453</v>
      </c>
    </row>
    <row r="402" spans="10:14" x14ac:dyDescent="0.25">
      <c r="J402">
        <f t="shared" si="50"/>
        <v>87.25</v>
      </c>
      <c r="K402">
        <f t="shared" si="46"/>
        <v>286.18</v>
      </c>
      <c r="L402">
        <f t="shared" si="47"/>
        <v>-5.6425348885790294</v>
      </c>
      <c r="M402">
        <f t="shared" si="48"/>
        <v>-1.0460434184056266</v>
      </c>
      <c r="N402">
        <f t="shared" si="49"/>
        <v>5.7386763980922719</v>
      </c>
    </row>
    <row r="403" spans="10:14" x14ac:dyDescent="0.25">
      <c r="J403">
        <f t="shared" si="50"/>
        <v>87.5</v>
      </c>
      <c r="K403">
        <f t="shared" si="46"/>
        <v>287</v>
      </c>
      <c r="L403">
        <f t="shared" si="47"/>
        <v>-5.6078310948879224</v>
      </c>
      <c r="M403">
        <f t="shared" si="48"/>
        <v>-1.040504215873127</v>
      </c>
      <c r="N403">
        <f t="shared" si="49"/>
        <v>5.7035443902929019</v>
      </c>
    </row>
    <row r="404" spans="10:14" x14ac:dyDescent="0.25">
      <c r="J404">
        <f t="shared" si="50"/>
        <v>87.75</v>
      </c>
      <c r="K404">
        <f t="shared" si="46"/>
        <v>287.82</v>
      </c>
      <c r="L404">
        <f t="shared" si="47"/>
        <v>-5.5718640027984776</v>
      </c>
      <c r="M404">
        <f t="shared" si="48"/>
        <v>-1.034729805267826</v>
      </c>
      <c r="N404">
        <f t="shared" si="49"/>
        <v>5.6671275118521081</v>
      </c>
    </row>
    <row r="405" spans="10:14" x14ac:dyDescent="0.25">
      <c r="J405">
        <f t="shared" si="50"/>
        <v>88</v>
      </c>
      <c r="K405">
        <f t="shared" si="46"/>
        <v>288.64</v>
      </c>
      <c r="L405">
        <f t="shared" si="47"/>
        <v>-5.53464305144999</v>
      </c>
      <c r="M405">
        <f t="shared" si="48"/>
        <v>-1.0287217311529084</v>
      </c>
      <c r="N405">
        <f t="shared" si="49"/>
        <v>5.6294353275537228</v>
      </c>
    </row>
    <row r="406" spans="10:14" x14ac:dyDescent="0.25">
      <c r="J406">
        <f t="shared" si="50"/>
        <v>88.25</v>
      </c>
      <c r="K406">
        <f t="shared" si="46"/>
        <v>289.45999999999998</v>
      </c>
      <c r="L406">
        <f t="shared" si="47"/>
        <v>-5.4961779609325809</v>
      </c>
      <c r="M406">
        <f t="shared" si="48"/>
        <v>-1.0224815906412208</v>
      </c>
      <c r="N406">
        <f t="shared" si="49"/>
        <v>5.5904776881265903</v>
      </c>
    </row>
    <row r="407" spans="10:14" x14ac:dyDescent="0.25">
      <c r="J407">
        <f t="shared" si="50"/>
        <v>88.5</v>
      </c>
      <c r="K407">
        <f t="shared" si="46"/>
        <v>290.27999999999997</v>
      </c>
      <c r="L407">
        <f t="shared" si="47"/>
        <v>-5.4564787297906454</v>
      </c>
      <c r="M407">
        <f t="shared" si="48"/>
        <v>-1.0160110329793093</v>
      </c>
      <c r="N407">
        <f t="shared" si="49"/>
        <v>5.5502647277218609</v>
      </c>
    </row>
    <row r="408" spans="10:14" x14ac:dyDescent="0.25">
      <c r="J408">
        <f t="shared" si="50"/>
        <v>88.75</v>
      </c>
      <c r="K408">
        <f t="shared" si="46"/>
        <v>291.09999999999997</v>
      </c>
      <c r="L408">
        <f t="shared" si="47"/>
        <v>-5.4155556324642902</v>
      </c>
      <c r="M408">
        <f t="shared" si="48"/>
        <v>-1.0093117591198077</v>
      </c>
      <c r="N408">
        <f t="shared" si="49"/>
        <v>5.508806861327888</v>
      </c>
    </row>
    <row r="409" spans="10:14" x14ac:dyDescent="0.25">
      <c r="J409">
        <f t="shared" si="50"/>
        <v>89</v>
      </c>
      <c r="K409">
        <f t="shared" si="46"/>
        <v>291.91999999999996</v>
      </c>
      <c r="L409">
        <f t="shared" si="47"/>
        <v>-5.3734192166693608</v>
      </c>
      <c r="M409">
        <f t="shared" si="48"/>
        <v>-1.0023855212822776</v>
      </c>
      <c r="N409">
        <f t="shared" si="49"/>
        <v>5.4661147821233973</v>
      </c>
    </row>
    <row r="410" spans="10:14" x14ac:dyDescent="0.25">
      <c r="J410">
        <f t="shared" si="50"/>
        <v>89.25</v>
      </c>
      <c r="K410">
        <f t="shared" si="46"/>
        <v>292.74</v>
      </c>
      <c r="L410">
        <f t="shared" si="47"/>
        <v>-5.3300803007167818</v>
      </c>
      <c r="M410">
        <f t="shared" si="48"/>
        <v>-0.99523412250259657</v>
      </c>
      <c r="N410">
        <f t="shared" si="49"/>
        <v>5.4221994587697173</v>
      </c>
    </row>
    <row r="411" spans="10:14" x14ac:dyDescent="0.25">
      <c r="J411">
        <f t="shared" si="50"/>
        <v>89.5</v>
      </c>
      <c r="K411">
        <f t="shared" si="46"/>
        <v>293.56</v>
      </c>
      <c r="L411">
        <f t="shared" si="47"/>
        <v>-5.2855499707718074</v>
      </c>
      <c r="M411">
        <f t="shared" si="48"/>
        <v>-0.98785941617103723</v>
      </c>
      <c r="N411">
        <f t="shared" si="49"/>
        <v>5.3770721326427857</v>
      </c>
    </row>
    <row r="412" spans="10:14" x14ac:dyDescent="0.25">
      <c r="J412">
        <f t="shared" si="50"/>
        <v>89.75</v>
      </c>
      <c r="K412">
        <f t="shared" si="46"/>
        <v>294.38</v>
      </c>
      <c r="L412">
        <f t="shared" si="47"/>
        <v>-5.2398395780539069</v>
      </c>
      <c r="M412">
        <f t="shared" si="48"/>
        <v>-0.98026330555912422</v>
      </c>
      <c r="N412">
        <f t="shared" si="49"/>
        <v>5.3307443150057239</v>
      </c>
    </row>
    <row r="413" spans="10:14" x14ac:dyDescent="0.25">
      <c r="J413">
        <f t="shared" si="50"/>
        <v>90</v>
      </c>
      <c r="K413">
        <f t="shared" si="46"/>
        <v>295.2</v>
      </c>
      <c r="L413">
        <f t="shared" si="47"/>
        <v>-5.1929607359780192</v>
      </c>
      <c r="M413">
        <f t="shared" si="48"/>
        <v>-0.97244774333541395</v>
      </c>
      <c r="N413">
        <f t="shared" si="49"/>
        <v>5.2832277841228379</v>
      </c>
    </row>
    <row r="414" spans="10:14" x14ac:dyDescent="0.25">
      <c r="J414">
        <f t="shared" si="50"/>
        <v>90.25</v>
      </c>
      <c r="K414">
        <f t="shared" si="46"/>
        <v>296.02</v>
      </c>
      <c r="L414">
        <f t="shared" si="47"/>
        <v>-5.1449253172378207</v>
      </c>
      <c r="M414">
        <f t="shared" si="48"/>
        <v>-0.96441473107029596</v>
      </c>
      <c r="N414">
        <f t="shared" si="49"/>
        <v>5.2345345823158036</v>
      </c>
    </row>
    <row r="415" spans="10:14" x14ac:dyDescent="0.25">
      <c r="J415">
        <f t="shared" si="50"/>
        <v>90.5</v>
      </c>
      <c r="K415">
        <f t="shared" si="46"/>
        <v>296.83999999999997</v>
      </c>
      <c r="L415">
        <f t="shared" si="47"/>
        <v>-5.0957454508317568</v>
      </c>
      <c r="M415">
        <f t="shared" si="48"/>
        <v>-0.95616631872995717</v>
      </c>
      <c r="N415">
        <f t="shared" si="49"/>
        <v>5.1846770129629229</v>
      </c>
    </row>
    <row r="416" spans="10:14" x14ac:dyDescent="0.25">
      <c r="J416">
        <f t="shared" si="50"/>
        <v>90.75</v>
      </c>
      <c r="K416">
        <f t="shared" si="46"/>
        <v>297.65999999999997</v>
      </c>
      <c r="L416">
        <f t="shared" si="47"/>
        <v>-5.0454335190326276</v>
      </c>
      <c r="M416">
        <f t="shared" si="48"/>
        <v>-0.94770460415963287</v>
      </c>
      <c r="N416">
        <f t="shared" si="49"/>
        <v>5.1336676374423904</v>
      </c>
    </row>
    <row r="417" spans="10:14" x14ac:dyDescent="0.25">
      <c r="J417">
        <f t="shared" si="50"/>
        <v>91</v>
      </c>
      <c r="K417">
        <f t="shared" si="46"/>
        <v>298.47999999999996</v>
      </c>
      <c r="L417">
        <f t="shared" si="47"/>
        <v>-4.994002154301393</v>
      </c>
      <c r="M417">
        <f t="shared" si="48"/>
        <v>-0.93903173255625982</v>
      </c>
      <c r="N417">
        <f t="shared" si="49"/>
        <v>5.0815192720203832</v>
      </c>
    </row>
    <row r="418" spans="10:14" x14ac:dyDescent="0.25">
      <c r="J418">
        <f t="shared" si="50"/>
        <v>91.25</v>
      </c>
      <c r="K418">
        <f t="shared" si="46"/>
        <v>299.29999999999995</v>
      </c>
      <c r="L418">
        <f t="shared" si="47"/>
        <v>-4.9414642361460146</v>
      </c>
      <c r="M418">
        <f t="shared" si="48"/>
        <v>-0.93014989593068487</v>
      </c>
      <c r="N418">
        <f t="shared" si="49"/>
        <v>5.0282449846850126</v>
      </c>
    </row>
    <row r="419" spans="10:14" x14ac:dyDescent="0.25">
      <c r="J419">
        <f t="shared" si="50"/>
        <v>91.5</v>
      </c>
      <c r="K419">
        <f t="shared" si="46"/>
        <v>300.12</v>
      </c>
      <c r="L419">
        <f t="shared" si="47"/>
        <v>-4.8878328879260877</v>
      </c>
      <c r="M419">
        <f t="shared" si="48"/>
        <v>-0.92106133255954492</v>
      </c>
      <c r="N419">
        <f t="shared" si="49"/>
        <v>4.9738580919270552</v>
      </c>
    </row>
    <row r="420" spans="10:14" x14ac:dyDescent="0.25">
      <c r="J420">
        <f t="shared" si="50"/>
        <v>91.75</v>
      </c>
      <c r="K420">
        <f t="shared" si="46"/>
        <v>300.94</v>
      </c>
      <c r="L420">
        <f t="shared" si="47"/>
        <v>-4.8331214736040735</v>
      </c>
      <c r="M420">
        <f t="shared" si="48"/>
        <v>-0.9117683264269536</v>
      </c>
      <c r="N420">
        <f t="shared" si="49"/>
        <v>4.9183721554685365</v>
      </c>
    </row>
    <row r="421" spans="10:14" x14ac:dyDescent="0.25">
      <c r="J421">
        <f t="shared" si="50"/>
        <v>92</v>
      </c>
      <c r="K421">
        <f t="shared" si="46"/>
        <v>301.76</v>
      </c>
      <c r="L421">
        <f t="shared" si="47"/>
        <v>-4.7773435944439067</v>
      </c>
      <c r="M421">
        <f t="shared" si="48"/>
        <v>-0.90227320665615407</v>
      </c>
      <c r="N421">
        <f t="shared" si="49"/>
        <v>4.8618009789401917</v>
      </c>
    </row>
    <row r="422" spans="10:14" x14ac:dyDescent="0.25">
      <c r="J422">
        <f t="shared" si="50"/>
        <v>92.25</v>
      </c>
      <c r="K422">
        <f t="shared" si="46"/>
        <v>302.58</v>
      </c>
      <c r="L422">
        <f t="shared" si="47"/>
        <v>-4.720513085657764</v>
      </c>
      <c r="M422">
        <f t="shared" si="48"/>
        <v>-0.89257834693125004</v>
      </c>
      <c r="N422">
        <f t="shared" si="49"/>
        <v>4.8041586045088795</v>
      </c>
    </row>
    <row r="423" spans="10:14" x14ac:dyDescent="0.25">
      <c r="J423">
        <f t="shared" si="50"/>
        <v>92.5</v>
      </c>
      <c r="K423">
        <f t="shared" si="46"/>
        <v>303.39999999999998</v>
      </c>
      <c r="L423">
        <f t="shared" si="47"/>
        <v>-4.6626440130019029</v>
      </c>
      <c r="M423">
        <f t="shared" si="48"/>
        <v>-0.8826861649091764</v>
      </c>
      <c r="N423">
        <f t="shared" si="49"/>
        <v>4.745459309456205</v>
      </c>
    </row>
    <row r="424" spans="10:14" x14ac:dyDescent="0.25">
      <c r="J424">
        <f t="shared" si="50"/>
        <v>92.75</v>
      </c>
      <c r="K424">
        <f t="shared" si="46"/>
        <v>304.21999999999997</v>
      </c>
      <c r="L424">
        <f t="shared" si="47"/>
        <v>-4.6037506693222969</v>
      </c>
      <c r="M424">
        <f t="shared" si="48"/>
        <v>-0.872599121622049</v>
      </c>
      <c r="N424">
        <f t="shared" si="49"/>
        <v>4.6857176027094365</v>
      </c>
    </row>
    <row r="425" spans="10:14" x14ac:dyDescent="0.25">
      <c r="J425">
        <f t="shared" si="50"/>
        <v>93</v>
      </c>
      <c r="K425">
        <f t="shared" si="46"/>
        <v>305.03999999999996</v>
      </c>
      <c r="L425">
        <f t="shared" si="47"/>
        <v>-4.5438475710509509</v>
      </c>
      <c r="M425">
        <f t="shared" si="48"/>
        <v>-0.86231972087003195</v>
      </c>
      <c r="N425">
        <f t="shared" si="49"/>
        <v>4.6249482213260498</v>
      </c>
    </row>
    <row r="426" spans="10:14" x14ac:dyDescent="0.25">
      <c r="J426">
        <f t="shared" si="50"/>
        <v>93.25</v>
      </c>
      <c r="K426">
        <f t="shared" si="46"/>
        <v>305.85999999999996</v>
      </c>
      <c r="L426">
        <f t="shared" si="47"/>
        <v>-4.4829494546538156</v>
      </c>
      <c r="M426">
        <f t="shared" si="48"/>
        <v>-0.85185050860488709</v>
      </c>
      <c r="N426">
        <f t="shared" si="49"/>
        <v>4.5631661269332886</v>
      </c>
    </row>
    <row r="427" spans="10:14" x14ac:dyDescent="0.25">
      <c r="J427">
        <f t="shared" si="50"/>
        <v>93.5</v>
      </c>
      <c r="K427">
        <f t="shared" si="46"/>
        <v>306.68</v>
      </c>
      <c r="L427">
        <f t="shared" si="47"/>
        <v>-4.4210712730310338</v>
      </c>
      <c r="M427">
        <f t="shared" si="48"/>
        <v>-0.84119407230434717</v>
      </c>
      <c r="N427">
        <f t="shared" si="49"/>
        <v>4.5003865021240355</v>
      </c>
    </row>
    <row r="428" spans="10:14" x14ac:dyDescent="0.25">
      <c r="J428">
        <f t="shared" si="50"/>
        <v>93.75</v>
      </c>
      <c r="K428">
        <f t="shared" si="46"/>
        <v>307.5</v>
      </c>
      <c r="L428">
        <f t="shared" si="47"/>
        <v>-4.3582281918705075</v>
      </c>
      <c r="M428">
        <f t="shared" si="48"/>
        <v>-0.83035304033746193</v>
      </c>
      <c r="N428">
        <f t="shared" si="49"/>
        <v>4.4366247468106366</v>
      </c>
    </row>
    <row r="429" spans="10:14" x14ac:dyDescent="0.25">
      <c r="J429">
        <f t="shared" si="50"/>
        <v>94</v>
      </c>
      <c r="K429">
        <f t="shared" si="46"/>
        <v>308.32</v>
      </c>
      <c r="L429">
        <f t="shared" si="47"/>
        <v>-4.2944355859555996</v>
      </c>
      <c r="M429">
        <f t="shared" si="48"/>
        <v>-0.81933008132106844</v>
      </c>
      <c r="N429">
        <f t="shared" si="49"/>
        <v>4.3718964745381843</v>
      </c>
    </row>
    <row r="430" spans="10:14" x14ac:dyDescent="0.25">
      <c r="J430">
        <f t="shared" si="50"/>
        <v>94.25</v>
      </c>
      <c r="K430">
        <f t="shared" si="46"/>
        <v>309.14</v>
      </c>
      <c r="L430">
        <f t="shared" si="47"/>
        <v>-4.229709035427911</v>
      </c>
      <c r="M430">
        <f t="shared" si="48"/>
        <v>-0.80812790346756969</v>
      </c>
      <c r="N430">
        <f t="shared" si="49"/>
        <v>4.3062175087590964</v>
      </c>
    </row>
    <row r="431" spans="10:14" x14ac:dyDescent="0.25">
      <c r="J431">
        <f t="shared" si="50"/>
        <v>94.5</v>
      </c>
      <c r="K431">
        <f t="shared" si="46"/>
        <v>309.95999999999998</v>
      </c>
      <c r="L431">
        <f t="shared" si="47"/>
        <v>-4.1640643220060145</v>
      </c>
      <c r="M431">
        <f t="shared" si="48"/>
        <v>-0.79674925392414275</v>
      </c>
      <c r="N431">
        <f t="shared" si="49"/>
        <v>4.2396038790707902</v>
      </c>
    </row>
    <row r="432" spans="10:14" x14ac:dyDescent="0.25">
      <c r="J432">
        <f t="shared" si="50"/>
        <v>94.75</v>
      </c>
      <c r="K432">
        <f t="shared" si="46"/>
        <v>310.77999999999997</v>
      </c>
      <c r="L432">
        <f t="shared" si="47"/>
        <v>-4.0975174251610138</v>
      </c>
      <c r="M432">
        <f t="shared" si="48"/>
        <v>-0.78519691810355696</v>
      </c>
      <c r="N432">
        <f t="shared" si="49"/>
        <v>4.1720718174184714</v>
      </c>
    </row>
    <row r="433" spans="10:14" x14ac:dyDescent="0.25">
      <c r="J433">
        <f t="shared" si="50"/>
        <v>95</v>
      </c>
      <c r="K433">
        <f t="shared" si="46"/>
        <v>311.59999999999997</v>
      </c>
      <c r="L433">
        <f t="shared" si="47"/>
        <v>-4.0300845182499634</v>
      </c>
      <c r="M433">
        <f t="shared" si="48"/>
        <v>-0.7734737190067702</v>
      </c>
      <c r="N433">
        <f t="shared" si="49"/>
        <v>4.103637754265379</v>
      </c>
    </row>
    <row r="434" spans="10:14" x14ac:dyDescent="0.25">
      <c r="J434">
        <f t="shared" si="50"/>
        <v>95.25</v>
      </c>
      <c r="K434">
        <f t="shared" si="46"/>
        <v>312.41999999999996</v>
      </c>
      <c r="L434">
        <f t="shared" si="47"/>
        <v>-3.9617819646079706</v>
      </c>
      <c r="M434">
        <f t="shared" si="48"/>
        <v>-0.76158251653743925</v>
      </c>
      <c r="N434">
        <f t="shared" si="49"/>
        <v>4.0343183147327988</v>
      </c>
    </row>
    <row r="435" spans="10:14" x14ac:dyDescent="0.25">
      <c r="J435">
        <f t="shared" si="50"/>
        <v>95.5</v>
      </c>
      <c r="K435">
        <f t="shared" si="46"/>
        <v>313.24</v>
      </c>
      <c r="L435">
        <f t="shared" si="47"/>
        <v>-3.8926263135999282</v>
      </c>
      <c r="M435">
        <f t="shared" si="48"/>
        <v>-0.74952620680854709</v>
      </c>
      <c r="N435">
        <f t="shared" si="49"/>
        <v>3.9641303147125946</v>
      </c>
    </row>
    <row r="436" spans="10:14" x14ac:dyDescent="0.25">
      <c r="J436">
        <f t="shared" si="50"/>
        <v>95.75</v>
      </c>
      <c r="K436">
        <f t="shared" si="46"/>
        <v>314.06</v>
      </c>
      <c r="L436">
        <f t="shared" si="47"/>
        <v>-3.8226342966329367</v>
      </c>
      <c r="M436">
        <f t="shared" si="48"/>
        <v>-0.73730772144128287</v>
      </c>
      <c r="N436">
        <f t="shared" si="49"/>
        <v>3.8930907569553681</v>
      </c>
    </row>
    <row r="437" spans="10:14" x14ac:dyDescent="0.25">
      <c r="J437">
        <f t="shared" si="50"/>
        <v>96</v>
      </c>
      <c r="K437">
        <f t="shared" ref="K437:K500" si="51">J437*3.28</f>
        <v>314.88</v>
      </c>
      <c r="L437">
        <f t="shared" ref="L437:L500" si="52">$Y$7*EXP($Y$11*(J437-$Y$4))*COS(PI()/180*($Y$8+$Y$5*(J437-$Y$4)))+$Y$9*EXP($Y$12*(J437-$Y$4))*COS(PI()/180*($Y$10+$Y$6*(J437-$Y$4)))</f>
        <v>-3.7518228231302175</v>
      </c>
      <c r="M437">
        <f t="shared" ref="M437:M500" si="53">$Y$13+$Y$7*EXP($Y$11*(J437-$Y$4))*SIN(PI()/180*($Y$8+$Y$5*(J437-$Y$4)))+$Y$9*EXP($Y$12*(J437-$Y$4))*SIN(PI()/180*($Y$10+$Y$6*(J437-$Y$4)))</f>
        <v>-0.72493002685636698</v>
      </c>
      <c r="N437">
        <f t="shared" ref="N437:N500" si="54">SQRT(L437*L437+M437*M437)</f>
        <v>3.8212168271374982</v>
      </c>
    </row>
    <row r="438" spans="10:14" x14ac:dyDescent="0.25">
      <c r="J438">
        <f t="shared" ref="J438:J501" si="55">J437+$I$52</f>
        <v>96.25</v>
      </c>
      <c r="K438">
        <f t="shared" si="51"/>
        <v>315.7</v>
      </c>
      <c r="L438">
        <f t="shared" si="52"/>
        <v>-3.6802089764675703</v>
      </c>
      <c r="M438">
        <f t="shared" si="53"/>
        <v>-0.71239612355796567</v>
      </c>
      <c r="N438">
        <f t="shared" si="54"/>
        <v>3.748525889910979</v>
      </c>
    </row>
    <row r="439" spans="10:14" x14ac:dyDescent="0.25">
      <c r="J439">
        <f t="shared" si="55"/>
        <v>96.5</v>
      </c>
      <c r="K439">
        <f t="shared" si="51"/>
        <v>316.52</v>
      </c>
      <c r="L439">
        <f t="shared" si="52"/>
        <v>-3.6078100098733774</v>
      </c>
      <c r="M439">
        <f t="shared" si="53"/>
        <v>-0.69970904541039469</v>
      </c>
      <c r="N439">
        <f t="shared" si="54"/>
        <v>3.6750354849404743</v>
      </c>
    </row>
    <row r="440" spans="10:14" x14ac:dyDescent="0.25">
      <c r="J440">
        <f t="shared" si="55"/>
        <v>96.75</v>
      </c>
      <c r="K440">
        <f t="shared" si="51"/>
        <v>317.33999999999997</v>
      </c>
      <c r="L440">
        <f t="shared" si="52"/>
        <v>-3.534643342293017</v>
      </c>
      <c r="M440">
        <f t="shared" si="53"/>
        <v>-0.68687185890776847</v>
      </c>
      <c r="N440">
        <f t="shared" si="54"/>
        <v>3.6007633229324809</v>
      </c>
    </row>
    <row r="441" spans="10:14" x14ac:dyDescent="0.25">
      <c r="J441">
        <f t="shared" si="55"/>
        <v>97</v>
      </c>
      <c r="K441">
        <f t="shared" si="51"/>
        <v>318.15999999999997</v>
      </c>
      <c r="L441">
        <f t="shared" si="52"/>
        <v>-3.4607265542188039</v>
      </c>
      <c r="M441">
        <f t="shared" si="53"/>
        <v>-0.67388766243676779</v>
      </c>
      <c r="N441">
        <f t="shared" si="54"/>
        <v>3.5257272816625576</v>
      </c>
    </row>
    <row r="442" spans="10:14" x14ac:dyDescent="0.25">
      <c r="J442">
        <f t="shared" si="55"/>
        <v>97.25</v>
      </c>
      <c r="K442">
        <f t="shared" si="51"/>
        <v>318.97999999999996</v>
      </c>
      <c r="L442">
        <f t="shared" si="52"/>
        <v>-3.3860773834863283</v>
      </c>
      <c r="M442">
        <f t="shared" si="53"/>
        <v>-0.66075958553272507</v>
      </c>
      <c r="N442">
        <f t="shared" si="54"/>
        <v>3.4499454020072546</v>
      </c>
    </row>
    <row r="443" spans="10:14" x14ac:dyDescent="0.25">
      <c r="J443">
        <f t="shared" si="55"/>
        <v>97.5</v>
      </c>
      <c r="K443">
        <f t="shared" si="51"/>
        <v>319.79999999999995</v>
      </c>
      <c r="L443">
        <f t="shared" si="52"/>
        <v>-3.3107137210383253</v>
      </c>
      <c r="M443">
        <f t="shared" si="53"/>
        <v>-0.64749078812916894</v>
      </c>
      <c r="N443">
        <f t="shared" si="54"/>
        <v>3.3734358839888401</v>
      </c>
    </row>
    <row r="444" spans="10:14" x14ac:dyDescent="0.25">
      <c r="J444">
        <f t="shared" si="55"/>
        <v>97.75</v>
      </c>
      <c r="K444">
        <f t="shared" si="51"/>
        <v>320.62</v>
      </c>
      <c r="L444">
        <f t="shared" si="52"/>
        <v>-3.2346536066569689</v>
      </c>
      <c r="M444">
        <f t="shared" si="53"/>
        <v>-0.63408445980103956</v>
      </c>
      <c r="N444">
        <f t="shared" si="54"/>
        <v>3.2962170828421042</v>
      </c>
    </row>
    <row r="445" spans="10:14" x14ac:dyDescent="0.25">
      <c r="J445">
        <f t="shared" si="55"/>
        <v>98</v>
      </c>
      <c r="K445">
        <f t="shared" si="51"/>
        <v>321.44</v>
      </c>
      <c r="L445">
        <f t="shared" si="52"/>
        <v>-3.1579152246656212</v>
      </c>
      <c r="M445">
        <f t="shared" si="53"/>
        <v>-0.62054381900173583</v>
      </c>
      <c r="N445">
        <f t="shared" si="54"/>
        <v>3.2183075051144789</v>
      </c>
    </row>
    <row r="446" spans="10:14" x14ac:dyDescent="0.25">
      <c r="J446">
        <f t="shared" si="55"/>
        <v>98.25</v>
      </c>
      <c r="K446">
        <f t="shared" si="51"/>
        <v>322.26</v>
      </c>
      <c r="L446">
        <f t="shared" si="52"/>
        <v>-3.0805168996011645</v>
      </c>
      <c r="M446">
        <f t="shared" si="53"/>
        <v>-0.60687211229418825</v>
      </c>
      <c r="N446">
        <f t="shared" si="54"/>
        <v>3.1397258048130223</v>
      </c>
    </row>
    <row r="447" spans="10:14" x14ac:dyDescent="0.25">
      <c r="J447">
        <f t="shared" si="55"/>
        <v>98.5</v>
      </c>
      <c r="K447">
        <f t="shared" si="51"/>
        <v>323.08</v>
      </c>
      <c r="L447">
        <f t="shared" si="52"/>
        <v>-3.0024770918577799</v>
      </c>
      <c r="M447">
        <f t="shared" si="53"/>
        <v>-0.59307261357613106</v>
      </c>
      <c r="N447">
        <f t="shared" si="54"/>
        <v>3.0604907796144025</v>
      </c>
    </row>
    <row r="448" spans="10:14" x14ac:dyDescent="0.25">
      <c r="J448">
        <f t="shared" si="55"/>
        <v>98.75</v>
      </c>
      <c r="K448">
        <f t="shared" si="51"/>
        <v>323.89999999999998</v>
      </c>
      <c r="L448">
        <f t="shared" si="52"/>
        <v>-2.9238143933033052</v>
      </c>
      <c r="M448">
        <f t="shared" si="53"/>
        <v>-0.57914862329976113</v>
      </c>
      <c r="N448">
        <f t="shared" si="54"/>
        <v>2.9806213671577915</v>
      </c>
    </row>
    <row r="449" spans="10:14" x14ac:dyDescent="0.25">
      <c r="J449">
        <f t="shared" si="55"/>
        <v>99</v>
      </c>
      <c r="K449">
        <f t="shared" si="51"/>
        <v>324.71999999999997</v>
      </c>
      <c r="L449">
        <f t="shared" si="52"/>
        <v>-2.8445475228692296</v>
      </c>
      <c r="M449">
        <f t="shared" si="53"/>
        <v>-0.56510346768596742</v>
      </c>
      <c r="N449">
        <f t="shared" si="54"/>
        <v>2.9001366414450498</v>
      </c>
    </row>
    <row r="450" spans="10:14" x14ac:dyDescent="0.25">
      <c r="J450">
        <f t="shared" si="55"/>
        <v>99.25</v>
      </c>
      <c r="K450">
        <f t="shared" si="51"/>
        <v>325.53999999999996</v>
      </c>
      <c r="L450">
        <f t="shared" si="52"/>
        <v>-2.7646953221152568</v>
      </c>
      <c r="M450">
        <f t="shared" si="53"/>
        <v>-0.55094049793332811</v>
      </c>
      <c r="N450">
        <f t="shared" si="54"/>
        <v>2.819055809378205</v>
      </c>
    </row>
    <row r="451" spans="10:14" x14ac:dyDescent="0.25">
      <c r="J451">
        <f t="shared" si="55"/>
        <v>99.5</v>
      </c>
      <c r="K451">
        <f t="shared" si="51"/>
        <v>326.35999999999996</v>
      </c>
      <c r="L451">
        <f t="shared" si="52"/>
        <v>-2.6842767507696084</v>
      </c>
      <c r="M451">
        <f t="shared" si="53"/>
        <v>-0.53666308942203811</v>
      </c>
      <c r="N451">
        <f t="shared" si="54"/>
        <v>2.7373982074718781</v>
      </c>
    </row>
    <row r="452" spans="10:14" x14ac:dyDescent="0.25">
      <c r="J452">
        <f t="shared" si="55"/>
        <v>99.75</v>
      </c>
      <c r="K452">
        <f t="shared" si="51"/>
        <v>327.18</v>
      </c>
      <c r="L452">
        <f t="shared" si="52"/>
        <v>-2.603310882246002</v>
      </c>
      <c r="M452">
        <f t="shared" si="53"/>
        <v>-0.52227464091298259</v>
      </c>
      <c r="N452">
        <f t="shared" si="54"/>
        <v>2.6551832987877209</v>
      </c>
    </row>
    <row r="453" spans="10:14" x14ac:dyDescent="0.25">
      <c r="J453">
        <f t="shared" si="55"/>
        <v>100</v>
      </c>
      <c r="K453">
        <f t="shared" si="51"/>
        <v>328</v>
      </c>
      <c r="L453">
        <f t="shared" si="52"/>
        <v>-2.5218168991384915</v>
      </c>
      <c r="M453">
        <f t="shared" si="53"/>
        <v>-0.50777857374213564</v>
      </c>
      <c r="N453">
        <f t="shared" si="54"/>
        <v>2.5724306701507182</v>
      </c>
    </row>
    <row r="454" spans="10:14" x14ac:dyDescent="0.25">
      <c r="J454">
        <f t="shared" si="55"/>
        <v>100.25</v>
      </c>
      <c r="K454">
        <f t="shared" si="51"/>
        <v>328.82</v>
      </c>
      <c r="L454">
        <f t="shared" si="52"/>
        <v>-2.4398140886951074</v>
      </c>
      <c r="M454">
        <f t="shared" si="53"/>
        <v>-0.49317833101045583</v>
      </c>
      <c r="N454">
        <f t="shared" si="54"/>
        <v>2.4891600297235605</v>
      </c>
    </row>
    <row r="455" spans="10:14" x14ac:dyDescent="0.25">
      <c r="J455">
        <f t="shared" si="55"/>
        <v>100.5</v>
      </c>
      <c r="K455">
        <f t="shared" si="51"/>
        <v>329.64</v>
      </c>
      <c r="L455">
        <f t="shared" si="52"/>
        <v>-2.3573218382713881</v>
      </c>
      <c r="M455">
        <f t="shared" si="53"/>
        <v>-0.47847737676950697</v>
      </c>
      <c r="N455">
        <f t="shared" si="54"/>
        <v>2.4053912050374313</v>
      </c>
    </row>
    <row r="456" spans="10:14" x14ac:dyDescent="0.25">
      <c r="J456">
        <f t="shared" si="55"/>
        <v>100.75</v>
      </c>
      <c r="K456">
        <f t="shared" si="51"/>
        <v>330.46</v>
      </c>
      <c r="L456">
        <f t="shared" si="52"/>
        <v>-2.2743596307649825</v>
      </c>
      <c r="M456">
        <f t="shared" si="53"/>
        <v>-0.46367919520295908</v>
      </c>
      <c r="N456">
        <f t="shared" si="54"/>
        <v>2.3211441416072143</v>
      </c>
    </row>
    <row r="457" spans="10:14" x14ac:dyDescent="0.25">
      <c r="J457">
        <f t="shared" si="55"/>
        <v>101</v>
      </c>
      <c r="K457">
        <f t="shared" si="51"/>
        <v>331.28</v>
      </c>
      <c r="L457">
        <f t="shared" si="52"/>
        <v>-2.1909470400322073</v>
      </c>
      <c r="M457">
        <f t="shared" si="53"/>
        <v>-0.44878728980419336</v>
      </c>
      <c r="N457">
        <f t="shared" si="54"/>
        <v>2.2364389022988496</v>
      </c>
    </row>
    <row r="458" spans="10:14" x14ac:dyDescent="0.25">
      <c r="J458">
        <f t="shared" si="55"/>
        <v>101.25</v>
      </c>
      <c r="K458">
        <f t="shared" si="51"/>
        <v>332.09999999999997</v>
      </c>
      <c r="L458">
        <f t="shared" si="52"/>
        <v>-2.107103726287769</v>
      </c>
      <c r="M458">
        <f t="shared" si="53"/>
        <v>-0.43380518255017053</v>
      </c>
      <c r="N458">
        <f t="shared" si="54"/>
        <v>2.1512956676717381</v>
      </c>
    </row>
    <row r="459" spans="10:14" x14ac:dyDescent="0.25">
      <c r="J459">
        <f t="shared" si="55"/>
        <v>101.5</v>
      </c>
      <c r="K459">
        <f t="shared" si="51"/>
        <v>332.91999999999996</v>
      </c>
      <c r="L459">
        <f t="shared" si="52"/>
        <v>-2.0228494314887255</v>
      </c>
      <c r="M459">
        <f t="shared" si="53"/>
        <v>-0.41873641307179144</v>
      </c>
      <c r="N459">
        <f t="shared" si="54"/>
        <v>2.0657347375949531</v>
      </c>
    </row>
    <row r="460" spans="10:14" x14ac:dyDescent="0.25">
      <c r="J460">
        <f t="shared" si="55"/>
        <v>101.75</v>
      </c>
      <c r="K460">
        <f t="shared" si="51"/>
        <v>333.73999999999995</v>
      </c>
      <c r="L460">
        <f t="shared" si="52"/>
        <v>-1.9382039747036612</v>
      </c>
      <c r="M460">
        <f t="shared" si="53"/>
        <v>-0.40358453782092818</v>
      </c>
      <c r="N460">
        <f t="shared" si="54"/>
        <v>1.9797765345425233</v>
      </c>
    </row>
    <row r="461" spans="10:14" x14ac:dyDescent="0.25">
      <c r="J461">
        <f t="shared" si="55"/>
        <v>102</v>
      </c>
      <c r="K461">
        <f t="shared" si="51"/>
        <v>334.56</v>
      </c>
      <c r="L461">
        <f t="shared" si="52"/>
        <v>-1.853187247468292</v>
      </c>
      <c r="M461">
        <f t="shared" si="53"/>
        <v>-0.38835312923430898</v>
      </c>
      <c r="N461">
        <f t="shared" si="54"/>
        <v>1.8934416091248192</v>
      </c>
    </row>
    <row r="462" spans="10:14" x14ac:dyDescent="0.25">
      <c r="J462">
        <f t="shared" si="55"/>
        <v>102.25</v>
      </c>
      <c r="K462">
        <f t="shared" si="51"/>
        <v>335.38</v>
      </c>
      <c r="L462">
        <f t="shared" si="52"/>
        <v>-1.7678192091284493</v>
      </c>
      <c r="M462">
        <f t="shared" si="53"/>
        <v>-0.37304577489447199</v>
      </c>
      <c r="N462">
        <f t="shared" si="54"/>
        <v>1.8067506486314466</v>
      </c>
    </row>
    <row r="463" spans="10:14" x14ac:dyDescent="0.25">
      <c r="J463">
        <f t="shared" si="55"/>
        <v>102.5</v>
      </c>
      <c r="K463">
        <f t="shared" si="51"/>
        <v>336.2</v>
      </c>
      <c r="L463">
        <f t="shared" si="52"/>
        <v>-1.682119882171687</v>
      </c>
      <c r="M463">
        <f t="shared" si="53"/>
        <v>-0.35766607668799022</v>
      </c>
      <c r="N463">
        <f t="shared" si="54"/>
        <v>1.7197244896816086</v>
      </c>
    </row>
    <row r="464" spans="10:14" x14ac:dyDescent="0.25">
      <c r="J464">
        <f t="shared" si="55"/>
        <v>102.75</v>
      </c>
      <c r="K464">
        <f t="shared" si="51"/>
        <v>337.02</v>
      </c>
      <c r="L464">
        <f t="shared" si="52"/>
        <v>-1.5961093475484527</v>
      </c>
      <c r="M464">
        <f t="shared" si="53"/>
        <v>-0.34221764996113002</v>
      </c>
      <c r="N464">
        <f t="shared" si="54"/>
        <v>1.6323841365550162</v>
      </c>
    </row>
    <row r="465" spans="10:14" x14ac:dyDescent="0.25">
      <c r="J465">
        <f t="shared" si="55"/>
        <v>103</v>
      </c>
      <c r="K465">
        <f t="shared" si="51"/>
        <v>337.84</v>
      </c>
      <c r="L465">
        <f t="shared" si="52"/>
        <v>-1.5098077399839585</v>
      </c>
      <c r="M465">
        <f t="shared" si="53"/>
        <v>-0.32670412267317461</v>
      </c>
      <c r="N465">
        <f t="shared" si="54"/>
        <v>1.5447507875016984</v>
      </c>
    </row>
    <row r="466" spans="10:14" x14ac:dyDescent="0.25">
      <c r="J466">
        <f t="shared" si="55"/>
        <v>103.25</v>
      </c>
      <c r="K466">
        <f t="shared" si="51"/>
        <v>338.65999999999997</v>
      </c>
      <c r="L466">
        <f t="shared" si="52"/>
        <v>-1.4232352432819275</v>
      </c>
      <c r="M466">
        <f t="shared" si="53"/>
        <v>-0.31112913454759461</v>
      </c>
      <c r="N466">
        <f t="shared" si="54"/>
        <v>1.4568458724532607</v>
      </c>
    </row>
    <row r="467" spans="10:14" x14ac:dyDescent="0.25">
      <c r="J467">
        <f t="shared" si="55"/>
        <v>103.5</v>
      </c>
      <c r="K467">
        <f t="shared" si="51"/>
        <v>339.47999999999996</v>
      </c>
      <c r="L467">
        <f t="shared" si="52"/>
        <v>-1.3364120856211699</v>
      </c>
      <c r="M467">
        <f t="shared" si="53"/>
        <v>-0.29549633622127569</v>
      </c>
      <c r="N467">
        <f t="shared" si="54"/>
        <v>1.3686911073410692</v>
      </c>
    </row>
    <row r="468" spans="10:14" x14ac:dyDescent="0.25">
      <c r="J468">
        <f t="shared" si="55"/>
        <v>103.75</v>
      </c>
      <c r="K468">
        <f t="shared" si="51"/>
        <v>340.29999999999995</v>
      </c>
      <c r="L468">
        <f t="shared" si="52"/>
        <v>-1.2493585348461491</v>
      </c>
      <c r="M468">
        <f t="shared" si="53"/>
        <v>-0.27980938839196945</v>
      </c>
      <c r="N468">
        <f t="shared" si="54"/>
        <v>1.2803085731280581</v>
      </c>
    </row>
    <row r="469" spans="10:14" x14ac:dyDescent="0.25">
      <c r="J469">
        <f t="shared" si="55"/>
        <v>104</v>
      </c>
      <c r="K469">
        <f t="shared" si="51"/>
        <v>341.12</v>
      </c>
      <c r="L469">
        <f t="shared" si="52"/>
        <v>-1.1620948937526965</v>
      </c>
      <c r="M469">
        <f t="shared" si="53"/>
        <v>-0.26407196096421659</v>
      </c>
      <c r="N469">
        <f t="shared" si="54"/>
        <v>1.1917208325163984</v>
      </c>
    </row>
    <row r="470" spans="10:14" x14ac:dyDescent="0.25">
      <c r="J470">
        <f t="shared" si="55"/>
        <v>104.25</v>
      </c>
      <c r="K470">
        <f t="shared" si="51"/>
        <v>341.94</v>
      </c>
      <c r="L470">
        <f t="shared" si="52"/>
        <v>-1.0746414953698034</v>
      </c>
      <c r="M470">
        <f t="shared" si="53"/>
        <v>-0.24828773219389211</v>
      </c>
      <c r="N470">
        <f t="shared" si="54"/>
        <v>1.1029511056835806</v>
      </c>
    </row>
    <row r="471" spans="10:14" x14ac:dyDescent="0.25">
      <c r="J471">
        <f t="shared" si="55"/>
        <v>104.5</v>
      </c>
      <c r="K471">
        <f t="shared" si="51"/>
        <v>342.76</v>
      </c>
      <c r="L471">
        <f t="shared" si="52"/>
        <v>-0.98701869823876265</v>
      </c>
      <c r="M471">
        <f t="shared" si="53"/>
        <v>-0.23246038783160339</v>
      </c>
      <c r="N471">
        <f t="shared" si="54"/>
        <v>1.0140235414346952</v>
      </c>
    </row>
    <row r="472" spans="10:14" x14ac:dyDescent="0.25">
      <c r="J472">
        <f t="shared" si="55"/>
        <v>104.75</v>
      </c>
      <c r="K472">
        <f t="shared" si="51"/>
        <v>343.58</v>
      </c>
      <c r="L472">
        <f t="shared" si="52"/>
        <v>-0.89924688169058598</v>
      </c>
      <c r="M472">
        <f t="shared" si="53"/>
        <v>-0.21659362026512197</v>
      </c>
      <c r="N472">
        <f t="shared" si="54"/>
        <v>0.92496364824234822</v>
      </c>
    </row>
    <row r="473" spans="10:14" x14ac:dyDescent="0.25">
      <c r="J473">
        <f t="shared" si="55"/>
        <v>105</v>
      </c>
      <c r="K473">
        <f t="shared" si="51"/>
        <v>344.4</v>
      </c>
      <c r="L473">
        <f t="shared" si="52"/>
        <v>-0.81134644112295862</v>
      </c>
      <c r="M473">
        <f t="shared" si="53"/>
        <v>-0.20069112766106212</v>
      </c>
      <c r="N473">
        <f t="shared" si="54"/>
        <v>0.83579900469237178</v>
      </c>
    </row>
    <row r="474" spans="10:14" x14ac:dyDescent="0.25">
      <c r="J474">
        <f t="shared" si="55"/>
        <v>105.25</v>
      </c>
      <c r="K474">
        <f t="shared" si="51"/>
        <v>345.21999999999997</v>
      </c>
      <c r="L474">
        <f t="shared" si="52"/>
        <v>-0.72333778327767984</v>
      </c>
      <c r="M474">
        <f t="shared" si="53"/>
        <v>-0.18475661310599278</v>
      </c>
      <c r="N474">
        <f t="shared" si="54"/>
        <v>0.74656048301759537</v>
      </c>
    </row>
    <row r="475" spans="10:14" x14ac:dyDescent="0.25">
      <c r="J475">
        <f t="shared" si="55"/>
        <v>105.5</v>
      </c>
      <c r="K475">
        <f t="shared" si="51"/>
        <v>346.03999999999996</v>
      </c>
      <c r="L475">
        <f t="shared" si="52"/>
        <v>-0.63524132151970925</v>
      </c>
      <c r="M475">
        <f t="shared" si="53"/>
        <v>-0.1687937837471809</v>
      </c>
      <c r="N475">
        <f t="shared" si="54"/>
        <v>0.65728447265837397</v>
      </c>
    </row>
    <row r="476" spans="10:14" x14ac:dyDescent="0.25">
      <c r="J476">
        <f t="shared" si="55"/>
        <v>105.75</v>
      </c>
      <c r="K476">
        <f t="shared" si="51"/>
        <v>346.85999999999996</v>
      </c>
      <c r="L476">
        <f t="shared" si="52"/>
        <v>-0.54707747111901928</v>
      </c>
      <c r="M476">
        <f t="shared" si="53"/>
        <v>-0.15280634993318865</v>
      </c>
      <c r="N476">
        <f t="shared" si="54"/>
        <v>0.56801720043136494</v>
      </c>
    </row>
    <row r="477" spans="10:14" x14ac:dyDescent="0.25">
      <c r="J477">
        <f t="shared" si="55"/>
        <v>106</v>
      </c>
      <c r="K477">
        <f t="shared" si="51"/>
        <v>347.68</v>
      </c>
      <c r="L477">
        <f t="shared" si="52"/>
        <v>-0.45886664453616516</v>
      </c>
      <c r="M477">
        <f t="shared" si="53"/>
        <v>-0.13679802435447908</v>
      </c>
      <c r="N477">
        <f t="shared" si="54"/>
        <v>0.47882386838499186</v>
      </c>
    </row>
    <row r="478" spans="10:14" x14ac:dyDescent="0.25">
      <c r="J478">
        <f t="shared" si="55"/>
        <v>106.25</v>
      </c>
      <c r="K478">
        <f t="shared" si="51"/>
        <v>348.5</v>
      </c>
      <c r="L478">
        <f t="shared" si="52"/>
        <v>-0.37062924671276659</v>
      </c>
      <c r="M478">
        <f t="shared" si="53"/>
        <v>-0.12077252118427806</v>
      </c>
      <c r="N478">
        <f t="shared" si="54"/>
        <v>0.3898102620404954</v>
      </c>
    </row>
    <row r="479" spans="10:14" x14ac:dyDescent="0.25">
      <c r="J479">
        <f t="shared" si="55"/>
        <v>106.5</v>
      </c>
      <c r="K479">
        <f t="shared" si="51"/>
        <v>349.32</v>
      </c>
      <c r="L479">
        <f t="shared" si="52"/>
        <v>-0.28238567036801709</v>
      </c>
      <c r="M479">
        <f t="shared" si="53"/>
        <v>-0.10473355521985317</v>
      </c>
      <c r="N479">
        <f t="shared" si="54"/>
        <v>0.30118231093174186</v>
      </c>
    </row>
    <row r="480" spans="10:14" x14ac:dyDescent="0.25">
      <c r="J480">
        <f t="shared" si="55"/>
        <v>106.75</v>
      </c>
      <c r="K480">
        <f t="shared" si="51"/>
        <v>350.14</v>
      </c>
      <c r="L480">
        <f t="shared" si="52"/>
        <v>-0.19415629130215784</v>
      </c>
      <c r="M480">
        <f t="shared" si="53"/>
        <v>-8.8684841024421868E-2</v>
      </c>
      <c r="N480">
        <f t="shared" si="54"/>
        <v>0.2134517895913158</v>
      </c>
    </row>
    <row r="481" spans="10:14" x14ac:dyDescent="0.25">
      <c r="J481">
        <f t="shared" si="55"/>
        <v>107</v>
      </c>
      <c r="K481">
        <f t="shared" si="51"/>
        <v>350.96</v>
      </c>
      <c r="L481">
        <f t="shared" si="52"/>
        <v>-0.1059614637081619</v>
      </c>
      <c r="M481">
        <f t="shared" si="53"/>
        <v>-7.2630092069895014E-2</v>
      </c>
      <c r="N481">
        <f t="shared" si="54"/>
        <v>0.12846385509261948</v>
      </c>
    </row>
    <row r="482" spans="10:14" x14ac:dyDescent="0.25">
      <c r="J482">
        <f t="shared" si="55"/>
        <v>107.25</v>
      </c>
      <c r="K482">
        <f t="shared" si="51"/>
        <v>351.78</v>
      </c>
      <c r="L482">
        <f t="shared" si="52"/>
        <v>-1.7821515492547291E-2</v>
      </c>
      <c r="M482">
        <f t="shared" si="53"/>
        <v>-5.6573019880628017E-2</v>
      </c>
      <c r="N482">
        <f t="shared" si="54"/>
        <v>5.9313683015515366E-2</v>
      </c>
    </row>
    <row r="483" spans="10:14" x14ac:dyDescent="0.25">
      <c r="J483">
        <f t="shared" si="55"/>
        <v>107.5</v>
      </c>
      <c r="K483">
        <f t="shared" si="51"/>
        <v>352.59999999999997</v>
      </c>
      <c r="L483">
        <f t="shared" si="52"/>
        <v>7.0243256393454301E-2</v>
      </c>
      <c r="M483">
        <f t="shared" si="53"/>
        <v>-4.0517333178406112E-2</v>
      </c>
      <c r="N483">
        <f t="shared" si="54"/>
        <v>8.1091117618679598E-2</v>
      </c>
    </row>
    <row r="484" spans="10:14" x14ac:dyDescent="0.25">
      <c r="J484">
        <f t="shared" si="55"/>
        <v>107.75</v>
      </c>
      <c r="K484">
        <f t="shared" si="51"/>
        <v>353.41999999999996</v>
      </c>
      <c r="L484">
        <f t="shared" si="52"/>
        <v>0.15821259061142434</v>
      </c>
      <c r="M484">
        <f t="shared" si="53"/>
        <v>-2.4466737028842278E-2</v>
      </c>
      <c r="N484">
        <f t="shared" si="54"/>
        <v>0.1600932386105568</v>
      </c>
    </row>
    <row r="485" spans="10:14" x14ac:dyDescent="0.25">
      <c r="J485">
        <f t="shared" si="55"/>
        <v>108</v>
      </c>
      <c r="K485">
        <f t="shared" si="51"/>
        <v>354.23999999999995</v>
      </c>
      <c r="L485">
        <f t="shared" si="52"/>
        <v>0.24606626608090754</v>
      </c>
      <c r="M485">
        <f t="shared" si="53"/>
        <v>-8.4249319893774377E-3</v>
      </c>
      <c r="N485">
        <f t="shared" si="54"/>
        <v>0.24621045221928661</v>
      </c>
    </row>
    <row r="486" spans="10:14" x14ac:dyDescent="0.25">
      <c r="J486">
        <f t="shared" si="55"/>
        <v>108.25</v>
      </c>
      <c r="K486">
        <f t="shared" si="51"/>
        <v>355.06</v>
      </c>
      <c r="L486">
        <f t="shared" si="52"/>
        <v>0.3337841066109965</v>
      </c>
      <c r="M486">
        <f t="shared" si="53"/>
        <v>7.6043867408950305E-3</v>
      </c>
      <c r="N486">
        <f t="shared" si="54"/>
        <v>0.33387071827850701</v>
      </c>
    </row>
    <row r="487" spans="10:14" x14ac:dyDescent="0.25">
      <c r="J487">
        <f t="shared" si="55"/>
        <v>108.5</v>
      </c>
      <c r="K487">
        <f t="shared" si="51"/>
        <v>355.88</v>
      </c>
      <c r="L487">
        <f t="shared" si="52"/>
        <v>0.42134598551747743</v>
      </c>
      <c r="M487">
        <f t="shared" si="53"/>
        <v>2.3617530169423251E-2</v>
      </c>
      <c r="N487">
        <f t="shared" si="54"/>
        <v>0.42200737818549799</v>
      </c>
    </row>
    <row r="488" spans="10:14" x14ac:dyDescent="0.25">
      <c r="J488">
        <f t="shared" si="55"/>
        <v>108.75</v>
      </c>
      <c r="K488">
        <f t="shared" si="51"/>
        <v>356.7</v>
      </c>
      <c r="L488">
        <f t="shared" si="52"/>
        <v>0.50873183022437063</v>
      </c>
      <c r="M488">
        <f t="shared" si="53"/>
        <v>3.9610816356176137E-2</v>
      </c>
      <c r="N488">
        <f t="shared" si="54"/>
        <v>0.51027158636929859</v>
      </c>
    </row>
    <row r="489" spans="10:14" x14ac:dyDescent="0.25">
      <c r="J489">
        <f t="shared" si="55"/>
        <v>109</v>
      </c>
      <c r="K489">
        <f t="shared" si="51"/>
        <v>357.52</v>
      </c>
      <c r="L489">
        <f t="shared" si="52"/>
        <v>0.59592162684878547</v>
      </c>
      <c r="M489">
        <f t="shared" si="53"/>
        <v>5.558057125724547E-2</v>
      </c>
      <c r="N489">
        <f t="shared" si="54"/>
        <v>0.59850796590136113</v>
      </c>
    </row>
    <row r="490" spans="10:14" x14ac:dyDescent="0.25">
      <c r="J490">
        <f t="shared" si="55"/>
        <v>109.25</v>
      </c>
      <c r="K490">
        <f t="shared" si="51"/>
        <v>358.34</v>
      </c>
      <c r="L490">
        <f t="shared" si="52"/>
        <v>0.68289542476818976</v>
      </c>
      <c r="M490">
        <f t="shared" si="53"/>
        <v>7.1523129565862487E-2</v>
      </c>
      <c r="N490">
        <f t="shared" si="54"/>
        <v>0.68663070076440758</v>
      </c>
    </row>
    <row r="491" spans="10:14" x14ac:dyDescent="0.25">
      <c r="J491">
        <f t="shared" si="55"/>
        <v>109.5</v>
      </c>
      <c r="K491">
        <f t="shared" si="51"/>
        <v>359.15999999999997</v>
      </c>
      <c r="L491">
        <f t="shared" si="52"/>
        <v>0.7696333411688927</v>
      </c>
      <c r="M491">
        <f t="shared" si="53"/>
        <v>8.7434835550638468E-2</v>
      </c>
      <c r="N491">
        <f t="shared" si="54"/>
        <v>0.77458397240490351</v>
      </c>
    </row>
    <row r="492" spans="10:14" x14ac:dyDescent="0.25">
      <c r="J492">
        <f t="shared" si="55"/>
        <v>109.75</v>
      </c>
      <c r="K492">
        <f t="shared" si="51"/>
        <v>359.97999999999996</v>
      </c>
      <c r="L492">
        <f t="shared" si="52"/>
        <v>0.85611556557485324</v>
      </c>
      <c r="M492">
        <f t="shared" si="53"/>
        <v>0.10331204389085302</v>
      </c>
      <c r="N492">
        <f t="shared" si="54"/>
        <v>0.86232664346664856</v>
      </c>
    </row>
    <row r="493" spans="10:14" x14ac:dyDescent="0.25">
      <c r="J493">
        <f t="shared" si="55"/>
        <v>110</v>
      </c>
      <c r="K493">
        <f t="shared" si="51"/>
        <v>360.79999999999995</v>
      </c>
      <c r="L493">
        <f t="shared" si="52"/>
        <v>0.94232236435562966</v>
      </c>
      <c r="M493">
        <f t="shared" si="53"/>
        <v>0.11915112050856624</v>
      </c>
      <c r="N493">
        <f t="shared" si="54"/>
        <v>0.94982547232806458</v>
      </c>
    </row>
    <row r="494" spans="10:14" x14ac:dyDescent="0.25">
      <c r="J494">
        <f t="shared" si="55"/>
        <v>110.25</v>
      </c>
      <c r="K494">
        <f t="shared" si="51"/>
        <v>361.62</v>
      </c>
      <c r="L494">
        <f t="shared" si="52"/>
        <v>1.0282340852126104</v>
      </c>
      <c r="M494">
        <f t="shared" si="53"/>
        <v>0.13494844339740331</v>
      </c>
      <c r="N494">
        <f t="shared" si="54"/>
        <v>1.0370517905911913</v>
      </c>
    </row>
    <row r="495" spans="10:14" x14ac:dyDescent="0.25">
      <c r="J495">
        <f t="shared" si="55"/>
        <v>110.5</v>
      </c>
      <c r="K495">
        <f t="shared" si="51"/>
        <v>362.44</v>
      </c>
      <c r="L495">
        <f t="shared" si="52"/>
        <v>1.1138311616424188</v>
      </c>
      <c r="M495">
        <f t="shared" si="53"/>
        <v>0.15070040344781299</v>
      </c>
      <c r="N495">
        <f t="shared" si="54"/>
        <v>1.1239797454781086</v>
      </c>
    </row>
    <row r="496" spans="10:14" x14ac:dyDescent="0.25">
      <c r="J496">
        <f t="shared" si="55"/>
        <v>110.75</v>
      </c>
      <c r="K496">
        <f t="shared" si="51"/>
        <v>363.26</v>
      </c>
      <c r="L496">
        <f t="shared" si="52"/>
        <v>1.1990941173764433</v>
      </c>
      <c r="M496">
        <f t="shared" si="53"/>
        <v>0.16640340526857722</v>
      </c>
      <c r="N496">
        <f t="shared" si="54"/>
        <v>1.2105853111663671</v>
      </c>
    </row>
    <row r="497" spans="10:14" x14ac:dyDescent="0.25">
      <c r="J497">
        <f t="shared" si="55"/>
        <v>111</v>
      </c>
      <c r="K497">
        <f t="shared" si="51"/>
        <v>364.08</v>
      </c>
      <c r="L497">
        <f t="shared" si="52"/>
        <v>1.2840035707956163</v>
      </c>
      <c r="M497">
        <f t="shared" si="53"/>
        <v>0.18205386800445256</v>
      </c>
      <c r="N497">
        <f t="shared" si="54"/>
        <v>1.2968457042652668</v>
      </c>
    </row>
    <row r="498" spans="10:14" x14ac:dyDescent="0.25">
      <c r="J498">
        <f t="shared" si="55"/>
        <v>111.25</v>
      </c>
      <c r="K498">
        <f t="shared" si="51"/>
        <v>364.9</v>
      </c>
      <c r="L498">
        <f t="shared" si="52"/>
        <v>1.3685402393193515</v>
      </c>
      <c r="M498">
        <f t="shared" si="53"/>
        <v>0.19764822614969146</v>
      </c>
      <c r="N498">
        <f t="shared" si="54"/>
        <v>1.382739023798919</v>
      </c>
    </row>
    <row r="499" spans="10:14" x14ac:dyDescent="0.25">
      <c r="J499">
        <f t="shared" si="55"/>
        <v>111.5</v>
      </c>
      <c r="K499">
        <f t="shared" si="51"/>
        <v>365.71999999999997</v>
      </c>
      <c r="L499">
        <f t="shared" si="52"/>
        <v>1.4526849437676206</v>
      </c>
      <c r="M499">
        <f t="shared" si="53"/>
        <v>0.21318293035730118</v>
      </c>
      <c r="N499">
        <f t="shared" si="54"/>
        <v>1.4682440218318142</v>
      </c>
    </row>
    <row r="500" spans="10:14" x14ac:dyDescent="0.25">
      <c r="J500">
        <f t="shared" si="55"/>
        <v>111.75</v>
      </c>
      <c r="K500">
        <f t="shared" si="51"/>
        <v>366.53999999999996</v>
      </c>
      <c r="L500">
        <f t="shared" si="52"/>
        <v>1.5364186126953152</v>
      </c>
      <c r="M500">
        <f t="shared" si="53"/>
        <v>0.22865444824384529</v>
      </c>
      <c r="N500">
        <f t="shared" si="54"/>
        <v>1.553339953177763</v>
      </c>
    </row>
    <row r="501" spans="10:14" x14ac:dyDescent="0.25">
      <c r="J501">
        <f t="shared" si="55"/>
        <v>112</v>
      </c>
      <c r="K501">
        <f t="shared" ref="K501:K564" si="56">J501*3.28</f>
        <v>367.35999999999996</v>
      </c>
      <c r="L501">
        <f t="shared" ref="L501:L564" si="57">$Y$7*EXP($Y$11*(J501-$Y$4))*COS(PI()/180*($Y$8+$Y$5*(J501-$Y$4)))+$Y$9*EXP($Y$12*(J501-$Y$4))*COS(PI()/180*($Y$10+$Y$6*(J501-$Y$4)))</f>
        <v>1.6197222866977747</v>
      </c>
      <c r="M501">
        <f t="shared" ref="M501:M564" si="58">$Y$13+$Y$7*EXP($Y$11*(J501-$Y$4))*SIN(PI()/180*($Y$8+$Y$5*(J501-$Y$4)))+$Y$9*EXP($Y$12*(J501-$Y$4))*SIN(PI()/180*($Y$10+$Y$6*(J501-$Y$4)))</f>
        <v>0.24405926518959742</v>
      </c>
      <c r="N501">
        <f t="shared" ref="N501:N564" si="59">SQRT(L501*L501+M501*M501)</f>
        <v>1.6380064746362741</v>
      </c>
    </row>
    <row r="502" spans="10:14" x14ac:dyDescent="0.25">
      <c r="J502">
        <f t="shared" ref="J502:J565" si="60">J501+$I$52</f>
        <v>112.25</v>
      </c>
      <c r="K502">
        <f t="shared" si="56"/>
        <v>368.17999999999995</v>
      </c>
      <c r="L502">
        <f t="shared" si="57"/>
        <v>1.70257712268664</v>
      </c>
      <c r="M502">
        <f t="shared" si="58"/>
        <v>0.25939388513388906</v>
      </c>
      <c r="N502">
        <f t="shared" si="59"/>
        <v>1.7222235761772544</v>
      </c>
    </row>
    <row r="503" spans="10:14" x14ac:dyDescent="0.25">
      <c r="J503">
        <f t="shared" si="60"/>
        <v>112.5</v>
      </c>
      <c r="K503">
        <f t="shared" si="56"/>
        <v>369</v>
      </c>
      <c r="L503">
        <f t="shared" si="57"/>
        <v>1.7849643981349299</v>
      </c>
      <c r="M503">
        <f t="shared" si="58"/>
        <v>0.27465483136543289</v>
      </c>
      <c r="N503">
        <f t="shared" si="59"/>
        <v>1.8059715332755295</v>
      </c>
    </row>
    <row r="504" spans="10:14" x14ac:dyDescent="0.25">
      <c r="J504">
        <f t="shared" si="60"/>
        <v>112.75</v>
      </c>
      <c r="K504">
        <f t="shared" si="56"/>
        <v>369.82</v>
      </c>
      <c r="L504">
        <f t="shared" si="57"/>
        <v>1.8668655152905402</v>
      </c>
      <c r="M504">
        <f t="shared" si="58"/>
        <v>0.28983864730750097</v>
      </c>
      <c r="N504">
        <f t="shared" si="59"/>
        <v>1.8892308735710563</v>
      </c>
    </row>
    <row r="505" spans="10:14" x14ac:dyDescent="0.25">
      <c r="J505">
        <f t="shared" si="60"/>
        <v>113</v>
      </c>
      <c r="K505">
        <f t="shared" si="56"/>
        <v>370.64</v>
      </c>
      <c r="L505">
        <f t="shared" si="57"/>
        <v>1.9482620053571336</v>
      </c>
      <c r="M505">
        <f t="shared" si="58"/>
        <v>0.30494189729772314</v>
      </c>
      <c r="N505">
        <f t="shared" si="59"/>
        <v>1.9719823534316261</v>
      </c>
    </row>
    <row r="506" spans="10:14" x14ac:dyDescent="0.25">
      <c r="J506">
        <f t="shared" si="60"/>
        <v>113.25</v>
      </c>
      <c r="K506">
        <f t="shared" si="56"/>
        <v>371.46</v>
      </c>
      <c r="L506">
        <f t="shared" si="57"/>
        <v>2.0291355326414484</v>
      </c>
      <c r="M506">
        <f t="shared" si="58"/>
        <v>0.31996116736236058</v>
      </c>
      <c r="N506">
        <f t="shared" si="59"/>
        <v>2.0542069414856865</v>
      </c>
    </row>
    <row r="507" spans="10:14" x14ac:dyDescent="0.25">
      <c r="J507">
        <f t="shared" si="60"/>
        <v>113.5</v>
      </c>
      <c r="K507">
        <f t="shared" si="56"/>
        <v>372.28</v>
      </c>
      <c r="L507">
        <f t="shared" si="57"/>
        <v>2.1094678986662228</v>
      </c>
      <c r="M507">
        <f t="shared" si="58"/>
        <v>0.33489306598488877</v>
      </c>
      <c r="N507">
        <f t="shared" si="59"/>
        <v>2.1358858071413951</v>
      </c>
    </row>
    <row r="508" spans="10:14" x14ac:dyDescent="0.25">
      <c r="J508">
        <f t="shared" si="60"/>
        <v>113.75</v>
      </c>
      <c r="K508">
        <f t="shared" si="56"/>
        <v>373.09999999999997</v>
      </c>
      <c r="L508">
        <f t="shared" si="57"/>
        <v>2.1892410462477172</v>
      </c>
      <c r="M508">
        <f t="shared" si="58"/>
        <v>0.3497342248686941</v>
      </c>
      <c r="N508">
        <f t="shared" si="59"/>
        <v>2.2170003127244491</v>
      </c>
    </row>
    <row r="509" spans="10:14" x14ac:dyDescent="0.25">
      <c r="J509">
        <f t="shared" si="60"/>
        <v>114</v>
      </c>
      <c r="K509">
        <f t="shared" si="56"/>
        <v>373.91999999999996</v>
      </c>
      <c r="L509">
        <f t="shared" si="57"/>
        <v>2.2684370635369127</v>
      </c>
      <c r="M509">
        <f t="shared" si="58"/>
        <v>0.36448129969371834</v>
      </c>
      <c r="N509">
        <f t="shared" si="59"/>
        <v>2.2975320082763577</v>
      </c>
    </row>
    <row r="510" spans="10:14" x14ac:dyDescent="0.25">
      <c r="J510">
        <f t="shared" si="60"/>
        <v>114.25</v>
      </c>
      <c r="K510">
        <f t="shared" si="56"/>
        <v>374.73999999999995</v>
      </c>
      <c r="L510">
        <f t="shared" si="57"/>
        <v>2.3470381880235922</v>
      </c>
      <c r="M510">
        <f t="shared" si="58"/>
        <v>0.37913097086691128</v>
      </c>
      <c r="N510">
        <f t="shared" si="59"/>
        <v>2.3774626283312119</v>
      </c>
    </row>
    <row r="511" spans="10:14" x14ac:dyDescent="0.25">
      <c r="J511">
        <f t="shared" si="60"/>
        <v>114.5</v>
      </c>
      <c r="K511">
        <f t="shared" si="56"/>
        <v>375.56</v>
      </c>
      <c r="L511">
        <f t="shared" si="57"/>
        <v>2.4250268105022892</v>
      </c>
      <c r="M511">
        <f t="shared" si="58"/>
        <v>0.39367994426626751</v>
      </c>
      <c r="N511">
        <f t="shared" si="59"/>
        <v>2.4567740901785</v>
      </c>
    </row>
    <row r="512" spans="10:14" x14ac:dyDescent="0.25">
      <c r="J512">
        <f t="shared" si="60"/>
        <v>114.75</v>
      </c>
      <c r="K512">
        <f t="shared" si="56"/>
        <v>376.38</v>
      </c>
      <c r="L512">
        <f t="shared" si="57"/>
        <v>2.5023854789993361</v>
      </c>
      <c r="M512">
        <f t="shared" si="58"/>
        <v>0.40812495197834942</v>
      </c>
      <c r="N512">
        <f t="shared" si="59"/>
        <v>2.5354484932520456</v>
      </c>
    </row>
    <row r="513" spans="10:14" x14ac:dyDescent="0.25">
      <c r="J513">
        <f t="shared" si="60"/>
        <v>115</v>
      </c>
      <c r="K513">
        <f t="shared" si="56"/>
        <v>377.2</v>
      </c>
      <c r="L513">
        <f t="shared" si="57"/>
        <v>2.5790969026600079</v>
      </c>
      <c r="M513">
        <f t="shared" si="58"/>
        <v>0.42246275302905945</v>
      </c>
      <c r="N513">
        <f t="shared" si="59"/>
        <v>2.6134681193784131</v>
      </c>
    </row>
    <row r="514" spans="10:14" x14ac:dyDescent="0.25">
      <c r="J514">
        <f t="shared" si="60"/>
        <v>115.25</v>
      </c>
      <c r="K514">
        <f t="shared" si="56"/>
        <v>378.02</v>
      </c>
      <c r="L514">
        <f t="shared" si="57"/>
        <v>2.65514395559505</v>
      </c>
      <c r="M514">
        <f t="shared" si="58"/>
        <v>0.43669013410757218</v>
      </c>
      <c r="N514">
        <f t="shared" si="59"/>
        <v>2.6908154336854504</v>
      </c>
    </row>
    <row r="515" spans="10:14" x14ac:dyDescent="0.25">
      <c r="J515">
        <f t="shared" si="60"/>
        <v>115.5</v>
      </c>
      <c r="K515">
        <f t="shared" si="56"/>
        <v>378.84</v>
      </c>
      <c r="L515">
        <f t="shared" si="57"/>
        <v>2.730509680685639</v>
      </c>
      <c r="M515">
        <f t="shared" si="58"/>
        <v>0.4508039102832071</v>
      </c>
      <c r="N515">
        <f t="shared" si="59"/>
        <v>2.7674730860199204</v>
      </c>
    </row>
    <row r="516" spans="10:14" x14ac:dyDescent="0.25">
      <c r="J516">
        <f t="shared" si="60"/>
        <v>115.75</v>
      </c>
      <c r="K516">
        <f t="shared" si="56"/>
        <v>379.65999999999997</v>
      </c>
      <c r="L516">
        <f t="shared" si="57"/>
        <v>2.8051772933459267</v>
      </c>
      <c r="M516">
        <f t="shared" si="58"/>
        <v>0.46480092571510534</v>
      </c>
      <c r="N516">
        <f t="shared" si="59"/>
        <v>2.8434239127589116</v>
      </c>
    </row>
    <row r="517" spans="10:14" x14ac:dyDescent="0.25">
      <c r="J517">
        <f t="shared" si="60"/>
        <v>116</v>
      </c>
      <c r="K517">
        <f t="shared" si="56"/>
        <v>380.47999999999996</v>
      </c>
      <c r="L517">
        <f t="shared" si="57"/>
        <v>2.8791301852424294</v>
      </c>
      <c r="M517">
        <f t="shared" si="58"/>
        <v>0.47867805435456301</v>
      </c>
      <c r="N517">
        <f t="shared" si="59"/>
        <v>2.9186509389261976</v>
      </c>
    </row>
    <row r="518" spans="10:14" x14ac:dyDescent="0.25">
      <c r="J518">
        <f t="shared" si="60"/>
        <v>116.25</v>
      </c>
      <c r="K518">
        <f t="shared" si="56"/>
        <v>381.29999999999995</v>
      </c>
      <c r="L518">
        <f t="shared" si="57"/>
        <v>2.9523519279693526</v>
      </c>
      <c r="M518">
        <f t="shared" si="58"/>
        <v>0.49243220063985405</v>
      </c>
      <c r="N518">
        <f t="shared" si="59"/>
        <v>2.9931373805442618</v>
      </c>
    </row>
    <row r="519" spans="10:14" x14ac:dyDescent="0.25">
      <c r="J519">
        <f t="shared" si="60"/>
        <v>116.5</v>
      </c>
      <c r="K519">
        <f t="shared" si="56"/>
        <v>382.12</v>
      </c>
      <c r="L519">
        <f t="shared" si="57"/>
        <v>3.0248262766790717</v>
      </c>
      <c r="M519">
        <f t="shared" si="58"/>
        <v>0.50606030018337966</v>
      </c>
      <c r="N519">
        <f t="shared" si="59"/>
        <v>3.0668666471677355</v>
      </c>
    </row>
    <row r="520" spans="10:14" x14ac:dyDescent="0.25">
      <c r="J520">
        <f t="shared" si="60"/>
        <v>116.75</v>
      </c>
      <c r="K520">
        <f t="shared" si="56"/>
        <v>382.94</v>
      </c>
      <c r="L520">
        <f t="shared" si="57"/>
        <v>3.0965371736669876</v>
      </c>
      <c r="M520">
        <f t="shared" si="58"/>
        <v>0.51955932045102093</v>
      </c>
      <c r="N520">
        <f t="shared" si="59"/>
        <v>3.139822344555351</v>
      </c>
    </row>
    <row r="521" spans="10:14" x14ac:dyDescent="0.25">
      <c r="J521">
        <f t="shared" si="60"/>
        <v>117</v>
      </c>
      <c r="K521">
        <f t="shared" si="56"/>
        <v>383.76</v>
      </c>
      <c r="L521">
        <f t="shared" si="57"/>
        <v>3.1674687519099418</v>
      </c>
      <c r="M521">
        <f t="shared" si="58"/>
        <v>0.53292626143350041</v>
      </c>
      <c r="N521">
        <f t="shared" si="59"/>
        <v>3.2119882774461384</v>
      </c>
    </row>
    <row r="522" spans="10:14" x14ac:dyDescent="0.25">
      <c r="J522">
        <f t="shared" si="60"/>
        <v>117.25</v>
      </c>
      <c r="K522">
        <f t="shared" si="56"/>
        <v>384.58</v>
      </c>
      <c r="L522">
        <f t="shared" si="57"/>
        <v>3.2376053385574721</v>
      </c>
      <c r="M522">
        <f t="shared" si="58"/>
        <v>0.54615815630966935</v>
      </c>
      <c r="N522">
        <f t="shared" si="59"/>
        <v>3.2833484524124787</v>
      </c>
    </row>
    <row r="523" spans="10:14" x14ac:dyDescent="0.25">
      <c r="J523">
        <f t="shared" si="60"/>
        <v>117.5</v>
      </c>
      <c r="K523">
        <f t="shared" si="56"/>
        <v>385.4</v>
      </c>
      <c r="L523">
        <f t="shared" si="57"/>
        <v>3.3069314583750287</v>
      </c>
      <c r="M523">
        <f t="shared" si="58"/>
        <v>0.55925207210149797</v>
      </c>
      <c r="N523">
        <f t="shared" si="59"/>
        <v>3.3538870807676595</v>
      </c>
    </row>
    <row r="524" spans="10:14" x14ac:dyDescent="0.25">
      <c r="J524">
        <f t="shared" si="60"/>
        <v>117.75</v>
      </c>
      <c r="K524">
        <f t="shared" si="56"/>
        <v>386.21999999999997</v>
      </c>
      <c r="L524">
        <f t="shared" si="57"/>
        <v>3.3754318371385486</v>
      </c>
      <c r="M524">
        <f t="shared" si="58"/>
        <v>0.57220511032069021</v>
      </c>
      <c r="N524">
        <f t="shared" si="59"/>
        <v>3.4235885815099967</v>
      </c>
    </row>
    <row r="525" spans="10:14" x14ac:dyDescent="0.25">
      <c r="J525">
        <f t="shared" si="60"/>
        <v>118</v>
      </c>
      <c r="K525">
        <f t="shared" si="56"/>
        <v>387.03999999999996</v>
      </c>
      <c r="L525">
        <f t="shared" si="57"/>
        <v>3.4430914049795507</v>
      </c>
      <c r="M525">
        <f t="shared" si="58"/>
        <v>0.58501440760675361</v>
      </c>
      <c r="N525">
        <f t="shared" si="59"/>
        <v>3.4924375842885924</v>
      </c>
    </row>
    <row r="526" spans="10:14" x14ac:dyDescent="0.25">
      <c r="J526">
        <f t="shared" si="60"/>
        <v>118.25</v>
      </c>
      <c r="K526">
        <f t="shared" si="56"/>
        <v>387.85999999999996</v>
      </c>
      <c r="L526">
        <f t="shared" si="57"/>
        <v>3.5098952996800161</v>
      </c>
      <c r="M526">
        <f t="shared" si="58"/>
        <v>0.59767713635636111</v>
      </c>
      <c r="N526">
        <f t="shared" si="59"/>
        <v>3.5604189323784654</v>
      </c>
    </row>
    <row r="527" spans="10:14" x14ac:dyDescent="0.25">
      <c r="J527">
        <f t="shared" si="60"/>
        <v>118.5</v>
      </c>
      <c r="K527">
        <f t="shared" si="56"/>
        <v>388.67999999999995</v>
      </c>
      <c r="L527">
        <f t="shared" si="57"/>
        <v>3.5758288699164185</v>
      </c>
      <c r="M527">
        <f t="shared" si="58"/>
        <v>0.61019050534393249</v>
      </c>
      <c r="N527">
        <f t="shared" si="59"/>
        <v>3.6275176856549733</v>
      </c>
    </row>
    <row r="528" spans="10:14" x14ac:dyDescent="0.25">
      <c r="J528">
        <f t="shared" si="60"/>
        <v>118.75</v>
      </c>
      <c r="K528">
        <f t="shared" si="56"/>
        <v>389.5</v>
      </c>
      <c r="L528">
        <f t="shared" si="57"/>
        <v>3.6408776784521306</v>
      </c>
      <c r="M528">
        <f t="shared" si="58"/>
        <v>0.62255176033322157</v>
      </c>
      <c r="N528">
        <f t="shared" si="59"/>
        <v>3.6937191235589326</v>
      </c>
    </row>
    <row r="529" spans="10:14" x14ac:dyDescent="0.25">
      <c r="J529">
        <f t="shared" si="60"/>
        <v>119</v>
      </c>
      <c r="K529">
        <f t="shared" si="56"/>
        <v>390.32</v>
      </c>
      <c r="L529">
        <f t="shared" si="57"/>
        <v>3.7050275052775308</v>
      </c>
      <c r="M529">
        <f t="shared" si="58"/>
        <v>0.63475818467984135</v>
      </c>
      <c r="N529">
        <f t="shared" si="59"/>
        <v>3.7590087480452996</v>
      </c>
    </row>
    <row r="530" spans="10:14" x14ac:dyDescent="0.25">
      <c r="J530">
        <f t="shared" si="60"/>
        <v>119.25</v>
      </c>
      <c r="K530">
        <f t="shared" si="56"/>
        <v>391.14</v>
      </c>
      <c r="L530">
        <f t="shared" si="57"/>
        <v>3.768264350697156</v>
      </c>
      <c r="M530">
        <f t="shared" si="58"/>
        <v>0.64680709992456031</v>
      </c>
      <c r="N530">
        <f t="shared" si="59"/>
        <v>3.8233722865093687</v>
      </c>
    </row>
    <row r="531" spans="10:14" x14ac:dyDescent="0.25">
      <c r="J531">
        <f t="shared" si="60"/>
        <v>119.5</v>
      </c>
      <c r="K531">
        <f t="shared" si="56"/>
        <v>391.96</v>
      </c>
      <c r="L531">
        <f t="shared" si="57"/>
        <v>3.8305744383632008</v>
      </c>
      <c r="M531">
        <f t="shared" si="58"/>
        <v>0.6586958663772382</v>
      </c>
      <c r="N531">
        <f t="shared" si="59"/>
        <v>3.886795694685278</v>
      </c>
    </row>
    <row r="532" spans="10:14" x14ac:dyDescent="0.25">
      <c r="J532">
        <f t="shared" si="60"/>
        <v>119.75</v>
      </c>
      <c r="K532">
        <f t="shared" si="56"/>
        <v>392.78</v>
      </c>
      <c r="L532">
        <f t="shared" si="57"/>
        <v>3.8919442182547721</v>
      </c>
      <c r="M532">
        <f t="shared" si="58"/>
        <v>0.67042188369131672</v>
      </c>
      <c r="N532">
        <f t="shared" si="59"/>
        <v>3.9492651595124584</v>
      </c>
    </row>
    <row r="533" spans="10:14" x14ac:dyDescent="0.25">
      <c r="J533">
        <f t="shared" si="60"/>
        <v>120</v>
      </c>
      <c r="K533">
        <f t="shared" si="56"/>
        <v>393.59999999999997</v>
      </c>
      <c r="L533">
        <f t="shared" si="57"/>
        <v>3.9523603696021503</v>
      </c>
      <c r="M533">
        <f t="shared" si="58"/>
        <v>0.68198259142867168</v>
      </c>
      <c r="N533">
        <f t="shared" si="59"/>
        <v>4.0107671019660831</v>
      </c>
    </row>
    <row r="534" spans="10:14" x14ac:dyDescent="0.25">
      <c r="J534">
        <f t="shared" si="60"/>
        <v>120.25</v>
      </c>
      <c r="K534">
        <f t="shared" si="56"/>
        <v>394.41999999999996</v>
      </c>
      <c r="L534">
        <f t="shared" si="57"/>
        <v>4.0118098037555558</v>
      </c>
      <c r="M534">
        <f t="shared" si="58"/>
        <v>0.69337546961478536</v>
      </c>
      <c r="N534">
        <f t="shared" si="59"/>
        <v>4.0712881798483282</v>
      </c>
    </row>
    <row r="535" spans="10:14" x14ac:dyDescent="0.25">
      <c r="J535">
        <f t="shared" si="60"/>
        <v>120.5</v>
      </c>
      <c r="K535">
        <f t="shared" si="56"/>
        <v>395.23999999999995</v>
      </c>
      <c r="L535">
        <f t="shared" si="57"/>
        <v>4.0702796669977443</v>
      </c>
      <c r="M535">
        <f t="shared" si="58"/>
        <v>0.70459803928405118</v>
      </c>
      <c r="N535">
        <f t="shared" si="59"/>
        <v>4.1308152905374742</v>
      </c>
    </row>
    <row r="536" spans="10:14" x14ac:dyDescent="0.25">
      <c r="J536">
        <f t="shared" si="60"/>
        <v>120.75</v>
      </c>
      <c r="K536">
        <f t="shared" si="56"/>
        <v>396.06</v>
      </c>
      <c r="L536">
        <f t="shared" si="57"/>
        <v>4.1277573432997992</v>
      </c>
      <c r="M536">
        <f t="shared" si="58"/>
        <v>0.71564786301512129</v>
      </c>
      <c r="N536">
        <f t="shared" si="59"/>
        <v>4.1893355736922677</v>
      </c>
    </row>
    <row r="537" spans="10:14" x14ac:dyDescent="0.25">
      <c r="J537">
        <f t="shared" si="60"/>
        <v>121</v>
      </c>
      <c r="K537">
        <f t="shared" si="56"/>
        <v>396.88</v>
      </c>
      <c r="L537">
        <f t="shared" si="57"/>
        <v>4.1842304570196314</v>
      </c>
      <c r="M537">
        <f t="shared" si="58"/>
        <v>0.72652254545620831</v>
      </c>
      <c r="N537">
        <f t="shared" si="59"/>
        <v>4.2468364139094037</v>
      </c>
    </row>
    <row r="538" spans="10:14" x14ac:dyDescent="0.25">
      <c r="J538">
        <f t="shared" si="60"/>
        <v>121.25</v>
      </c>
      <c r="K538">
        <f t="shared" si="56"/>
        <v>397.7</v>
      </c>
      <c r="L538">
        <f t="shared" si="57"/>
        <v>4.2396868755425254</v>
      </c>
      <c r="M538">
        <f t="shared" si="58"/>
        <v>0.73721973384016604</v>
      </c>
      <c r="N538">
        <f t="shared" si="59"/>
        <v>4.3033054433320101</v>
      </c>
    </row>
    <row r="539" spans="10:14" x14ac:dyDescent="0.25">
      <c r="J539">
        <f t="shared" si="60"/>
        <v>121.5</v>
      </c>
      <c r="K539">
        <f t="shared" si="56"/>
        <v>398.52</v>
      </c>
      <c r="L539">
        <f t="shared" si="57"/>
        <v>4.2941147118632177</v>
      </c>
      <c r="M539">
        <f t="shared" si="58"/>
        <v>0.74773711848931201</v>
      </c>
      <c r="N539">
        <f t="shared" si="59"/>
        <v>4.3587305442074333</v>
      </c>
    </row>
    <row r="540" spans="10:14" x14ac:dyDescent="0.25">
      <c r="J540">
        <f t="shared" si="60"/>
        <v>121.75</v>
      </c>
      <c r="K540">
        <f t="shared" si="56"/>
        <v>399.34</v>
      </c>
      <c r="L540">
        <f t="shared" si="57"/>
        <v>4.3475023271089626</v>
      </c>
      <c r="M540">
        <f t="shared" si="58"/>
        <v>0.75807243330982521</v>
      </c>
      <c r="N540">
        <f t="shared" si="59"/>
        <v>4.4130998513926833</v>
      </c>
    </row>
    <row r="541" spans="10:14" x14ac:dyDescent="0.25">
      <c r="J541">
        <f t="shared" si="60"/>
        <v>122</v>
      </c>
      <c r="K541">
        <f t="shared" si="56"/>
        <v>400.15999999999997</v>
      </c>
      <c r="L541">
        <f t="shared" si="57"/>
        <v>4.3998383330030277</v>
      </c>
      <c r="M541">
        <f t="shared" si="58"/>
        <v>0.76822345627564204</v>
      </c>
      <c r="N541">
        <f t="shared" si="59"/>
        <v>4.4664017548060935</v>
      </c>
    </row>
    <row r="542" spans="10:14" x14ac:dyDescent="0.25">
      <c r="J542">
        <f t="shared" si="60"/>
        <v>122.25</v>
      </c>
      <c r="K542">
        <f t="shared" si="56"/>
        <v>400.97999999999996</v>
      </c>
      <c r="L542">
        <f t="shared" si="57"/>
        <v>4.4511115942681716</v>
      </c>
      <c r="M542">
        <f t="shared" si="58"/>
        <v>0.77818800990175951</v>
      </c>
      <c r="N542">
        <f t="shared" si="59"/>
        <v>4.5186249018239391</v>
      </c>
    </row>
    <row r="543" spans="10:14" x14ac:dyDescent="0.25">
      <c r="J543">
        <f t="shared" si="60"/>
        <v>122.5</v>
      </c>
      <c r="K543">
        <f t="shared" si="56"/>
        <v>401.79999999999995</v>
      </c>
      <c r="L543">
        <f t="shared" si="57"/>
        <v>4.5013112309694909</v>
      </c>
      <c r="M543">
        <f t="shared" si="58"/>
        <v>0.78796396170680372</v>
      </c>
      <c r="N543">
        <f t="shared" si="59"/>
        <v>4.5697581996207148</v>
      </c>
    </row>
    <row r="544" spans="10:14" x14ac:dyDescent="0.25">
      <c r="J544">
        <f t="shared" si="60"/>
        <v>122.75</v>
      </c>
      <c r="K544">
        <f t="shared" si="56"/>
        <v>402.61999999999995</v>
      </c>
      <c r="L544">
        <f t="shared" si="57"/>
        <v>4.550426620796272</v>
      </c>
      <c r="M544">
        <f t="shared" si="58"/>
        <v>0.79754922466482592</v>
      </c>
      <c r="N544">
        <f t="shared" si="59"/>
        <v>4.6197908174521114</v>
      </c>
    </row>
    <row r="545" spans="10:14" x14ac:dyDescent="0.25">
      <c r="J545">
        <f t="shared" si="60"/>
        <v>123</v>
      </c>
      <c r="K545">
        <f t="shared" si="56"/>
        <v>403.44</v>
      </c>
      <c r="L545">
        <f t="shared" si="57"/>
        <v>4.5984474012823036</v>
      </c>
      <c r="M545">
        <f t="shared" si="58"/>
        <v>0.8069417576461746</v>
      </c>
      <c r="N545">
        <f t="shared" si="59"/>
        <v>4.6687121888796126</v>
      </c>
    </row>
    <row r="546" spans="10:14" x14ac:dyDescent="0.25">
      <c r="J546">
        <f t="shared" si="60"/>
        <v>123.25</v>
      </c>
      <c r="K546">
        <f t="shared" si="56"/>
        <v>404.26</v>
      </c>
      <c r="L546">
        <f t="shared" si="57"/>
        <v>4.645363471964183</v>
      </c>
      <c r="M546">
        <f t="shared" si="58"/>
        <v>0.81613956584737379</v>
      </c>
      <c r="N546">
        <f t="shared" si="59"/>
        <v>4.7165120139357928</v>
      </c>
    </row>
    <row r="547" spans="10:14" x14ac:dyDescent="0.25">
      <c r="J547">
        <f t="shared" si="60"/>
        <v>123.5</v>
      </c>
      <c r="K547">
        <f t="shared" si="56"/>
        <v>405.08</v>
      </c>
      <c r="L547">
        <f t="shared" si="57"/>
        <v>4.6911649964772408</v>
      </c>
      <c r="M547">
        <f t="shared" si="58"/>
        <v>0.82514070120995231</v>
      </c>
      <c r="N547">
        <f t="shared" si="59"/>
        <v>4.7631802612295244</v>
      </c>
    </row>
    <row r="548" spans="10:14" x14ac:dyDescent="0.25">
      <c r="J548">
        <f t="shared" si="60"/>
        <v>123.75</v>
      </c>
      <c r="K548">
        <f t="shared" si="56"/>
        <v>405.9</v>
      </c>
      <c r="L548">
        <f t="shared" si="57"/>
        <v>4.7358424045885927</v>
      </c>
      <c r="M548">
        <f t="shared" si="58"/>
        <v>0.83394326282806386</v>
      </c>
      <c r="N548">
        <f t="shared" si="59"/>
        <v>4.8087071699902646</v>
      </c>
    </row>
    <row r="549" spans="10:14" x14ac:dyDescent="0.25">
      <c r="J549">
        <f t="shared" si="60"/>
        <v>124</v>
      </c>
      <c r="K549">
        <f t="shared" si="56"/>
        <v>406.71999999999997</v>
      </c>
      <c r="L549">
        <f t="shared" si="57"/>
        <v>4.7793863941669237</v>
      </c>
      <c r="M549">
        <f t="shared" si="58"/>
        <v>0.84254539734488954</v>
      </c>
      <c r="N549">
        <f t="shared" si="59"/>
        <v>4.8530832520506966</v>
      </c>
    </row>
    <row r="550" spans="10:14" x14ac:dyDescent="0.25">
      <c r="J550">
        <f t="shared" si="60"/>
        <v>124.25</v>
      </c>
      <c r="K550">
        <f t="shared" si="56"/>
        <v>407.53999999999996</v>
      </c>
      <c r="L550">
        <f t="shared" si="57"/>
        <v>4.8217879330886273</v>
      </c>
      <c r="M550">
        <f t="shared" si="58"/>
        <v>0.85094529933769003</v>
      </c>
      <c r="N550">
        <f t="shared" si="59"/>
        <v>4.89629929376708</v>
      </c>
    </row>
    <row r="551" spans="10:14" x14ac:dyDescent="0.25">
      <c r="J551">
        <f t="shared" si="60"/>
        <v>124.5</v>
      </c>
      <c r="K551">
        <f t="shared" si="56"/>
        <v>408.35999999999996</v>
      </c>
      <c r="L551">
        <f t="shared" si="57"/>
        <v>4.8630382610798826</v>
      </c>
      <c r="M551">
        <f t="shared" si="58"/>
        <v>0.85914121169144109</v>
      </c>
      <c r="N551">
        <f t="shared" si="59"/>
        <v>4.9383463578766413</v>
      </c>
    </row>
    <row r="552" spans="10:14" x14ac:dyDescent="0.25">
      <c r="J552">
        <f t="shared" si="60"/>
        <v>124.75</v>
      </c>
      <c r="K552">
        <f t="shared" si="56"/>
        <v>409.17999999999995</v>
      </c>
      <c r="L552">
        <f t="shared" si="57"/>
        <v>4.9031288914943509</v>
      </c>
      <c r="M552">
        <f t="shared" si="58"/>
        <v>0.86713142596100812</v>
      </c>
      <c r="N552">
        <f t="shared" si="59"/>
        <v>4.9792157852914745</v>
      </c>
    </row>
    <row r="553" spans="10:14" x14ac:dyDescent="0.25">
      <c r="J553">
        <f t="shared" si="60"/>
        <v>125</v>
      </c>
      <c r="K553">
        <f t="shared" si="56"/>
        <v>410</v>
      </c>
      <c r="L553">
        <f t="shared" si="57"/>
        <v>4.9420516130260612</v>
      </c>
      <c r="M553">
        <f t="shared" si="58"/>
        <v>0.87491428272172378</v>
      </c>
      <c r="N553">
        <f t="shared" si="59"/>
        <v>5.0188991968283201</v>
      </c>
    </row>
    <row r="554" spans="10:14" x14ac:dyDescent="0.25">
      <c r="J554">
        <f t="shared" si="60"/>
        <v>125.25</v>
      </c>
      <c r="K554">
        <f t="shared" si="56"/>
        <v>410.82</v>
      </c>
      <c r="L554">
        <f t="shared" si="57"/>
        <v>4.9797984913572435</v>
      </c>
      <c r="M554">
        <f t="shared" si="58"/>
        <v>0.88248817190836659</v>
      </c>
      <c r="N554">
        <f t="shared" si="59"/>
        <v>5.057388494873817</v>
      </c>
    </row>
    <row r="555" spans="10:14" x14ac:dyDescent="0.25">
      <c r="J555">
        <f t="shared" si="60"/>
        <v>125.5</v>
      </c>
      <c r="K555">
        <f t="shared" si="56"/>
        <v>411.64</v>
      </c>
      <c r="L555">
        <f t="shared" si="57"/>
        <v>5.0163618707407132</v>
      </c>
      <c r="M555">
        <f t="shared" si="58"/>
        <v>0.88985153314242404</v>
      </c>
      <c r="N555">
        <f t="shared" si="59"/>
        <v>5.0946758649846595</v>
      </c>
    </row>
    <row r="556" spans="10:14" x14ac:dyDescent="0.25">
      <c r="J556">
        <f t="shared" si="60"/>
        <v>125.75</v>
      </c>
      <c r="K556">
        <f t="shared" si="56"/>
        <v>412.46</v>
      </c>
      <c r="L556">
        <f t="shared" si="57"/>
        <v>5.0517343755165207</v>
      </c>
      <c r="M556">
        <f t="shared" si="58"/>
        <v>0.89700285604758201</v>
      </c>
      <c r="N556">
        <f t="shared" si="59"/>
        <v>5.130753777422262</v>
      </c>
    </row>
    <row r="557" spans="10:14" x14ac:dyDescent="0.25">
      <c r="J557">
        <f t="shared" si="60"/>
        <v>126</v>
      </c>
      <c r="K557">
        <f t="shared" si="56"/>
        <v>413.28</v>
      </c>
      <c r="L557">
        <f t="shared" si="57"/>
        <v>5.0859089115626039</v>
      </c>
      <c r="M557">
        <f t="shared" si="58"/>
        <v>0.90394068055342025</v>
      </c>
      <c r="N557">
        <f t="shared" si="59"/>
        <v>5.1656149886215186</v>
      </c>
    </row>
    <row r="558" spans="10:14" x14ac:dyDescent="0.25">
      <c r="J558">
        <f t="shared" si="60"/>
        <v>126.25</v>
      </c>
      <c r="K558">
        <f t="shared" si="56"/>
        <v>414.09999999999997</v>
      </c>
      <c r="L558">
        <f t="shared" si="57"/>
        <v>5.1188786676791311</v>
      </c>
      <c r="M558">
        <f t="shared" si="58"/>
        <v>0.91066359718718082</v>
      </c>
      <c r="N558">
        <f t="shared" si="59"/>
        <v>5.1992525425932499</v>
      </c>
    </row>
    <row r="559" spans="10:14" x14ac:dyDescent="0.25">
      <c r="J559">
        <f t="shared" si="60"/>
        <v>126.5</v>
      </c>
      <c r="K559">
        <f t="shared" si="56"/>
        <v>414.91999999999996</v>
      </c>
      <c r="L559">
        <f t="shared" si="57"/>
        <v>5.1506371169062817</v>
      </c>
      <c r="M559">
        <f t="shared" si="58"/>
        <v>0.91717024735363251</v>
      </c>
      <c r="N559">
        <f t="shared" si="59"/>
        <v>5.2316597722599827</v>
      </c>
    </row>
    <row r="560" spans="10:14" x14ac:dyDescent="0.25">
      <c r="J560">
        <f t="shared" si="60"/>
        <v>126.75</v>
      </c>
      <c r="K560">
        <f t="shared" si="56"/>
        <v>415.73999999999995</v>
      </c>
      <c r="L560">
        <f t="shared" si="57"/>
        <v>5.1811780177752453</v>
      </c>
      <c r="M560">
        <f t="shared" si="58"/>
        <v>0.92345932360291383</v>
      </c>
      <c r="N560">
        <f t="shared" si="59"/>
        <v>5.262830300724751</v>
      </c>
    </row>
    <row r="561" spans="10:14" x14ac:dyDescent="0.25">
      <c r="J561">
        <f t="shared" si="60"/>
        <v>127</v>
      </c>
      <c r="K561">
        <f t="shared" si="56"/>
        <v>416.56</v>
      </c>
      <c r="L561">
        <f t="shared" si="57"/>
        <v>5.2104954154921757</v>
      </c>
      <c r="M561">
        <f t="shared" si="58"/>
        <v>0.92952956988632762</v>
      </c>
      <c r="N561">
        <f t="shared" si="59"/>
        <v>5.2927580424725669</v>
      </c>
    </row>
    <row r="562" spans="10:14" x14ac:dyDescent="0.25">
      <c r="J562">
        <f t="shared" si="60"/>
        <v>127.25</v>
      </c>
      <c r="K562">
        <f t="shared" si="56"/>
        <v>417.38</v>
      </c>
      <c r="L562">
        <f t="shared" si="57"/>
        <v>5.2385836430549197</v>
      </c>
      <c r="M562">
        <f t="shared" si="58"/>
        <v>0.93537978180006842</v>
      </c>
      <c r="N562">
        <f t="shared" si="59"/>
        <v>5.3214372045043339</v>
      </c>
    </row>
    <row r="563" spans="10:14" x14ac:dyDescent="0.25">
      <c r="J563">
        <f t="shared" si="60"/>
        <v>127.5</v>
      </c>
      <c r="K563">
        <f t="shared" si="56"/>
        <v>418.2</v>
      </c>
      <c r="L563">
        <f t="shared" si="57"/>
        <v>5.2654373223022883</v>
      </c>
      <c r="M563">
        <f t="shared" si="58"/>
        <v>0.9410088068167648</v>
      </c>
      <c r="N563">
        <f t="shared" si="59"/>
        <v>5.3488622874028646</v>
      </c>
    </row>
    <row r="564" spans="10:14" x14ac:dyDescent="0.25">
      <c r="J564">
        <f t="shared" si="60"/>
        <v>127.75</v>
      </c>
      <c r="K564">
        <f t="shared" si="56"/>
        <v>419.02</v>
      </c>
      <c r="L564">
        <f t="shared" si="57"/>
        <v>5.2910513648957185</v>
      </c>
      <c r="M564">
        <f t="shared" si="58"/>
        <v>0.94641554450488408</v>
      </c>
      <c r="N564">
        <f t="shared" si="59"/>
        <v>5.3750280863308353</v>
      </c>
    </row>
    <row r="565" spans="10:14" x14ac:dyDescent="0.25">
      <c r="J565">
        <f t="shared" si="60"/>
        <v>128</v>
      </c>
      <c r="K565">
        <f t="shared" ref="K565:K628" si="61">J565*3.28</f>
        <v>419.84</v>
      </c>
      <c r="L565">
        <f t="shared" ref="L565:L628" si="62">$Y$7*EXP($Y$11*(J565-$Y$4))*COS(PI()/180*($Y$8+$Y$5*(J565-$Y$4)))+$Y$9*EXP($Y$12*(J565-$Y$4))*COS(PI()/180*($Y$10+$Y$6*(J565-$Y$4)))</f>
        <v>5.3154209732331577</v>
      </c>
      <c r="M565">
        <f t="shared" ref="M565:M628" si="63">$Y$13+$Y$7*EXP($Y$11*(J565-$Y$4))*SIN(PI()/180*($Y$8+$Y$5*(J565-$Y$4)))+$Y$9*EXP($Y$12*(J565-$Y$4))*SIN(PI()/180*($Y$10+$Y$6*(J565-$Y$4)))</f>
        <v>0.95159894673588075</v>
      </c>
      <c r="N565">
        <f t="shared" ref="N565:N628" si="64">SQRT(L565*L565+M565*M565)</f>
        <v>5.3999296919604207</v>
      </c>
    </row>
    <row r="566" spans="10:14" x14ac:dyDescent="0.25">
      <c r="J566">
        <f t="shared" ref="J566:J629" si="65">J565+$I$52</f>
        <v>128.25</v>
      </c>
      <c r="K566">
        <f t="shared" si="61"/>
        <v>420.65999999999997</v>
      </c>
      <c r="L566">
        <f t="shared" si="62"/>
        <v>5.3385416412949862</v>
      </c>
      <c r="M566">
        <f t="shared" si="63"/>
        <v>0.95655801787909134</v>
      </c>
      <c r="N566">
        <f t="shared" si="64"/>
        <v>5.4235624913343941</v>
      </c>
    </row>
    <row r="567" spans="10:14" x14ac:dyDescent="0.25">
      <c r="J567">
        <f t="shared" si="65"/>
        <v>128.5</v>
      </c>
      <c r="K567">
        <f t="shared" si="61"/>
        <v>421.47999999999996</v>
      </c>
      <c r="L567">
        <f t="shared" si="62"/>
        <v>5.3604091554219</v>
      </c>
      <c r="M567">
        <f t="shared" si="63"/>
        <v>0.96129181498435712</v>
      </c>
      <c r="N567">
        <f t="shared" si="64"/>
        <v>5.4459221686585684</v>
      </c>
    </row>
    <row r="568" spans="10:14" x14ac:dyDescent="0.25">
      <c r="J568">
        <f t="shared" si="65"/>
        <v>128.75</v>
      </c>
      <c r="K568">
        <f t="shared" si="61"/>
        <v>422.29999999999995</v>
      </c>
      <c r="L568">
        <f t="shared" si="62"/>
        <v>5.3810195950245836</v>
      </c>
      <c r="M568">
        <f t="shared" si="63"/>
        <v>0.96579944795228179</v>
      </c>
      <c r="N568">
        <f t="shared" si="64"/>
        <v>5.4670047060253628</v>
      </c>
    </row>
    <row r="569" spans="10:14" x14ac:dyDescent="0.25">
      <c r="J569">
        <f t="shared" si="65"/>
        <v>129</v>
      </c>
      <c r="K569">
        <f t="shared" si="61"/>
        <v>423.11999999999995</v>
      </c>
      <c r="L569">
        <f t="shared" si="62"/>
        <v>5.4003693332251004</v>
      </c>
      <c r="M569">
        <f t="shared" si="63"/>
        <v>0.97008007969218335</v>
      </c>
      <c r="N569">
        <f t="shared" si="64"/>
        <v>5.4868063840683963</v>
      </c>
    </row>
    <row r="570" spans="10:14" x14ac:dyDescent="0.25">
      <c r="J570">
        <f t="shared" si="65"/>
        <v>129.25</v>
      </c>
      <c r="K570">
        <f t="shared" si="61"/>
        <v>423.94</v>
      </c>
      <c r="L570">
        <f t="shared" si="62"/>
        <v>5.418455037429899</v>
      </c>
      <c r="M570">
        <f t="shared" si="63"/>
        <v>0.97413292626761749</v>
      </c>
      <c r="N570">
        <f t="shared" si="64"/>
        <v>5.5053237825479586</v>
      </c>
    </row>
    <row r="571" spans="10:14" x14ac:dyDescent="0.25">
      <c r="J571">
        <f t="shared" si="65"/>
        <v>129.5</v>
      </c>
      <c r="K571">
        <f t="shared" si="61"/>
        <v>424.76</v>
      </c>
      <c r="L571">
        <f t="shared" si="62"/>
        <v>5.4352736698343875</v>
      </c>
      <c r="M571">
        <f t="shared" si="63"/>
        <v>0.97795725702954794</v>
      </c>
      <c r="N571">
        <f t="shared" si="64"/>
        <v>5.5225537808673018</v>
      </c>
    </row>
    <row r="572" spans="10:14" x14ac:dyDescent="0.25">
      <c r="J572">
        <f t="shared" si="65"/>
        <v>129.75</v>
      </c>
      <c r="K572">
        <f t="shared" si="61"/>
        <v>425.58</v>
      </c>
      <c r="L572">
        <f t="shared" si="62"/>
        <v>5.4508224878589786</v>
      </c>
      <c r="M572">
        <f t="shared" si="63"/>
        <v>0.9815523947370608</v>
      </c>
      <c r="N572">
        <f t="shared" si="64"/>
        <v>5.5384935585196091</v>
      </c>
    </row>
    <row r="573" spans="10:14" x14ac:dyDescent="0.25">
      <c r="J573">
        <f t="shared" si="65"/>
        <v>130</v>
      </c>
      <c r="K573">
        <f t="shared" si="61"/>
        <v>426.4</v>
      </c>
      <c r="L573">
        <f t="shared" si="62"/>
        <v>5.4650990445166174</v>
      </c>
      <c r="M573">
        <f t="shared" si="63"/>
        <v>0.98491771566565001</v>
      </c>
      <c r="N573">
        <f t="shared" si="64"/>
        <v>5.5531405954656403</v>
      </c>
    </row>
    <row r="574" spans="10:14" x14ac:dyDescent="0.25">
      <c r="J574">
        <f t="shared" si="65"/>
        <v>130.25</v>
      </c>
      <c r="K574">
        <f t="shared" si="61"/>
        <v>427.21999999999997</v>
      </c>
      <c r="L574">
        <f t="shared" si="62"/>
        <v>5.4781011887117277</v>
      </c>
      <c r="M574">
        <f t="shared" si="63"/>
        <v>0.98805264970306761</v>
      </c>
      <c r="N574">
        <f t="shared" si="64"/>
        <v>5.5664926724419654</v>
      </c>
    </row>
    <row r="575" spans="10:14" x14ac:dyDescent="0.25">
      <c r="J575">
        <f t="shared" si="65"/>
        <v>130.5</v>
      </c>
      <c r="K575">
        <f t="shared" si="61"/>
        <v>428.03999999999996</v>
      </c>
      <c r="L575">
        <f t="shared" si="62"/>
        <v>5.4898270654705907</v>
      </c>
      <c r="M575">
        <f t="shared" si="63"/>
        <v>0.99095668043269447</v>
      </c>
      <c r="N575">
        <f t="shared" si="64"/>
        <v>5.578547871199782</v>
      </c>
    </row>
    <row r="576" spans="10:14" x14ac:dyDescent="0.25">
      <c r="J576">
        <f t="shared" si="65"/>
        <v>130.75</v>
      </c>
      <c r="K576">
        <f t="shared" si="61"/>
        <v>428.85999999999996</v>
      </c>
      <c r="L576">
        <f t="shared" si="62"/>
        <v>5.5002751161031629</v>
      </c>
      <c r="M576">
        <f t="shared" si="63"/>
        <v>0.99362934520443746</v>
      </c>
      <c r="N576">
        <f t="shared" si="64"/>
        <v>5.5893045746743004</v>
      </c>
    </row>
    <row r="577" spans="10:14" x14ac:dyDescent="0.25">
      <c r="J577">
        <f t="shared" si="65"/>
        <v>131</v>
      </c>
      <c r="K577">
        <f t="shared" si="61"/>
        <v>429.67999999999995</v>
      </c>
      <c r="L577">
        <f t="shared" si="62"/>
        <v>5.5094440782963474</v>
      </c>
      <c r="M577">
        <f t="shared" si="63"/>
        <v>0.99607023519317817</v>
      </c>
      <c r="N577">
        <f t="shared" si="64"/>
        <v>5.5987614670847057</v>
      </c>
    </row>
    <row r="578" spans="10:14" x14ac:dyDescent="0.25">
      <c r="J578">
        <f t="shared" si="65"/>
        <v>131.25</v>
      </c>
      <c r="K578">
        <f t="shared" si="61"/>
        <v>430.5</v>
      </c>
      <c r="L578">
        <f t="shared" si="62"/>
        <v>5.5173329861387712</v>
      </c>
      <c r="M578">
        <f t="shared" si="63"/>
        <v>0.99827899544470489</v>
      </c>
      <c r="N578">
        <f t="shared" si="64"/>
        <v>5.6069175339647241</v>
      </c>
    </row>
    <row r="579" spans="10:14" x14ac:dyDescent="0.25">
      <c r="J579">
        <f t="shared" si="65"/>
        <v>131.5</v>
      </c>
      <c r="K579">
        <f t="shared" si="61"/>
        <v>431.32</v>
      </c>
      <c r="L579">
        <f t="shared" si="62"/>
        <v>5.5239411700771104</v>
      </c>
      <c r="M579">
        <f t="shared" si="63"/>
        <v>1.0002553249092094</v>
      </c>
      <c r="N579">
        <f t="shared" si="64"/>
        <v>5.6137720621238358</v>
      </c>
    </row>
    <row r="580" spans="10:14" x14ac:dyDescent="0.25">
      <c r="J580">
        <f t="shared" si="65"/>
        <v>131.75</v>
      </c>
      <c r="K580">
        <f t="shared" si="61"/>
        <v>432.14</v>
      </c>
      <c r="L580">
        <f t="shared" si="62"/>
        <v>5.5292682568040501</v>
      </c>
      <c r="M580">
        <f t="shared" si="63"/>
        <v>1.0019989764622701</v>
      </c>
      <c r="N580">
        <f t="shared" si="64"/>
        <v>5.6193246395391983</v>
      </c>
    </row>
    <row r="581" spans="10:14" x14ac:dyDescent="0.25">
      <c r="J581">
        <f t="shared" si="65"/>
        <v>132</v>
      </c>
      <c r="K581">
        <f t="shared" si="61"/>
        <v>432.96</v>
      </c>
      <c r="L581">
        <f t="shared" si="62"/>
        <v>5.5333141690779666</v>
      </c>
      <c r="M581">
        <f t="shared" si="63"/>
        <v>1.0035097569134028</v>
      </c>
      <c r="N581">
        <f t="shared" si="64"/>
        <v>5.6235751551783659</v>
      </c>
    </row>
    <row r="582" spans="10:14" x14ac:dyDescent="0.25">
      <c r="J582">
        <f t="shared" si="65"/>
        <v>132.25</v>
      </c>
      <c r="K582">
        <f t="shared" si="61"/>
        <v>433.78</v>
      </c>
      <c r="L582">
        <f t="shared" si="62"/>
        <v>5.5360791254744033</v>
      </c>
      <c r="M582">
        <f t="shared" si="63"/>
        <v>1.0047875270021331</v>
      </c>
      <c r="N582">
        <f t="shared" si="64"/>
        <v>5.626523798752876</v>
      </c>
    </row>
    <row r="583" spans="10:14" x14ac:dyDescent="0.25">
      <c r="J583">
        <f t="shared" si="65"/>
        <v>132.5</v>
      </c>
      <c r="K583">
        <f t="shared" si="61"/>
        <v>434.59999999999997</v>
      </c>
      <c r="L583">
        <f t="shared" si="62"/>
        <v>5.5375636400695107</v>
      </c>
      <c r="M583">
        <f t="shared" si="63"/>
        <v>1.0058322013816197</v>
      </c>
      <c r="N583">
        <f t="shared" si="64"/>
        <v>5.6281710604028454</v>
      </c>
    </row>
    <row r="584" spans="10:14" x14ac:dyDescent="0.25">
      <c r="J584">
        <f t="shared" si="65"/>
        <v>132.75</v>
      </c>
      <c r="K584">
        <f t="shared" si="61"/>
        <v>435.41999999999996</v>
      </c>
      <c r="L584">
        <f t="shared" si="62"/>
        <v>5.5377685220555399</v>
      </c>
      <c r="M584">
        <f t="shared" si="63"/>
        <v>1.0066437485898703</v>
      </c>
      <c r="N584">
        <f t="shared" si="64"/>
        <v>5.6285177303126854</v>
      </c>
    </row>
    <row r="585" spans="10:14" x14ac:dyDescent="0.25">
      <c r="J585">
        <f t="shared" si="65"/>
        <v>133</v>
      </c>
      <c r="K585">
        <f t="shared" si="61"/>
        <v>436.23999999999995</v>
      </c>
      <c r="L585">
        <f t="shared" si="62"/>
        <v>5.5366948752885641</v>
      </c>
      <c r="M585">
        <f t="shared" si="63"/>
        <v>1.0072221910085228</v>
      </c>
      <c r="N585">
        <f t="shared" si="64"/>
        <v>5.6275648982580968</v>
      </c>
    </row>
    <row r="586" spans="10:14" x14ac:dyDescent="0.25">
      <c r="J586">
        <f t="shared" si="65"/>
        <v>133.25</v>
      </c>
      <c r="K586">
        <f t="shared" si="61"/>
        <v>437.06</v>
      </c>
      <c r="L586">
        <f t="shared" si="62"/>
        <v>5.5343440977685923</v>
      </c>
      <c r="M586">
        <f t="shared" si="63"/>
        <v>1.0075676048092339</v>
      </c>
      <c r="N586">
        <f t="shared" si="64"/>
        <v>5.6253139530844916</v>
      </c>
    </row>
    <row r="587" spans="10:14" x14ac:dyDescent="0.25">
      <c r="J587">
        <f t="shared" si="65"/>
        <v>133.5</v>
      </c>
      <c r="K587">
        <f t="shared" si="61"/>
        <v>437.88</v>
      </c>
      <c r="L587">
        <f t="shared" si="62"/>
        <v>5.5307178810522251</v>
      </c>
      <c r="M587">
        <f t="shared" si="63"/>
        <v>1.0076801198877234</v>
      </c>
      <c r="N587">
        <f t="shared" si="64"/>
        <v>5.6217665821170266</v>
      </c>
    </row>
    <row r="588" spans="10:14" x14ac:dyDescent="0.25">
      <c r="J588">
        <f t="shared" si="65"/>
        <v>133.75</v>
      </c>
      <c r="K588">
        <f t="shared" si="61"/>
        <v>438.7</v>
      </c>
      <c r="L588">
        <f t="shared" si="62"/>
        <v>5.5258182095981105</v>
      </c>
      <c r="M588">
        <f t="shared" si="63"/>
        <v>1.0075599197854384</v>
      </c>
      <c r="N588">
        <f t="shared" si="64"/>
        <v>5.6169247705024592</v>
      </c>
    </row>
    <row r="589" spans="10:14" x14ac:dyDescent="0.25">
      <c r="J589">
        <f t="shared" si="65"/>
        <v>134</v>
      </c>
      <c r="K589">
        <f t="shared" si="61"/>
        <v>439.52</v>
      </c>
      <c r="L589">
        <f t="shared" si="62"/>
        <v>5.5196473600453455</v>
      </c>
      <c r="M589">
        <f t="shared" si="63"/>
        <v>1.0072072415989459</v>
      </c>
      <c r="N589">
        <f t="shared" si="64"/>
        <v>5.6107908004830218</v>
      </c>
    </row>
    <row r="590" spans="10:14" x14ac:dyDescent="0.25">
      <c r="J590">
        <f t="shared" si="65"/>
        <v>134.25</v>
      </c>
      <c r="K590">
        <f t="shared" si="61"/>
        <v>440.34</v>
      </c>
      <c r="L590">
        <f t="shared" si="62"/>
        <v>5.5122079004250963</v>
      </c>
      <c r="M590">
        <f t="shared" si="63"/>
        <v>1.0066223758770039</v>
      </c>
      <c r="N590">
        <f t="shared" si="64"/>
        <v>5.6033672506025436</v>
      </c>
    </row>
    <row r="591" spans="10:14" x14ac:dyDescent="0.25">
      <c r="J591">
        <f t="shared" si="65"/>
        <v>134.5</v>
      </c>
      <c r="K591">
        <f t="shared" si="61"/>
        <v>441.15999999999997</v>
      </c>
      <c r="L591">
        <f t="shared" si="62"/>
        <v>5.5035026893056509</v>
      </c>
      <c r="M591">
        <f t="shared" si="63"/>
        <v>1.0058056665054211</v>
      </c>
      <c r="N591">
        <f t="shared" si="64"/>
        <v>5.5946569948450771</v>
      </c>
    </row>
    <row r="592" spans="10:14" x14ac:dyDescent="0.25">
      <c r="J592">
        <f t="shared" si="65"/>
        <v>134.75</v>
      </c>
      <c r="K592">
        <f t="shared" si="61"/>
        <v>441.97999999999996</v>
      </c>
      <c r="L592">
        <f t="shared" si="62"/>
        <v>5.4935348748711794</v>
      </c>
      <c r="M592">
        <f t="shared" si="63"/>
        <v>1.0047575105796853</v>
      </c>
      <c r="N592">
        <f t="shared" si="64"/>
        <v>5.5846632017062756</v>
      </c>
    </row>
    <row r="593" spans="10:14" x14ac:dyDescent="0.25">
      <c r="J593">
        <f t="shared" si="65"/>
        <v>135</v>
      </c>
      <c r="K593">
        <f t="shared" si="61"/>
        <v>442.79999999999995</v>
      </c>
      <c r="L593">
        <f t="shared" si="62"/>
        <v>5.4823078939344727</v>
      </c>
      <c r="M593">
        <f t="shared" si="63"/>
        <v>1.003478358265425</v>
      </c>
      <c r="N593">
        <f t="shared" si="64"/>
        <v>5.5733893331978264</v>
      </c>
    </row>
    <row r="594" spans="10:14" x14ac:dyDescent="0.25">
      <c r="J594">
        <f t="shared" si="65"/>
        <v>135.25</v>
      </c>
      <c r="K594">
        <f t="shared" si="61"/>
        <v>443.61999999999995</v>
      </c>
      <c r="L594">
        <f t="shared" si="62"/>
        <v>5.4698254708839276</v>
      </c>
      <c r="M594">
        <f t="shared" si="63"/>
        <v>1.0019687126467649</v>
      </c>
      <c r="N594">
        <f t="shared" si="64"/>
        <v>5.5608391437851887</v>
      </c>
    </row>
    <row r="595" spans="10:14" x14ac:dyDescent="0.25">
      <c r="J595">
        <f t="shared" si="65"/>
        <v>135.5</v>
      </c>
      <c r="K595">
        <f t="shared" si="61"/>
        <v>444.44</v>
      </c>
      <c r="L595">
        <f t="shared" si="62"/>
        <v>5.4560916165651072</v>
      </c>
      <c r="M595">
        <f t="shared" si="63"/>
        <v>1.0002291295625705</v>
      </c>
      <c r="N595">
        <f t="shared" si="64"/>
        <v>5.5470166792589994</v>
      </c>
    </row>
    <row r="596" spans="10:14" x14ac:dyDescent="0.25">
      <c r="J596">
        <f t="shared" si="65"/>
        <v>135.75</v>
      </c>
      <c r="K596">
        <f t="shared" si="61"/>
        <v>445.26</v>
      </c>
      <c r="L596">
        <f t="shared" si="62"/>
        <v>5.4411106270971805</v>
      </c>
      <c r="M596">
        <f t="shared" si="63"/>
        <v>0.99826021743069726</v>
      </c>
      <c r="N596">
        <f t="shared" si="64"/>
        <v>5.5319262755404344</v>
      </c>
    </row>
    <row r="597" spans="10:14" x14ac:dyDescent="0.25">
      <c r="J597">
        <f t="shared" si="65"/>
        <v>136</v>
      </c>
      <c r="K597">
        <f t="shared" si="61"/>
        <v>446.08</v>
      </c>
      <c r="L597">
        <f t="shared" si="62"/>
        <v>5.424887082624565</v>
      </c>
      <c r="M597">
        <f t="shared" si="63"/>
        <v>0.99606263706023401</v>
      </c>
      <c r="N597">
        <f t="shared" si="64"/>
        <v>5.5155725574208745</v>
      </c>
    </row>
    <row r="598" spans="10:14" x14ac:dyDescent="0.25">
      <c r="J598">
        <f t="shared" si="65"/>
        <v>136.25</v>
      </c>
      <c r="K598">
        <f t="shared" si="61"/>
        <v>446.9</v>
      </c>
      <c r="L598">
        <f t="shared" si="62"/>
        <v>5.4074258460041378</v>
      </c>
      <c r="M598">
        <f t="shared" si="63"/>
        <v>0.99363710145182438</v>
      </c>
      <c r="N598">
        <f t="shared" si="64"/>
        <v>5.4979604372362623</v>
      </c>
    </row>
    <row r="599" spans="10:14" x14ac:dyDescent="0.25">
      <c r="J599">
        <f t="shared" si="65"/>
        <v>136.5</v>
      </c>
      <c r="K599">
        <f t="shared" si="61"/>
        <v>447.71999999999997</v>
      </c>
      <c r="L599">
        <f t="shared" si="62"/>
        <v>5.3887320614283594</v>
      </c>
      <c r="M599">
        <f t="shared" si="63"/>
        <v>0.99098437558614161</v>
      </c>
      <c r="N599">
        <f t="shared" si="64"/>
        <v>5.4790951134764754</v>
      </c>
    </row>
    <row r="600" spans="10:14" x14ac:dyDescent="0.25">
      <c r="J600">
        <f t="shared" si="65"/>
        <v>136.75</v>
      </c>
      <c r="K600">
        <f t="shared" si="61"/>
        <v>448.53999999999996</v>
      </c>
      <c r="L600">
        <f t="shared" si="62"/>
        <v>5.3688111529846987</v>
      </c>
      <c r="M600">
        <f t="shared" si="63"/>
        <v>0.98810527620052124</v>
      </c>
      <c r="N600">
        <f t="shared" si="64"/>
        <v>5.4589820693301601</v>
      </c>
    </row>
    <row r="601" spans="10:14" x14ac:dyDescent="0.25">
      <c r="J601">
        <f t="shared" si="65"/>
        <v>137</v>
      </c>
      <c r="K601">
        <f t="shared" si="61"/>
        <v>449.35999999999996</v>
      </c>
      <c r="L601">
        <f t="shared" si="62"/>
        <v>5.3476688231517304</v>
      </c>
      <c r="M601">
        <f t="shared" si="63"/>
        <v>0.98500067155387749</v>
      </c>
      <c r="N601">
        <f t="shared" si="64"/>
        <v>5.4376270711653811</v>
      </c>
    </row>
    <row r="602" spans="10:14" x14ac:dyDescent="0.25">
      <c r="J602">
        <f t="shared" si="65"/>
        <v>137.25</v>
      </c>
      <c r="K602">
        <f t="shared" si="61"/>
        <v>450.17999999999995</v>
      </c>
      <c r="L602">
        <f t="shared" si="62"/>
        <v>5.3253110512323367</v>
      </c>
      <c r="M602">
        <f t="shared" si="63"/>
        <v>0.98167148117992187</v>
      </c>
      <c r="N602">
        <f t="shared" si="64"/>
        <v>5.415036166946555</v>
      </c>
    </row>
    <row r="603" spans="10:14" x14ac:dyDescent="0.25">
      <c r="J603">
        <f t="shared" si="65"/>
        <v>137.5</v>
      </c>
      <c r="K603">
        <f t="shared" si="61"/>
        <v>451</v>
      </c>
      <c r="L603">
        <f t="shared" si="62"/>
        <v>5.3017440917244114</v>
      </c>
      <c r="M603">
        <f t="shared" si="63"/>
        <v>0.97811867562876165</v>
      </c>
      <c r="N603">
        <f t="shared" si="64"/>
        <v>5.391215684588075</v>
      </c>
    </row>
    <row r="604" spans="10:14" x14ac:dyDescent="0.25">
      <c r="J604">
        <f t="shared" si="65"/>
        <v>137.75</v>
      </c>
      <c r="K604">
        <f t="shared" si="61"/>
        <v>451.82</v>
      </c>
      <c r="L604">
        <f t="shared" si="62"/>
        <v>5.2769744726294903</v>
      </c>
      <c r="M604">
        <f t="shared" si="63"/>
        <v>0.97434327619697914</v>
      </c>
      <c r="N604">
        <f t="shared" si="64"/>
        <v>5.3661722302450885</v>
      </c>
    </row>
    <row r="605" spans="10:14" x14ac:dyDescent="0.25">
      <c r="J605">
        <f t="shared" si="65"/>
        <v>138</v>
      </c>
      <c r="K605">
        <f t="shared" si="61"/>
        <v>452.64</v>
      </c>
      <c r="L605">
        <f t="shared" si="62"/>
        <v>5.2510089936997826</v>
      </c>
      <c r="M605">
        <f t="shared" si="63"/>
        <v>0.97034635464620322</v>
      </c>
      <c r="N605">
        <f t="shared" si="64"/>
        <v>5.3399126865419042</v>
      </c>
    </row>
    <row r="606" spans="10:14" x14ac:dyDescent="0.25">
      <c r="J606">
        <f t="shared" si="65"/>
        <v>138.25</v>
      </c>
      <c r="K606">
        <f t="shared" si="61"/>
        <v>453.46</v>
      </c>
      <c r="L606">
        <f t="shared" si="62"/>
        <v>5.2238547246240499</v>
      </c>
      <c r="M606">
        <f t="shared" si="63"/>
        <v>0.96612903291032426</v>
      </c>
      <c r="N606">
        <f t="shared" si="64"/>
        <v>5.3124442107385228</v>
      </c>
    </row>
    <row r="607" spans="10:14" x14ac:dyDescent="0.25">
      <c r="J607">
        <f t="shared" si="65"/>
        <v>138.5</v>
      </c>
      <c r="K607">
        <f t="shared" si="61"/>
        <v>454.28</v>
      </c>
      <c r="L607">
        <f t="shared" si="62"/>
        <v>5.1955190031527865</v>
      </c>
      <c r="M607">
        <f t="shared" si="63"/>
        <v>0.96169248279136244</v>
      </c>
      <c r="N607">
        <f t="shared" si="64"/>
        <v>5.2837742328357615</v>
      </c>
    </row>
    <row r="608" spans="10:14" x14ac:dyDescent="0.25">
      <c r="J608">
        <f t="shared" si="65"/>
        <v>138.75</v>
      </c>
      <c r="K608">
        <f t="shared" si="61"/>
        <v>455.09999999999997</v>
      </c>
      <c r="L608">
        <f t="shared" si="62"/>
        <v>5.1660094331632296</v>
      </c>
      <c r="M608">
        <f t="shared" si="63"/>
        <v>0.95703792564409729</v>
      </c>
      <c r="N608">
        <f t="shared" si="64"/>
        <v>5.2539104536195351</v>
      </c>
    </row>
    <row r="609" spans="10:14" x14ac:dyDescent="0.25">
      <c r="J609">
        <f t="shared" si="65"/>
        <v>139</v>
      </c>
      <c r="K609">
        <f t="shared" si="61"/>
        <v>455.91999999999996</v>
      </c>
      <c r="L609">
        <f t="shared" si="62"/>
        <v>5.1353338826646535</v>
      </c>
      <c r="M609">
        <f t="shared" si="63"/>
        <v>0.95216663204957186</v>
      </c>
      <c r="N609">
        <f t="shared" si="64"/>
        <v>5.2228608426447902</v>
      </c>
    </row>
    <row r="610" spans="10:14" x14ac:dyDescent="0.25">
      <c r="J610">
        <f t="shared" si="65"/>
        <v>139.25</v>
      </c>
      <c r="K610">
        <f t="shared" si="61"/>
        <v>456.73999999999995</v>
      </c>
      <c r="L610">
        <f t="shared" si="62"/>
        <v>5.1035004817445131</v>
      </c>
      <c r="M610">
        <f t="shared" si="63"/>
        <v>0.94707992147748521</v>
      </c>
      <c r="N610">
        <f t="shared" si="64"/>
        <v>5.1906336361596814</v>
      </c>
    </row>
    <row r="611" spans="10:14" x14ac:dyDescent="0.25">
      <c r="J611">
        <f t="shared" si="65"/>
        <v>139.5</v>
      </c>
      <c r="K611">
        <f t="shared" si="61"/>
        <v>457.55999999999995</v>
      </c>
      <c r="L611">
        <f t="shared" si="62"/>
        <v>5.0705176204559042</v>
      </c>
      <c r="M611">
        <f t="shared" si="63"/>
        <v>0.94177916193764055</v>
      </c>
      <c r="N611">
        <f t="shared" si="64"/>
        <v>5.1572373349705138</v>
      </c>
    </row>
    <row r="612" spans="10:14" x14ac:dyDescent="0.25">
      <c r="J612">
        <f t="shared" si="65"/>
        <v>139.75</v>
      </c>
      <c r="K612">
        <f t="shared" si="61"/>
        <v>458.38</v>
      </c>
      <c r="L612">
        <f t="shared" si="62"/>
        <v>5.0363939466469425</v>
      </c>
      <c r="M612">
        <f t="shared" si="63"/>
        <v>0.9362657696204818</v>
      </c>
      <c r="N612">
        <f t="shared" si="64"/>
        <v>5.1226807022480916</v>
      </c>
    </row>
    <row r="613" spans="10:14" x14ac:dyDescent="0.25">
      <c r="J613">
        <f t="shared" si="65"/>
        <v>140</v>
      </c>
      <c r="K613">
        <f t="shared" si="61"/>
        <v>459.2</v>
      </c>
      <c r="L613">
        <f t="shared" si="62"/>
        <v>5.0011383637325757</v>
      </c>
      <c r="M613">
        <f t="shared" si="63"/>
        <v>0.93054120852682654</v>
      </c>
      <c r="N613">
        <f t="shared" si="64"/>
        <v>5.0869727612760336</v>
      </c>
    </row>
    <row r="614" spans="10:14" x14ac:dyDescent="0.25">
      <c r="J614">
        <f t="shared" si="65"/>
        <v>140.25</v>
      </c>
      <c r="K614">
        <f t="shared" si="61"/>
        <v>460.02</v>
      </c>
      <c r="L614">
        <f t="shared" si="62"/>
        <v>4.964760028409394</v>
      </c>
      <c r="M614">
        <f t="shared" si="63"/>
        <v>0.9246069900869206</v>
      </c>
      <c r="N614">
        <f t="shared" si="64"/>
        <v>5.050122793141691</v>
      </c>
    </row>
    <row r="615" spans="10:14" x14ac:dyDescent="0.25">
      <c r="J615">
        <f t="shared" si="65"/>
        <v>140.5</v>
      </c>
      <c r="K615">
        <f t="shared" si="61"/>
        <v>460.84</v>
      </c>
      <c r="L615">
        <f t="shared" si="62"/>
        <v>4.9272683483140405</v>
      </c>
      <c r="M615">
        <f t="shared" si="63"/>
        <v>0.91846467276885269</v>
      </c>
      <c r="N615">
        <f t="shared" si="64"/>
        <v>5.0121403343703141</v>
      </c>
    </row>
    <row r="616" spans="10:14" x14ac:dyDescent="0.25">
      <c r="J616">
        <f t="shared" si="65"/>
        <v>140.75</v>
      </c>
      <c r="K616">
        <f t="shared" si="61"/>
        <v>461.65999999999997</v>
      </c>
      <c r="L616">
        <f t="shared" si="62"/>
        <v>4.8886729796258006</v>
      </c>
      <c r="M616">
        <f t="shared" si="63"/>
        <v>0.9121158616764975</v>
      </c>
      <c r="N616">
        <f t="shared" si="64"/>
        <v>4.973035174503118</v>
      </c>
    </row>
    <row r="617" spans="10:14" x14ac:dyDescent="0.25">
      <c r="J617">
        <f t="shared" si="65"/>
        <v>141</v>
      </c>
      <c r="K617">
        <f t="shared" si="61"/>
        <v>462.47999999999996</v>
      </c>
      <c r="L617">
        <f t="shared" si="62"/>
        <v>4.8489838246139723</v>
      </c>
      <c r="M617">
        <f t="shared" si="63"/>
        <v>0.9055622081370307</v>
      </c>
      <c r="N617">
        <f t="shared" si="64"/>
        <v>4.9328173536199333</v>
      </c>
    </row>
    <row r="618" spans="10:14" x14ac:dyDescent="0.25">
      <c r="J618">
        <f t="shared" si="65"/>
        <v>141.25</v>
      </c>
      <c r="K618">
        <f t="shared" si="61"/>
        <v>463.29999999999995</v>
      </c>
      <c r="L618">
        <f t="shared" si="62"/>
        <v>4.8082110291306259</v>
      </c>
      <c r="M618">
        <f t="shared" si="63"/>
        <v>0.89880540927814578</v>
      </c>
      <c r="N618">
        <f t="shared" si="64"/>
        <v>4.8914971598071126</v>
      </c>
    </row>
    <row r="619" spans="10:14" x14ac:dyDescent="0.25">
      <c r="J619">
        <f t="shared" si="65"/>
        <v>141.5</v>
      </c>
      <c r="K619">
        <f t="shared" si="61"/>
        <v>464.11999999999995</v>
      </c>
      <c r="L619">
        <f t="shared" si="62"/>
        <v>4.7663649800494099</v>
      </c>
      <c r="M619">
        <f t="shared" si="63"/>
        <v>0.89184720759510194</v>
      </c>
      <c r="N619">
        <f t="shared" si="64"/>
        <v>4.8490851265714641</v>
      </c>
    </row>
    <row r="620" spans="10:14" x14ac:dyDescent="0.25">
      <c r="J620">
        <f t="shared" si="65"/>
        <v>141.75</v>
      </c>
      <c r="K620">
        <f t="shared" si="61"/>
        <v>464.94</v>
      </c>
      <c r="L620">
        <f t="shared" si="62"/>
        <v>4.7234563026510124</v>
      </c>
      <c r="M620">
        <f t="shared" si="63"/>
        <v>0.88468939050765483</v>
      </c>
      <c r="N620">
        <f t="shared" si="64"/>
        <v>4.8055920302008968</v>
      </c>
    </row>
    <row r="621" spans="10:14" x14ac:dyDescent="0.25">
      <c r="J621">
        <f t="shared" si="65"/>
        <v>142</v>
      </c>
      <c r="K621">
        <f t="shared" si="61"/>
        <v>465.76</v>
      </c>
      <c r="L621">
        <f t="shared" si="62"/>
        <v>4.6794958579559163</v>
      </c>
      <c r="M621">
        <f t="shared" si="63"/>
        <v>0.87733378990704425</v>
      </c>
      <c r="N621">
        <f t="shared" si="64"/>
        <v>4.7610288870725448</v>
      </c>
    </row>
    <row r="622" spans="10:14" x14ac:dyDescent="0.25">
      <c r="J622">
        <f t="shared" si="65"/>
        <v>142.25</v>
      </c>
      <c r="K622">
        <f t="shared" si="61"/>
        <v>466.58</v>
      </c>
      <c r="L622">
        <f t="shared" si="62"/>
        <v>4.6344947400051932</v>
      </c>
      <c r="M622">
        <f t="shared" si="63"/>
        <v>0.86978228169311145</v>
      </c>
      <c r="N622">
        <f t="shared" si="64"/>
        <v>4.7154069509092293</v>
      </c>
    </row>
    <row r="623" spans="10:14" x14ac:dyDescent="0.25">
      <c r="J623">
        <f t="shared" si="65"/>
        <v>142.5</v>
      </c>
      <c r="K623">
        <f t="shared" si="61"/>
        <v>467.4</v>
      </c>
      <c r="L623">
        <f t="shared" si="62"/>
        <v>4.588464273089901</v>
      </c>
      <c r="M623">
        <f t="shared" si="63"/>
        <v>0.86203678530166394</v>
      </c>
      <c r="N623">
        <f t="shared" si="64"/>
        <v>4.6687377099849661</v>
      </c>
    </row>
    <row r="624" spans="10:14" x14ac:dyDescent="0.25">
      <c r="J624">
        <f t="shared" si="65"/>
        <v>142.75</v>
      </c>
      <c r="K624">
        <f t="shared" si="61"/>
        <v>468.21999999999997</v>
      </c>
      <c r="L624">
        <f t="shared" si="62"/>
        <v>4.5414160089298408</v>
      </c>
      <c r="M624">
        <f t="shared" si="63"/>
        <v>0.85409926322224305</v>
      </c>
      <c r="N624">
        <f t="shared" si="64"/>
        <v>4.62103288428042</v>
      </c>
    </row>
    <row r="625" spans="10:14" x14ac:dyDescent="0.25">
      <c r="J625">
        <f t="shared" si="65"/>
        <v>143</v>
      </c>
      <c r="K625">
        <f t="shared" si="61"/>
        <v>469.03999999999996</v>
      </c>
      <c r="L625">
        <f t="shared" si="62"/>
        <v>4.4933617238023498</v>
      </c>
      <c r="M625">
        <f t="shared" si="63"/>
        <v>0.8459717205063495</v>
      </c>
      <c r="N625">
        <f t="shared" si="64"/>
        <v>4.5723044225891716</v>
      </c>
    </row>
    <row r="626" spans="10:14" x14ac:dyDescent="0.25">
      <c r="J626">
        <f t="shared" si="65"/>
        <v>143.25</v>
      </c>
      <c r="K626">
        <f t="shared" si="61"/>
        <v>469.85999999999996</v>
      </c>
      <c r="L626">
        <f t="shared" si="62"/>
        <v>4.4443134156218518</v>
      </c>
      <c r="M626">
        <f t="shared" si="63"/>
        <v>0.83765620426632692</v>
      </c>
      <c r="N626">
        <f t="shared" si="64"/>
        <v>4.5225644995756822</v>
      </c>
    </row>
    <row r="627" spans="10:14" x14ac:dyDescent="0.25">
      <c r="J627">
        <f t="shared" si="65"/>
        <v>143.5</v>
      </c>
      <c r="K627">
        <f t="shared" si="61"/>
        <v>470.67999999999995</v>
      </c>
      <c r="L627">
        <f t="shared" si="62"/>
        <v>4.3942833009708542</v>
      </c>
      <c r="M627">
        <f t="shared" si="63"/>
        <v>0.82915480316495582</v>
      </c>
      <c r="N627">
        <f t="shared" si="64"/>
        <v>4.4718255127858946</v>
      </c>
    </row>
    <row r="628" spans="10:14" x14ac:dyDescent="0.25">
      <c r="J628">
        <f t="shared" si="65"/>
        <v>143.75</v>
      </c>
      <c r="K628">
        <f t="shared" si="61"/>
        <v>471.5</v>
      </c>
      <c r="L628">
        <f t="shared" si="62"/>
        <v>4.3432838120831452</v>
      </c>
      <c r="M628">
        <f t="shared" si="63"/>
        <v>0.82046964689592095</v>
      </c>
      <c r="N628">
        <f t="shared" si="64"/>
        <v>4.4201000796114345</v>
      </c>
    </row>
    <row r="629" spans="10:14" x14ac:dyDescent="0.25">
      <c r="J629">
        <f t="shared" si="65"/>
        <v>144</v>
      </c>
      <c r="K629">
        <f t="shared" ref="K629:K692" si="66">J629*3.28</f>
        <v>472.32</v>
      </c>
      <c r="L629">
        <f t="shared" ref="L629:L692" si="67">$Y$7*EXP($Y$11*(J629-$Y$4))*COS(PI()/180*($Y$8+$Y$5*(J629-$Y$4)))+$Y$9*EXP($Y$12*(J629-$Y$4))*COS(PI()/180*($Y$10+$Y$6*(J629-$Y$4)))</f>
        <v>4.29132759377993</v>
      </c>
      <c r="M629">
        <f t="shared" ref="M629:M692" si="68">$Y$13+$Y$7*EXP($Y$11*(J629-$Y$4))*SIN(PI()/180*($Y$8+$Y$5*(J629-$Y$4)))+$Y$9*EXP($Y$12*(J629-$Y$4))*SIN(PI()/180*($Y$10+$Y$6*(J629-$Y$4)))</f>
        <v>0.81160290565529269</v>
      </c>
      <c r="N629">
        <f t="shared" ref="N629:N692" si="69">SQRT(L629*L629+M629*M629)</f>
        <v>4.3674010342084637</v>
      </c>
    </row>
    <row r="630" spans="10:14" x14ac:dyDescent="0.25">
      <c r="J630">
        <f t="shared" ref="J630:J693" si="70">J629+$I$52</f>
        <v>144.25</v>
      </c>
      <c r="K630">
        <f t="shared" si="66"/>
        <v>473.14</v>
      </c>
      <c r="L630">
        <f t="shared" si="67"/>
        <v>4.2384275003596468</v>
      </c>
      <c r="M630">
        <f t="shared" si="68"/>
        <v>0.80255678960410926</v>
      </c>
      <c r="N630">
        <f t="shared" si="69"/>
        <v>4.3137414243721857</v>
      </c>
    </row>
    <row r="631" spans="10:14" x14ac:dyDescent="0.25">
      <c r="J631">
        <f t="shared" si="70"/>
        <v>144.5</v>
      </c>
      <c r="K631">
        <f t="shared" si="66"/>
        <v>473.96</v>
      </c>
      <c r="L631">
        <f t="shared" si="67"/>
        <v>4.1845965924422046</v>
      </c>
      <c r="M631">
        <f t="shared" si="68"/>
        <v>0.79333354832223346</v>
      </c>
      <c r="N631">
        <f t="shared" si="69"/>
        <v>4.259134508368156</v>
      </c>
    </row>
    <row r="632" spans="10:14" x14ac:dyDescent="0.25">
      <c r="J632">
        <f t="shared" si="70"/>
        <v>144.75</v>
      </c>
      <c r="K632">
        <f t="shared" si="66"/>
        <v>474.78</v>
      </c>
      <c r="L632">
        <f t="shared" si="67"/>
        <v>4.1298481337684709</v>
      </c>
      <c r="M632">
        <f t="shared" si="68"/>
        <v>0.78393547025360122</v>
      </c>
      <c r="N632">
        <f t="shared" si="69"/>
        <v>4.2035937517215736</v>
      </c>
    </row>
    <row r="633" spans="10:14" x14ac:dyDescent="0.25">
      <c r="J633">
        <f t="shared" si="70"/>
        <v>145</v>
      </c>
      <c r="K633">
        <f t="shared" si="66"/>
        <v>475.59999999999997</v>
      </c>
      <c r="L633">
        <f t="shared" si="67"/>
        <v>4.0741955879557246</v>
      </c>
      <c r="M633">
        <f t="shared" si="68"/>
        <v>0.77436488214297827</v>
      </c>
      <c r="N633">
        <f t="shared" si="69"/>
        <v>4.1471328239657579</v>
      </c>
    </row>
    <row r="634" spans="10:14" x14ac:dyDescent="0.25">
      <c r="J634">
        <f t="shared" si="70"/>
        <v>145.25</v>
      </c>
      <c r="K634">
        <f t="shared" si="66"/>
        <v>476.41999999999996</v>
      </c>
      <c r="L634">
        <f t="shared" si="67"/>
        <v>4.0176526152098759</v>
      </c>
      <c r="M634">
        <f t="shared" si="68"/>
        <v>0.76462414846441473</v>
      </c>
      <c r="N634">
        <f t="shared" si="69"/>
        <v>4.0897655953511185</v>
      </c>
    </row>
    <row r="635" spans="10:14" x14ac:dyDescent="0.25">
      <c r="J635">
        <f t="shared" si="70"/>
        <v>145.5</v>
      </c>
      <c r="K635">
        <f t="shared" si="66"/>
        <v>477.23999999999995</v>
      </c>
      <c r="L635">
        <f t="shared" si="67"/>
        <v>3.960233068995298</v>
      </c>
      <c r="M635">
        <f t="shared" si="68"/>
        <v>0.75471567084146929</v>
      </c>
      <c r="N635">
        <f t="shared" si="69"/>
        <v>4.0315061335160589</v>
      </c>
    </row>
    <row r="636" spans="10:14" x14ac:dyDescent="0.25">
      <c r="J636">
        <f t="shared" si="70"/>
        <v>145.75</v>
      </c>
      <c r="K636">
        <f t="shared" si="66"/>
        <v>478.05999999999995</v>
      </c>
      <c r="L636">
        <f t="shared" si="67"/>
        <v>3.9019509926630178</v>
      </c>
      <c r="M636">
        <f t="shared" si="68"/>
        <v>0.74464188745941029</v>
      </c>
      <c r="N636">
        <f t="shared" si="69"/>
        <v>3.9723687001212542</v>
      </c>
    </row>
    <row r="637" spans="10:14" x14ac:dyDescent="0.25">
      <c r="J637">
        <f t="shared" si="70"/>
        <v>146</v>
      </c>
      <c r="K637">
        <f t="shared" si="66"/>
        <v>478.88</v>
      </c>
      <c r="L637">
        <f t="shared" si="67"/>
        <v>3.8428206160381118</v>
      </c>
      <c r="M637">
        <f t="shared" si="68"/>
        <v>0.73440527246948517</v>
      </c>
      <c r="N637">
        <f t="shared" si="69"/>
        <v>3.9123677474489167</v>
      </c>
    </row>
    <row r="638" spans="10:14" x14ac:dyDescent="0.25">
      <c r="J638">
        <f t="shared" si="70"/>
        <v>146.25</v>
      </c>
      <c r="K638">
        <f t="shared" si="66"/>
        <v>479.7</v>
      </c>
      <c r="L638">
        <f t="shared" si="67"/>
        <v>3.7828563519671254</v>
      </c>
      <c r="M638">
        <f t="shared" si="68"/>
        <v>0.72400833538542519</v>
      </c>
      <c r="N638">
        <f t="shared" si="69"/>
        <v>3.8515179149687984</v>
      </c>
    </row>
    <row r="639" spans="10:14" x14ac:dyDescent="0.25">
      <c r="J639">
        <f t="shared" si="70"/>
        <v>146.5</v>
      </c>
      <c r="K639">
        <f t="shared" si="66"/>
        <v>480.52</v>
      </c>
      <c r="L639">
        <f t="shared" si="67"/>
        <v>3.7220727928263524</v>
      </c>
      <c r="M639">
        <f t="shared" si="68"/>
        <v>0.71345362047234717</v>
      </c>
      <c r="N639">
        <f t="shared" si="69"/>
        <v>3.7898340258728038</v>
      </c>
    </row>
    <row r="640" spans="10:14" x14ac:dyDescent="0.25">
      <c r="J640">
        <f t="shared" si="70"/>
        <v>146.75</v>
      </c>
      <c r="K640">
        <f t="shared" si="66"/>
        <v>481.34</v>
      </c>
      <c r="L640">
        <f t="shared" si="67"/>
        <v>3.66048470699182</v>
      </c>
      <c r="M640">
        <f t="shared" si="68"/>
        <v>0.7027437061281574</v>
      </c>
      <c r="N640">
        <f t="shared" si="69"/>
        <v>3.7273310835802778</v>
      </c>
    </row>
    <row r="641" spans="10:14" x14ac:dyDescent="0.25">
      <c r="J641">
        <f t="shared" si="70"/>
        <v>147</v>
      </c>
      <c r="K641">
        <f t="shared" si="66"/>
        <v>482.15999999999997</v>
      </c>
      <c r="L641">
        <f t="shared" si="67"/>
        <v>3.5981070352717874</v>
      </c>
      <c r="M641">
        <f t="shared" si="68"/>
        <v>0.6918812042576552</v>
      </c>
      <c r="N641">
        <f t="shared" si="69"/>
        <v>3.6640242682162127</v>
      </c>
    </row>
    <row r="642" spans="10:14" x14ac:dyDescent="0.25">
      <c r="J642">
        <f t="shared" si="70"/>
        <v>147.25</v>
      </c>
      <c r="K642">
        <f t="shared" si="66"/>
        <v>482.97999999999996</v>
      </c>
      <c r="L642">
        <f t="shared" si="67"/>
        <v>3.534954887302705</v>
      </c>
      <c r="M642">
        <f t="shared" si="68"/>
        <v>0.68086875963945159</v>
      </c>
      <c r="N642">
        <f t="shared" si="69"/>
        <v>3.5999289330649633</v>
      </c>
    </row>
    <row r="643" spans="10:14" x14ac:dyDescent="0.25">
      <c r="J643">
        <f t="shared" si="70"/>
        <v>147.5</v>
      </c>
      <c r="K643">
        <f t="shared" si="66"/>
        <v>483.79999999999995</v>
      </c>
      <c r="L643">
        <f t="shared" si="67"/>
        <v>3.4710435379093907</v>
      </c>
      <c r="M643">
        <f t="shared" si="68"/>
        <v>0.66970904928586905</v>
      </c>
      <c r="N643">
        <f t="shared" si="69"/>
        <v>3.5350606010021841</v>
      </c>
    </row>
    <row r="644" spans="10:14" x14ac:dyDescent="0.25">
      <c r="J644">
        <f t="shared" si="70"/>
        <v>147.75</v>
      </c>
      <c r="K644">
        <f t="shared" si="66"/>
        <v>484.61999999999995</v>
      </c>
      <c r="L644">
        <f t="shared" si="67"/>
        <v>3.4063884234303781</v>
      </c>
      <c r="M644">
        <f t="shared" si="68"/>
        <v>0.65840478179598794</v>
      </c>
      <c r="N644">
        <f t="shared" si="69"/>
        <v>3.469434960908234</v>
      </c>
    </row>
    <row r="645" spans="10:14" x14ac:dyDescent="0.25">
      <c r="J645">
        <f t="shared" si="70"/>
        <v>148</v>
      </c>
      <c r="K645">
        <f t="shared" si="66"/>
        <v>485.44</v>
      </c>
      <c r="L645">
        <f t="shared" si="67"/>
        <v>3.3410051380092867</v>
      </c>
      <c r="M645">
        <f t="shared" si="68"/>
        <v>0.64695869670196937</v>
      </c>
      <c r="N645">
        <f t="shared" si="69"/>
        <v>3.4030678640665926</v>
      </c>
    </row>
    <row r="646" spans="10:14" x14ac:dyDescent="0.25">
      <c r="J646">
        <f t="shared" si="70"/>
        <v>148.25</v>
      </c>
      <c r="K646">
        <f t="shared" si="66"/>
        <v>486.26</v>
      </c>
      <c r="L646">
        <f t="shared" si="67"/>
        <v>3.2749094298530714</v>
      </c>
      <c r="M646">
        <f t="shared" si="68"/>
        <v>0.63537356380883292</v>
      </c>
      <c r="N646">
        <f t="shared" si="69"/>
        <v>3.3359753205513538</v>
      </c>
    </row>
    <row r="647" spans="10:14" x14ac:dyDescent="0.25">
      <c r="J647">
        <f t="shared" si="70"/>
        <v>148.5</v>
      </c>
      <c r="K647">
        <f t="shared" si="66"/>
        <v>487.08</v>
      </c>
      <c r="L647">
        <f t="shared" si="67"/>
        <v>3.2081171974581197</v>
      </c>
      <c r="M647">
        <f t="shared" si="68"/>
        <v>0.62365218252783694</v>
      </c>
      <c r="N647">
        <f t="shared" si="69"/>
        <v>3.26817349560856</v>
      </c>
    </row>
    <row r="648" spans="10:14" x14ac:dyDescent="0.25">
      <c r="J648">
        <f t="shared" si="70"/>
        <v>148.75</v>
      </c>
      <c r="K648">
        <f t="shared" si="66"/>
        <v>487.9</v>
      </c>
      <c r="L648">
        <f t="shared" si="67"/>
        <v>3.1406444858050051</v>
      </c>
      <c r="M648">
        <f t="shared" si="68"/>
        <v>0.61179738120363103</v>
      </c>
      <c r="N648">
        <f t="shared" si="69"/>
        <v>3.1996787060367491</v>
      </c>
    </row>
    <row r="649" spans="10:14" x14ac:dyDescent="0.25">
      <c r="J649">
        <f t="shared" si="70"/>
        <v>149</v>
      </c>
      <c r="K649">
        <f t="shared" si="66"/>
        <v>488.71999999999997</v>
      </c>
      <c r="L649">
        <f t="shared" si="67"/>
        <v>3.0725074825228882</v>
      </c>
      <c r="M649">
        <f t="shared" si="68"/>
        <v>0.59981201643532689</v>
      </c>
      <c r="N649">
        <f t="shared" si="69"/>
        <v>3.1305074165731264</v>
      </c>
    </row>
    <row r="650" spans="10:14" x14ac:dyDescent="0.25">
      <c r="J650">
        <f t="shared" si="70"/>
        <v>149.25</v>
      </c>
      <c r="K650">
        <f t="shared" si="66"/>
        <v>489.53999999999996</v>
      </c>
      <c r="L650">
        <f t="shared" si="67"/>
        <v>3.0037225140243917</v>
      </c>
      <c r="M650">
        <f t="shared" si="68"/>
        <v>0.5876989723916497</v>
      </c>
      <c r="N650">
        <f t="shared" si="69"/>
        <v>3.06067623629276</v>
      </c>
    </row>
    <row r="651" spans="10:14" x14ac:dyDescent="0.25">
      <c r="J651">
        <f t="shared" si="70"/>
        <v>149.5</v>
      </c>
      <c r="K651">
        <f t="shared" si="66"/>
        <v>490.35999999999996</v>
      </c>
      <c r="L651">
        <f t="shared" si="67"/>
        <v>2.9343060416119844</v>
      </c>
      <c r="M651">
        <f t="shared" si="68"/>
        <v>0.57546116012037296</v>
      </c>
      <c r="N651">
        <f t="shared" si="69"/>
        <v>2.9902019150297661</v>
      </c>
    </row>
    <row r="652" spans="10:14" x14ac:dyDescent="0.25">
      <c r="J652">
        <f t="shared" si="70"/>
        <v>149.75</v>
      </c>
      <c r="K652">
        <f t="shared" si="66"/>
        <v>491.17999999999995</v>
      </c>
      <c r="L652">
        <f t="shared" si="67"/>
        <v>2.8642746575566616</v>
      </c>
      <c r="M652">
        <f t="shared" si="68"/>
        <v>0.56310151685213383</v>
      </c>
      <c r="N652">
        <f t="shared" si="69"/>
        <v>2.9191013398308914</v>
      </c>
    </row>
    <row r="653" spans="10:14" x14ac:dyDescent="0.25">
      <c r="J653">
        <f t="shared" si="70"/>
        <v>150</v>
      </c>
      <c r="K653">
        <f t="shared" si="66"/>
        <v>491.99999999999994</v>
      </c>
      <c r="L653">
        <f t="shared" si="67"/>
        <v>2.7936450811499656</v>
      </c>
      <c r="M653">
        <f t="shared" si="68"/>
        <v>0.55062300529884745</v>
      </c>
      <c r="N653">
        <f t="shared" si="69"/>
        <v>2.8473915314543121</v>
      </c>
    </row>
    <row r="654" spans="10:14" x14ac:dyDescent="0.25">
      <c r="J654">
        <f t="shared" si="70"/>
        <v>150.25</v>
      </c>
      <c r="K654">
        <f t="shared" si="66"/>
        <v>492.82</v>
      </c>
      <c r="L654">
        <f t="shared" si="67"/>
        <v>2.7224341547302</v>
      </c>
      <c r="M654">
        <f t="shared" si="68"/>
        <v>0.53802861294687432</v>
      </c>
      <c r="N654">
        <f t="shared" si="69"/>
        <v>2.7750896409289334</v>
      </c>
    </row>
    <row r="655" spans="10:14" x14ac:dyDescent="0.25">
      <c r="J655">
        <f t="shared" si="70"/>
        <v>150.5</v>
      </c>
      <c r="K655">
        <f t="shared" si="66"/>
        <v>493.64</v>
      </c>
      <c r="L655">
        <f t="shared" si="67"/>
        <v>2.6506588396838637</v>
      </c>
      <c r="M655">
        <f t="shared" si="68"/>
        <v>0.5253213513450925</v>
      </c>
      <c r="N655">
        <f t="shared" si="69"/>
        <v>2.7022129461930349</v>
      </c>
    </row>
    <row r="656" spans="10:14" x14ac:dyDescent="0.25">
      <c r="J656">
        <f t="shared" si="70"/>
        <v>150.75</v>
      </c>
      <c r="K656">
        <f t="shared" si="66"/>
        <v>494.46</v>
      </c>
      <c r="L656">
        <f t="shared" si="67"/>
        <v>2.5783362124231219</v>
      </c>
      <c r="M656">
        <f t="shared" si="68"/>
        <v>0.51250425538806255</v>
      </c>
      <c r="N656">
        <f t="shared" si="69"/>
        <v>2.6287788488351933</v>
      </c>
    </row>
    <row r="657" spans="10:14" x14ac:dyDescent="0.25">
      <c r="J657">
        <f t="shared" si="70"/>
        <v>151</v>
      </c>
      <c r="K657">
        <f t="shared" si="66"/>
        <v>495.28</v>
      </c>
      <c r="L657">
        <f t="shared" si="67"/>
        <v>2.5054834603404466</v>
      </c>
      <c r="M657">
        <f t="shared" si="68"/>
        <v>0.49958038259445336</v>
      </c>
      <c r="N657">
        <f t="shared" si="69"/>
        <v>2.5548048709662265</v>
      </c>
    </row>
    <row r="658" spans="10:14" x14ac:dyDescent="0.25">
      <c r="J658">
        <f t="shared" si="70"/>
        <v>151.25</v>
      </c>
      <c r="K658">
        <f t="shared" si="66"/>
        <v>496.09999999999997</v>
      </c>
      <c r="L658">
        <f t="shared" si="67"/>
        <v>2.4321178777411987</v>
      </c>
      <c r="M658">
        <f t="shared" si="68"/>
        <v>0.48655281238088222</v>
      </c>
      <c r="N658">
        <f t="shared" si="69"/>
        <v>2.4803086522576376</v>
      </c>
    </row>
    <row r="659" spans="10:14" x14ac:dyDescent="0.25">
      <c r="J659">
        <f t="shared" si="70"/>
        <v>151.5</v>
      </c>
      <c r="K659">
        <f t="shared" si="66"/>
        <v>496.91999999999996</v>
      </c>
      <c r="L659">
        <f t="shared" si="67"/>
        <v>2.3582568617552053</v>
      </c>
      <c r="M659">
        <f t="shared" si="68"/>
        <v>0.47342464533136486</v>
      </c>
      <c r="N659">
        <f t="shared" si="69"/>
        <v>2.4053079471915106</v>
      </c>
    </row>
    <row r="660" spans="10:14" x14ac:dyDescent="0.25">
      <c r="J660">
        <f t="shared" si="70"/>
        <v>151.75</v>
      </c>
      <c r="K660">
        <f t="shared" si="66"/>
        <v>497.73999999999995</v>
      </c>
      <c r="L660">
        <f t="shared" si="67"/>
        <v>2.2839179082283056</v>
      </c>
      <c r="M660">
        <f t="shared" si="68"/>
        <v>0.46019900246252377</v>
      </c>
      <c r="N660">
        <f t="shared" si="69"/>
        <v>2.329820622578799</v>
      </c>
    </row>
    <row r="661" spans="10:14" x14ac:dyDescent="0.25">
      <c r="J661">
        <f t="shared" si="70"/>
        <v>152</v>
      </c>
      <c r="K661">
        <f t="shared" si="66"/>
        <v>498.55999999999995</v>
      </c>
      <c r="L661">
        <f t="shared" si="67"/>
        <v>2.209118607594768</v>
      </c>
      <c r="M661">
        <f t="shared" si="68"/>
        <v>0.44687902448476002</v>
      </c>
      <c r="N661">
        <f t="shared" si="69"/>
        <v>2.2538646554187536</v>
      </c>
    </row>
    <row r="662" spans="10:14" x14ac:dyDescent="0.25">
      <c r="J662">
        <f t="shared" si="70"/>
        <v>152.25</v>
      </c>
      <c r="K662">
        <f t="shared" si="66"/>
        <v>499.38</v>
      </c>
      <c r="L662">
        <f t="shared" si="67"/>
        <v>2.1338766407316312</v>
      </c>
      <c r="M662">
        <f t="shared" si="68"/>
        <v>0.43346787105951945</v>
      </c>
      <c r="N662">
        <f t="shared" si="69"/>
        <v>2.1774581311935672</v>
      </c>
    </row>
    <row r="663" spans="10:14" x14ac:dyDescent="0.25">
      <c r="J663">
        <f t="shared" si="70"/>
        <v>152.5</v>
      </c>
      <c r="K663">
        <f t="shared" si="66"/>
        <v>500.2</v>
      </c>
      <c r="L663">
        <f t="shared" si="67"/>
        <v>2.058209774795817</v>
      </c>
      <c r="M663">
        <f t="shared" si="68"/>
        <v>0.41996872005287011</v>
      </c>
      <c r="N663">
        <f t="shared" si="69"/>
        <v>2.1006192427205588</v>
      </c>
    </row>
    <row r="664" spans="10:14" x14ac:dyDescent="0.25">
      <c r="J664">
        <f t="shared" si="70"/>
        <v>152.75</v>
      </c>
      <c r="K664">
        <f t="shared" si="66"/>
        <v>501.02</v>
      </c>
      <c r="L664">
        <f t="shared" si="67"/>
        <v>1.9821358590451874</v>
      </c>
      <c r="M664">
        <f t="shared" si="68"/>
        <v>0.40638476678554625</v>
      </c>
      <c r="N664">
        <f t="shared" si="69"/>
        <v>2.0233662897231794</v>
      </c>
    </row>
    <row r="665" spans="10:14" x14ac:dyDescent="0.25">
      <c r="J665">
        <f t="shared" si="70"/>
        <v>153</v>
      </c>
      <c r="K665">
        <f t="shared" si="66"/>
        <v>501.84</v>
      </c>
      <c r="L665">
        <f t="shared" si="67"/>
        <v>1.905672820644313</v>
      </c>
      <c r="M665">
        <f t="shared" si="68"/>
        <v>0.39271922327963171</v>
      </c>
      <c r="N665">
        <f t="shared" si="69"/>
        <v>1.945717679334751</v>
      </c>
    </row>
    <row r="666" spans="10:14" x14ac:dyDescent="0.25">
      <c r="J666">
        <f t="shared" si="70"/>
        <v>153.25</v>
      </c>
      <c r="K666">
        <f t="shared" si="66"/>
        <v>502.65999999999997</v>
      </c>
      <c r="L666">
        <f t="shared" si="67"/>
        <v>1.8288386604560565</v>
      </c>
      <c r="M666">
        <f t="shared" si="68"/>
        <v>0.37897531750206825</v>
      </c>
      <c r="N666">
        <f t="shared" si="69"/>
        <v>1.8676919278228132</v>
      </c>
    </row>
    <row r="667" spans="10:14" x14ac:dyDescent="0.25">
      <c r="J667">
        <f t="shared" si="70"/>
        <v>153.5</v>
      </c>
      <c r="K667">
        <f t="shared" si="66"/>
        <v>503.47999999999996</v>
      </c>
      <c r="L667">
        <f t="shared" si="67"/>
        <v>1.7516514488199546</v>
      </c>
      <c r="M667">
        <f t="shared" si="68"/>
        <v>0.36515629260516658</v>
      </c>
      <c r="N667">
        <f t="shared" si="69"/>
        <v>1.7893076639254066</v>
      </c>
    </row>
    <row r="668" spans="10:14" x14ac:dyDescent="0.25">
      <c r="J668">
        <f t="shared" si="70"/>
        <v>153.75</v>
      </c>
      <c r="K668">
        <f t="shared" si="66"/>
        <v>504.29999999999995</v>
      </c>
      <c r="L668">
        <f t="shared" si="67"/>
        <v>1.6741293213183228</v>
      </c>
      <c r="M668">
        <f t="shared" si="68"/>
        <v>0.35126540616429125</v>
      </c>
      <c r="N668">
        <f t="shared" si="69"/>
        <v>1.7105836343381497</v>
      </c>
    </row>
    <row r="669" spans="10:14" x14ac:dyDescent="0.25">
      <c r="J669">
        <f t="shared" si="70"/>
        <v>154</v>
      </c>
      <c r="K669">
        <f t="shared" si="66"/>
        <v>505.11999999999995</v>
      </c>
      <c r="L669">
        <f t="shared" si="67"/>
        <v>1.5962904745311439</v>
      </c>
      <c r="M669">
        <f t="shared" si="68"/>
        <v>0.33730592941290549</v>
      </c>
      <c r="N669">
        <f t="shared" si="69"/>
        <v>1.6315387121046097</v>
      </c>
    </row>
    <row r="670" spans="10:14" x14ac:dyDescent="0.25">
      <c r="J670">
        <f t="shared" si="70"/>
        <v>154.25</v>
      </c>
      <c r="K670">
        <f t="shared" si="66"/>
        <v>505.94</v>
      </c>
      <c r="L670">
        <f t="shared" si="67"/>
        <v>1.5181531617806452</v>
      </c>
      <c r="M670">
        <f t="shared" si="68"/>
        <v>0.32328114647514328</v>
      </c>
      <c r="N670">
        <f t="shared" si="69"/>
        <v>1.5521919089760947</v>
      </c>
    </row>
    <row r="671" spans="10:14" x14ac:dyDescent="0.25">
      <c r="J671">
        <f t="shared" si="70"/>
        <v>154.5</v>
      </c>
      <c r="K671">
        <f t="shared" si="66"/>
        <v>506.76</v>
      </c>
      <c r="L671">
        <f t="shared" si="67"/>
        <v>1.4397356888666784</v>
      </c>
      <c r="M671">
        <f t="shared" si="68"/>
        <v>0.30919435359611125</v>
      </c>
      <c r="N671">
        <f t="shared" si="69"/>
        <v>1.4725623932764702</v>
      </c>
    </row>
    <row r="672" spans="10:14" x14ac:dyDescent="0.25">
      <c r="J672">
        <f t="shared" si="70"/>
        <v>154.75</v>
      </c>
      <c r="K672">
        <f t="shared" si="66"/>
        <v>507.58</v>
      </c>
      <c r="L672">
        <f t="shared" si="67"/>
        <v>1.3610564097937576</v>
      </c>
      <c r="M672">
        <f t="shared" si="68"/>
        <v>0.29504885837007055</v>
      </c>
      <c r="N672">
        <f t="shared" si="69"/>
        <v>1.3926695155226723</v>
      </c>
    </row>
    <row r="673" spans="10:14" x14ac:dyDescent="0.25">
      <c r="J673">
        <f t="shared" si="70"/>
        <v>155</v>
      </c>
      <c r="K673">
        <f t="shared" si="66"/>
        <v>508.4</v>
      </c>
      <c r="L673">
        <f t="shared" si="67"/>
        <v>1.2821337224908351</v>
      </c>
      <c r="M673">
        <f t="shared" si="68"/>
        <v>0.28084797896669889</v>
      </c>
      <c r="N673">
        <f t="shared" si="69"/>
        <v>1.3125328451653639</v>
      </c>
    </row>
    <row r="674" spans="10:14" x14ac:dyDescent="0.25">
      <c r="J674">
        <f t="shared" si="70"/>
        <v>155.25</v>
      </c>
      <c r="K674">
        <f t="shared" si="66"/>
        <v>509.21999999999997</v>
      </c>
      <c r="L674">
        <f t="shared" si="67"/>
        <v>1.2029860645247925</v>
      </c>
      <c r="M674">
        <f t="shared" si="68"/>
        <v>0.26659504335560946</v>
      </c>
      <c r="N674">
        <f t="shared" si="69"/>
        <v>1.2321722235883372</v>
      </c>
    </row>
    <row r="675" spans="10:14" x14ac:dyDescent="0.25">
      <c r="J675">
        <f t="shared" si="70"/>
        <v>155.5</v>
      </c>
      <c r="K675">
        <f t="shared" si="66"/>
        <v>510.03999999999996</v>
      </c>
      <c r="L675">
        <f t="shared" si="67"/>
        <v>1.1236319088086533</v>
      </c>
      <c r="M675">
        <f t="shared" si="68"/>
        <v>0.25229338852930061</v>
      </c>
      <c r="N675">
        <f t="shared" si="69"/>
        <v>1.151607841406342</v>
      </c>
    </row>
    <row r="676" spans="10:14" x14ac:dyDescent="0.25">
      <c r="J676">
        <f t="shared" si="70"/>
        <v>155.75</v>
      </c>
      <c r="K676">
        <f t="shared" si="66"/>
        <v>510.85999999999996</v>
      </c>
      <c r="L676">
        <f t="shared" si="67"/>
        <v>1.0440897593054241</v>
      </c>
      <c r="M676">
        <f t="shared" si="68"/>
        <v>0.23794635972472067</v>
      </c>
      <c r="N676">
        <f t="shared" si="69"/>
        <v>1.0708603529838541</v>
      </c>
    </row>
    <row r="677" spans="10:14" x14ac:dyDescent="0.25">
      <c r="J677">
        <f t="shared" si="70"/>
        <v>156</v>
      </c>
      <c r="K677">
        <f t="shared" si="66"/>
        <v>511.67999999999995</v>
      </c>
      <c r="L677">
        <f t="shared" si="67"/>
        <v>0.96437814672875466</v>
      </c>
      <c r="M677">
        <f t="shared" si="68"/>
        <v>0.22355730964364229</v>
      </c>
      <c r="N677">
        <f t="shared" si="69"/>
        <v>0.98995104958936775</v>
      </c>
    </row>
    <row r="678" spans="10:14" x14ac:dyDescent="0.25">
      <c r="J678">
        <f t="shared" si="70"/>
        <v>156.25</v>
      </c>
      <c r="K678">
        <f t="shared" si="66"/>
        <v>512.5</v>
      </c>
      <c r="L678">
        <f t="shared" si="67"/>
        <v>0.88451562424119057</v>
      </c>
      <c r="M678">
        <f t="shared" si="68"/>
        <v>0.20912959767199801</v>
      </c>
      <c r="N678">
        <f t="shared" si="69"/>
        <v>0.9089021279264532</v>
      </c>
    </row>
    <row r="679" spans="10:14" x14ac:dyDescent="0.25">
      <c r="J679">
        <f t="shared" si="70"/>
        <v>156.5</v>
      </c>
      <c r="K679">
        <f t="shared" si="66"/>
        <v>513.31999999999994</v>
      </c>
      <c r="L679">
        <f t="shared" si="67"/>
        <v>0.80452076315114018</v>
      </c>
      <c r="M679">
        <f t="shared" si="68"/>
        <v>0.19466658909838763</v>
      </c>
      <c r="N679">
        <f t="shared" si="69"/>
        <v>0.8277371196536335</v>
      </c>
    </row>
    <row r="680" spans="10:14" x14ac:dyDescent="0.25">
      <c r="J680">
        <f t="shared" si="70"/>
        <v>156.75</v>
      </c>
      <c r="K680">
        <f t="shared" si="66"/>
        <v>514.14</v>
      </c>
      <c r="L680">
        <f t="shared" si="67"/>
        <v>0.72441214860954639</v>
      </c>
      <c r="M680">
        <f t="shared" si="68"/>
        <v>0.18017165433191629</v>
      </c>
      <c r="N680">
        <f t="shared" si="69"/>
        <v>0.74648160464796387</v>
      </c>
    </row>
    <row r="681" spans="10:14" x14ac:dyDescent="0.25">
      <c r="J681">
        <f t="shared" si="70"/>
        <v>157</v>
      </c>
      <c r="K681">
        <f t="shared" si="66"/>
        <v>514.95999999999992</v>
      </c>
      <c r="L681">
        <f t="shared" si="67"/>
        <v>0.6442083753072021</v>
      </c>
      <c r="M681">
        <f t="shared" si="68"/>
        <v>0.16564816811956495</v>
      </c>
      <c r="N681">
        <f t="shared" si="69"/>
        <v>0.66516445065661212</v>
      </c>
    </row>
    <row r="682" spans="10:14" x14ac:dyDescent="0.25">
      <c r="J682">
        <f t="shared" si="70"/>
        <v>157.25</v>
      </c>
      <c r="K682">
        <f t="shared" si="66"/>
        <v>515.78</v>
      </c>
      <c r="L682">
        <f t="shared" si="67"/>
        <v>0.56392804317377743</v>
      </c>
      <c r="M682">
        <f t="shared" si="68"/>
        <v>0.15109950876325495</v>
      </c>
      <c r="N682">
        <f t="shared" si="69"/>
        <v>0.58382009166035276</v>
      </c>
    </row>
    <row r="683" spans="10:14" x14ac:dyDescent="0.25">
      <c r="J683">
        <f t="shared" si="70"/>
        <v>157.5</v>
      </c>
      <c r="K683">
        <f t="shared" si="66"/>
        <v>516.6</v>
      </c>
      <c r="L683">
        <f t="shared" si="67"/>
        <v>0.48358975307942165</v>
      </c>
      <c r="M683">
        <f t="shared" si="68"/>
        <v>0.1365290573367961</v>
      </c>
      <c r="N683">
        <f t="shared" si="69"/>
        <v>0.50249301764371823</v>
      </c>
    </row>
    <row r="684" spans="10:14" x14ac:dyDescent="0.25">
      <c r="J684">
        <f t="shared" si="70"/>
        <v>157.75</v>
      </c>
      <c r="K684">
        <f t="shared" si="66"/>
        <v>517.41999999999996</v>
      </c>
      <c r="L684">
        <f t="shared" si="67"/>
        <v>0.40321210254013945</v>
      </c>
      <c r="M684">
        <f t="shared" si="68"/>
        <v>0.12194019690290903</v>
      </c>
      <c r="N684">
        <f t="shared" si="69"/>
        <v>0.4212474465863979</v>
      </c>
    </row>
    <row r="685" spans="10:14" x14ac:dyDescent="0.25">
      <c r="J685">
        <f t="shared" si="70"/>
        <v>158</v>
      </c>
      <c r="K685">
        <f t="shared" si="66"/>
        <v>518.24</v>
      </c>
      <c r="L685">
        <f t="shared" si="67"/>
        <v>0.32281368142770667</v>
      </c>
      <c r="M685">
        <f t="shared" si="68"/>
        <v>0.10733631173048153</v>
      </c>
      <c r="N685">
        <f t="shared" si="69"/>
        <v>0.34019076520801089</v>
      </c>
    </row>
    <row r="686" spans="10:14" x14ac:dyDescent="0.25">
      <c r="J686">
        <f t="shared" si="70"/>
        <v>158.25</v>
      </c>
      <c r="K686">
        <f t="shared" si="66"/>
        <v>519.05999999999995</v>
      </c>
      <c r="L686">
        <f t="shared" si="67"/>
        <v>0.24241306768523274</v>
      </c>
      <c r="M686">
        <f t="shared" si="68"/>
        <v>9.2720786512257014E-2</v>
      </c>
      <c r="N686">
        <f t="shared" si="69"/>
        <v>0.25954043930766696</v>
      </c>
    </row>
    <row r="687" spans="10:14" x14ac:dyDescent="0.25">
      <c r="J687">
        <f t="shared" si="70"/>
        <v>158.5</v>
      </c>
      <c r="K687">
        <f t="shared" si="66"/>
        <v>519.88</v>
      </c>
      <c r="L687">
        <f t="shared" si="67"/>
        <v>0.16202882304935906</v>
      </c>
      <c r="M687">
        <f t="shared" si="68"/>
        <v>7.8097005583125156E-2</v>
      </c>
      <c r="N687">
        <f t="shared" si="69"/>
        <v>0.17986795651202353</v>
      </c>
    </row>
    <row r="688" spans="10:14" x14ac:dyDescent="0.25">
      <c r="J688">
        <f t="shared" si="70"/>
        <v>158.75</v>
      </c>
      <c r="K688">
        <f t="shared" si="66"/>
        <v>520.69999999999993</v>
      </c>
      <c r="L688">
        <f t="shared" si="67"/>
        <v>8.167948878000808E-2</v>
      </c>
      <c r="M688">
        <f t="shared" si="68"/>
        <v>6.3468352139203432E-2</v>
      </c>
      <c r="N688">
        <f t="shared" si="69"/>
        <v>0.10343969552656947</v>
      </c>
    </row>
    <row r="689" spans="10:14" x14ac:dyDescent="0.25">
      <c r="J689">
        <f t="shared" si="70"/>
        <v>159</v>
      </c>
      <c r="K689">
        <f t="shared" si="66"/>
        <v>521.52</v>
      </c>
      <c r="L689">
        <f t="shared" si="67"/>
        <v>1.3835813987433943E-3</v>
      </c>
      <c r="M689">
        <f t="shared" si="68"/>
        <v>4.8838207457880145E-2</v>
      </c>
      <c r="N689">
        <f t="shared" si="69"/>
        <v>4.8857801886555322E-2</v>
      </c>
    </row>
    <row r="690" spans="10:14" x14ac:dyDescent="0.25">
      <c r="J690">
        <f t="shared" si="70"/>
        <v>159.25</v>
      </c>
      <c r="K690">
        <f t="shared" si="66"/>
        <v>522.33999999999992</v>
      </c>
      <c r="L690">
        <f t="shared" si="67"/>
        <v>-7.8840411563399937E-2</v>
      </c>
      <c r="M690">
        <f t="shared" si="68"/>
        <v>3.4209950118994747E-2</v>
      </c>
      <c r="N690">
        <f t="shared" si="69"/>
        <v>8.594260400191743E-2</v>
      </c>
    </row>
    <row r="691" spans="10:14" x14ac:dyDescent="0.25">
      <c r="J691">
        <f t="shared" si="70"/>
        <v>159.5</v>
      </c>
      <c r="K691">
        <f t="shared" si="66"/>
        <v>523.16</v>
      </c>
      <c r="L691">
        <f t="shared" si="67"/>
        <v>-0.15897403580743713</v>
      </c>
      <c r="M691">
        <f t="shared" si="68"/>
        <v>1.9586955227365088E-2</v>
      </c>
      <c r="N691">
        <f t="shared" si="69"/>
        <v>0.16017613079352086</v>
      </c>
    </row>
    <row r="692" spans="10:14" x14ac:dyDescent="0.25">
      <c r="J692">
        <f t="shared" si="70"/>
        <v>159.75</v>
      </c>
      <c r="K692">
        <f t="shared" si="66"/>
        <v>523.98</v>
      </c>
      <c r="L692">
        <f t="shared" si="67"/>
        <v>-0.23899887449661628</v>
      </c>
      <c r="M692">
        <f t="shared" si="68"/>
        <v>4.9725936367890355E-3</v>
      </c>
      <c r="N692">
        <f t="shared" si="69"/>
        <v>0.23905059861486641</v>
      </c>
    </row>
    <row r="693" spans="10:14" x14ac:dyDescent="0.25">
      <c r="J693">
        <f t="shared" si="70"/>
        <v>160</v>
      </c>
      <c r="K693">
        <f t="shared" ref="K693:K756" si="71">J693*3.28</f>
        <v>524.79999999999995</v>
      </c>
      <c r="L693">
        <f t="shared" ref="L693:L756" si="72">$Y$7*EXP($Y$11*(J693-$Y$4))*COS(PI()/180*($Y$8+$Y$5*(J693-$Y$4)))+$Y$9*EXP($Y$12*(J693-$Y$4))*COS(PI()/180*($Y$10+$Y$6*(J693-$Y$4)))</f>
        <v>-0.3188965524740538</v>
      </c>
      <c r="M693">
        <f t="shared" ref="M693:M756" si="73">$Y$13+$Y$7*EXP($Y$11*(J693-$Y$4))*SIN(PI()/180*($Y$8+$Y$5*(J693-$Y$4)))+$Y$9*EXP($Y$12*(J693-$Y$4))*SIN(PI()/180*($Y$10+$Y$6*(J693-$Y$4)))</f>
        <v>-9.6297688242601431E-3</v>
      </c>
      <c r="N693">
        <f t="shared" ref="N693:N756" si="74">SQRT(L693*L693+M693*M693)</f>
        <v>0.3190419151576257</v>
      </c>
    </row>
    <row r="694" spans="10:14" x14ac:dyDescent="0.25">
      <c r="J694">
        <f t="shared" ref="J694:J757" si="75">J693+$I$52</f>
        <v>160.25</v>
      </c>
      <c r="K694">
        <f t="shared" si="71"/>
        <v>525.62</v>
      </c>
      <c r="L694">
        <f t="shared" si="72"/>
        <v>-0.39864874046698107</v>
      </c>
      <c r="M694">
        <f t="shared" si="73"/>
        <v>-2.4216772125084773E-2</v>
      </c>
      <c r="N694">
        <f t="shared" si="74"/>
        <v>0.39938361299390929</v>
      </c>
    </row>
    <row r="695" spans="10:14" x14ac:dyDescent="0.25">
      <c r="J695">
        <f t="shared" si="75"/>
        <v>160.5</v>
      </c>
      <c r="K695">
        <f t="shared" si="71"/>
        <v>526.43999999999994</v>
      </c>
      <c r="L695">
        <f t="shared" si="72"/>
        <v>-0.4782371592766137</v>
      </c>
      <c r="M695">
        <f t="shared" si="73"/>
        <v>-3.8785062803176729E-2</v>
      </c>
      <c r="N695">
        <f t="shared" si="74"/>
        <v>0.47980731716972752</v>
      </c>
    </row>
    <row r="696" spans="10:14" x14ac:dyDescent="0.25">
      <c r="J696">
        <f t="shared" si="75"/>
        <v>160.75</v>
      </c>
      <c r="K696">
        <f t="shared" si="71"/>
        <v>527.26</v>
      </c>
      <c r="L696">
        <f t="shared" si="72"/>
        <v>-0.55764358395271507</v>
      </c>
      <c r="M696">
        <f t="shared" si="73"/>
        <v>-5.3331294732431367E-2</v>
      </c>
      <c r="N696">
        <f t="shared" si="74"/>
        <v>0.56018799855179535</v>
      </c>
    </row>
    <row r="697" spans="10:14" x14ac:dyDescent="0.25">
      <c r="J697">
        <f t="shared" si="75"/>
        <v>161</v>
      </c>
      <c r="K697">
        <f t="shared" si="71"/>
        <v>528.07999999999993</v>
      </c>
      <c r="L697">
        <f t="shared" si="72"/>
        <v>-0.63684984795183253</v>
      </c>
      <c r="M697">
        <f t="shared" si="73"/>
        <v>-6.7852129888966939E-2</v>
      </c>
      <c r="N697">
        <f t="shared" si="74"/>
        <v>0.64045424533431072</v>
      </c>
    </row>
    <row r="698" spans="10:14" x14ac:dyDescent="0.25">
      <c r="J698">
        <f t="shared" si="75"/>
        <v>161.25</v>
      </c>
      <c r="K698">
        <f t="shared" si="71"/>
        <v>528.9</v>
      </c>
      <c r="L698">
        <f t="shared" si="72"/>
        <v>-0.7158378472783562</v>
      </c>
      <c r="M698">
        <f t="shared" si="73"/>
        <v>-8.2344239114388706E-2</v>
      </c>
      <c r="N698">
        <f t="shared" si="74"/>
        <v>0.72055839271459377</v>
      </c>
    </row>
    <row r="699" spans="10:14" x14ac:dyDescent="0.25">
      <c r="J699">
        <f t="shared" si="75"/>
        <v>161.5</v>
      </c>
      <c r="K699">
        <f t="shared" si="71"/>
        <v>529.71999999999991</v>
      </c>
      <c r="L699">
        <f t="shared" si="72"/>
        <v>-0.79458954460739561</v>
      </c>
      <c r="M699">
        <f t="shared" si="73"/>
        <v>-9.6804302876323245E-2</v>
      </c>
      <c r="N699">
        <f t="shared" si="74"/>
        <v>0.80046462598590784</v>
      </c>
    </row>
    <row r="700" spans="10:14" x14ac:dyDescent="0.25">
      <c r="J700">
        <f t="shared" si="75"/>
        <v>161.75</v>
      </c>
      <c r="K700">
        <f t="shared" si="71"/>
        <v>530.54</v>
      </c>
      <c r="L700">
        <f t="shared" si="72"/>
        <v>-0.87308697338855989</v>
      </c>
      <c r="M700">
        <f t="shared" si="73"/>
        <v>-0.11122901202604218</v>
      </c>
      <c r="N700">
        <f t="shared" si="74"/>
        <v>0.88014359977056322</v>
      </c>
    </row>
    <row r="701" spans="10:14" x14ac:dyDescent="0.25">
      <c r="J701">
        <f t="shared" si="75"/>
        <v>162</v>
      </c>
      <c r="K701">
        <f t="shared" si="71"/>
        <v>531.36</v>
      </c>
      <c r="L701">
        <f t="shared" si="72"/>
        <v>-0.95131224192969355</v>
      </c>
      <c r="M701">
        <f t="shared" si="73"/>
        <v>-0.12561506855300353</v>
      </c>
      <c r="N701">
        <f t="shared" si="74"/>
        <v>0.95956976145191009</v>
      </c>
    </row>
    <row r="702" spans="10:14" x14ac:dyDescent="0.25">
      <c r="J702">
        <f t="shared" si="75"/>
        <v>162.25</v>
      </c>
      <c r="K702">
        <f t="shared" si="71"/>
        <v>532.17999999999995</v>
      </c>
      <c r="L702">
        <f t="shared" si="72"/>
        <v>-1.0292475374596841</v>
      </c>
      <c r="M702">
        <f t="shared" si="73"/>
        <v>-0.13995918633615556</v>
      </c>
      <c r="N702">
        <f t="shared" si="74"/>
        <v>1.0387199175941042</v>
      </c>
    </row>
    <row r="703" spans="10:14" x14ac:dyDescent="0.25">
      <c r="J703">
        <f t="shared" si="75"/>
        <v>162.5</v>
      </c>
      <c r="K703">
        <f t="shared" si="71"/>
        <v>533</v>
      </c>
      <c r="L703">
        <f t="shared" si="72"/>
        <v>-1.1068751301694082</v>
      </c>
      <c r="M703">
        <f t="shared" si="73"/>
        <v>-0.15425809189181194</v>
      </c>
      <c r="N703">
        <f t="shared" si="74"/>
        <v>1.1175724194438799</v>
      </c>
    </row>
    <row r="704" spans="10:14" x14ac:dyDescent="0.25">
      <c r="J704">
        <f t="shared" si="75"/>
        <v>162.75</v>
      </c>
      <c r="K704">
        <f t="shared" si="71"/>
        <v>533.81999999999994</v>
      </c>
      <c r="L704">
        <f t="shared" si="72"/>
        <v>-1.1841773772298125</v>
      </c>
      <c r="M704">
        <f t="shared" si="73"/>
        <v>-0.16850852511793413</v>
      </c>
      <c r="N704">
        <f t="shared" si="74"/>
        <v>1.1961066774248437</v>
      </c>
    </row>
    <row r="705" spans="10:14" x14ac:dyDescent="0.25">
      <c r="J705">
        <f t="shared" si="75"/>
        <v>163</v>
      </c>
      <c r="K705">
        <f t="shared" si="71"/>
        <v>534.64</v>
      </c>
      <c r="L705">
        <f t="shared" si="72"/>
        <v>-1.2611367267864022</v>
      </c>
      <c r="M705">
        <f t="shared" si="73"/>
        <v>-0.18270724003465943</v>
      </c>
      <c r="N705">
        <f t="shared" si="74"/>
        <v>1.2743028600809947</v>
      </c>
    </row>
    <row r="706" spans="10:14" x14ac:dyDescent="0.25">
      <c r="J706">
        <f t="shared" si="75"/>
        <v>163.25</v>
      </c>
      <c r="K706">
        <f t="shared" si="71"/>
        <v>535.45999999999992</v>
      </c>
      <c r="L706">
        <f t="shared" si="72"/>
        <v>-1.3377357219290593</v>
      </c>
      <c r="M706">
        <f t="shared" si="73"/>
        <v>-0.19685100552089851</v>
      </c>
      <c r="N706">
        <f t="shared" si="74"/>
        <v>1.3521417011909846</v>
      </c>
    </row>
    <row r="707" spans="10:14" x14ac:dyDescent="0.25">
      <c r="J707">
        <f t="shared" si="75"/>
        <v>163.5</v>
      </c>
      <c r="K707">
        <f t="shared" si="71"/>
        <v>536.28</v>
      </c>
      <c r="L707">
        <f t="shared" si="72"/>
        <v>-1.41395700463643</v>
      </c>
      <c r="M707">
        <f t="shared" si="73"/>
        <v>-0.21093660604685649</v>
      </c>
      <c r="N707">
        <f t="shared" si="74"/>
        <v>1.4296043728007384</v>
      </c>
    </row>
    <row r="708" spans="10:14" x14ac:dyDescent="0.25">
      <c r="J708">
        <f t="shared" si="75"/>
        <v>163.75</v>
      </c>
      <c r="K708">
        <f t="shared" si="71"/>
        <v>537.1</v>
      </c>
      <c r="L708">
        <f t="shared" si="72"/>
        <v>-1.4897833196938834</v>
      </c>
      <c r="M708">
        <f t="shared" si="73"/>
        <v>-0.22496084240226866</v>
      </c>
      <c r="N708">
        <f t="shared" si="74"/>
        <v>1.5066723997778901</v>
      </c>
    </row>
    <row r="709" spans="10:14" x14ac:dyDescent="0.25">
      <c r="J709">
        <f t="shared" si="75"/>
        <v>164</v>
      </c>
      <c r="K709">
        <f t="shared" si="71"/>
        <v>537.91999999999996</v>
      </c>
      <c r="L709">
        <f t="shared" si="72"/>
        <v>-1.5651975185842832</v>
      </c>
      <c r="M709">
        <f t="shared" si="73"/>
        <v>-0.23892053242024103</v>
      </c>
      <c r="N709">
        <f t="shared" si="74"/>
        <v>1.5833276012860917</v>
      </c>
    </row>
    <row r="710" spans="10:14" x14ac:dyDescent="0.25">
      <c r="J710">
        <f t="shared" si="75"/>
        <v>164.25</v>
      </c>
      <c r="K710">
        <f t="shared" si="71"/>
        <v>538.74</v>
      </c>
      <c r="L710">
        <f t="shared" si="72"/>
        <v>-1.6401825633505267</v>
      </c>
      <c r="M710">
        <f t="shared" si="73"/>
        <v>-0.25281251169648788</v>
      </c>
      <c r="N710">
        <f t="shared" si="74"/>
        <v>1.6595520501597385</v>
      </c>
    </row>
    <row r="711" spans="10:14" x14ac:dyDescent="0.25">
      <c r="J711">
        <f t="shared" si="75"/>
        <v>164.5</v>
      </c>
      <c r="K711">
        <f t="shared" si="71"/>
        <v>539.55999999999995</v>
      </c>
      <c r="L711">
        <f t="shared" si="72"/>
        <v>-1.714721530429173</v>
      </c>
      <c r="M711">
        <f t="shared" si="73"/>
        <v>-0.2666336343038167</v>
      </c>
      <c r="N711">
        <f t="shared" si="74"/>
        <v>1.735328044451373</v>
      </c>
    </row>
    <row r="712" spans="10:14" x14ac:dyDescent="0.25">
      <c r="J712">
        <f t="shared" si="75"/>
        <v>164.75</v>
      </c>
      <c r="K712">
        <f t="shared" si="71"/>
        <v>540.38</v>
      </c>
      <c r="L712">
        <f t="shared" si="72"/>
        <v>-1.7887976144542019</v>
      </c>
      <c r="M712">
        <f t="shared" si="73"/>
        <v>-0.28038077350173607</v>
      </c>
      <c r="N712">
        <f t="shared" si="74"/>
        <v>1.8106380874229051</v>
      </c>
    </row>
    <row r="713" spans="10:14" x14ac:dyDescent="0.25">
      <c r="J713">
        <f t="shared" si="75"/>
        <v>165</v>
      </c>
      <c r="K713">
        <f t="shared" si="71"/>
        <v>541.19999999999993</v>
      </c>
      <c r="L713">
        <f t="shared" si="72"/>
        <v>-1.8623941320300366</v>
      </c>
      <c r="M713">
        <f t="shared" si="73"/>
        <v>-0.29405082244096059</v>
      </c>
      <c r="N713">
        <f t="shared" si="74"/>
        <v>1.8854648734988724</v>
      </c>
    </row>
    <row r="714" spans="10:14" x14ac:dyDescent="0.25">
      <c r="J714">
        <f t="shared" si="75"/>
        <v>165.25</v>
      </c>
      <c r="K714">
        <f t="shared" si="71"/>
        <v>542.02</v>
      </c>
      <c r="L714">
        <f t="shared" si="72"/>
        <v>-1.9354945254730356</v>
      </c>
      <c r="M714">
        <f t="shared" si="73"/>
        <v>-0.3076406948627084</v>
      </c>
      <c r="N714">
        <f t="shared" si="74"/>
        <v>1.9597912784966927</v>
      </c>
    </row>
    <row r="715" spans="10:14" x14ac:dyDescent="0.25">
      <c r="J715">
        <f t="shared" si="75"/>
        <v>165.5</v>
      </c>
      <c r="K715">
        <f t="shared" si="71"/>
        <v>542.83999999999992</v>
      </c>
      <c r="L715">
        <f t="shared" si="72"/>
        <v>-2.0080823665205934</v>
      </c>
      <c r="M715">
        <f t="shared" si="73"/>
        <v>-0.3211473257926194</v>
      </c>
      <c r="N715">
        <f t="shared" si="74"/>
        <v>2.0336003529687678</v>
      </c>
    </row>
    <row r="716" spans="10:14" x14ac:dyDescent="0.25">
      <c r="J716">
        <f t="shared" si="75"/>
        <v>165.75</v>
      </c>
      <c r="K716">
        <f t="shared" si="71"/>
        <v>543.66</v>
      </c>
      <c r="L716">
        <f t="shared" si="72"/>
        <v>-2.0801413600070493</v>
      </c>
      <c r="M716">
        <f t="shared" si="73"/>
        <v>-0.33456767222911887</v>
      </c>
      <c r="N716">
        <f t="shared" si="74"/>
        <v>2.1068753178374813</v>
      </c>
    </row>
    <row r="717" spans="10:14" x14ac:dyDescent="0.25">
      <c r="J717">
        <f t="shared" si="75"/>
        <v>166</v>
      </c>
      <c r="K717">
        <f t="shared" si="71"/>
        <v>544.48</v>
      </c>
      <c r="L717">
        <f t="shared" si="72"/>
        <v>-2.1516553475055193</v>
      </c>
      <c r="M717">
        <f t="shared" si="73"/>
        <v>-0.34789871382611093</v>
      </c>
      <c r="N717">
        <f t="shared" si="74"/>
        <v>2.1795995617385682</v>
      </c>
    </row>
    <row r="718" spans="10:14" x14ac:dyDescent="0.25">
      <c r="J718">
        <f t="shared" si="75"/>
        <v>166.25</v>
      </c>
      <c r="K718">
        <f t="shared" si="71"/>
        <v>545.29999999999995</v>
      </c>
      <c r="L718">
        <f t="shared" si="72"/>
        <v>-2.222608310934937</v>
      </c>
      <c r="M718">
        <f t="shared" si="73"/>
        <v>-0.36113745356981086</v>
      </c>
      <c r="N718">
        <f t="shared" si="74"/>
        <v>2.2517566396500182</v>
      </c>
    </row>
    <row r="719" spans="10:14" x14ac:dyDescent="0.25">
      <c r="J719">
        <f t="shared" si="75"/>
        <v>166.5</v>
      </c>
      <c r="K719">
        <f t="shared" si="71"/>
        <v>546.12</v>
      </c>
      <c r="L719">
        <f t="shared" si="72"/>
        <v>-2.2929843761314208</v>
      </c>
      <c r="M719">
        <f t="shared" si="73"/>
        <v>-0.37428091844959344</v>
      </c>
      <c r="N719">
        <f t="shared" si="74"/>
        <v>2.3233302724964164</v>
      </c>
    </row>
    <row r="720" spans="10:14" x14ac:dyDescent="0.25">
      <c r="J720">
        <f t="shared" si="75"/>
        <v>166.75</v>
      </c>
      <c r="K720">
        <f t="shared" si="71"/>
        <v>546.93999999999994</v>
      </c>
      <c r="L720">
        <f t="shared" si="72"/>
        <v>-2.3627678163832218</v>
      </c>
      <c r="M720">
        <f t="shared" si="73"/>
        <v>-0.38732616012269538</v>
      </c>
      <c r="N720">
        <f t="shared" si="74"/>
        <v>2.3943043474988155</v>
      </c>
    </row>
    <row r="721" spans="10:14" x14ac:dyDescent="0.25">
      <c r="J721">
        <f t="shared" si="75"/>
        <v>167</v>
      </c>
      <c r="K721">
        <f t="shared" si="71"/>
        <v>547.76</v>
      </c>
      <c r="L721">
        <f t="shared" si="72"/>
        <v>-2.431943055928433</v>
      </c>
      <c r="M721">
        <f t="shared" si="73"/>
        <v>-0.40027025557260831</v>
      </c>
      <c r="N721">
        <f t="shared" si="74"/>
        <v>2.4646629190975968</v>
      </c>
    </row>
    <row r="722" spans="10:14" x14ac:dyDescent="0.25">
      <c r="J722">
        <f t="shared" si="75"/>
        <v>167.25</v>
      </c>
      <c r="K722">
        <f t="shared" si="71"/>
        <v>548.57999999999993</v>
      </c>
      <c r="L722">
        <f t="shared" si="72"/>
        <v>-2.5004946734147371</v>
      </c>
      <c r="M722">
        <f t="shared" si="73"/>
        <v>-0.41311030776106561</v>
      </c>
      <c r="N722">
        <f t="shared" si="74"/>
        <v>2.5343902103176448</v>
      </c>
    </row>
    <row r="723" spans="10:14" x14ac:dyDescent="0.25">
      <c r="J723">
        <f t="shared" si="75"/>
        <v>167.5</v>
      </c>
      <c r="K723">
        <f t="shared" si="71"/>
        <v>549.4</v>
      </c>
      <c r="L723">
        <f t="shared" si="72"/>
        <v>-2.5684074053203951</v>
      </c>
      <c r="M723">
        <f t="shared" si="73"/>
        <v>-0.42584344627342308</v>
      </c>
      <c r="N723">
        <f t="shared" si="74"/>
        <v>2.6034706144757367</v>
      </c>
    </row>
    <row r="724" spans="10:14" x14ac:dyDescent="0.25">
      <c r="J724">
        <f t="shared" si="75"/>
        <v>167.75</v>
      </c>
      <c r="K724">
        <f t="shared" si="71"/>
        <v>550.21999999999991</v>
      </c>
      <c r="L724">
        <f t="shared" si="72"/>
        <v>-2.6356661493356701</v>
      </c>
      <c r="M724">
        <f t="shared" si="73"/>
        <v>-0.43846682795730985</v>
      </c>
      <c r="N724">
        <f t="shared" si="74"/>
        <v>2.671888697152796</v>
      </c>
    </row>
    <row r="725" spans="10:14" x14ac:dyDescent="0.25">
      <c r="J725">
        <f t="shared" si="75"/>
        <v>168</v>
      </c>
      <c r="K725">
        <f t="shared" si="71"/>
        <v>551.04</v>
      </c>
      <c r="L725">
        <f t="shared" si="72"/>
        <v>-2.7022559677040663</v>
      </c>
      <c r="M725">
        <f t="shared" si="73"/>
        <v>-0.45097763755443099</v>
      </c>
      <c r="N725">
        <f t="shared" si="74"/>
        <v>2.7396291983709062</v>
      </c>
    </row>
    <row r="726" spans="10:14" x14ac:dyDescent="0.25">
      <c r="J726">
        <f t="shared" si="75"/>
        <v>168.25</v>
      </c>
      <c r="K726">
        <f t="shared" si="71"/>
        <v>551.86</v>
      </c>
      <c r="L726">
        <f t="shared" si="72"/>
        <v>-2.7681620905225293</v>
      </c>
      <c r="M726">
        <f t="shared" si="73"/>
        <v>-0.46337308832533619</v>
      </c>
      <c r="N726">
        <f t="shared" si="74"/>
        <v>2.8066770349276418</v>
      </c>
    </row>
    <row r="727" spans="10:14" x14ac:dyDescent="0.25">
      <c r="J727">
        <f t="shared" si="75"/>
        <v>168.5</v>
      </c>
      <c r="K727">
        <f t="shared" si="71"/>
        <v>552.67999999999995</v>
      </c>
      <c r="L727">
        <f t="shared" si="72"/>
        <v>-2.8333699189999617</v>
      </c>
      <c r="M727">
        <f t="shared" si="73"/>
        <v>-0.47565042266707569</v>
      </c>
      <c r="N727">
        <f t="shared" si="74"/>
        <v>2.8730173028503008</v>
      </c>
    </row>
    <row r="728" spans="10:14" x14ac:dyDescent="0.25">
      <c r="J728">
        <f t="shared" si="75"/>
        <v>168.75</v>
      </c>
      <c r="K728">
        <f t="shared" si="71"/>
        <v>553.5</v>
      </c>
      <c r="L728">
        <f t="shared" si="72"/>
        <v>-2.897865028673273</v>
      </c>
      <c r="M728">
        <f t="shared" si="73"/>
        <v>-0.4878069127235487</v>
      </c>
      <c r="N728">
        <f t="shared" si="74"/>
        <v>2.9386352799400659</v>
      </c>
    </row>
    <row r="729" spans="10:14" x14ac:dyDescent="0.25">
      <c r="J729">
        <f t="shared" si="75"/>
        <v>169</v>
      </c>
      <c r="K729">
        <f t="shared" si="71"/>
        <v>554.31999999999994</v>
      </c>
      <c r="L729">
        <f t="shared" si="72"/>
        <v>-2.96163317258035</v>
      </c>
      <c r="M729">
        <f t="shared" si="73"/>
        <v>-0.49983986098844557</v>
      </c>
      <c r="N729">
        <f t="shared" si="74"/>
        <v>3.0035164283821221</v>
      </c>
    </row>
    <row r="730" spans="10:14" x14ac:dyDescent="0.25">
      <c r="J730">
        <f t="shared" si="75"/>
        <v>169.25</v>
      </c>
      <c r="K730">
        <f t="shared" si="71"/>
        <v>555.14</v>
      </c>
      <c r="L730">
        <f t="shared" si="72"/>
        <v>-3.0246602843891148</v>
      </c>
      <c r="M730">
        <f t="shared" si="73"/>
        <v>-0.5117466009006415</v>
      </c>
      <c r="N730">
        <f t="shared" si="74"/>
        <v>3.0676463974021191</v>
      </c>
    </row>
    <row r="731" spans="10:14" x14ac:dyDescent="0.25">
      <c r="J731">
        <f t="shared" si="75"/>
        <v>169.5</v>
      </c>
      <c r="K731">
        <f t="shared" si="71"/>
        <v>555.95999999999992</v>
      </c>
      <c r="L731">
        <f t="shared" si="72"/>
        <v>-3.0869324814821377</v>
      </c>
      <c r="M731">
        <f t="shared" si="73"/>
        <v>-0.52352449743189911</v>
      </c>
      <c r="N731">
        <f t="shared" si="74"/>
        <v>3.1310110259532449</v>
      </c>
    </row>
    <row r="732" spans="10:14" x14ac:dyDescent="0.25">
      <c r="J732">
        <f t="shared" si="75"/>
        <v>169.75</v>
      </c>
      <c r="K732">
        <f t="shared" si="71"/>
        <v>556.78</v>
      </c>
      <c r="L732">
        <f t="shared" si="72"/>
        <v>-3.1484360679960592</v>
      </c>
      <c r="M732">
        <f t="shared" si="73"/>
        <v>-0.53517094766679496</v>
      </c>
      <c r="N732">
        <f t="shared" si="74"/>
        <v>3.1935963454207954</v>
      </c>
    </row>
    <row r="733" spans="10:14" x14ac:dyDescent="0.25">
      <c r="J733">
        <f t="shared" si="75"/>
        <v>170</v>
      </c>
      <c r="K733">
        <f t="shared" si="71"/>
        <v>557.6</v>
      </c>
      <c r="L733">
        <f t="shared" si="72"/>
        <v>-3.209157537815142</v>
      </c>
      <c r="M733">
        <f t="shared" si="73"/>
        <v>-0.54668338137467765</v>
      </c>
      <c r="N733">
        <f t="shared" si="74"/>
        <v>3.2553885823334512</v>
      </c>
    </row>
    <row r="734" spans="10:14" x14ac:dyDescent="0.25">
      <c r="J734">
        <f t="shared" si="75"/>
        <v>170.25</v>
      </c>
      <c r="K734">
        <f t="shared" si="71"/>
        <v>558.41999999999996</v>
      </c>
      <c r="L734">
        <f t="shared" si="72"/>
        <v>-3.2690835775183422</v>
      </c>
      <c r="M734">
        <f t="shared" si="73"/>
        <v>-0.55805926157357977</v>
      </c>
      <c r="N734">
        <f t="shared" si="74"/>
        <v>3.3163741610723259</v>
      </c>
    </row>
    <row r="735" spans="10:14" x14ac:dyDescent="0.25">
      <c r="J735">
        <f t="shared" si="75"/>
        <v>170.5</v>
      </c>
      <c r="K735">
        <f t="shared" si="71"/>
        <v>559.24</v>
      </c>
      <c r="L735">
        <f t="shared" si="72"/>
        <v>-3.3282010692792436</v>
      </c>
      <c r="M735">
        <f t="shared" si="73"/>
        <v>-0.56929608508595253</v>
      </c>
      <c r="N735">
        <f t="shared" si="74"/>
        <v>3.3765397065702771</v>
      </c>
    </row>
    <row r="736" spans="10:14" x14ac:dyDescent="0.25">
      <c r="J736">
        <f t="shared" si="75"/>
        <v>170.75</v>
      </c>
      <c r="K736">
        <f t="shared" si="71"/>
        <v>560.05999999999995</v>
      </c>
      <c r="L736">
        <f t="shared" si="72"/>
        <v>-3.3864970937182561</v>
      </c>
      <c r="M736">
        <f t="shared" si="73"/>
        <v>-0.58039138308608296</v>
      </c>
      <c r="N736">
        <f t="shared" si="74"/>
        <v>3.4358720469951689</v>
      </c>
    </row>
    <row r="737" spans="10:14" x14ac:dyDescent="0.25">
      <c r="J737">
        <f t="shared" si="75"/>
        <v>171</v>
      </c>
      <c r="K737">
        <f t="shared" si="71"/>
        <v>560.88</v>
      </c>
      <c r="L737">
        <f t="shared" si="72"/>
        <v>-3.4439589327063813</v>
      </c>
      <c r="M737">
        <f t="shared" si="73"/>
        <v>-0.59134272163910961</v>
      </c>
      <c r="N737">
        <f t="shared" si="74"/>
        <v>3.4943582164116531</v>
      </c>
    </row>
    <row r="738" spans="10:14" x14ac:dyDescent="0.25">
      <c r="J738">
        <f t="shared" si="75"/>
        <v>171.25</v>
      </c>
      <c r="K738">
        <f t="shared" si="71"/>
        <v>561.69999999999993</v>
      </c>
      <c r="L738">
        <f t="shared" si="72"/>
        <v>-3.5005740721200649</v>
      </c>
      <c r="M738">
        <f t="shared" si="73"/>
        <v>-0.60214770223147607</v>
      </c>
      <c r="N738">
        <f t="shared" si="74"/>
        <v>3.5519854574170067</v>
      </c>
    </row>
    <row r="739" spans="10:14" x14ac:dyDescent="0.25">
      <c r="J739">
        <f t="shared" si="75"/>
        <v>171.5</v>
      </c>
      <c r="K739">
        <f t="shared" si="71"/>
        <v>562.52</v>
      </c>
      <c r="L739">
        <f t="shared" si="72"/>
        <v>-3.5563302045464322</v>
      </c>
      <c r="M739">
        <f t="shared" si="73"/>
        <v>-0.61280396229274814</v>
      </c>
      <c r="N739">
        <f t="shared" si="74"/>
        <v>3.6087412237469949</v>
      </c>
    </row>
    <row r="740" spans="10:14" x14ac:dyDescent="0.25">
      <c r="J740">
        <f t="shared" si="75"/>
        <v>171.75</v>
      </c>
      <c r="K740">
        <f t="shared" si="71"/>
        <v>563.33999999999992</v>
      </c>
      <c r="L740">
        <f t="shared" si="72"/>
        <v>-3.6112152319384005</v>
      </c>
      <c r="M740">
        <f t="shared" si="73"/>
        <v>-0.62330917570866062</v>
      </c>
      <c r="N740">
        <f t="shared" si="74"/>
        <v>3.6646131828484338</v>
      </c>
    </row>
    <row r="741" spans="10:14" x14ac:dyDescent="0.25">
      <c r="J741">
        <f t="shared" si="75"/>
        <v>172</v>
      </c>
      <c r="K741">
        <f t="shared" si="71"/>
        <v>564.16</v>
      </c>
      <c r="L741">
        <f t="shared" si="72"/>
        <v>-3.6652172682190454</v>
      </c>
      <c r="M741">
        <f t="shared" si="73"/>
        <v>-0.6336610533252649</v>
      </c>
      <c r="N741">
        <f t="shared" si="74"/>
        <v>3.7195892184154378</v>
      </c>
    </row>
    <row r="742" spans="10:14" x14ac:dyDescent="0.25">
      <c r="J742">
        <f t="shared" si="75"/>
        <v>172.25</v>
      </c>
      <c r="K742">
        <f t="shared" si="71"/>
        <v>564.98</v>
      </c>
      <c r="L742">
        <f t="shared" si="72"/>
        <v>-3.7183246418347169</v>
      </c>
      <c r="M742">
        <f t="shared" si="73"/>
        <v>-0.64385734344413814</v>
      </c>
      <c r="N742">
        <f t="shared" si="74"/>
        <v>3.7736574328868562</v>
      </c>
    </row>
    <row r="743" spans="10:14" x14ac:dyDescent="0.25">
      <c r="J743">
        <f t="shared" si="75"/>
        <v>172.5</v>
      </c>
      <c r="K743">
        <f t="shared" si="71"/>
        <v>565.79999999999995</v>
      </c>
      <c r="L743">
        <f t="shared" si="72"/>
        <v>-3.7705258982563499</v>
      </c>
      <c r="M743">
        <f t="shared" si="73"/>
        <v>-0.65389583230845783</v>
      </c>
      <c r="N743">
        <f t="shared" si="74"/>
        <v>3.8268061499025823</v>
      </c>
    </row>
    <row r="744" spans="10:14" x14ac:dyDescent="0.25">
      <c r="J744">
        <f t="shared" si="75"/>
        <v>172.75</v>
      </c>
      <c r="K744">
        <f t="shared" si="71"/>
        <v>566.62</v>
      </c>
      <c r="L744">
        <f t="shared" si="72"/>
        <v>-3.8218098024283638</v>
      </c>
      <c r="M744">
        <f t="shared" si="73"/>
        <v>-0.66377434457989426</v>
      </c>
      <c r="N744">
        <f t="shared" si="74"/>
        <v>3.8790239167166778</v>
      </c>
    </row>
    <row r="745" spans="10:14" x14ac:dyDescent="0.25">
      <c r="J745">
        <f t="shared" si="75"/>
        <v>173</v>
      </c>
      <c r="K745">
        <f t="shared" si="71"/>
        <v>567.43999999999994</v>
      </c>
      <c r="L745">
        <f t="shared" si="72"/>
        <v>-3.8721653411647665</v>
      </c>
      <c r="M745">
        <f t="shared" si="73"/>
        <v>-0.67349074380621543</v>
      </c>
      <c r="N745">
        <f t="shared" si="74"/>
        <v>3.9302995065656638</v>
      </c>
    </row>
    <row r="746" spans="10:14" x14ac:dyDescent="0.25">
      <c r="J746">
        <f t="shared" si="75"/>
        <v>173.25</v>
      </c>
      <c r="K746">
        <f t="shared" si="71"/>
        <v>568.26</v>
      </c>
      <c r="L746">
        <f t="shared" si="72"/>
        <v>-3.9215817254918472</v>
      </c>
      <c r="M746">
        <f t="shared" si="73"/>
        <v>-0.68304293287947004</v>
      </c>
      <c r="N746">
        <f t="shared" si="74"/>
        <v>3.980621920990262</v>
      </c>
    </row>
    <row r="747" spans="10:14" x14ac:dyDescent="0.25">
      <c r="J747">
        <f t="shared" si="75"/>
        <v>173.5</v>
      </c>
      <c r="K747">
        <f t="shared" si="71"/>
        <v>569.07999999999993</v>
      </c>
      <c r="L747">
        <f t="shared" si="72"/>
        <v>-3.9700483929370201</v>
      </c>
      <c r="M747">
        <f t="shared" si="73"/>
        <v>-0.69242885448471414</v>
      </c>
      <c r="N747">
        <f t="shared" si="74"/>
        <v>4.0299803921092252</v>
      </c>
    </row>
    <row r="748" spans="10:14" x14ac:dyDescent="0.25">
      <c r="J748">
        <f t="shared" si="75"/>
        <v>173.75</v>
      </c>
      <c r="K748">
        <f t="shared" si="71"/>
        <v>569.9</v>
      </c>
      <c r="L748">
        <f t="shared" si="72"/>
        <v>-4.0175550097633081</v>
      </c>
      <c r="M748">
        <f t="shared" si="73"/>
        <v>-0.70164649153911118</v>
      </c>
      <c r="N748">
        <f t="shared" si="74"/>
        <v>4.0783643848439288</v>
      </c>
    </row>
    <row r="749" spans="10:14" x14ac:dyDescent="0.25">
      <c r="J749">
        <f t="shared" si="75"/>
        <v>174</v>
      </c>
      <c r="K749">
        <f t="shared" si="71"/>
        <v>570.71999999999991</v>
      </c>
      <c r="L749">
        <f t="shared" si="72"/>
        <v>-4.0640914731490492</v>
      </c>
      <c r="M749">
        <f t="shared" si="73"/>
        <v>-0.71069386762137077</v>
      </c>
      <c r="N749">
        <f t="shared" si="74"/>
        <v>4.1257635990925889</v>
      </c>
    </row>
    <row r="750" spans="10:14" x14ac:dyDescent="0.25">
      <c r="J750">
        <f t="shared" si="75"/>
        <v>174.25</v>
      </c>
      <c r="K750">
        <f t="shared" si="71"/>
        <v>571.54</v>
      </c>
      <c r="L750">
        <f t="shared" si="72"/>
        <v>-4.1096479133122799</v>
      </c>
      <c r="M750">
        <f t="shared" si="73"/>
        <v>-0.7195690473914107</v>
      </c>
      <c r="N750">
        <f t="shared" si="74"/>
        <v>4.1721679718529741</v>
      </c>
    </row>
    <row r="751" spans="10:14" x14ac:dyDescent="0.25">
      <c r="J751">
        <f t="shared" si="75"/>
        <v>174.5</v>
      </c>
      <c r="K751">
        <f t="shared" si="71"/>
        <v>572.36</v>
      </c>
      <c r="L751">
        <f t="shared" si="72"/>
        <v>-4.1542146955794559</v>
      </c>
      <c r="M751">
        <f t="shared" si="73"/>
        <v>-0.72827013700013943</v>
      </c>
      <c r="N751">
        <f t="shared" si="74"/>
        <v>4.2175676792927117</v>
      </c>
    </row>
    <row r="752" spans="10:14" x14ac:dyDescent="0.25">
      <c r="J752">
        <f t="shared" si="75"/>
        <v>174.75</v>
      </c>
      <c r="K752">
        <f t="shared" si="71"/>
        <v>573.17999999999995</v>
      </c>
      <c r="L752">
        <f t="shared" si="72"/>
        <v>-4.1977824223980376</v>
      </c>
      <c r="M752">
        <f t="shared" si="73"/>
        <v>-0.73679528448933884</v>
      </c>
      <c r="N752">
        <f t="shared" si="74"/>
        <v>4.2619531387662706</v>
      </c>
    </row>
    <row r="753" spans="10:14" x14ac:dyDescent="0.25">
      <c r="J753">
        <f t="shared" si="75"/>
        <v>175</v>
      </c>
      <c r="K753">
        <f t="shared" si="71"/>
        <v>574</v>
      </c>
      <c r="L753">
        <f t="shared" si="72"/>
        <v>-4.2403419352925136</v>
      </c>
      <c r="M753">
        <f t="shared" si="73"/>
        <v>-0.74514268018146246</v>
      </c>
      <c r="N753">
        <f t="shared" si="74"/>
        <v>4.3053150107777567</v>
      </c>
    </row>
    <row r="754" spans="10:14" x14ac:dyDescent="0.25">
      <c r="J754">
        <f t="shared" si="75"/>
        <v>175.25</v>
      </c>
      <c r="K754">
        <f t="shared" si="71"/>
        <v>574.81999999999994</v>
      </c>
      <c r="L754">
        <f t="shared" si="72"/>
        <v>-4.2818843167634775</v>
      </c>
      <c r="M754">
        <f t="shared" si="73"/>
        <v>-0.753310557059365</v>
      </c>
      <c r="N754">
        <f t="shared" si="74"/>
        <v>4.347644200888813</v>
      </c>
    </row>
    <row r="755" spans="10:14" x14ac:dyDescent="0.25">
      <c r="J755">
        <f t="shared" si="75"/>
        <v>175.5</v>
      </c>
      <c r="K755">
        <f t="shared" si="71"/>
        <v>575.64</v>
      </c>
      <c r="L755">
        <f t="shared" si="72"/>
        <v>-4.3224008921293668</v>
      </c>
      <c r="M755">
        <f t="shared" si="73"/>
        <v>-0.76129719113580219</v>
      </c>
      <c r="N755">
        <f t="shared" si="74"/>
        <v>4.3889318615708772</v>
      </c>
    </row>
    <row r="756" spans="10:14" x14ac:dyDescent="0.25">
      <c r="J756">
        <f t="shared" si="75"/>
        <v>175.75</v>
      </c>
      <c r="K756">
        <f t="shared" si="71"/>
        <v>576.45999999999992</v>
      </c>
      <c r="L756">
        <f t="shared" si="72"/>
        <v>-4.3618832313105198</v>
      </c>
      <c r="M756">
        <f t="shared" si="73"/>
        <v>-0.76910090181272039</v>
      </c>
      <c r="N756">
        <f t="shared" si="74"/>
        <v>4.4291693940012093</v>
      </c>
    </row>
    <row r="757" spans="10:14" x14ac:dyDescent="0.25">
      <c r="J757">
        <f t="shared" si="75"/>
        <v>176</v>
      </c>
      <c r="K757">
        <f t="shared" ref="K757:K820" si="76">J757*3.28</f>
        <v>577.28</v>
      </c>
      <c r="L757">
        <f t="shared" ref="L757:L820" si="77">$Y$7*EXP($Y$11*(J757-$Y$4))*COS(PI()/180*($Y$8+$Y$5*(J757-$Y$4)))+$Y$9*EXP($Y$12*(J757-$Y$4))*COS(PI()/180*($Y$10+$Y$6*(J757-$Y$4)))</f>
        <v>-4.4003231505551152</v>
      </c>
      <c r="M757">
        <f t="shared" ref="M757:M820" si="78">$Y$13+$Y$7*EXP($Y$11*(J757-$Y$4))*SIN(PI()/180*($Y$8+$Y$5*(J757-$Y$4)))+$Y$9*EXP($Y$12*(J757-$Y$4))*SIN(PI()/180*($Y$10+$Y$6*(J757-$Y$4)))</f>
        <v>-0.77672005223014851</v>
      </c>
      <c r="N757">
        <f t="shared" ref="N757:N820" si="79">SQRT(L757*L757+M757*M757)</f>
        <v>4.4683484498019732</v>
      </c>
    </row>
    <row r="758" spans="10:14" x14ac:dyDescent="0.25">
      <c r="J758">
        <f t="shared" ref="J758:J821" si="80">J757+$I$52</f>
        <v>176.25</v>
      </c>
      <c r="K758">
        <f t="shared" si="76"/>
        <v>578.09999999999991</v>
      </c>
      <c r="L758">
        <f t="shared" si="77"/>
        <v>-4.4377127141067376</v>
      </c>
      <c r="M758">
        <f t="shared" si="78"/>
        <v>-0.78415304960471854</v>
      </c>
      <c r="N758">
        <f t="shared" si="79"/>
        <v>4.5064609327219252</v>
      </c>
    </row>
    <row r="759" spans="10:14" x14ac:dyDescent="0.25">
      <c r="J759">
        <f t="shared" si="80"/>
        <v>176.5</v>
      </c>
      <c r="K759">
        <f t="shared" si="76"/>
        <v>578.91999999999996</v>
      </c>
      <c r="L759">
        <f t="shared" si="77"/>
        <v>-4.4740442358131762</v>
      </c>
      <c r="M759">
        <f t="shared" si="78"/>
        <v>-0.79139834555769084</v>
      </c>
      <c r="N759">
        <f t="shared" si="79"/>
        <v>4.5434990002601037</v>
      </c>
    </row>
    <row r="760" spans="10:14" x14ac:dyDescent="0.25">
      <c r="J760">
        <f t="shared" si="80"/>
        <v>176.75</v>
      </c>
      <c r="K760">
        <f t="shared" si="76"/>
        <v>579.74</v>
      </c>
      <c r="L760">
        <f t="shared" si="77"/>
        <v>-4.5093102806761642</v>
      </c>
      <c r="M760">
        <f t="shared" si="78"/>
        <v>-0.79845443643244152</v>
      </c>
      <c r="N760">
        <f t="shared" si="79"/>
        <v>4.5794550652310582</v>
      </c>
    </row>
    <row r="761" spans="10:14" x14ac:dyDescent="0.25">
      <c r="J761">
        <f t="shared" si="80"/>
        <v>177</v>
      </c>
      <c r="K761">
        <f t="shared" si="76"/>
        <v>580.55999999999995</v>
      </c>
      <c r="L761">
        <f t="shared" si="77"/>
        <v>-4.5435036663417421</v>
      </c>
      <c r="M761">
        <f t="shared" si="78"/>
        <v>-0.80531986360132102</v>
      </c>
      <c r="N761">
        <f t="shared" si="79"/>
        <v>4.6143217972711552</v>
      </c>
    </row>
    <row r="762" spans="10:14" x14ac:dyDescent="0.25">
      <c r="J762">
        <f t="shared" si="80"/>
        <v>177.25</v>
      </c>
      <c r="K762">
        <f t="shared" si="76"/>
        <v>581.38</v>
      </c>
      <c r="L762">
        <f t="shared" si="77"/>
        <v>-4.5766174645309601</v>
      </c>
      <c r="M762">
        <f t="shared" si="78"/>
        <v>-0.81199321376187983</v>
      </c>
      <c r="N762">
        <f t="shared" si="79"/>
        <v>4.648092124285526</v>
      </c>
    </row>
    <row r="763" spans="10:14" x14ac:dyDescent="0.25">
      <c r="J763">
        <f t="shared" si="80"/>
        <v>177.5</v>
      </c>
      <c r="K763">
        <f t="shared" si="76"/>
        <v>582.19999999999993</v>
      </c>
      <c r="L763">
        <f t="shared" si="77"/>
        <v>-4.6086450024106629</v>
      </c>
      <c r="M763">
        <f t="shared" si="78"/>
        <v>-0.81847311922232868</v>
      </c>
      <c r="N763">
        <f t="shared" si="79"/>
        <v>4.6807592338352872</v>
      </c>
    </row>
    <row r="764" spans="10:14" x14ac:dyDescent="0.25">
      <c r="J764">
        <f t="shared" si="80"/>
        <v>177.75</v>
      </c>
      <c r="K764">
        <f t="shared" si="76"/>
        <v>583.02</v>
      </c>
      <c r="L764">
        <f t="shared" si="77"/>
        <v>-4.6395798639040269</v>
      </c>
      <c r="M764">
        <f t="shared" si="78"/>
        <v>-0.82475825817623072</v>
      </c>
      <c r="N764">
        <f t="shared" si="79"/>
        <v>4.7123165744645812</v>
      </c>
    </row>
    <row r="765" spans="10:14" x14ac:dyDescent="0.25">
      <c r="J765">
        <f t="shared" si="80"/>
        <v>178</v>
      </c>
      <c r="K765">
        <f t="shared" si="76"/>
        <v>583.83999999999992</v>
      </c>
      <c r="L765">
        <f t="shared" si="77"/>
        <v>-4.669415890940698</v>
      </c>
      <c r="M765">
        <f t="shared" si="78"/>
        <v>-0.83084735496635209</v>
      </c>
      <c r="N765">
        <f t="shared" si="79"/>
        <v>4.7427578569671986</v>
      </c>
    </row>
    <row r="766" spans="10:14" x14ac:dyDescent="0.25">
      <c r="J766">
        <f t="shared" si="80"/>
        <v>178.25</v>
      </c>
      <c r="K766">
        <f t="shared" si="76"/>
        <v>584.66</v>
      </c>
      <c r="L766">
        <f t="shared" si="77"/>
        <v>-4.6981471846462197</v>
      </c>
      <c r="M766">
        <f t="shared" si="78"/>
        <v>-0.83673918033760564</v>
      </c>
      <c r="N766">
        <f t="shared" si="79"/>
        <v>4.7720770555923808</v>
      </c>
    </row>
    <row r="767" spans="10:14" x14ac:dyDescent="0.25">
      <c r="J767">
        <f t="shared" si="80"/>
        <v>178.5</v>
      </c>
      <c r="K767">
        <f t="shared" si="76"/>
        <v>585.48</v>
      </c>
      <c r="L767">
        <f t="shared" si="77"/>
        <v>-4.7257681064705626</v>
      </c>
      <c r="M767">
        <f t="shared" si="78"/>
        <v>-0.8424325516790957</v>
      </c>
      <c r="N767">
        <f t="shared" si="79"/>
        <v>4.8002684091895231</v>
      </c>
    </row>
    <row r="768" spans="10:14" x14ac:dyDescent="0.25">
      <c r="J768">
        <f t="shared" si="80"/>
        <v>178.75</v>
      </c>
      <c r="K768">
        <f t="shared" si="76"/>
        <v>586.29999999999995</v>
      </c>
      <c r="L768">
        <f t="shared" si="77"/>
        <v>-4.7522732792555482</v>
      </c>
      <c r="M768">
        <f t="shared" si="78"/>
        <v>-0.84792633325513522</v>
      </c>
      <c r="N768">
        <f t="shared" si="79"/>
        <v>4.8273264222915131</v>
      </c>
    </row>
    <row r="769" spans="10:14" x14ac:dyDescent="0.25">
      <c r="J769">
        <f t="shared" si="80"/>
        <v>179</v>
      </c>
      <c r="K769">
        <f t="shared" si="76"/>
        <v>587.12</v>
      </c>
      <c r="L769">
        <f t="shared" si="77"/>
        <v>-4.7776575882409809</v>
      </c>
      <c r="M769">
        <f t="shared" si="78"/>
        <v>-0.85321943642525477</v>
      </c>
      <c r="N769">
        <f t="shared" si="79"/>
        <v>4.853245866136441</v>
      </c>
    </row>
    <row r="770" spans="10:14" x14ac:dyDescent="0.25">
      <c r="J770">
        <f t="shared" si="80"/>
        <v>179.25</v>
      </c>
      <c r="K770">
        <f t="shared" si="76"/>
        <v>587.93999999999994</v>
      </c>
      <c r="L770">
        <f t="shared" si="77"/>
        <v>-4.8019161820092737</v>
      </c>
      <c r="M770">
        <f t="shared" si="78"/>
        <v>-0.85831081985314484</v>
      </c>
      <c r="N770">
        <f t="shared" si="79"/>
        <v>4.8780217796274243</v>
      </c>
    </row>
    <row r="771" spans="10:14" x14ac:dyDescent="0.25">
      <c r="J771">
        <f t="shared" si="80"/>
        <v>179.5</v>
      </c>
      <c r="K771">
        <f t="shared" si="76"/>
        <v>588.76</v>
      </c>
      <c r="L771">
        <f t="shared" si="77"/>
        <v>-4.8250444733684636</v>
      </c>
      <c r="M771">
        <f t="shared" si="78"/>
        <v>-0.86319948970446558</v>
      </c>
      <c r="N771">
        <f t="shared" si="79"/>
        <v>4.9016494702303639</v>
      </c>
    </row>
    <row r="772" spans="10:14" x14ac:dyDescent="0.25">
      <c r="J772">
        <f t="shared" si="80"/>
        <v>179.75</v>
      </c>
      <c r="K772">
        <f t="shared" si="76"/>
        <v>589.57999999999993</v>
      </c>
      <c r="L772">
        <f t="shared" si="77"/>
        <v>-4.8470381401734297</v>
      </c>
      <c r="M772">
        <f t="shared" si="78"/>
        <v>-0.86788449983355931</v>
      </c>
      <c r="N772">
        <f t="shared" si="79"/>
        <v>4.924124514809435</v>
      </c>
    </row>
    <row r="773" spans="10:14" x14ac:dyDescent="0.25">
      <c r="J773">
        <f t="shared" si="80"/>
        <v>180</v>
      </c>
      <c r="K773">
        <f t="shared" si="76"/>
        <v>590.4</v>
      </c>
      <c r="L773">
        <f t="shared" si="77"/>
        <v>-4.8678931260851837</v>
      </c>
      <c r="M773">
        <f t="shared" si="78"/>
        <v>-0.8723649519589417</v>
      </c>
      <c r="N773">
        <f t="shared" si="79"/>
        <v>4.9454427604000948</v>
      </c>
    </row>
    <row r="774" spans="10:14" x14ac:dyDescent="0.25">
      <c r="J774">
        <f t="shared" si="80"/>
        <v>180.25</v>
      </c>
      <c r="K774">
        <f t="shared" si="76"/>
        <v>591.21999999999991</v>
      </c>
      <c r="L774">
        <f t="shared" si="77"/>
        <v>-4.8876056412681246</v>
      </c>
      <c r="M774">
        <f t="shared" si="78"/>
        <v>-0.87663999582761043</v>
      </c>
      <c r="N774">
        <f t="shared" si="79"/>
        <v>4.9656003249194987</v>
      </c>
    </row>
    <row r="775" spans="10:14" x14ac:dyDescent="0.25">
      <c r="J775">
        <f t="shared" si="80"/>
        <v>180.5</v>
      </c>
      <c r="K775">
        <f t="shared" si="76"/>
        <v>592.04</v>
      </c>
      <c r="L775">
        <f t="shared" si="77"/>
        <v>-4.9061721630251327</v>
      </c>
      <c r="M775">
        <f t="shared" si="78"/>
        <v>-0.88070882936809702</v>
      </c>
      <c r="N775">
        <f t="shared" si="79"/>
        <v>4.9845935978141318</v>
      </c>
    </row>
    <row r="776" spans="10:14" x14ac:dyDescent="0.25">
      <c r="J776">
        <f t="shared" si="80"/>
        <v>180.75</v>
      </c>
      <c r="K776">
        <f t="shared" si="76"/>
        <v>592.86</v>
      </c>
      <c r="L776">
        <f t="shared" si="77"/>
        <v>-4.923589436370456</v>
      </c>
      <c r="M776">
        <f t="shared" si="78"/>
        <v>-0.88457069883230077</v>
      </c>
      <c r="N776">
        <f t="shared" si="79"/>
        <v>5.0024192406446115</v>
      </c>
    </row>
    <row r="777" spans="10:14" x14ac:dyDescent="0.25">
      <c r="J777">
        <f t="shared" si="80"/>
        <v>181</v>
      </c>
      <c r="K777">
        <f t="shared" si="76"/>
        <v>593.67999999999995</v>
      </c>
      <c r="L777">
        <f t="shared" si="77"/>
        <v>-4.9398544745402422</v>
      </c>
      <c r="M777">
        <f t="shared" si="78"/>
        <v>-0.88822489892599543</v>
      </c>
      <c r="N777">
        <f t="shared" si="79"/>
        <v>5.0190741876074458</v>
      </c>
    </row>
    <row r="778" spans="10:14" x14ac:dyDescent="0.25">
      <c r="J778">
        <f t="shared" si="80"/>
        <v>181.25</v>
      </c>
      <c r="K778">
        <f t="shared" si="76"/>
        <v>594.5</v>
      </c>
      <c r="L778">
        <f t="shared" si="77"/>
        <v>-4.9549645594407323</v>
      </c>
      <c r="M778">
        <f t="shared" si="78"/>
        <v>-0.89167077292805086</v>
      </c>
      <c r="N778">
        <f t="shared" si="79"/>
        <v>5.034555645993775</v>
      </c>
    </row>
    <row r="779" spans="10:14" x14ac:dyDescent="0.25">
      <c r="J779">
        <f t="shared" si="80"/>
        <v>181.5</v>
      </c>
      <c r="K779">
        <f t="shared" si="76"/>
        <v>595.31999999999994</v>
      </c>
      <c r="L779">
        <f t="shared" si="77"/>
        <v>-4.9689172420339975</v>
      </c>
      <c r="M779">
        <f t="shared" si="78"/>
        <v>-0.89490771279834769</v>
      </c>
      <c r="N779">
        <f t="shared" si="79"/>
        <v>5.0488610965849237</v>
      </c>
    </row>
    <row r="780" spans="10:14" x14ac:dyDescent="0.25">
      <c r="J780">
        <f t="shared" si="80"/>
        <v>181.75</v>
      </c>
      <c r="K780">
        <f t="shared" si="76"/>
        <v>596.14</v>
      </c>
      <c r="L780">
        <f t="shared" si="77"/>
        <v>-4.9817103426612492</v>
      </c>
      <c r="M780">
        <f t="shared" si="78"/>
        <v>-0.89793515927432055</v>
      </c>
      <c r="N780">
        <f t="shared" si="79"/>
        <v>5.0619882939847916</v>
      </c>
    </row>
    <row r="781" spans="10:14" x14ac:dyDescent="0.25">
      <c r="J781">
        <f t="shared" si="80"/>
        <v>182</v>
      </c>
      <c r="K781">
        <f t="shared" si="76"/>
        <v>596.95999999999992</v>
      </c>
      <c r="L781">
        <f t="shared" si="77"/>
        <v>-4.993341951303659</v>
      </c>
      <c r="M781">
        <f t="shared" si="78"/>
        <v>-0.90075260195620854</v>
      </c>
      <c r="N781">
        <f t="shared" si="79"/>
        <v>5.0739352668889968</v>
      </c>
    </row>
    <row r="782" spans="10:14" x14ac:dyDescent="0.25">
      <c r="J782">
        <f t="shared" si="80"/>
        <v>182.25</v>
      </c>
      <c r="K782">
        <f t="shared" si="76"/>
        <v>597.78</v>
      </c>
      <c r="L782">
        <f t="shared" si="77"/>
        <v>-5.0038104277806985</v>
      </c>
      <c r="M782">
        <f t="shared" si="78"/>
        <v>-0.9033595793809025</v>
      </c>
      <c r="N782">
        <f t="shared" si="79"/>
        <v>5.0847003182907544</v>
      </c>
    </row>
    <row r="783" spans="10:14" x14ac:dyDescent="0.25">
      <c r="J783">
        <f t="shared" si="80"/>
        <v>182.5</v>
      </c>
      <c r="K783">
        <f t="shared" si="76"/>
        <v>598.59999999999991</v>
      </c>
      <c r="L783">
        <f t="shared" si="77"/>
        <v>-5.013114401886023</v>
      </c>
      <c r="M783">
        <f t="shared" si="78"/>
        <v>-0.90575567908444643</v>
      </c>
      <c r="N783">
        <f t="shared" si="79"/>
        <v>5.0942820256235111</v>
      </c>
    </row>
    <row r="784" spans="10:14" x14ac:dyDescent="0.25">
      <c r="J784">
        <f t="shared" si="80"/>
        <v>182.75</v>
      </c>
      <c r="K784">
        <f t="shared" si="76"/>
        <v>599.41999999999996</v>
      </c>
      <c r="L784">
        <f t="shared" si="77"/>
        <v>-5.0212527734608923</v>
      </c>
      <c r="M784">
        <f t="shared" si="78"/>
        <v>-0.90794053765317728</v>
      </c>
      <c r="N784">
        <f t="shared" si="79"/>
        <v>5.1026792408403105</v>
      </c>
    </row>
    <row r="785" spans="10:14" x14ac:dyDescent="0.25">
      <c r="J785">
        <f t="shared" si="80"/>
        <v>183</v>
      </c>
      <c r="K785">
        <f t="shared" si="76"/>
        <v>600.24</v>
      </c>
      <c r="L785">
        <f t="shared" si="77"/>
        <v>-5.0282247124052084</v>
      </c>
      <c r="M785">
        <f t="shared" si="78"/>
        <v>-0.90991384076349213</v>
      </c>
      <c r="N785">
        <f t="shared" si="79"/>
        <v>5.1098910904299526</v>
      </c>
    </row>
    <row r="786" spans="10:14" x14ac:dyDescent="0.25">
      <c r="J786">
        <f t="shared" si="80"/>
        <v>183.25</v>
      </c>
      <c r="K786">
        <f t="shared" si="76"/>
        <v>601.05999999999995</v>
      </c>
      <c r="L786">
        <f t="shared" si="77"/>
        <v>-5.0340296586261895</v>
      </c>
      <c r="M786">
        <f t="shared" si="78"/>
        <v>-0.91167532321022704</v>
      </c>
      <c r="N786">
        <f t="shared" si="79"/>
        <v>5.1159169753699665</v>
      </c>
    </row>
    <row r="787" spans="10:14" x14ac:dyDescent="0.25">
      <c r="J787">
        <f t="shared" si="80"/>
        <v>183.5</v>
      </c>
      <c r="K787">
        <f t="shared" si="76"/>
        <v>601.88</v>
      </c>
      <c r="L787">
        <f t="shared" si="77"/>
        <v>-5.0386673219247697</v>
      </c>
      <c r="M787">
        <f t="shared" si="78"/>
        <v>-0.91322476892372029</v>
      </c>
      <c r="N787">
        <f t="shared" si="79"/>
        <v>5.1207565710164662</v>
      </c>
    </row>
    <row r="788" spans="10:14" x14ac:dyDescent="0.25">
      <c r="J788">
        <f t="shared" si="80"/>
        <v>183.75</v>
      </c>
      <c r="K788">
        <f t="shared" si="76"/>
        <v>602.69999999999993</v>
      </c>
      <c r="L788">
        <f t="shared" si="77"/>
        <v>-5.0421376818197814</v>
      </c>
      <c r="M788">
        <f t="shared" si="78"/>
        <v>-0.91456201097546774</v>
      </c>
      <c r="N788">
        <f t="shared" si="79"/>
        <v>5.1244098269309459</v>
      </c>
    </row>
    <row r="789" spans="10:14" x14ac:dyDescent="0.25">
      <c r="J789">
        <f t="shared" si="80"/>
        <v>184</v>
      </c>
      <c r="K789">
        <f t="shared" si="76"/>
        <v>603.52</v>
      </c>
      <c r="L789">
        <f t="shared" si="77"/>
        <v>-5.0444409873100664</v>
      </c>
      <c r="M789">
        <f t="shared" si="78"/>
        <v>-0.91568693157245329</v>
      </c>
      <c r="N789">
        <f t="shared" si="79"/>
        <v>5.1268769666441516</v>
      </c>
    </row>
    <row r="790" spans="10:14" x14ac:dyDescent="0.25">
      <c r="J790">
        <f t="shared" si="80"/>
        <v>184.25</v>
      </c>
      <c r="K790">
        <f t="shared" si="76"/>
        <v>604.33999999999992</v>
      </c>
      <c r="L790">
        <f t="shared" si="77"/>
        <v>-5.0455777565745539</v>
      </c>
      <c r="M790">
        <f t="shared" si="78"/>
        <v>-0.91659946204014653</v>
      </c>
      <c r="N790">
        <f t="shared" si="79"/>
        <v>5.1281584873570543</v>
      </c>
    </row>
    <row r="791" spans="10:14" x14ac:dyDescent="0.25">
      <c r="J791">
        <f t="shared" si="80"/>
        <v>184.5</v>
      </c>
      <c r="K791">
        <f t="shared" si="76"/>
        <v>605.16</v>
      </c>
      <c r="L791">
        <f t="shared" si="77"/>
        <v>-5.045548776610504</v>
      </c>
      <c r="M791">
        <f t="shared" si="78"/>
        <v>-0.91729958279414769</v>
      </c>
      <c r="N791">
        <f t="shared" si="79"/>
        <v>5.1282551595791395</v>
      </c>
    </row>
    <row r="792" spans="10:14" x14ac:dyDescent="0.25">
      <c r="J792">
        <f t="shared" si="80"/>
        <v>184.75</v>
      </c>
      <c r="K792">
        <f t="shared" si="76"/>
        <v>605.98</v>
      </c>
      <c r="L792">
        <f t="shared" si="77"/>
        <v>-5.04435510281</v>
      </c>
      <c r="M792">
        <f t="shared" si="78"/>
        <v>-0.91778732330057611</v>
      </c>
      <c r="N792">
        <f t="shared" si="79"/>
        <v>5.1271680267040711</v>
      </c>
    </row>
    <row r="793" spans="10:14" x14ac:dyDescent="0.25">
      <c r="J793">
        <f t="shared" si="80"/>
        <v>185</v>
      </c>
      <c r="K793">
        <f t="shared" si="76"/>
        <v>606.79999999999995</v>
      </c>
      <c r="L793">
        <f t="shared" si="77"/>
        <v>-5.0419980584748805</v>
      </c>
      <c r="M793">
        <f t="shared" si="78"/>
        <v>-0.91806276202512294</v>
      </c>
      <c r="N793">
        <f t="shared" si="79"/>
        <v>5.1248984045229289</v>
      </c>
    </row>
    <row r="794" spans="10:14" x14ac:dyDescent="0.25">
      <c r="J794">
        <f t="shared" si="80"/>
        <v>185.25</v>
      </c>
      <c r="K794">
        <f t="shared" si="76"/>
        <v>607.62</v>
      </c>
      <c r="L794">
        <f t="shared" si="77"/>
        <v>-5.03847923427025</v>
      </c>
      <c r="M794">
        <f t="shared" si="78"/>
        <v>-0.91812602637086926</v>
      </c>
      <c r="N794">
        <f t="shared" si="79"/>
        <v>5.1214478806751602</v>
      </c>
    </row>
    <row r="795" spans="10:14" x14ac:dyDescent="0.25">
      <c r="J795">
        <f t="shared" si="80"/>
        <v>185.5</v>
      </c>
      <c r="K795">
        <f t="shared" si="76"/>
        <v>608.43999999999994</v>
      </c>
      <c r="L795">
        <f t="shared" si="77"/>
        <v>-5.0338004876167783</v>
      </c>
      <c r="M795">
        <f t="shared" si="78"/>
        <v>-0.91797729260483085</v>
      </c>
      <c r="N795">
        <f t="shared" si="79"/>
        <v>5.1168183140374461</v>
      </c>
    </row>
    <row r="796" spans="10:14" x14ac:dyDescent="0.25">
      <c r="J796">
        <f t="shared" si="80"/>
        <v>185.75</v>
      </c>
      <c r="K796">
        <f t="shared" si="76"/>
        <v>609.26</v>
      </c>
      <c r="L796">
        <f t="shared" si="77"/>
        <v>-5.0279639420219508</v>
      </c>
      <c r="M796">
        <f t="shared" si="78"/>
        <v>-0.9176167857733426</v>
      </c>
      <c r="N796">
        <f t="shared" si="79"/>
        <v>5.1110118340506627</v>
      </c>
    </row>
    <row r="797" spans="10:14" x14ac:dyDescent="0.25">
      <c r="J797">
        <f t="shared" si="80"/>
        <v>186</v>
      </c>
      <c r="K797">
        <f t="shared" si="76"/>
        <v>610.07999999999993</v>
      </c>
      <c r="L797">
        <f t="shared" si="77"/>
        <v>-5.02097198635051</v>
      </c>
      <c r="M797">
        <f t="shared" si="78"/>
        <v>-0.91704477960620634</v>
      </c>
      <c r="N797">
        <f t="shared" si="79"/>
        <v>5.1040308399851568</v>
      </c>
    </row>
    <row r="798" spans="10:14" x14ac:dyDescent="0.25">
      <c r="J798">
        <f t="shared" si="80"/>
        <v>186.25</v>
      </c>
      <c r="K798">
        <f t="shared" si="76"/>
        <v>610.9</v>
      </c>
      <c r="L798">
        <f t="shared" si="77"/>
        <v>-5.0128272740342918</v>
      </c>
      <c r="M798">
        <f t="shared" si="78"/>
        <v>-0.91626159640971205</v>
      </c>
      <c r="N798">
        <f t="shared" si="79"/>
        <v>5.0958780001445625</v>
      </c>
    </row>
    <row r="799" spans="10:14" x14ac:dyDescent="0.25">
      <c r="J799">
        <f t="shared" si="80"/>
        <v>186.5</v>
      </c>
      <c r="K799">
        <f t="shared" si="76"/>
        <v>611.71999999999991</v>
      </c>
      <c r="L799">
        <f t="shared" si="77"/>
        <v>-5.0035327222216992</v>
      </c>
      <c r="M799">
        <f t="shared" si="78"/>
        <v>-0.91526760694853881</v>
      </c>
      <c r="N799">
        <f t="shared" si="79"/>
        <v>5.0865562510083961</v>
      </c>
    </row>
    <row r="800" spans="10:14" x14ac:dyDescent="0.25">
      <c r="J800">
        <f t="shared" si="80"/>
        <v>186.75</v>
      </c>
      <c r="K800">
        <f t="shared" si="76"/>
        <v>612.54</v>
      </c>
      <c r="L800">
        <f t="shared" si="77"/>
        <v>-4.9930915108670764</v>
      </c>
      <c r="M800">
        <f t="shared" si="78"/>
        <v>-0.91406323031656278</v>
      </c>
      <c r="N800">
        <f t="shared" si="79"/>
        <v>5.0760687963136997</v>
      </c>
    </row>
    <row r="801" spans="10:14" x14ac:dyDescent="0.25">
      <c r="J801">
        <f t="shared" si="80"/>
        <v>187</v>
      </c>
      <c r="K801">
        <f t="shared" si="76"/>
        <v>613.36</v>
      </c>
      <c r="L801">
        <f t="shared" si="77"/>
        <v>-4.9815070817602098</v>
      </c>
      <c r="M801">
        <f t="shared" si="78"/>
        <v>-0.9126489337966579</v>
      </c>
      <c r="N801">
        <f t="shared" si="79"/>
        <v>5.0644191060759676</v>
      </c>
    </row>
    <row r="802" spans="10:14" x14ac:dyDescent="0.25">
      <c r="J802">
        <f t="shared" si="80"/>
        <v>187.25</v>
      </c>
      <c r="K802">
        <f t="shared" si="76"/>
        <v>614.17999999999995</v>
      </c>
      <c r="L802">
        <f t="shared" si="77"/>
        <v>-4.9687831374962901</v>
      </c>
      <c r="M802">
        <f t="shared" si="78"/>
        <v>-0.91102523270946267</v>
      </c>
      <c r="N802">
        <f t="shared" si="79"/>
        <v>5.0516109155496931</v>
      </c>
    </row>
    <row r="803" spans="10:14" x14ac:dyDescent="0.25">
      <c r="J803">
        <f t="shared" si="80"/>
        <v>187.5</v>
      </c>
      <c r="K803">
        <f t="shared" si="76"/>
        <v>615</v>
      </c>
      <c r="L803">
        <f t="shared" si="77"/>
        <v>-4.9549236403865731</v>
      </c>
      <c r="M803">
        <f t="shared" si="78"/>
        <v>-0.90919269025120708</v>
      </c>
      <c r="N803">
        <f t="shared" si="79"/>
        <v>5.037648224128791</v>
      </c>
    </row>
    <row r="804" spans="10:14" x14ac:dyDescent="0.25">
      <c r="J804">
        <f t="shared" si="80"/>
        <v>187.75</v>
      </c>
      <c r="K804">
        <f t="shared" si="76"/>
        <v>615.81999999999994</v>
      </c>
      <c r="L804">
        <f t="shared" si="77"/>
        <v>-4.939932811310074</v>
      </c>
      <c r="M804">
        <f t="shared" si="78"/>
        <v>-0.90715191732064704</v>
      </c>
      <c r="N804">
        <f t="shared" si="79"/>
        <v>5.022535294187227</v>
      </c>
    </row>
    <row r="805" spans="10:14" x14ac:dyDescent="0.25">
      <c r="J805">
        <f t="shared" si="80"/>
        <v>188</v>
      </c>
      <c r="K805">
        <f t="shared" si="76"/>
        <v>616.64</v>
      </c>
      <c r="L805">
        <f t="shared" si="77"/>
        <v>-4.9238151285066269</v>
      </c>
      <c r="M805">
        <f t="shared" si="78"/>
        <v>-0.90490357233510987</v>
      </c>
      <c r="N805">
        <f t="shared" si="79"/>
        <v>5.0062766498602107</v>
      </c>
    </row>
    <row r="806" spans="10:14" x14ac:dyDescent="0.25">
      <c r="J806">
        <f t="shared" si="80"/>
        <v>188.25</v>
      </c>
      <c r="K806">
        <f t="shared" si="76"/>
        <v>617.45999999999992</v>
      </c>
      <c r="L806">
        <f t="shared" si="77"/>
        <v>-4.906575326311577</v>
      </c>
      <c r="M806">
        <f t="shared" si="78"/>
        <v>-0.9024483610357823</v>
      </c>
      <c r="N806">
        <f t="shared" si="79"/>
        <v>4.9888770757662222</v>
      </c>
    </row>
    <row r="807" spans="10:14" x14ac:dyDescent="0.25">
      <c r="J807">
        <f t="shared" si="80"/>
        <v>188.5</v>
      </c>
      <c r="K807">
        <f t="shared" si="76"/>
        <v>618.28</v>
      </c>
      <c r="L807">
        <f t="shared" si="77"/>
        <v>-4.8882183938325401</v>
      </c>
      <c r="M807">
        <f t="shared" si="78"/>
        <v>-0.89978703628220869</v>
      </c>
      <c r="N807">
        <f t="shared" si="79"/>
        <v>4.9703416156703248</v>
      </c>
    </row>
    <row r="808" spans="10:14" x14ac:dyDescent="0.25">
      <c r="J808">
        <f t="shared" si="80"/>
        <v>188.75</v>
      </c>
      <c r="K808">
        <f t="shared" si="76"/>
        <v>619.09999999999991</v>
      </c>
      <c r="L808">
        <f t="shared" si="77"/>
        <v>-4.8687495735685085</v>
      </c>
      <c r="M808">
        <f t="shared" si="78"/>
        <v>-0.89692039783611643</v>
      </c>
      <c r="N808">
        <f t="shared" si="79"/>
        <v>4.9506755710890644</v>
      </c>
    </row>
    <row r="809" spans="10:14" x14ac:dyDescent="0.25">
      <c r="J809">
        <f t="shared" si="80"/>
        <v>189</v>
      </c>
      <c r="K809">
        <f t="shared" si="76"/>
        <v>619.91999999999996</v>
      </c>
      <c r="L809">
        <f t="shared" si="77"/>
        <v>-4.8481743599717149</v>
      </c>
      <c r="M809">
        <f t="shared" si="78"/>
        <v>-0.89384929213460163</v>
      </c>
      <c r="N809">
        <f t="shared" si="79"/>
        <v>4.9298844998373621</v>
      </c>
    </row>
    <row r="810" spans="10:14" x14ac:dyDescent="0.25">
      <c r="J810">
        <f t="shared" si="80"/>
        <v>189.25</v>
      </c>
      <c r="K810">
        <f t="shared" si="76"/>
        <v>620.74</v>
      </c>
      <c r="L810">
        <f t="shared" si="77"/>
        <v>-4.8264984979526453</v>
      </c>
      <c r="M810">
        <f t="shared" si="78"/>
        <v>-0.89057461205275879</v>
      </c>
      <c r="N810">
        <f t="shared" si="79"/>
        <v>4.9079742145178455</v>
      </c>
    </row>
    <row r="811" spans="10:14" x14ac:dyDescent="0.25">
      <c r="J811">
        <f t="shared" si="80"/>
        <v>189.5</v>
      </c>
      <c r="K811">
        <f t="shared" si="76"/>
        <v>621.55999999999995</v>
      </c>
      <c r="L811">
        <f t="shared" si="77"/>
        <v>-4.8037279813285547</v>
      </c>
      <c r="M811">
        <f t="shared" si="78"/>
        <v>-0.88709729665577131</v>
      </c>
      <c r="N811">
        <f t="shared" si="79"/>
        <v>4.8849507809529555</v>
      </c>
    </row>
    <row r="812" spans="10:14" x14ac:dyDescent="0.25">
      <c r="J812">
        <f t="shared" si="80"/>
        <v>189.75</v>
      </c>
      <c r="K812">
        <f t="shared" si="76"/>
        <v>622.38</v>
      </c>
      <c r="L812">
        <f t="shared" si="77"/>
        <v>-4.7798690512159361</v>
      </c>
      <c r="M812">
        <f t="shared" si="78"/>
        <v>-0.88341833094061095</v>
      </c>
      <c r="N812">
        <f t="shared" si="79"/>
        <v>4.8608205165603291</v>
      </c>
    </row>
    <row r="813" spans="10:14" x14ac:dyDescent="0.25">
      <c r="J813">
        <f t="shared" si="80"/>
        <v>190</v>
      </c>
      <c r="K813">
        <f t="shared" si="76"/>
        <v>623.19999999999993</v>
      </c>
      <c r="L813">
        <f t="shared" si="77"/>
        <v>-4.7549281943673432</v>
      </c>
      <c r="M813">
        <f t="shared" si="78"/>
        <v>-0.87953874556732314</v>
      </c>
      <c r="N813">
        <f t="shared" si="79"/>
        <v>4.8355899886718703</v>
      </c>
    </row>
    <row r="814" spans="10:14" x14ac:dyDescent="0.25">
      <c r="J814">
        <f t="shared" si="80"/>
        <v>190.25</v>
      </c>
      <c r="K814">
        <f t="shared" si="76"/>
        <v>624.02</v>
      </c>
      <c r="L814">
        <f t="shared" si="77"/>
        <v>-4.7289121414530069</v>
      </c>
      <c r="M814">
        <f t="shared" si="78"/>
        <v>-0.87545961658003835</v>
      </c>
      <c r="N814">
        <f t="shared" si="79"/>
        <v>4.8092660127969769</v>
      </c>
    </row>
    <row r="815" spans="10:14" x14ac:dyDescent="0.25">
      <c r="J815">
        <f t="shared" si="80"/>
        <v>190.5</v>
      </c>
      <c r="K815">
        <f t="shared" si="76"/>
        <v>624.83999999999992</v>
      </c>
      <c r="L815">
        <f t="shared" si="77"/>
        <v>-4.7018278652877115</v>
      </c>
      <c r="M815">
        <f t="shared" si="78"/>
        <v>-0.87118206511773266</v>
      </c>
      <c r="N815">
        <f t="shared" si="79"/>
        <v>4.7818556508304173</v>
      </c>
    </row>
    <row r="816" spans="10:14" x14ac:dyDescent="0.25">
      <c r="J816">
        <f t="shared" si="80"/>
        <v>190.75</v>
      </c>
      <c r="K816">
        <f t="shared" si="76"/>
        <v>625.66</v>
      </c>
      <c r="L816">
        <f t="shared" si="77"/>
        <v>-4.673682579003315</v>
      </c>
      <c r="M816">
        <f t="shared" si="78"/>
        <v>-0.86670725711488084</v>
      </c>
      <c r="N816">
        <f t="shared" si="79"/>
        <v>4.7533662092052902</v>
      </c>
    </row>
    <row r="817" spans="10:14" x14ac:dyDescent="0.25">
      <c r="J817">
        <f t="shared" si="80"/>
        <v>191</v>
      </c>
      <c r="K817">
        <f t="shared" si="76"/>
        <v>626.48</v>
      </c>
      <c r="L817">
        <f t="shared" si="77"/>
        <v>-4.6444837341675065</v>
      </c>
      <c r="M817">
        <f t="shared" si="78"/>
        <v>-0.86203640299199735</v>
      </c>
      <c r="N817">
        <f t="shared" si="79"/>
        <v>4.7238052369916694</v>
      </c>
    </row>
    <row r="818" spans="10:14" x14ac:dyDescent="0.25">
      <c r="J818">
        <f t="shared" si="80"/>
        <v>191.25</v>
      </c>
      <c r="K818">
        <f t="shared" si="76"/>
        <v>627.29999999999995</v>
      </c>
      <c r="L818">
        <f t="shared" si="77"/>
        <v>-4.614239018849168</v>
      </c>
      <c r="M818">
        <f t="shared" si="78"/>
        <v>-0.85717075733620507</v>
      </c>
      <c r="N818">
        <f t="shared" si="79"/>
        <v>4.6931805239413551</v>
      </c>
    </row>
    <row r="819" spans="10:14" x14ac:dyDescent="0.25">
      <c r="J819">
        <f t="shared" si="80"/>
        <v>191.5</v>
      </c>
      <c r="K819">
        <f t="shared" si="76"/>
        <v>628.12</v>
      </c>
      <c r="L819">
        <f t="shared" si="77"/>
        <v>-4.5829563556308983</v>
      </c>
      <c r="M819">
        <f t="shared" si="78"/>
        <v>-0.8521116185718991</v>
      </c>
      <c r="N819">
        <f t="shared" si="79"/>
        <v>4.6615000984793369</v>
      </c>
    </row>
    <row r="820" spans="10:14" x14ac:dyDescent="0.25">
      <c r="J820">
        <f t="shared" si="80"/>
        <v>191.75</v>
      </c>
      <c r="K820">
        <f t="shared" si="76"/>
        <v>628.93999999999994</v>
      </c>
      <c r="L820">
        <f t="shared" si="77"/>
        <v>-4.5506438995691925</v>
      </c>
      <c r="M820">
        <f t="shared" si="78"/>
        <v>-0.84686032862155958</v>
      </c>
      <c r="N820">
        <f t="shared" si="79"/>
        <v>4.6287722256424892</v>
      </c>
    </row>
    <row r="821" spans="10:14" x14ac:dyDescent="0.25">
      <c r="J821">
        <f t="shared" si="80"/>
        <v>192</v>
      </c>
      <c r="K821">
        <f t="shared" ref="K821:K884" si="81">J821*3.28</f>
        <v>629.76</v>
      </c>
      <c r="L821">
        <f t="shared" ref="L821:L884" si="82">$Y$7*EXP($Y$11*(J821-$Y$4))*COS(PI()/180*($Y$8+$Y$5*(J821-$Y$4)))+$Y$9*EXP($Y$12*(J821-$Y$4))*COS(PI()/180*($Y$10+$Y$6*(J821-$Y$4)))</f>
        <v>-4.5173100361027849</v>
      </c>
      <c r="M821">
        <f t="shared" ref="M821:M884" si="83">$Y$13+$Y$7*EXP($Y$11*(J821-$Y$4))*SIN(PI()/180*($Y$8+$Y$5*(J821-$Y$4)))+$Y$9*EXP($Y$12*(J821-$Y$4))*SIN(PI()/180*($Y$10+$Y$6*(J821-$Y$4)))</f>
        <v>-0.84141827255688184</v>
      </c>
      <c r="N821">
        <f t="shared" ref="N821:N884" si="84">SQRT(L821*L821+M821*M821)</f>
        <v>4.5950054049660869</v>
      </c>
    </row>
    <row r="822" spans="10:14" x14ac:dyDescent="0.25">
      <c r="J822">
        <f t="shared" ref="J822:J885" si="85">J821+$I$52</f>
        <v>192.25</v>
      </c>
      <c r="K822">
        <f t="shared" si="81"/>
        <v>630.57999999999993</v>
      </c>
      <c r="L822">
        <f t="shared" si="82"/>
        <v>-4.4829633789096821</v>
      </c>
      <c r="M822">
        <f t="shared" si="83"/>
        <v>-0.83578687824020703</v>
      </c>
      <c r="N822">
        <f t="shared" si="84"/>
        <v>4.5602083683186914</v>
      </c>
    </row>
    <row r="823" spans="10:14" x14ac:dyDescent="0.25">
      <c r="J823">
        <f t="shared" si="85"/>
        <v>192.5</v>
      </c>
      <c r="K823">
        <f t="shared" si="81"/>
        <v>631.4</v>
      </c>
      <c r="L823">
        <f t="shared" si="82"/>
        <v>-4.4476127677134762</v>
      </c>
      <c r="M823">
        <f t="shared" si="83"/>
        <v>-0.82996761595642488</v>
      </c>
      <c r="N823">
        <f t="shared" si="84"/>
        <v>4.5243900776860873</v>
      </c>
    </row>
    <row r="824" spans="10:14" x14ac:dyDescent="0.25">
      <c r="J824">
        <f t="shared" si="85"/>
        <v>192.75</v>
      </c>
      <c r="K824">
        <f t="shared" si="81"/>
        <v>632.21999999999991</v>
      </c>
      <c r="L824">
        <f t="shared" si="82"/>
        <v>-4.4112672660393972</v>
      </c>
      <c r="M824">
        <f t="shared" si="83"/>
        <v>-0.82396199803540882</v>
      </c>
      <c r="N824">
        <f t="shared" si="84"/>
        <v>4.487559722904777</v>
      </c>
    </row>
    <row r="825" spans="10:14" x14ac:dyDescent="0.25">
      <c r="J825">
        <f t="shared" si="85"/>
        <v>193</v>
      </c>
      <c r="K825">
        <f t="shared" si="81"/>
        <v>633.04</v>
      </c>
      <c r="L825">
        <f t="shared" si="82"/>
        <v>-4.3739361589207739</v>
      </c>
      <c r="M825">
        <f t="shared" si="83"/>
        <v>-0.81777157846507531</v>
      </c>
      <c r="N825">
        <f t="shared" si="84"/>
        <v>4.4497267193457928</v>
      </c>
    </row>
    <row r="826" spans="10:14" x14ac:dyDescent="0.25">
      <c r="J826">
        <f t="shared" si="85"/>
        <v>193.25</v>
      </c>
      <c r="K826">
        <f t="shared" si="81"/>
        <v>633.86</v>
      </c>
      <c r="L826">
        <f t="shared" si="82"/>
        <v>-4.3356289505563739</v>
      </c>
      <c r="M826">
        <f t="shared" si="83"/>
        <v>-0.81139795249520308</v>
      </c>
      <c r="N826">
        <f t="shared" si="84"/>
        <v>4.4109007055493743</v>
      </c>
    </row>
    <row r="827" spans="10:14" x14ac:dyDescent="0.25">
      <c r="J827">
        <f t="shared" si="85"/>
        <v>193.5</v>
      </c>
      <c r="K827">
        <f t="shared" si="81"/>
        <v>634.67999999999995</v>
      </c>
      <c r="L827">
        <f t="shared" si="82"/>
        <v>-4.2963553619192973</v>
      </c>
      <c r="M827">
        <f t="shared" si="83"/>
        <v>-0.8048427562320486</v>
      </c>
      <c r="N827">
        <f t="shared" si="84"/>
        <v>4.3710915408112765</v>
      </c>
    </row>
    <row r="828" spans="10:14" x14ac:dyDescent="0.25">
      <c r="J828">
        <f t="shared" si="85"/>
        <v>193.75</v>
      </c>
      <c r="K828">
        <f t="shared" si="81"/>
        <v>635.5</v>
      </c>
      <c r="L828">
        <f t="shared" si="82"/>
        <v>-4.2561253283179736</v>
      </c>
      <c r="M828">
        <f t="shared" si="83"/>
        <v>-0.79810766622392126</v>
      </c>
      <c r="N828">
        <f t="shared" si="84"/>
        <v>4.3303093027213624</v>
      </c>
    </row>
    <row r="829" spans="10:14" x14ac:dyDescent="0.25">
      <c r="J829">
        <f t="shared" si="85"/>
        <v>194</v>
      </c>
      <c r="K829">
        <f t="shared" si="81"/>
        <v>636.31999999999994</v>
      </c>
      <c r="L829">
        <f t="shared" si="82"/>
        <v>-4.2149489969098424</v>
      </c>
      <c r="M829">
        <f t="shared" si="83"/>
        <v>-0.79119439903777722</v>
      </c>
      <c r="N829">
        <f t="shared" si="84"/>
        <v>4.2885642846551848</v>
      </c>
    </row>
    <row r="830" spans="10:14" x14ac:dyDescent="0.25">
      <c r="J830">
        <f t="shared" si="85"/>
        <v>194.25</v>
      </c>
      <c r="K830">
        <f t="shared" si="81"/>
        <v>637.14</v>
      </c>
      <c r="L830">
        <f t="shared" si="82"/>
        <v>-4.1728367241684374</v>
      </c>
      <c r="M830">
        <f t="shared" si="83"/>
        <v>-0.78410471082696498</v>
      </c>
      <c r="N830">
        <f t="shared" si="84"/>
        <v>4.2458669932193844</v>
      </c>
    </row>
    <row r="831" spans="10:14" x14ac:dyDescent="0.25">
      <c r="J831">
        <f t="shared" si="85"/>
        <v>194.5</v>
      </c>
      <c r="K831">
        <f t="shared" si="81"/>
        <v>637.95999999999992</v>
      </c>
      <c r="L831">
        <f t="shared" si="82"/>
        <v>-4.1297990733043495</v>
      </c>
      <c r="M831">
        <f t="shared" si="83"/>
        <v>-0.7768403968902341</v>
      </c>
      <c r="N831">
        <f t="shared" si="84"/>
        <v>4.2022281456515476</v>
      </c>
    </row>
    <row r="832" spans="10:14" x14ac:dyDescent="0.25">
      <c r="J832">
        <f t="shared" si="85"/>
        <v>194.75</v>
      </c>
      <c r="K832">
        <f t="shared" si="81"/>
        <v>638.78</v>
      </c>
      <c r="L832">
        <f t="shared" si="82"/>
        <v>-4.08584681164084</v>
      </c>
      <c r="M832">
        <f t="shared" si="83"/>
        <v>-0.76940329122207762</v>
      </c>
      <c r="N832">
        <f t="shared" si="84"/>
        <v>4.157658667175431</v>
      </c>
    </row>
    <row r="833" spans="10:14" x14ac:dyDescent="0.25">
      <c r="J833">
        <f t="shared" si="85"/>
        <v>195</v>
      </c>
      <c r="K833">
        <f t="shared" si="81"/>
        <v>639.59999999999991</v>
      </c>
      <c r="L833">
        <f t="shared" si="82"/>
        <v>-4.040990907944682</v>
      </c>
      <c r="M833">
        <f t="shared" si="83"/>
        <v>-0.7617952660545666</v>
      </c>
      <c r="N833">
        <f t="shared" si="84"/>
        <v>4.1121696883123304</v>
      </c>
    </row>
    <row r="834" spans="10:14" x14ac:dyDescent="0.25">
      <c r="J834">
        <f t="shared" si="85"/>
        <v>195.25</v>
      </c>
      <c r="K834">
        <f t="shared" si="81"/>
        <v>640.41999999999996</v>
      </c>
      <c r="L834">
        <f t="shared" si="82"/>
        <v>-3.9952425297128924</v>
      </c>
      <c r="M834">
        <f t="shared" si="83"/>
        <v>-0.75401823139076463</v>
      </c>
      <c r="N834">
        <f t="shared" si="84"/>
        <v>4.0657725421494408</v>
      </c>
    </row>
    <row r="835" spans="10:14" x14ac:dyDescent="0.25">
      <c r="J835">
        <f t="shared" si="85"/>
        <v>195.5</v>
      </c>
      <c r="K835">
        <f t="shared" si="81"/>
        <v>641.24</v>
      </c>
      <c r="L835">
        <f t="shared" si="82"/>
        <v>-3.948613040416062</v>
      </c>
      <c r="M835">
        <f t="shared" si="83"/>
        <v>-0.74607413452983384</v>
      </c>
      <c r="N835">
        <f t="shared" si="84"/>
        <v>4.0184787615661497</v>
      </c>
    </row>
    <row r="836" spans="10:14" x14ac:dyDescent="0.25">
      <c r="J836">
        <f t="shared" si="85"/>
        <v>195.75</v>
      </c>
      <c r="K836">
        <f t="shared" si="81"/>
        <v>642.05999999999995</v>
      </c>
      <c r="L836">
        <f t="shared" si="82"/>
        <v>-3.9011139966988551</v>
      </c>
      <c r="M836">
        <f t="shared" si="83"/>
        <v>-0.73796495958397368</v>
      </c>
      <c r="N836">
        <f t="shared" si="84"/>
        <v>3.9703000764190972</v>
      </c>
    </row>
    <row r="837" spans="10:14" x14ac:dyDescent="0.25">
      <c r="J837">
        <f t="shared" si="85"/>
        <v>196</v>
      </c>
      <c r="K837">
        <f t="shared" si="81"/>
        <v>642.88</v>
      </c>
      <c r="L837">
        <f t="shared" si="82"/>
        <v>-3.8527571455385345</v>
      </c>
      <c r="M837">
        <f t="shared" si="83"/>
        <v>-0.72969272698729326</v>
      </c>
      <c r="N837">
        <f t="shared" si="84"/>
        <v>3.9212484106871361</v>
      </c>
    </row>
    <row r="838" spans="10:14" x14ac:dyDescent="0.25">
      <c r="J838">
        <f t="shared" si="85"/>
        <v>196.25</v>
      </c>
      <c r="K838">
        <f t="shared" si="81"/>
        <v>643.69999999999993</v>
      </c>
      <c r="L838">
        <f t="shared" si="82"/>
        <v>-3.803554421362028</v>
      </c>
      <c r="M838">
        <f t="shared" si="83"/>
        <v>-0.72125949299673064</v>
      </c>
      <c r="N838">
        <f t="shared" si="84"/>
        <v>3.8713358795770398</v>
      </c>
    </row>
    <row r="839" spans="10:14" x14ac:dyDescent="0.25">
      <c r="J839">
        <f t="shared" si="85"/>
        <v>196.5</v>
      </c>
      <c r="K839">
        <f t="shared" si="81"/>
        <v>644.52</v>
      </c>
      <c r="L839">
        <f t="shared" si="82"/>
        <v>-3.7535179431223429</v>
      </c>
      <c r="M839">
        <f t="shared" si="83"/>
        <v>-0.71266734918516317</v>
      </c>
      <c r="N839">
        <f t="shared" si="84"/>
        <v>3.8205747865911475</v>
      </c>
    </row>
    <row r="840" spans="10:14" x14ac:dyDescent="0.25">
      <c r="J840">
        <f t="shared" si="85"/>
        <v>196.75</v>
      </c>
      <c r="K840">
        <f t="shared" si="81"/>
        <v>645.33999999999992</v>
      </c>
      <c r="L840">
        <f t="shared" si="82"/>
        <v>-3.7026600113350296</v>
      </c>
      <c r="M840">
        <f t="shared" si="83"/>
        <v>-0.70391842192680243</v>
      </c>
      <c r="N840">
        <f t="shared" si="84"/>
        <v>3.768977620558053</v>
      </c>
    </row>
    <row r="841" spans="10:14" x14ac:dyDescent="0.25">
      <c r="J841">
        <f t="shared" si="85"/>
        <v>197</v>
      </c>
      <c r="K841">
        <f t="shared" si="81"/>
        <v>646.16</v>
      </c>
      <c r="L841">
        <f t="shared" si="82"/>
        <v>-3.6509931050753739</v>
      </c>
      <c r="M841">
        <f t="shared" si="83"/>
        <v>-0.69501487187505595</v>
      </c>
      <c r="N841">
        <f t="shared" si="84"/>
        <v>3.7165570526275284</v>
      </c>
    </row>
    <row r="842" spans="10:14" x14ac:dyDescent="0.25">
      <c r="J842">
        <f t="shared" si="85"/>
        <v>197.25</v>
      </c>
      <c r="K842">
        <f t="shared" si="81"/>
        <v>646.98</v>
      </c>
      <c r="L842">
        <f t="shared" si="82"/>
        <v>-3.5985298789370663</v>
      </c>
      <c r="M842">
        <f t="shared" si="83"/>
        <v>-0.68595889343290284</v>
      </c>
      <c r="N842">
        <f t="shared" si="84"/>
        <v>3.6633259332309636</v>
      </c>
    </row>
    <row r="843" spans="10:14" x14ac:dyDescent="0.25">
      <c r="J843">
        <f t="shared" si="85"/>
        <v>197.5</v>
      </c>
      <c r="K843">
        <f t="shared" si="81"/>
        <v>647.79999999999995</v>
      </c>
      <c r="L843">
        <f t="shared" si="82"/>
        <v>-3.5452831599531431</v>
      </c>
      <c r="M843">
        <f t="shared" si="83"/>
        <v>-0.67675271421598482</v>
      </c>
      <c r="N843">
        <f t="shared" si="84"/>
        <v>3.6092972890087687</v>
      </c>
    </row>
    <row r="844" spans="10:14" x14ac:dyDescent="0.25">
      <c r="J844">
        <f t="shared" si="85"/>
        <v>197.75</v>
      </c>
      <c r="K844">
        <f t="shared" si="81"/>
        <v>648.62</v>
      </c>
      <c r="L844">
        <f t="shared" si="82"/>
        <v>-3.4912659444798271</v>
      </c>
      <c r="M844">
        <f t="shared" si="83"/>
        <v>-0.66739859450850281</v>
      </c>
      <c r="N844">
        <f t="shared" si="84"/>
        <v>3.5544843197061011</v>
      </c>
    </row>
    <row r="845" spans="10:14" x14ac:dyDescent="0.25">
      <c r="J845">
        <f t="shared" si="85"/>
        <v>198</v>
      </c>
      <c r="K845">
        <f t="shared" si="81"/>
        <v>649.43999999999994</v>
      </c>
      <c r="L845">
        <f t="shared" si="82"/>
        <v>-3.4364913950441287</v>
      </c>
      <c r="M845">
        <f t="shared" si="83"/>
        <v>-0.65789882671204802</v>
      </c>
      <c r="N845">
        <f t="shared" si="84"/>
        <v>3.4989003950386226</v>
      </c>
    </row>
    <row r="846" spans="10:14" x14ac:dyDescent="0.25">
      <c r="J846">
        <f t="shared" si="85"/>
        <v>198.25</v>
      </c>
      <c r="K846">
        <f t="shared" si="81"/>
        <v>650.26</v>
      </c>
      <c r="L846">
        <f t="shared" si="82"/>
        <v>-3.3809728371558911</v>
      </c>
      <c r="M846">
        <f t="shared" si="83"/>
        <v>-0.64825573478755016</v>
      </c>
      <c r="N846">
        <f t="shared" si="84"/>
        <v>3.4425590515299667</v>
      </c>
    </row>
    <row r="847" spans="10:14" x14ac:dyDescent="0.25">
      <c r="J847">
        <f t="shared" si="85"/>
        <v>198.5</v>
      </c>
      <c r="K847">
        <f t="shared" si="81"/>
        <v>651.07999999999993</v>
      </c>
      <c r="L847">
        <f t="shared" si="82"/>
        <v>-3.3247237560851088</v>
      </c>
      <c r="M847">
        <f t="shared" si="83"/>
        <v>-0.6384716736904088</v>
      </c>
      <c r="N847">
        <f t="shared" si="84"/>
        <v>3.3854739893228696</v>
      </c>
    </row>
    <row r="848" spans="10:14" x14ac:dyDescent="0.25">
      <c r="J848">
        <f t="shared" si="85"/>
        <v>198.75</v>
      </c>
      <c r="K848">
        <f t="shared" si="81"/>
        <v>651.9</v>
      </c>
      <c r="L848">
        <f t="shared" si="82"/>
        <v>-3.2677577936052571</v>
      </c>
      <c r="M848">
        <f t="shared" si="83"/>
        <v>-0.6285490287989921</v>
      </c>
      <c r="N848">
        <f t="shared" si="84"/>
        <v>3.3276590689660583</v>
      </c>
    </row>
    <row r="849" spans="10:14" x14ac:dyDescent="0.25">
      <c r="J849">
        <f t="shared" si="85"/>
        <v>199</v>
      </c>
      <c r="K849">
        <f t="shared" si="81"/>
        <v>652.71999999999991</v>
      </c>
      <c r="L849">
        <f t="shared" si="82"/>
        <v>-3.2100887447033886</v>
      </c>
      <c r="M849">
        <f t="shared" si="83"/>
        <v>-0.61849021533662407</v>
      </c>
      <c r="N849">
        <f t="shared" si="84"/>
        <v>3.2691283081791878</v>
      </c>
    </row>
    <row r="850" spans="10:14" x14ac:dyDescent="0.25">
      <c r="J850">
        <f t="shared" si="85"/>
        <v>199.25</v>
      </c>
      <c r="K850">
        <f t="shared" si="81"/>
        <v>653.54</v>
      </c>
      <c r="L850">
        <f t="shared" si="82"/>
        <v>-3.1517305542579113</v>
      </c>
      <c r="M850">
        <f t="shared" si="83"/>
        <v>-0.60829767778720334</v>
      </c>
      <c r="N850">
        <f t="shared" si="84"/>
        <v>3.2098958785985858</v>
      </c>
    </row>
    <row r="851" spans="10:14" x14ac:dyDescent="0.25">
      <c r="J851">
        <f t="shared" si="85"/>
        <v>199.5</v>
      </c>
      <c r="K851">
        <f t="shared" si="81"/>
        <v>654.36</v>
      </c>
      <c r="L851">
        <f t="shared" si="82"/>
        <v>-3.0926973136846465</v>
      </c>
      <c r="M851">
        <f t="shared" si="83"/>
        <v>-0.59797388930460005</v>
      </c>
      <c r="N851">
        <f t="shared" si="84"/>
        <v>3.1499761025065411</v>
      </c>
    </row>
    <row r="852" spans="10:14" x14ac:dyDescent="0.25">
      <c r="J852">
        <f t="shared" si="85"/>
        <v>199.75</v>
      </c>
      <c r="K852">
        <f t="shared" si="81"/>
        <v>655.17999999999995</v>
      </c>
      <c r="L852">
        <f t="shared" si="82"/>
        <v>-3.0330032575521466</v>
      </c>
      <c r="M852">
        <f t="shared" si="83"/>
        <v>-0.58752135111595027</v>
      </c>
      <c r="N852">
        <f t="shared" si="84"/>
        <v>3.0893834495476673</v>
      </c>
    </row>
    <row r="853" spans="10:14" x14ac:dyDescent="0.25">
      <c r="J853">
        <f t="shared" si="85"/>
        <v>200</v>
      </c>
      <c r="K853">
        <f t="shared" si="81"/>
        <v>656</v>
      </c>
      <c r="L853">
        <f t="shared" si="82"/>
        <v>-2.9726627601669913</v>
      </c>
      <c r="M853">
        <f t="shared" si="83"/>
        <v>-0.5769425919190212</v>
      </c>
      <c r="N853">
        <f t="shared" si="84"/>
        <v>3.0281325334360569</v>
      </c>
    </row>
    <row r="854" spans="10:14" x14ac:dyDescent="0.25">
      <c r="J854">
        <f t="shared" si="85"/>
        <v>200.25</v>
      </c>
      <c r="K854">
        <f t="shared" si="81"/>
        <v>656.81999999999994</v>
      </c>
      <c r="L854">
        <f t="shared" si="82"/>
        <v>-2.9116903321298926</v>
      </c>
      <c r="M854">
        <f t="shared" si="83"/>
        <v>-0.56624016727376869</v>
      </c>
      <c r="N854">
        <f t="shared" si="84"/>
        <v>2.9662381086576497</v>
      </c>
    </row>
    <row r="855" spans="10:14" x14ac:dyDescent="0.25">
      <c r="J855">
        <f t="shared" si="85"/>
        <v>200.5</v>
      </c>
      <c r="K855">
        <f t="shared" si="81"/>
        <v>657.64</v>
      </c>
      <c r="L855">
        <f t="shared" si="82"/>
        <v>-2.8501006168634699</v>
      </c>
      <c r="M855">
        <f t="shared" si="83"/>
        <v>-0.55541665898824144</v>
      </c>
      <c r="N855">
        <f t="shared" si="84"/>
        <v>2.9037150671729473</v>
      </c>
    </row>
    <row r="856" spans="10:14" x14ac:dyDescent="0.25">
      <c r="J856">
        <f t="shared" si="85"/>
        <v>200.75</v>
      </c>
      <c r="K856">
        <f t="shared" si="81"/>
        <v>658.45999999999992</v>
      </c>
      <c r="L856">
        <f t="shared" si="82"/>
        <v>-2.7879083871124033</v>
      </c>
      <c r="M856">
        <f t="shared" si="83"/>
        <v>-0.54447467449898568</v>
      </c>
      <c r="N856">
        <f t="shared" si="84"/>
        <v>2.8405784351259267</v>
      </c>
    </row>
    <row r="857" spans="10:14" x14ac:dyDescent="0.25">
      <c r="J857">
        <f t="shared" si="85"/>
        <v>201</v>
      </c>
      <c r="K857">
        <f t="shared" si="81"/>
        <v>659.28</v>
      </c>
      <c r="L857">
        <f t="shared" si="82"/>
        <v>-2.7251285414170008</v>
      </c>
      <c r="M857">
        <f t="shared" si="83"/>
        <v>-0.53341684624608643</v>
      </c>
      <c r="N857">
        <f t="shared" si="84"/>
        <v>2.7768433695663628</v>
      </c>
    </row>
    <row r="858" spans="10:14" x14ac:dyDescent="0.25">
      <c r="J858">
        <f t="shared" si="85"/>
        <v>201.25</v>
      </c>
      <c r="K858">
        <f t="shared" si="81"/>
        <v>660.09999999999991</v>
      </c>
      <c r="L858">
        <f t="shared" si="82"/>
        <v>-2.6617761005608096</v>
      </c>
      <c r="M858">
        <f t="shared" si="83"/>
        <v>-0.52224583104299516</v>
      </c>
      <c r="N858">
        <f t="shared" si="84"/>
        <v>2.71252515519368</v>
      </c>
    </row>
    <row r="859" spans="10:14" x14ac:dyDescent="0.25">
      <c r="J859">
        <f t="shared" si="85"/>
        <v>201.5</v>
      </c>
      <c r="K859">
        <f t="shared" si="81"/>
        <v>660.92</v>
      </c>
      <c r="L859">
        <f t="shared" si="82"/>
        <v>-2.5978662039932274</v>
      </c>
      <c r="M859">
        <f t="shared" si="83"/>
        <v>-0.51096430944130855</v>
      </c>
      <c r="N859">
        <f t="shared" si="84"/>
        <v>2.6476392011324004</v>
      </c>
    </row>
    <row r="860" spans="10:14" x14ac:dyDescent="0.25">
      <c r="J860">
        <f t="shared" si="85"/>
        <v>201.75</v>
      </c>
      <c r="K860">
        <f t="shared" si="81"/>
        <v>661.74</v>
      </c>
      <c r="L860">
        <f t="shared" si="82"/>
        <v>-2.5334141062279687</v>
      </c>
      <c r="M860">
        <f t="shared" si="83"/>
        <v>-0.4995749850906217</v>
      </c>
      <c r="N860">
        <f t="shared" si="84"/>
        <v>2.5822010377511568</v>
      </c>
    </row>
    <row r="861" spans="10:14" x14ac:dyDescent="0.25">
      <c r="J861">
        <f t="shared" si="85"/>
        <v>202</v>
      </c>
      <c r="K861">
        <f t="shared" si="81"/>
        <v>662.56</v>
      </c>
      <c r="L861">
        <f t="shared" si="82"/>
        <v>-2.4684351732181615</v>
      </c>
      <c r="M861">
        <f t="shared" si="83"/>
        <v>-0.48808058409364641</v>
      </c>
      <c r="N861">
        <f t="shared" si="84"/>
        <v>2.516226313539736</v>
      </c>
    </row>
    <row r="862" spans="10:14" x14ac:dyDescent="0.25">
      <c r="J862">
        <f t="shared" si="85"/>
        <v>202.25</v>
      </c>
      <c r="K862">
        <f t="shared" si="81"/>
        <v>663.38</v>
      </c>
      <c r="L862">
        <f t="shared" si="82"/>
        <v>-2.402944878708996</v>
      </c>
      <c r="M862">
        <f t="shared" si="83"/>
        <v>-0.47648385435671026</v>
      </c>
      <c r="N862">
        <f t="shared" si="84"/>
        <v>2.4497307920619398</v>
      </c>
    </row>
    <row r="863" spans="10:14" x14ac:dyDescent="0.25">
      <c r="J863">
        <f t="shared" si="85"/>
        <v>202.5</v>
      </c>
      <c r="K863">
        <f t="shared" si="81"/>
        <v>664.19999999999993</v>
      </c>
      <c r="L863">
        <f t="shared" si="82"/>
        <v>-2.3369588005688158</v>
      </c>
      <c r="M863">
        <f t="shared" si="83"/>
        <v>-0.46478756493581375</v>
      </c>
      <c r="N863">
        <f t="shared" si="84"/>
        <v>2.3827303490061569</v>
      </c>
    </row>
    <row r="864" spans="10:14" x14ac:dyDescent="0.25">
      <c r="J864">
        <f t="shared" si="85"/>
        <v>202.75</v>
      </c>
      <c r="K864">
        <f t="shared" si="81"/>
        <v>665.02</v>
      </c>
      <c r="L864">
        <f t="shared" si="82"/>
        <v>-2.2704926170994097</v>
      </c>
      <c r="M864">
        <f t="shared" si="83"/>
        <v>-0.45299450537839747</v>
      </c>
      <c r="N864">
        <f t="shared" si="84"/>
        <v>2.3152409693606293</v>
      </c>
    </row>
    <row r="865" spans="10:14" x14ac:dyDescent="0.25">
      <c r="J865">
        <f t="shared" si="85"/>
        <v>203</v>
      </c>
      <c r="K865">
        <f t="shared" si="81"/>
        <v>665.83999999999992</v>
      </c>
      <c r="L865">
        <f t="shared" si="82"/>
        <v>-2.2035621033264787</v>
      </c>
      <c r="M865">
        <f t="shared" si="83"/>
        <v>-0.44110748506095221</v>
      </c>
      <c r="N865">
        <f t="shared" si="84"/>
        <v>2.2472787447473919</v>
      </c>
    </row>
    <row r="866" spans="10:14" x14ac:dyDescent="0.25">
      <c r="J866">
        <f t="shared" si="85"/>
        <v>203.25</v>
      </c>
      <c r="K866">
        <f t="shared" si="81"/>
        <v>666.66</v>
      </c>
      <c r="L866">
        <f t="shared" si="82"/>
        <v>-2.1361831272710878</v>
      </c>
      <c r="M866">
        <f t="shared" si="83"/>
        <v>-0.42912933252267838</v>
      </c>
      <c r="N866">
        <f t="shared" si="84"/>
        <v>2.1788598709575253</v>
      </c>
    </row>
    <row r="867" spans="10:14" x14ac:dyDescent="0.25">
      <c r="J867">
        <f t="shared" si="85"/>
        <v>203.5</v>
      </c>
      <c r="K867">
        <f t="shared" si="81"/>
        <v>667.4799999999999</v>
      </c>
      <c r="L867">
        <f t="shared" si="82"/>
        <v>-2.0683716462030239</v>
      </c>
      <c r="M867">
        <f t="shared" si="83"/>
        <v>-0.41706289479529146</v>
      </c>
      <c r="N867">
        <f t="shared" si="84"/>
        <v>2.1100006457419949</v>
      </c>
    </row>
    <row r="868" spans="10:14" x14ac:dyDescent="0.25">
      <c r="J868">
        <f t="shared" si="85"/>
        <v>203.75</v>
      </c>
      <c r="K868">
        <f t="shared" si="81"/>
        <v>668.3</v>
      </c>
      <c r="L868">
        <f t="shared" si="82"/>
        <v>-2.0001437028769264</v>
      </c>
      <c r="M868">
        <f t="shared" si="83"/>
        <v>-0.40491103672918438</v>
      </c>
      <c r="N868">
        <f t="shared" si="84"/>
        <v>2.0407174669275818</v>
      </c>
    </row>
    <row r="869" spans="10:14" x14ac:dyDescent="0.25">
      <c r="J869">
        <f t="shared" si="85"/>
        <v>204</v>
      </c>
      <c r="K869">
        <f t="shared" si="81"/>
        <v>669.12</v>
      </c>
      <c r="L869">
        <f t="shared" si="82"/>
        <v>-1.9315154217520134</v>
      </c>
      <c r="M869">
        <f t="shared" si="83"/>
        <v>-0.39267664031606131</v>
      </c>
      <c r="N869">
        <f t="shared" si="84"/>
        <v>1.9710268309477088</v>
      </c>
    </row>
    <row r="870" spans="10:14" x14ac:dyDescent="0.25">
      <c r="J870">
        <f t="shared" si="85"/>
        <v>204.25</v>
      </c>
      <c r="K870">
        <f t="shared" si="81"/>
        <v>669.93999999999994</v>
      </c>
      <c r="L870">
        <f t="shared" si="82"/>
        <v>-1.8625030051964622</v>
      </c>
      <c r="M870">
        <f t="shared" si="83"/>
        <v>-0.38036260400824151</v>
      </c>
      <c r="N870">
        <f t="shared" si="84"/>
        <v>1.900945331905624</v>
      </c>
    </row>
    <row r="871" spans="10:14" x14ac:dyDescent="0.25">
      <c r="J871">
        <f t="shared" si="85"/>
        <v>204.5</v>
      </c>
      <c r="K871">
        <f t="shared" si="81"/>
        <v>670.76</v>
      </c>
      <c r="L871">
        <f t="shared" si="82"/>
        <v>-1.7931227296771024</v>
      </c>
      <c r="M871">
        <f t="shared" si="83"/>
        <v>-0.36797184203477595</v>
      </c>
      <c r="N871">
        <f t="shared" si="84"/>
        <v>1.830489661324294</v>
      </c>
    </row>
    <row r="872" spans="10:14" x14ac:dyDescent="0.25">
      <c r="J872">
        <f t="shared" si="85"/>
        <v>204.75</v>
      </c>
      <c r="K872">
        <f t="shared" si="81"/>
        <v>671.57999999999993</v>
      </c>
      <c r="L872">
        <f t="shared" si="82"/>
        <v>-1.7233909419354863</v>
      </c>
      <c r="M872">
        <f t="shared" si="83"/>
        <v>-0.35550728371451878</v>
      </c>
      <c r="N872">
        <f t="shared" si="84"/>
        <v>1.7596766087890576</v>
      </c>
    </row>
    <row r="873" spans="10:14" x14ac:dyDescent="0.25">
      <c r="J873">
        <f t="shared" si="85"/>
        <v>205</v>
      </c>
      <c r="K873">
        <f t="shared" si="81"/>
        <v>672.4</v>
      </c>
      <c r="L873">
        <f t="shared" si="82"/>
        <v>-1.6533240551511847</v>
      </c>
      <c r="M873">
        <f t="shared" si="83"/>
        <v>-0.3429718727663551</v>
      </c>
      <c r="N873">
        <f t="shared" si="84"/>
        <v>1.6885230637602846</v>
      </c>
    </row>
    <row r="874" spans="10:14" x14ac:dyDescent="0.25">
      <c r="J874">
        <f t="shared" si="85"/>
        <v>205.25</v>
      </c>
      <c r="K874">
        <f t="shared" si="81"/>
        <v>673.21999999999991</v>
      </c>
      <c r="L874">
        <f t="shared" si="82"/>
        <v>-1.582938545093167</v>
      </c>
      <c r="M874">
        <f t="shared" si="83"/>
        <v>-0.33036856661670999</v>
      </c>
      <c r="N874">
        <f t="shared" si="84"/>
        <v>1.6170460189339237</v>
      </c>
    </row>
    <row r="875" spans="10:14" x14ac:dyDescent="0.25">
      <c r="J875">
        <f t="shared" si="85"/>
        <v>205.5</v>
      </c>
      <c r="K875">
        <f t="shared" si="81"/>
        <v>674.04</v>
      </c>
      <c r="L875">
        <f t="shared" si="82"/>
        <v>-1.51225094626024</v>
      </c>
      <c r="M875">
        <f t="shared" si="83"/>
        <v>-0.31770033570452227</v>
      </c>
      <c r="N875">
        <f t="shared" si="84"/>
        <v>1.5452625756717715</v>
      </c>
    </row>
    <row r="876" spans="10:14" x14ac:dyDescent="0.25">
      <c r="J876">
        <f t="shared" si="85"/>
        <v>205.75</v>
      </c>
      <c r="K876">
        <f t="shared" si="81"/>
        <v>674.86</v>
      </c>
      <c r="L876">
        <f t="shared" si="82"/>
        <v>-1.4412778480113226</v>
      </c>
      <c r="M876">
        <f t="shared" si="83"/>
        <v>-0.30497016278384192</v>
      </c>
      <c r="N876">
        <f t="shared" si="84"/>
        <v>1.4731899522317384</v>
      </c>
    </row>
    <row r="877" spans="10:14" x14ac:dyDescent="0.25">
      <c r="J877">
        <f t="shared" si="85"/>
        <v>206</v>
      </c>
      <c r="K877">
        <f t="shared" si="81"/>
        <v>675.68</v>
      </c>
      <c r="L877">
        <f t="shared" si="82"/>
        <v>-1.3700358906866434</v>
      </c>
      <c r="M877">
        <f t="shared" si="83"/>
        <v>-0.2921810422242066</v>
      </c>
      <c r="N877">
        <f t="shared" si="84"/>
        <v>1.400845495836271</v>
      </c>
    </row>
    <row r="878" spans="10:14" x14ac:dyDescent="0.25">
      <c r="J878">
        <f t="shared" si="85"/>
        <v>206.25</v>
      </c>
      <c r="K878">
        <f t="shared" si="81"/>
        <v>676.5</v>
      </c>
      <c r="L878">
        <f t="shared" si="82"/>
        <v>-1.2985417617205706</v>
      </c>
      <c r="M878">
        <f t="shared" si="83"/>
        <v>-0.27933597930897092</v>
      </c>
      <c r="N878">
        <f t="shared" si="84"/>
        <v>1.3282467000782892</v>
      </c>
    </row>
    <row r="879" spans="10:14" x14ac:dyDescent="0.25">
      <c r="J879">
        <f t="shared" si="85"/>
        <v>206.5</v>
      </c>
      <c r="K879">
        <f t="shared" si="81"/>
        <v>677.31999999999994</v>
      </c>
      <c r="L879">
        <f t="shared" si="82"/>
        <v>-1.226812191747114</v>
      </c>
      <c r="M879">
        <f t="shared" si="83"/>
        <v>-0.26643798953174791</v>
      </c>
      <c r="N879">
        <f t="shared" si="84"/>
        <v>1.2554112298705462</v>
      </c>
    </row>
    <row r="880" spans="10:14" x14ac:dyDescent="0.25">
      <c r="J880">
        <f t="shared" si="85"/>
        <v>206.75</v>
      </c>
      <c r="K880">
        <f t="shared" si="81"/>
        <v>678.14</v>
      </c>
      <c r="L880">
        <f t="shared" si="82"/>
        <v>-1.1548639506989458</v>
      </c>
      <c r="M880">
        <f t="shared" si="83"/>
        <v>-0.25349009789111365</v>
      </c>
      <c r="N880">
        <f t="shared" si="84"/>
        <v>1.1823569572480315</v>
      </c>
    </row>
    <row r="881" spans="10:14" x14ac:dyDescent="0.25">
      <c r="J881">
        <f t="shared" si="85"/>
        <v>207</v>
      </c>
      <c r="K881">
        <f t="shared" si="81"/>
        <v>678.95999999999992</v>
      </c>
      <c r="L881">
        <f t="shared" si="82"/>
        <v>-1.0827138439008588</v>
      </c>
      <c r="M881">
        <f t="shared" si="83"/>
        <v>-0.24049533818377888</v>
      </c>
      <c r="N881">
        <f t="shared" si="84"/>
        <v>1.1091020131001041</v>
      </c>
    </row>
    <row r="882" spans="10:14" x14ac:dyDescent="0.25">
      <c r="J882">
        <f t="shared" si="85"/>
        <v>207.25</v>
      </c>
      <c r="K882">
        <f t="shared" si="81"/>
        <v>679.78</v>
      </c>
      <c r="L882">
        <f t="shared" si="82"/>
        <v>-1.010378708158538</v>
      </c>
      <c r="M882">
        <f t="shared" si="83"/>
        <v>-0.22745675229633111</v>
      </c>
      <c r="N882">
        <f t="shared" si="84"/>
        <v>1.035664862812923</v>
      </c>
    </row>
    <row r="883" spans="10:14" x14ac:dyDescent="0.25">
      <c r="J883">
        <f t="shared" si="85"/>
        <v>207.5</v>
      </c>
      <c r="K883">
        <f t="shared" si="81"/>
        <v>680.59999999999991</v>
      </c>
      <c r="L883">
        <f t="shared" si="82"/>
        <v>-0.93787540784366441</v>
      </c>
      <c r="M883">
        <f t="shared" si="83"/>
        <v>-0.21437738949578167</v>
      </c>
      <c r="N883">
        <f t="shared" si="84"/>
        <v>0.96206441871890569</v>
      </c>
    </row>
    <row r="884" spans="10:14" x14ac:dyDescent="0.25">
      <c r="J884">
        <f t="shared" si="85"/>
        <v>207.75</v>
      </c>
      <c r="K884">
        <f t="shared" si="81"/>
        <v>681.42</v>
      </c>
      <c r="L884">
        <f t="shared" si="82"/>
        <v>-0.8652208309760977</v>
      </c>
      <c r="M884">
        <f t="shared" si="83"/>
        <v>-0.20126030571902032</v>
      </c>
      <c r="N884">
        <f t="shared" si="84"/>
        <v>0.88832021085478097</v>
      </c>
    </row>
    <row r="885" spans="10:14" x14ac:dyDescent="0.25">
      <c r="J885">
        <f t="shared" si="85"/>
        <v>208</v>
      </c>
      <c r="K885">
        <f t="shared" ref="K885:K948" si="86">J885*3.28</f>
        <v>682.24</v>
      </c>
      <c r="L885">
        <f t="shared" ref="L885:L948" si="87">$Y$7*EXP($Y$11*(J885-$Y$4))*COS(PI()/180*($Y$8+$Y$5*(J885-$Y$4)))+$Y$9*EXP($Y$12*(J885-$Y$4))*COS(PI()/180*($Y$10+$Y$6*(J885-$Y$4)))</f>
        <v>-0.79243188530416486</v>
      </c>
      <c r="M885">
        <f t="shared" ref="M885:M948" si="88">$Y$13+$Y$7*EXP($Y$11*(J885-$Y$4))*SIN(PI()/180*($Y$8+$Y$5*(J885-$Y$4)))+$Y$9*EXP($Y$12*(J885-$Y$4))*SIN(PI()/180*($Y$10+$Y$6*(J885-$Y$4)))</f>
        <v>-0.18810856286137945</v>
      </c>
      <c r="N885">
        <f t="shared" ref="N885:N948" si="89">SQRT(L885*L885+M885*M885)</f>
        <v>0.81445265317787907</v>
      </c>
    </row>
    <row r="886" spans="10:14" x14ac:dyDescent="0.25">
      <c r="J886">
        <f t="shared" ref="J886:J949" si="90">J885+$I$52</f>
        <v>208.25</v>
      </c>
      <c r="K886">
        <f t="shared" si="86"/>
        <v>683.06</v>
      </c>
      <c r="L886">
        <f t="shared" si="87"/>
        <v>-0.7195254943838979</v>
      </c>
      <c r="M886">
        <f t="shared" si="88"/>
        <v>-0.17492522806446908</v>
      </c>
      <c r="N886">
        <f t="shared" si="89"/>
        <v>0.74048347211926302</v>
      </c>
    </row>
    <row r="887" spans="10:14" x14ac:dyDescent="0.25">
      <c r="J887">
        <f t="shared" si="90"/>
        <v>208.5</v>
      </c>
      <c r="K887">
        <f t="shared" si="86"/>
        <v>683.88</v>
      </c>
      <c r="L887">
        <f t="shared" si="87"/>
        <v>-0.646518593658165</v>
      </c>
      <c r="M887">
        <f t="shared" si="88"/>
        <v>-0.16171337300342659</v>
      </c>
      <c r="N887">
        <f t="shared" si="89"/>
        <v>0.6664364237899042</v>
      </c>
    </row>
    <row r="888" spans="10:14" x14ac:dyDescent="0.25">
      <c r="J888">
        <f t="shared" si="90"/>
        <v>208.75</v>
      </c>
      <c r="K888">
        <f t="shared" si="86"/>
        <v>684.69999999999993</v>
      </c>
      <c r="L888">
        <f t="shared" si="87"/>
        <v>-0.57342812653660069</v>
      </c>
      <c r="M888">
        <f t="shared" si="88"/>
        <v>-0.14847607317377776</v>
      </c>
      <c r="N888">
        <f t="shared" si="89"/>
        <v>0.59233855235699517</v>
      </c>
    </row>
    <row r="889" spans="10:14" x14ac:dyDescent="0.25">
      <c r="J889">
        <f t="shared" si="90"/>
        <v>209</v>
      </c>
      <c r="K889">
        <f t="shared" si="86"/>
        <v>685.52</v>
      </c>
      <c r="L889">
        <f t="shared" si="87"/>
        <v>-0.50027104047715165</v>
      </c>
      <c r="M889">
        <f t="shared" si="88"/>
        <v>-0.1352164071780404</v>
      </c>
      <c r="N889">
        <f t="shared" si="89"/>
        <v>0.51822253010673858</v>
      </c>
    </row>
    <row r="890" spans="10:14" x14ac:dyDescent="0.25">
      <c r="J890">
        <f t="shared" si="90"/>
        <v>209.25</v>
      </c>
      <c r="K890">
        <f t="shared" si="86"/>
        <v>686.33999999999992</v>
      </c>
      <c r="L890">
        <f t="shared" si="87"/>
        <v>-0.42706428307033961</v>
      </c>
      <c r="M890">
        <f t="shared" si="88"/>
        <v>-0.12193745601227057</v>
      </c>
      <c r="N890">
        <f t="shared" si="89"/>
        <v>0.44413133761661944</v>
      </c>
    </row>
    <row r="891" spans="10:14" x14ac:dyDescent="0.25">
      <c r="J891">
        <f t="shared" si="90"/>
        <v>209.5</v>
      </c>
      <c r="K891">
        <f t="shared" si="86"/>
        <v>687.16</v>
      </c>
      <c r="L891">
        <f t="shared" si="87"/>
        <v>-0.35382479812688861</v>
      </c>
      <c r="M891">
        <f t="shared" si="88"/>
        <v>-0.10864230235268391</v>
      </c>
      <c r="N891">
        <f t="shared" si="89"/>
        <v>0.37012854203644641</v>
      </c>
    </row>
    <row r="892" spans="10:14" x14ac:dyDescent="0.25">
      <c r="J892">
        <f t="shared" si="90"/>
        <v>209.75</v>
      </c>
      <c r="K892">
        <f t="shared" si="86"/>
        <v>687.9799999999999</v>
      </c>
      <c r="L892">
        <f t="shared" si="87"/>
        <v>-0.28056952176980909</v>
      </c>
      <c r="M892">
        <f t="shared" si="88"/>
        <v>-9.5334029842535362E-2</v>
      </c>
      <c r="N892">
        <f t="shared" si="89"/>
        <v>0.29632386638972708</v>
      </c>
    </row>
    <row r="893" spans="10:14" x14ac:dyDescent="0.25">
      <c r="J893">
        <f t="shared" si="90"/>
        <v>210</v>
      </c>
      <c r="K893">
        <f t="shared" si="86"/>
        <v>688.8</v>
      </c>
      <c r="L893">
        <f t="shared" si="87"/>
        <v>-0.20731537853177301</v>
      </c>
      <c r="M893">
        <f t="shared" si="88"/>
        <v>-8.2015722379420453E-2</v>
      </c>
      <c r="N893">
        <f t="shared" si="89"/>
        <v>0.22294897374329961</v>
      </c>
    </row>
    <row r="894" spans="10:14" x14ac:dyDescent="0.25">
      <c r="J894">
        <f t="shared" si="90"/>
        <v>210.25</v>
      </c>
      <c r="K894">
        <f t="shared" si="86"/>
        <v>689.62</v>
      </c>
      <c r="L894">
        <f t="shared" si="87"/>
        <v>-0.13407927745864406</v>
      </c>
      <c r="M894">
        <f t="shared" si="88"/>
        <v>-6.8690463403153323E-2</v>
      </c>
      <c r="N894">
        <f t="shared" si="89"/>
        <v>0.15065069666739681</v>
      </c>
    </row>
    <row r="895" spans="10:14" x14ac:dyDescent="0.25">
      <c r="J895">
        <f t="shared" si="90"/>
        <v>210.5</v>
      </c>
      <c r="K895">
        <f t="shared" si="86"/>
        <v>690.43999999999994</v>
      </c>
      <c r="L895">
        <f t="shared" si="87"/>
        <v>-6.0878108220140337E-2</v>
      </c>
      <c r="M895">
        <f t="shared" si="88"/>
        <v>-5.5361335184397564E-2</v>
      </c>
      <c r="N895">
        <f t="shared" si="89"/>
        <v>8.2286216913054974E-2</v>
      </c>
    </row>
    <row r="896" spans="10:14" x14ac:dyDescent="0.25">
      <c r="J896">
        <f t="shared" si="90"/>
        <v>210.75</v>
      </c>
      <c r="K896">
        <f t="shared" si="86"/>
        <v>691.26</v>
      </c>
      <c r="L896">
        <f t="shared" si="87"/>
        <v>1.2271262771620273E-2</v>
      </c>
      <c r="M896">
        <f t="shared" si="88"/>
        <v>-4.2031418114198527E-2</v>
      </c>
      <c r="N896">
        <f t="shared" si="89"/>
        <v>4.3786116506270907E-2</v>
      </c>
    </row>
    <row r="897" spans="10:14" x14ac:dyDescent="0.25">
      <c r="J897">
        <f t="shared" si="90"/>
        <v>211</v>
      </c>
      <c r="K897">
        <f t="shared" si="86"/>
        <v>692.07999999999993</v>
      </c>
      <c r="L897">
        <f t="shared" si="87"/>
        <v>8.5351996234602601E-2</v>
      </c>
      <c r="M897">
        <f t="shared" si="88"/>
        <v>-2.8703789994598328E-2</v>
      </c>
      <c r="N897">
        <f t="shared" si="89"/>
        <v>9.0049268854808698E-2</v>
      </c>
    </row>
    <row r="898" spans="10:14" x14ac:dyDescent="0.25">
      <c r="J898">
        <f t="shared" si="90"/>
        <v>211.25</v>
      </c>
      <c r="K898">
        <f t="shared" si="86"/>
        <v>692.9</v>
      </c>
      <c r="L898">
        <f t="shared" si="87"/>
        <v>0.15834728387966873</v>
      </c>
      <c r="M898">
        <f t="shared" si="88"/>
        <v>-1.5381525330478318E-2</v>
      </c>
      <c r="N898">
        <f t="shared" si="89"/>
        <v>0.15909259452771693</v>
      </c>
    </row>
    <row r="899" spans="10:14" x14ac:dyDescent="0.25">
      <c r="J899">
        <f t="shared" si="90"/>
        <v>211.5</v>
      </c>
      <c r="K899">
        <f t="shared" si="86"/>
        <v>693.71999999999991</v>
      </c>
      <c r="L899">
        <f t="shared" si="87"/>
        <v>0.23124035226275069</v>
      </c>
      <c r="M899">
        <f t="shared" si="88"/>
        <v>-2.067694622804428E-3</v>
      </c>
      <c r="N899">
        <f t="shared" si="89"/>
        <v>0.23124959648754892</v>
      </c>
    </row>
    <row r="900" spans="10:14" x14ac:dyDescent="0.25">
      <c r="J900">
        <f t="shared" si="90"/>
        <v>211.75</v>
      </c>
      <c r="K900">
        <f t="shared" si="86"/>
        <v>694.54</v>
      </c>
      <c r="L900">
        <f t="shared" si="87"/>
        <v>0.30401446662548087</v>
      </c>
      <c r="M900">
        <f t="shared" si="88"/>
        <v>1.1234636336566517E-2</v>
      </c>
      <c r="N900">
        <f t="shared" si="89"/>
        <v>0.30422197976344595</v>
      </c>
    </row>
    <row r="901" spans="10:14" x14ac:dyDescent="0.25">
      <c r="J901">
        <f t="shared" si="90"/>
        <v>212</v>
      </c>
      <c r="K901">
        <f t="shared" si="86"/>
        <v>695.36</v>
      </c>
      <c r="L901">
        <f t="shared" si="87"/>
        <v>0.37665293472347011</v>
      </c>
      <c r="M901">
        <f t="shared" si="88"/>
        <v>2.4522407168364069E-2</v>
      </c>
      <c r="N901">
        <f t="shared" si="89"/>
        <v>0.37745036983573571</v>
      </c>
    </row>
    <row r="902" spans="10:14" x14ac:dyDescent="0.25">
      <c r="J902">
        <f t="shared" si="90"/>
        <v>212.25</v>
      </c>
      <c r="K902">
        <f t="shared" si="86"/>
        <v>696.18</v>
      </c>
      <c r="L902">
        <f t="shared" si="87"/>
        <v>0.44913911064134854</v>
      </c>
      <c r="M902">
        <f t="shared" si="88"/>
        <v>3.7792563607501162E-2</v>
      </c>
      <c r="N902">
        <f t="shared" si="89"/>
        <v>0.45072632336233542</v>
      </c>
    </row>
    <row r="903" spans="10:14" x14ac:dyDescent="0.25">
      <c r="J903">
        <f t="shared" si="90"/>
        <v>212.5</v>
      </c>
      <c r="K903">
        <f t="shared" si="86"/>
        <v>697</v>
      </c>
      <c r="L903">
        <f t="shared" si="87"/>
        <v>0.52145639859359549</v>
      </c>
      <c r="M903">
        <f t="shared" si="88"/>
        <v>5.1042058202610097E-2</v>
      </c>
      <c r="N903">
        <f t="shared" si="89"/>
        <v>0.52394853501060712</v>
      </c>
    </row>
    <row r="904" spans="10:14" x14ac:dyDescent="0.25">
      <c r="J904">
        <f t="shared" si="90"/>
        <v>212.75</v>
      </c>
      <c r="K904">
        <f t="shared" si="86"/>
        <v>697.81999999999994</v>
      </c>
      <c r="L904">
        <f t="shared" si="87"/>
        <v>0.593588256710464</v>
      </c>
      <c r="M904">
        <f t="shared" si="88"/>
        <v>6.4267851013403821E-2</v>
      </c>
      <c r="N904">
        <f t="shared" si="89"/>
        <v>0.59705726289732775</v>
      </c>
    </row>
    <row r="905" spans="10:14" x14ac:dyDescent="0.25">
      <c r="J905">
        <f t="shared" si="90"/>
        <v>213</v>
      </c>
      <c r="K905">
        <f t="shared" si="86"/>
        <v>698.64</v>
      </c>
      <c r="L905">
        <f t="shared" si="87"/>
        <v>0.66551820080801127</v>
      </c>
      <c r="M905">
        <f t="shared" si="88"/>
        <v>7.7466910305649339E-2</v>
      </c>
      <c r="N905">
        <f t="shared" si="89"/>
        <v>0.67001164004742186</v>
      </c>
    </row>
    <row r="906" spans="10:14" x14ac:dyDescent="0.25">
      <c r="J906">
        <f t="shared" si="90"/>
        <v>213.25</v>
      </c>
      <c r="K906">
        <f t="shared" si="86"/>
        <v>699.45999999999992</v>
      </c>
      <c r="L906">
        <f t="shared" si="87"/>
        <v>0.73722980814143879</v>
      </c>
      <c r="M906">
        <f t="shared" si="88"/>
        <v>9.0636213243647568E-2</v>
      </c>
      <c r="N906">
        <f t="shared" si="89"/>
        <v>0.74278039363152992</v>
      </c>
    </row>
    <row r="907" spans="10:14" x14ac:dyDescent="0.25">
      <c r="J907">
        <f t="shared" si="90"/>
        <v>213.5</v>
      </c>
      <c r="K907">
        <f t="shared" si="86"/>
        <v>700.28</v>
      </c>
      <c r="L907">
        <f t="shared" si="87"/>
        <v>0.80870672114086761</v>
      </c>
      <c r="M907">
        <f t="shared" si="88"/>
        <v>0.10377274658001534</v>
      </c>
      <c r="N907">
        <f t="shared" si="89"/>
        <v>0.81533756429541082</v>
      </c>
    </row>
    <row r="908" spans="10:14" x14ac:dyDescent="0.25">
      <c r="J908">
        <f t="shared" si="90"/>
        <v>213.75</v>
      </c>
      <c r="K908">
        <f t="shared" si="86"/>
        <v>701.09999999999991</v>
      </c>
      <c r="L908">
        <f t="shared" si="87"/>
        <v>0.87993265112868413</v>
      </c>
      <c r="M908">
        <f t="shared" si="88"/>
        <v>0.11687350734263768</v>
      </c>
      <c r="N908">
        <f t="shared" si="89"/>
        <v>0.8876603445242579</v>
      </c>
    </row>
    <row r="909" spans="10:14" x14ac:dyDescent="0.25">
      <c r="J909">
        <f t="shared" si="90"/>
        <v>214</v>
      </c>
      <c r="K909">
        <f t="shared" si="86"/>
        <v>701.92</v>
      </c>
      <c r="L909">
        <f t="shared" si="87"/>
        <v>0.95089138201771362</v>
      </c>
      <c r="M909">
        <f t="shared" si="88"/>
        <v>0.12993550351864691</v>
      </c>
      <c r="N909">
        <f t="shared" si="89"/>
        <v>0.95972790699770827</v>
      </c>
    </row>
    <row r="910" spans="10:14" x14ac:dyDescent="0.25">
      <c r="J910">
        <f t="shared" si="90"/>
        <v>214.25</v>
      </c>
      <c r="K910">
        <f t="shared" si="86"/>
        <v>702.74</v>
      </c>
      <c r="L910">
        <f t="shared" si="87"/>
        <v>1.0215667739891847</v>
      </c>
      <c r="M910">
        <f t="shared" si="88"/>
        <v>0.1429557547352247</v>
      </c>
      <c r="N910">
        <f t="shared" si="89"/>
        <v>1.0315207324773399</v>
      </c>
    </row>
    <row r="911" spans="10:14" x14ac:dyDescent="0.25">
      <c r="J911">
        <f t="shared" si="90"/>
        <v>214.5</v>
      </c>
      <c r="K911">
        <f t="shared" si="86"/>
        <v>703.56</v>
      </c>
      <c r="L911">
        <f t="shared" si="87"/>
        <v>1.0919427671499016</v>
      </c>
      <c r="M911">
        <f t="shared" si="88"/>
        <v>0.15593129293713881</v>
      </c>
      <c r="N911">
        <f t="shared" si="89"/>
        <v>1.1030202060016998</v>
      </c>
    </row>
    <row r="912" spans="10:14" x14ac:dyDescent="0.25">
      <c r="J912">
        <f t="shared" si="90"/>
        <v>214.75</v>
      </c>
      <c r="K912">
        <f t="shared" si="86"/>
        <v>704.38</v>
      </c>
      <c r="L912">
        <f t="shared" si="87"/>
        <v>1.1620033851676199</v>
      </c>
      <c r="M912">
        <f t="shared" si="88"/>
        <v>0.1688591630608034</v>
      </c>
      <c r="N912">
        <f t="shared" si="89"/>
        <v>1.1742083648529349</v>
      </c>
    </row>
    <row r="913" spans="10:14" x14ac:dyDescent="0.25">
      <c r="J913">
        <f t="shared" si="90"/>
        <v>215</v>
      </c>
      <c r="K913">
        <f t="shared" si="86"/>
        <v>705.19999999999993</v>
      </c>
      <c r="L913">
        <f t="shared" si="87"/>
        <v>1.2317327388838535</v>
      </c>
      <c r="M913">
        <f t="shared" si="88"/>
        <v>0.18173642370474363</v>
      </c>
      <c r="N913">
        <f t="shared" si="89"/>
        <v>1.2450677362052673</v>
      </c>
    </row>
    <row r="914" spans="10:14" x14ac:dyDescent="0.25">
      <c r="J914">
        <f t="shared" si="90"/>
        <v>215.25</v>
      </c>
      <c r="K914">
        <f t="shared" si="86"/>
        <v>706.02</v>
      </c>
      <c r="L914">
        <f t="shared" si="87"/>
        <v>1.3011150299033438</v>
      </c>
      <c r="M914">
        <f t="shared" si="88"/>
        <v>0.19456014779630548</v>
      </c>
      <c r="N914">
        <f t="shared" si="89"/>
        <v>1.3155812297805483</v>
      </c>
    </row>
    <row r="915" spans="10:14" x14ac:dyDescent="0.25">
      <c r="J915">
        <f t="shared" si="90"/>
        <v>215.5</v>
      </c>
      <c r="K915">
        <f t="shared" si="86"/>
        <v>706.83999999999992</v>
      </c>
      <c r="L915">
        <f t="shared" si="87"/>
        <v>1.3701345541592971</v>
      </c>
      <c r="M915">
        <f t="shared" si="88"/>
        <v>0.20732742325444198</v>
      </c>
      <c r="N915">
        <f t="shared" si="89"/>
        <v>1.3857320653483567</v>
      </c>
    </row>
    <row r="916" spans="10:14" x14ac:dyDescent="0.25">
      <c r="J916">
        <f t="shared" si="90"/>
        <v>215.75</v>
      </c>
      <c r="K916">
        <f t="shared" si="86"/>
        <v>707.66</v>
      </c>
      <c r="L916">
        <f t="shared" si="87"/>
        <v>1.4387757054537231</v>
      </c>
      <c r="M916">
        <f t="shared" si="88"/>
        <v>0.22003535364847426</v>
      </c>
      <c r="N916">
        <f t="shared" si="89"/>
        <v>1.4555037229286181</v>
      </c>
    </row>
    <row r="917" spans="10:14" x14ac:dyDescent="0.25">
      <c r="J917">
        <f t="shared" si="90"/>
        <v>216</v>
      </c>
      <c r="K917">
        <f t="shared" si="86"/>
        <v>708.4799999999999</v>
      </c>
      <c r="L917">
        <f t="shared" si="87"/>
        <v>1.5070229789718912</v>
      </c>
      <c r="M917">
        <f t="shared" si="88"/>
        <v>0.23268105885260804</v>
      </c>
      <c r="N917">
        <f t="shared" si="89"/>
        <v>1.5248799081560764</v>
      </c>
    </row>
    <row r="918" spans="10:14" x14ac:dyDescent="0.25">
      <c r="J918">
        <f t="shared" si="90"/>
        <v>216.25</v>
      </c>
      <c r="K918">
        <f t="shared" si="86"/>
        <v>709.3</v>
      </c>
      <c r="L918">
        <f t="shared" si="87"/>
        <v>1.5748609747702951</v>
      </c>
      <c r="M918">
        <f t="shared" si="88"/>
        <v>0.24526167569613122</v>
      </c>
      <c r="N918">
        <f t="shared" si="89"/>
        <v>1.5938445279950357</v>
      </c>
    </row>
    <row r="919" spans="10:14" x14ac:dyDescent="0.25">
      <c r="J919">
        <f t="shared" si="90"/>
        <v>216.5</v>
      </c>
      <c r="K919">
        <f t="shared" si="86"/>
        <v>710.12</v>
      </c>
      <c r="L919">
        <f t="shared" si="87"/>
        <v>1.6422744012372639</v>
      </c>
      <c r="M919">
        <f t="shared" si="88"/>
        <v>0.25777435860909348</v>
      </c>
      <c r="N919">
        <f t="shared" si="89"/>
        <v>1.6623816736584722</v>
      </c>
    </row>
    <row r="920" spans="10:14" x14ac:dyDescent="0.25">
      <c r="J920">
        <f t="shared" si="90"/>
        <v>216.75</v>
      </c>
      <c r="K920">
        <f t="shared" si="86"/>
        <v>710.93999999999994</v>
      </c>
      <c r="L920">
        <f t="shared" si="87"/>
        <v>1.7092480785254147</v>
      </c>
      <c r="M920">
        <f t="shared" si="88"/>
        <v>0.27021628026333921</v>
      </c>
      <c r="N920">
        <f t="shared" si="89"/>
        <v>1.7304756086296558</v>
      </c>
    </row>
    <row r="921" spans="10:14" x14ac:dyDescent="0.25">
      <c r="J921">
        <f t="shared" si="90"/>
        <v>217</v>
      </c>
      <c r="K921">
        <f t="shared" si="86"/>
        <v>711.76</v>
      </c>
      <c r="L921">
        <f t="shared" si="87"/>
        <v>1.7757669419552504</v>
      </c>
      <c r="M921">
        <f t="shared" si="88"/>
        <v>0.28258463220877506</v>
      </c>
      <c r="N921">
        <f t="shared" si="89"/>
        <v>1.7981107603542308</v>
      </c>
    </row>
    <row r="922" spans="10:14" x14ac:dyDescent="0.25">
      <c r="J922">
        <f t="shared" si="90"/>
        <v>217.25</v>
      </c>
      <c r="K922">
        <f t="shared" si="86"/>
        <v>712.57999999999993</v>
      </c>
      <c r="L922">
        <f t="shared" si="87"/>
        <v>1.8418160453891368</v>
      </c>
      <c r="M922">
        <f t="shared" si="88"/>
        <v>0.29487662550468929</v>
      </c>
      <c r="N922">
        <f t="shared" si="89"/>
        <v>1.8652717146094056</v>
      </c>
    </row>
    <row r="923" spans="10:14" x14ac:dyDescent="0.25">
      <c r="J923">
        <f t="shared" si="90"/>
        <v>217.5</v>
      </c>
      <c r="K923">
        <f t="shared" si="86"/>
        <v>713.4</v>
      </c>
      <c r="L923">
        <f t="shared" si="87"/>
        <v>1.9073805645747817</v>
      </c>
      <c r="M923">
        <f t="shared" si="88"/>
        <v>0.3070894913459945</v>
      </c>
      <c r="N923">
        <f t="shared" si="89"/>
        <v>1.9319432118498603</v>
      </c>
    </row>
    <row r="924" spans="10:14" x14ac:dyDescent="0.25">
      <c r="J924">
        <f t="shared" si="90"/>
        <v>217.75</v>
      </c>
      <c r="K924">
        <f t="shared" si="86"/>
        <v>714.21999999999991</v>
      </c>
      <c r="L924">
        <f t="shared" si="87"/>
        <v>1.9724458004576857</v>
      </c>
      <c r="M924">
        <f t="shared" si="88"/>
        <v>0.3192204816842783</v>
      </c>
      <c r="N924">
        <f t="shared" si="89"/>
        <v>1.9981101450295233</v>
      </c>
    </row>
    <row r="925" spans="10:14" x14ac:dyDescent="0.25">
      <c r="J925">
        <f t="shared" si="90"/>
        <v>218</v>
      </c>
      <c r="K925">
        <f t="shared" si="86"/>
        <v>715.04</v>
      </c>
      <c r="L925">
        <f t="shared" si="87"/>
        <v>2.0369971824616293</v>
      </c>
      <c r="M925">
        <f t="shared" si="88"/>
        <v>0.33126686984347997</v>
      </c>
      <c r="N925">
        <f t="shared" si="89"/>
        <v>2.0637575585355257</v>
      </c>
    </row>
    <row r="926" spans="10:14" x14ac:dyDescent="0.25">
      <c r="J926">
        <f t="shared" si="90"/>
        <v>218.25</v>
      </c>
      <c r="K926">
        <f t="shared" si="86"/>
        <v>715.86</v>
      </c>
      <c r="L926">
        <f t="shared" si="87"/>
        <v>2.1010202717366009</v>
      </c>
      <c r="M926">
        <f t="shared" si="88"/>
        <v>0.34322595113011101</v>
      </c>
      <c r="N926">
        <f t="shared" si="89"/>
        <v>2.1288706479674402</v>
      </c>
    </row>
    <row r="927" spans="10:14" x14ac:dyDescent="0.25">
      <c r="J927">
        <f t="shared" si="90"/>
        <v>218.5</v>
      </c>
      <c r="K927">
        <f t="shared" si="86"/>
        <v>716.68</v>
      </c>
      <c r="L927">
        <f t="shared" si="87"/>
        <v>2.1645007643733725</v>
      </c>
      <c r="M927">
        <f t="shared" si="88"/>
        <v>0.35509504343781795</v>
      </c>
      <c r="N927">
        <f t="shared" si="89"/>
        <v>2.1934347605632176</v>
      </c>
    </row>
    <row r="928" spans="10:14" x14ac:dyDescent="0.25">
      <c r="J928">
        <f t="shared" si="90"/>
        <v>218.75</v>
      </c>
      <c r="K928">
        <f t="shared" si="86"/>
        <v>717.5</v>
      </c>
      <c r="L928">
        <f t="shared" si="87"/>
        <v>2.2274244945840218</v>
      </c>
      <c r="M928">
        <f t="shared" si="88"/>
        <v>0.36687148784621382</v>
      </c>
      <c r="N928">
        <f t="shared" si="89"/>
        <v>2.2574353961226397</v>
      </c>
    </row>
    <row r="929" spans="10:14" x14ac:dyDescent="0.25">
      <c r="J929">
        <f t="shared" si="90"/>
        <v>219</v>
      </c>
      <c r="K929">
        <f t="shared" si="86"/>
        <v>718.31999999999994</v>
      </c>
      <c r="L929">
        <f t="shared" si="87"/>
        <v>2.2897774378477664</v>
      </c>
      <c r="M929">
        <f t="shared" si="88"/>
        <v>0.37855264921380694</v>
      </c>
      <c r="N929">
        <f t="shared" si="89"/>
        <v>2.3208582083150779</v>
      </c>
    </row>
    <row r="930" spans="10:14" x14ac:dyDescent="0.25">
      <c r="J930">
        <f t="shared" si="90"/>
        <v>219.25</v>
      </c>
      <c r="K930">
        <f t="shared" si="86"/>
        <v>719.14</v>
      </c>
      <c r="L930">
        <f t="shared" si="87"/>
        <v>2.3515457140212557</v>
      </c>
      <c r="M930">
        <f t="shared" si="88"/>
        <v>0.3901359167648939</v>
      </c>
      <c r="N930">
        <f t="shared" si="89"/>
        <v>2.3836890062845284</v>
      </c>
    </row>
    <row r="931" spans="10:14" x14ac:dyDescent="0.25">
      <c r="J931">
        <f t="shared" si="90"/>
        <v>219.5</v>
      </c>
      <c r="K931">
        <f t="shared" si="86"/>
        <v>719.95999999999992</v>
      </c>
      <c r="L931">
        <f t="shared" si="87"/>
        <v>2.4127155904128399</v>
      </c>
      <c r="M931">
        <f t="shared" si="88"/>
        <v>0.40161870467033745</v>
      </c>
      <c r="N931">
        <f t="shared" si="89"/>
        <v>2.4459137564849374</v>
      </c>
    </row>
    <row r="932" spans="10:14" x14ac:dyDescent="0.25">
      <c r="J932">
        <f t="shared" si="90"/>
        <v>219.75</v>
      </c>
      <c r="K932">
        <f t="shared" si="86"/>
        <v>720.78</v>
      </c>
      <c r="L932">
        <f t="shared" si="87"/>
        <v>2.4732734848199871</v>
      </c>
      <c r="M932">
        <f t="shared" si="88"/>
        <v>0.4129984526220245</v>
      </c>
      <c r="N932">
        <f t="shared" si="89"/>
        <v>2.5075185846932002</v>
      </c>
    </row>
    <row r="933" spans="10:14" x14ac:dyDescent="0.25">
      <c r="J933">
        <f t="shared" si="90"/>
        <v>220</v>
      </c>
      <c r="K933">
        <f t="shared" si="86"/>
        <v>721.59999999999991</v>
      </c>
      <c r="L933">
        <f t="shared" si="87"/>
        <v>2.5332059685292205</v>
      </c>
      <c r="M933">
        <f t="shared" si="88"/>
        <v>0.42427262640094132</v>
      </c>
      <c r="N933">
        <f t="shared" si="89"/>
        <v>2.5684897781586011</v>
      </c>
    </row>
    <row r="934" spans="10:14" x14ac:dyDescent="0.25">
      <c r="J934">
        <f t="shared" si="90"/>
        <v>220.25</v>
      </c>
      <c r="K934">
        <f t="shared" si="86"/>
        <v>722.42</v>
      </c>
      <c r="L934">
        <f t="shared" si="87"/>
        <v>2.5924997692779468</v>
      </c>
      <c r="M934">
        <f t="shared" si="88"/>
        <v>0.43543871843868942</v>
      </c>
      <c r="N934">
        <f t="shared" si="89"/>
        <v>2.6288137878559859</v>
      </c>
    </row>
    <row r="935" spans="10:14" x14ac:dyDescent="0.25">
      <c r="J935">
        <f t="shared" si="90"/>
        <v>220.5</v>
      </c>
      <c r="K935">
        <f t="shared" si="86"/>
        <v>723.24</v>
      </c>
      <c r="L935">
        <f t="shared" si="87"/>
        <v>2.6511417741774914</v>
      </c>
      <c r="M935">
        <f t="shared" si="88"/>
        <v>0.44649424837238283</v>
      </c>
      <c r="N935">
        <f t="shared" si="89"/>
        <v>2.6884772308164702</v>
      </c>
    </row>
    <row r="936" spans="10:14" x14ac:dyDescent="0.25">
      <c r="J936">
        <f t="shared" si="90"/>
        <v>220.75</v>
      </c>
      <c r="K936">
        <f t="shared" si="86"/>
        <v>724.06</v>
      </c>
      <c r="L936">
        <f t="shared" si="87"/>
        <v>2.7091190325967487</v>
      </c>
      <c r="M936">
        <f t="shared" si="88"/>
        <v>0.45743676359273144</v>
      </c>
      <c r="N936">
        <f t="shared" si="89"/>
        <v>2.7474668925146553</v>
      </c>
    </row>
    <row r="937" spans="10:14" x14ac:dyDescent="0.25">
      <c r="J937">
        <f t="shared" si="90"/>
        <v>221</v>
      </c>
      <c r="K937">
        <f t="shared" si="86"/>
        <v>724.88</v>
      </c>
      <c r="L937">
        <f t="shared" si="87"/>
        <v>2.7664187590057088</v>
      </c>
      <c r="M937">
        <f t="shared" si="88"/>
        <v>0.46826383978523434</v>
      </c>
      <c r="N937">
        <f t="shared" si="89"/>
        <v>2.8057697292951711</v>
      </c>
    </row>
    <row r="938" spans="10:14" x14ac:dyDescent="0.25">
      <c r="J938">
        <f t="shared" si="90"/>
        <v>221.25</v>
      </c>
      <c r="K938">
        <f t="shared" si="86"/>
        <v>725.69999999999993</v>
      </c>
      <c r="L938">
        <f t="shared" si="87"/>
        <v>2.8230283357783827</v>
      </c>
      <c r="M938">
        <f t="shared" si="88"/>
        <v>0.47897308146436512</v>
      </c>
      <c r="N938">
        <f t="shared" si="89"/>
        <v>2.8633728708247439</v>
      </c>
    </row>
    <row r="939" spans="10:14" x14ac:dyDescent="0.25">
      <c r="J939">
        <f t="shared" si="90"/>
        <v>221.5</v>
      </c>
      <c r="K939">
        <f t="shared" si="86"/>
        <v>726.52</v>
      </c>
      <c r="L939">
        <f t="shared" si="87"/>
        <v>2.8789353159544291</v>
      </c>
      <c r="M939">
        <f t="shared" si="88"/>
        <v>0.48956212250061126</v>
      </c>
      <c r="N939">
        <f t="shared" si="89"/>
        <v>2.9202636225582324</v>
      </c>
    </row>
    <row r="940" spans="10:14" x14ac:dyDescent="0.25">
      <c r="J940">
        <f t="shared" si="90"/>
        <v>221.75</v>
      </c>
      <c r="K940">
        <f t="shared" si="86"/>
        <v>727.33999999999992</v>
      </c>
      <c r="L940">
        <f t="shared" si="87"/>
        <v>2.9341274259588741</v>
      </c>
      <c r="M940">
        <f t="shared" si="88"/>
        <v>0.50002862664025516</v>
      </c>
      <c r="N940">
        <f t="shared" si="89"/>
        <v>2.9764294682091474</v>
      </c>
    </row>
    <row r="941" spans="10:14" x14ac:dyDescent="0.25">
      <c r="J941">
        <f t="shared" si="90"/>
        <v>222</v>
      </c>
      <c r="K941">
        <f t="shared" si="86"/>
        <v>728.16</v>
      </c>
      <c r="L941">
        <f t="shared" si="87"/>
        <v>2.9885925682793917</v>
      </c>
      <c r="M941">
        <f t="shared" si="88"/>
        <v>0.51037028801782114</v>
      </c>
      <c r="N941">
        <f t="shared" si="89"/>
        <v>3.0318580722168051</v>
      </c>
    </row>
    <row r="942" spans="10:14" x14ac:dyDescent="0.25">
      <c r="J942">
        <f t="shared" si="90"/>
        <v>222.25</v>
      </c>
      <c r="K942">
        <f t="shared" si="86"/>
        <v>728.9799999999999</v>
      </c>
      <c r="L942">
        <f t="shared" si="87"/>
        <v>3.0423188241005432</v>
      </c>
      <c r="M942">
        <f t="shared" si="88"/>
        <v>0.52058483166101355</v>
      </c>
      <c r="N942">
        <f t="shared" si="89"/>
        <v>3.0865372822034791</v>
      </c>
    </row>
    <row r="943" spans="10:14" x14ac:dyDescent="0.25">
      <c r="J943">
        <f t="shared" si="90"/>
        <v>222.5</v>
      </c>
      <c r="K943">
        <f t="shared" si="86"/>
        <v>729.8</v>
      </c>
      <c r="L943">
        <f t="shared" si="87"/>
        <v>3.0952944558943249</v>
      </c>
      <c r="M943">
        <f t="shared" si="88"/>
        <v>0.53067001398808533</v>
      </c>
      <c r="N943">
        <f t="shared" si="89"/>
        <v>3.1404551314158686</v>
      </c>
    </row>
    <row r="944" spans="10:14" x14ac:dyDescent="0.25">
      <c r="J944">
        <f t="shared" si="90"/>
        <v>222.75</v>
      </c>
      <c r="K944">
        <f t="shared" si="86"/>
        <v>730.62</v>
      </c>
      <c r="L944">
        <f t="shared" si="87"/>
        <v>3.147507909966631</v>
      </c>
      <c r="M944">
        <f t="shared" si="88"/>
        <v>0.54062362329751146</v>
      </c>
      <c r="N944">
        <f t="shared" si="89"/>
        <v>3.1935998411463258</v>
      </c>
    </row>
    <row r="945" spans="10:14" x14ac:dyDescent="0.25">
      <c r="J945">
        <f t="shared" si="90"/>
        <v>223</v>
      </c>
      <c r="K945">
        <f t="shared" si="86"/>
        <v>731.43999999999994</v>
      </c>
      <c r="L945">
        <f t="shared" si="87"/>
        <v>3.1989478189589171</v>
      </c>
      <c r="M945">
        <f t="shared" si="88"/>
        <v>0.55044348024984879</v>
      </c>
      <c r="N945">
        <f t="shared" si="89"/>
        <v>3.245959823129605</v>
      </c>
    </row>
    <row r="946" spans="10:14" x14ac:dyDescent="0.25">
      <c r="J946">
        <f t="shared" si="90"/>
        <v>223.25</v>
      </c>
      <c r="K946">
        <f t="shared" si="86"/>
        <v>732.26</v>
      </c>
      <c r="L946">
        <f t="shared" si="87"/>
        <v>3.2496030043046416</v>
      </c>
      <c r="M946">
        <f t="shared" si="88"/>
        <v>0.56012743834173095</v>
      </c>
      <c r="N946">
        <f t="shared" si="89"/>
        <v>3.2975236819117799</v>
      </c>
    </row>
    <row r="947" spans="10:14" x14ac:dyDescent="0.25">
      <c r="J947">
        <f t="shared" si="90"/>
        <v>223.5</v>
      </c>
      <c r="K947">
        <f t="shared" si="86"/>
        <v>733.07999999999993</v>
      </c>
      <c r="L947">
        <f t="shared" si="87"/>
        <v>3.2994624786398994</v>
      </c>
      <c r="M947">
        <f t="shared" si="88"/>
        <v>0.5696733843718047</v>
      </c>
      <c r="N947">
        <f t="shared" si="89"/>
        <v>3.3482802171882469</v>
      </c>
    </row>
    <row r="948" spans="10:14" x14ac:dyDescent="0.25">
      <c r="J948">
        <f t="shared" si="90"/>
        <v>223.75</v>
      </c>
      <c r="K948">
        <f t="shared" si="86"/>
        <v>733.9</v>
      </c>
      <c r="L948">
        <f t="shared" si="87"/>
        <v>3.3485154481677397</v>
      </c>
      <c r="M948">
        <f t="shared" si="88"/>
        <v>0.57907923889859902</v>
      </c>
      <c r="N948">
        <f t="shared" si="89"/>
        <v>3.3982184261082127</v>
      </c>
    </row>
    <row r="949" spans="10:14" x14ac:dyDescent="0.25">
      <c r="J949">
        <f t="shared" si="90"/>
        <v>224</v>
      </c>
      <c r="K949">
        <f t="shared" ref="K949:K1012" si="91">J949*3.28</f>
        <v>734.71999999999991</v>
      </c>
      <c r="L949">
        <f t="shared" ref="L949:L1012" si="92">$Y$7*EXP($Y$11*(J949-$Y$4))*COS(PI()/180*($Y$8+$Y$5*(J949-$Y$4)))+$Y$9*EXP($Y$12*(J949-$Y$4))*COS(PI()/180*($Y$10+$Y$6*(J949-$Y$4)))</f>
        <v>3.396751314975722</v>
      </c>
      <c r="M949">
        <f t="shared" ref="M949:M1012" si="93">$Y$13+$Y$7*EXP($Y$11*(J949-$Y$4))*SIN(PI()/180*($Y$8+$Y$5*(J949-$Y$4)))+$Y$9*EXP($Y$12*(J949-$Y$4))*SIN(PI()/180*($Y$10+$Y$6*(J949-$Y$4)))</f>
        <v>0.58834295669017589</v>
      </c>
      <c r="N949">
        <f t="shared" ref="N949:N1012" si="94">SQRT(L949*L949+M949*M949)</f>
        <v>3.4473275055434223</v>
      </c>
    </row>
    <row r="950" spans="10:14" x14ac:dyDescent="0.25">
      <c r="J950">
        <f t="shared" ref="J950:J1013" si="95">J949+$I$52</f>
        <v>224.25</v>
      </c>
      <c r="K950">
        <f t="shared" si="91"/>
        <v>735.54</v>
      </c>
      <c r="L950">
        <f t="shared" si="92"/>
        <v>3.4441596793060785</v>
      </c>
      <c r="M950">
        <f t="shared" si="93"/>
        <v>0.59746252716545944</v>
      </c>
      <c r="N950">
        <f t="shared" si="94"/>
        <v>3.495596854318971</v>
      </c>
    </row>
    <row r="951" spans="10:14" x14ac:dyDescent="0.25">
      <c r="J951">
        <f t="shared" si="95"/>
        <v>224.5</v>
      </c>
      <c r="K951">
        <f t="shared" si="91"/>
        <v>736.3599999999999</v>
      </c>
      <c r="L951">
        <f t="shared" si="92"/>
        <v>3.4907303417781845</v>
      </c>
      <c r="M951">
        <f t="shared" si="93"/>
        <v>0.606435974827221</v>
      </c>
      <c r="N951">
        <f t="shared" si="94"/>
        <v>3.5430160754046098</v>
      </c>
    </row>
    <row r="952" spans="10:14" x14ac:dyDescent="0.25">
      <c r="J952">
        <f t="shared" si="95"/>
        <v>224.75</v>
      </c>
      <c r="K952">
        <f t="shared" si="91"/>
        <v>737.18</v>
      </c>
      <c r="L952">
        <f t="shared" si="92"/>
        <v>3.5364533055627336</v>
      </c>
      <c r="M952">
        <f t="shared" si="93"/>
        <v>0.61526135968651863</v>
      </c>
      <c r="N952">
        <f t="shared" si="94"/>
        <v>3.5895749780647974</v>
      </c>
    </row>
    <row r="953" spans="10:14" x14ac:dyDescent="0.25">
      <c r="J953">
        <f t="shared" si="95"/>
        <v>225</v>
      </c>
      <c r="K953">
        <f t="shared" si="91"/>
        <v>738</v>
      </c>
      <c r="L953">
        <f t="shared" si="92"/>
        <v>3.5813187785071845</v>
      </c>
      <c r="M953">
        <f t="shared" si="93"/>
        <v>0.62393677767859868</v>
      </c>
      <c r="N953">
        <f t="shared" si="94"/>
        <v>3.6352635799661273</v>
      </c>
    </row>
    <row r="954" spans="10:14" x14ac:dyDescent="0.25">
      <c r="J954">
        <f t="shared" si="95"/>
        <v>225.25</v>
      </c>
      <c r="K954">
        <f t="shared" si="91"/>
        <v>738.81999999999994</v>
      </c>
      <c r="L954">
        <f t="shared" si="92"/>
        <v>3.625317175212075</v>
      </c>
      <c r="M954">
        <f t="shared" si="93"/>
        <v>0.63246036107009296</v>
      </c>
      <c r="N954">
        <f t="shared" si="94"/>
        <v>3.6800721092408737</v>
      </c>
    </row>
    <row r="955" spans="10:14" x14ac:dyDescent="0.25">
      <c r="J955">
        <f t="shared" si="95"/>
        <v>225.5</v>
      </c>
      <c r="K955">
        <f t="shared" si="91"/>
        <v>739.64</v>
      </c>
      <c r="L955">
        <f t="shared" si="92"/>
        <v>3.6684391190577532</v>
      </c>
      <c r="M955">
        <f t="shared" si="93"/>
        <v>0.64083027885751354</v>
      </c>
      <c r="N955">
        <f t="shared" si="94"/>
        <v>3.7239910065054964</v>
      </c>
    </row>
    <row r="956" spans="10:14" x14ac:dyDescent="0.25">
      <c r="J956">
        <f t="shared" si="95"/>
        <v>225.75</v>
      </c>
      <c r="K956">
        <f t="shared" si="91"/>
        <v>740.45999999999992</v>
      </c>
      <c r="L956">
        <f t="shared" si="92"/>
        <v>3.7106754441810255</v>
      </c>
      <c r="M956">
        <f t="shared" si="93"/>
        <v>0.64904473715686573</v>
      </c>
      <c r="N956">
        <f t="shared" si="94"/>
        <v>3.767010926832981</v>
      </c>
    </row>
    <row r="957" spans="10:14" x14ac:dyDescent="0.25">
      <c r="J957">
        <f t="shared" si="95"/>
        <v>226</v>
      </c>
      <c r="K957">
        <f t="shared" si="91"/>
        <v>741.28</v>
      </c>
      <c r="L957">
        <f t="shared" si="92"/>
        <v>3.7520171974014573</v>
      </c>
      <c r="M957">
        <f t="shared" si="93"/>
        <v>0.65710197958435312</v>
      </c>
      <c r="N957">
        <f t="shared" si="94"/>
        <v>3.809122741678189</v>
      </c>
    </row>
    <row r="958" spans="10:14" x14ac:dyDescent="0.25">
      <c r="J958">
        <f t="shared" si="95"/>
        <v>226.25</v>
      </c>
      <c r="K958">
        <f t="shared" si="91"/>
        <v>742.09999999999991</v>
      </c>
      <c r="L958">
        <f t="shared" si="92"/>
        <v>3.7924556400967848</v>
      </c>
      <c r="M958">
        <f t="shared" si="93"/>
        <v>0.6650002876281067</v>
      </c>
      <c r="N958">
        <f t="shared" si="94"/>
        <v>3.8503175407552268</v>
      </c>
    </row>
    <row r="959" spans="10:14" x14ac:dyDescent="0.25">
      <c r="J959">
        <f t="shared" si="95"/>
        <v>226.5</v>
      </c>
      <c r="K959">
        <f t="shared" si="91"/>
        <v>742.92</v>
      </c>
      <c r="L959">
        <f t="shared" si="92"/>
        <v>3.8319822500271408</v>
      </c>
      <c r="M959">
        <f t="shared" si="93"/>
        <v>0.67273798101078652</v>
      </c>
      <c r="N959">
        <f t="shared" si="94"/>
        <v>3.8905866338660982</v>
      </c>
    </row>
    <row r="960" spans="10:14" x14ac:dyDescent="0.25">
      <c r="J960">
        <f t="shared" si="95"/>
        <v>226.75</v>
      </c>
      <c r="K960">
        <f t="shared" si="91"/>
        <v>743.74</v>
      </c>
      <c r="L960">
        <f t="shared" si="92"/>
        <v>3.8705887231076792</v>
      </c>
      <c r="M960">
        <f t="shared" si="93"/>
        <v>0.68031341804310252</v>
      </c>
      <c r="N960">
        <f t="shared" si="94"/>
        <v>3.9299215526798781</v>
      </c>
    </row>
    <row r="961" spans="10:14" x14ac:dyDescent="0.25">
      <c r="J961">
        <f t="shared" si="95"/>
        <v>227</v>
      </c>
      <c r="K961">
        <f t="shared" si="91"/>
        <v>744.56</v>
      </c>
      <c r="L961">
        <f t="shared" si="92"/>
        <v>3.9082669751292456</v>
      </c>
      <c r="M961">
        <f t="shared" si="93"/>
        <v>0.68772499596803993</v>
      </c>
      <c r="N961">
        <f t="shared" si="94"/>
        <v>3.9683140524617184</v>
      </c>
    </row>
    <row r="962" spans="10:14" x14ac:dyDescent="0.25">
      <c r="J962">
        <f t="shared" si="95"/>
        <v>227.25</v>
      </c>
      <c r="K962">
        <f t="shared" si="91"/>
        <v>745.38</v>
      </c>
      <c r="L962">
        <f t="shared" si="92"/>
        <v>3.9450091434267645</v>
      </c>
      <c r="M962">
        <f t="shared" si="93"/>
        <v>0.69497115129583287</v>
      </c>
      <c r="N962">
        <f t="shared" si="94"/>
        <v>4.0057561137510893</v>
      </c>
    </row>
    <row r="963" spans="10:14" x14ac:dyDescent="0.25">
      <c r="J963">
        <f t="shared" si="95"/>
        <v>227.5</v>
      </c>
      <c r="K963">
        <f t="shared" si="91"/>
        <v>746.19999999999993</v>
      </c>
      <c r="L963">
        <f t="shared" si="92"/>
        <v>3.9808075884949261</v>
      </c>
      <c r="M963">
        <f t="shared" si="93"/>
        <v>0.70205036012955446</v>
      </c>
      <c r="N963">
        <f t="shared" si="94"/>
        <v>4.0422399439885837</v>
      </c>
    </row>
    <row r="964" spans="10:14" x14ac:dyDescent="0.25">
      <c r="J964">
        <f t="shared" si="95"/>
        <v>227.75</v>
      </c>
      <c r="K964">
        <f t="shared" si="91"/>
        <v>747.02</v>
      </c>
      <c r="L964">
        <f t="shared" si="92"/>
        <v>4.0156548955509859</v>
      </c>
      <c r="M964">
        <f t="shared" si="93"/>
        <v>0.70896113848127751</v>
      </c>
      <c r="N964">
        <f t="shared" si="94"/>
        <v>4.0777579790908716</v>
      </c>
    </row>
    <row r="965" spans="10:14" x14ac:dyDescent="0.25">
      <c r="J965">
        <f t="shared" si="95"/>
        <v>228</v>
      </c>
      <c r="K965">
        <f t="shared" si="91"/>
        <v>747.83999999999992</v>
      </c>
      <c r="L965">
        <f t="shared" si="92"/>
        <v>4.0495438760442104</v>
      </c>
      <c r="M965">
        <f t="shared" si="93"/>
        <v>0.71570204257872416</v>
      </c>
      <c r="N965">
        <f t="shared" si="94"/>
        <v>4.112302884973154</v>
      </c>
    </row>
    <row r="966" spans="10:14" x14ac:dyDescent="0.25">
      <c r="J966">
        <f t="shared" si="95"/>
        <v>228.25</v>
      </c>
      <c r="K966">
        <f t="shared" si="91"/>
        <v>748.66</v>
      </c>
      <c r="L966">
        <f t="shared" si="92"/>
        <v>4.0824675691117935</v>
      </c>
      <c r="M966">
        <f t="shared" si="93"/>
        <v>0.72227166916239949</v>
      </c>
      <c r="N966">
        <f t="shared" si="94"/>
        <v>4.1458675590187628</v>
      </c>
    </row>
    <row r="967" spans="10:14" x14ac:dyDescent="0.25">
      <c r="J967">
        <f t="shared" si="95"/>
        <v>228.5</v>
      </c>
      <c r="K967">
        <f t="shared" si="91"/>
        <v>749.4799999999999</v>
      </c>
      <c r="L967">
        <f t="shared" si="92"/>
        <v>4.1144192429808726</v>
      </c>
      <c r="M967">
        <f t="shared" si="93"/>
        <v>0.72866865577304885</v>
      </c>
      <c r="N967">
        <f t="shared" si="94"/>
        <v>4.1784451314953746</v>
      </c>
    </row>
    <row r="968" spans="10:14" x14ac:dyDescent="0.25">
      <c r="J968">
        <f t="shared" si="95"/>
        <v>228.75</v>
      </c>
      <c r="K968">
        <f t="shared" si="91"/>
        <v>750.3</v>
      </c>
      <c r="L968">
        <f t="shared" si="92"/>
        <v>4.1453923963164101</v>
      </c>
      <c r="M968">
        <f t="shared" si="93"/>
        <v>0.73489168102948299</v>
      </c>
      <c r="N968">
        <f t="shared" si="94"/>
        <v>4.210028966917478</v>
      </c>
    </row>
    <row r="969" spans="10:14" x14ac:dyDescent="0.25">
      <c r="J969">
        <f t="shared" si="95"/>
        <v>229</v>
      </c>
      <c r="K969">
        <f t="shared" si="91"/>
        <v>751.12</v>
      </c>
      <c r="L969">
        <f t="shared" si="92"/>
        <v>4.1753807595146792</v>
      </c>
      <c r="M969">
        <f t="shared" si="93"/>
        <v>0.74093946489664619</v>
      </c>
      <c r="N969">
        <f t="shared" si="94"/>
        <v>4.2406126653547016</v>
      </c>
    </row>
    <row r="970" spans="10:14" x14ac:dyDescent="0.25">
      <c r="J970">
        <f t="shared" si="95"/>
        <v>229.25</v>
      </c>
      <c r="K970">
        <f t="shared" si="91"/>
        <v>751.93999999999994</v>
      </c>
      <c r="L970">
        <f t="shared" si="92"/>
        <v>4.2043782959420648</v>
      </c>
      <c r="M970">
        <f t="shared" si="93"/>
        <v>0.74681076894389553</v>
      </c>
      <c r="N970">
        <f t="shared" si="94"/>
        <v>4.2701900636856056</v>
      </c>
    </row>
    <row r="971" spans="10:14" x14ac:dyDescent="0.25">
      <c r="J971">
        <f t="shared" si="95"/>
        <v>229.5</v>
      </c>
      <c r="K971">
        <f t="shared" si="91"/>
        <v>752.76</v>
      </c>
      <c r="L971">
        <f t="shared" si="92"/>
        <v>4.2323792031189935</v>
      </c>
      <c r="M971">
        <f t="shared" si="93"/>
        <v>0.75250439659348078</v>
      </c>
      <c r="N971">
        <f t="shared" si="94"/>
        <v>4.2987552367966577</v>
      </c>
    </row>
    <row r="972" spans="10:14" x14ac:dyDescent="0.25">
      <c r="J972">
        <f t="shared" si="95"/>
        <v>229.75</v>
      </c>
      <c r="K972">
        <f t="shared" si="91"/>
        <v>753.57999999999993</v>
      </c>
      <c r="L972">
        <f t="shared" si="92"/>
        <v>4.2593779138487484</v>
      </c>
      <c r="M972">
        <f t="shared" si="93"/>
        <v>0.75801919335908852</v>
      </c>
      <c r="N972">
        <f t="shared" si="94"/>
        <v>4.3263024987260517</v>
      </c>
    </row>
    <row r="973" spans="10:14" x14ac:dyDescent="0.25">
      <c r="J973">
        <f t="shared" si="95"/>
        <v>230</v>
      </c>
      <c r="K973">
        <f t="shared" si="91"/>
        <v>754.4</v>
      </c>
      <c r="L973">
        <f t="shared" si="92"/>
        <v>4.2853690972909382</v>
      </c>
      <c r="M973">
        <f t="shared" si="93"/>
        <v>0.76335404707450005</v>
      </c>
      <c r="N973">
        <f t="shared" si="94"/>
        <v>4.3528264037520685</v>
      </c>
    </row>
    <row r="974" spans="10:14" x14ac:dyDescent="0.25">
      <c r="J974">
        <f t="shared" si="95"/>
        <v>230.25</v>
      </c>
      <c r="K974">
        <f t="shared" si="91"/>
        <v>755.21999999999991</v>
      </c>
      <c r="L974">
        <f t="shared" si="92"/>
        <v>4.3103476599794481</v>
      </c>
      <c r="M974">
        <f t="shared" si="93"/>
        <v>0.76850788811222448</v>
      </c>
      <c r="N974">
        <f t="shared" si="94"/>
        <v>4.378321747425721</v>
      </c>
    </row>
    <row r="975" spans="10:14" x14ac:dyDescent="0.25">
      <c r="J975">
        <f t="shared" si="95"/>
        <v>230.5</v>
      </c>
      <c r="K975">
        <f t="shared" si="91"/>
        <v>756.04</v>
      </c>
      <c r="L975">
        <f t="shared" si="92"/>
        <v>4.3343087467846999</v>
      </c>
      <c r="M975">
        <f t="shared" si="93"/>
        <v>0.77347968959217916</v>
      </c>
      <c r="N975">
        <f t="shared" si="94"/>
        <v>4.4027835675474636</v>
      </c>
    </row>
    <row r="976" spans="10:14" x14ac:dyDescent="0.25">
      <c r="J976">
        <f t="shared" si="95"/>
        <v>230.75</v>
      </c>
      <c r="K976">
        <f t="shared" si="91"/>
        <v>756.8599999999999</v>
      </c>
      <c r="L976">
        <f t="shared" si="92"/>
        <v>4.3572477418199762</v>
      </c>
      <c r="M976">
        <f t="shared" si="93"/>
        <v>0.77826846758026302</v>
      </c>
      <c r="N976">
        <f t="shared" si="94"/>
        <v>4.4262071450876554</v>
      </c>
    </row>
    <row r="977" spans="10:14" x14ac:dyDescent="0.25">
      <c r="J977">
        <f t="shared" si="95"/>
        <v>231</v>
      </c>
      <c r="K977">
        <f t="shared" si="91"/>
        <v>757.68</v>
      </c>
      <c r="L977">
        <f t="shared" si="92"/>
        <v>4.3791602692917628</v>
      </c>
      <c r="M977">
        <f t="shared" si="93"/>
        <v>0.78287328127685196</v>
      </c>
      <c r="N977">
        <f t="shared" si="94"/>
        <v>4.4485880050506692</v>
      </c>
    </row>
    <row r="978" spans="10:14" x14ac:dyDescent="0.25">
      <c r="J978">
        <f t="shared" si="95"/>
        <v>231.25</v>
      </c>
      <c r="K978">
        <f t="shared" si="91"/>
        <v>758.5</v>
      </c>
      <c r="L978">
        <f t="shared" si="92"/>
        <v>4.4000421942938583</v>
      </c>
      <c r="M978">
        <f t="shared" si="93"/>
        <v>0.78729323319518518</v>
      </c>
      <c r="N978">
        <f t="shared" si="94"/>
        <v>4.4699219172823632</v>
      </c>
    </row>
    <row r="979" spans="10:14" x14ac:dyDescent="0.25">
      <c r="J979">
        <f t="shared" si="95"/>
        <v>231.5</v>
      </c>
      <c r="K979">
        <f t="shared" si="91"/>
        <v>759.31999999999994</v>
      </c>
      <c r="L979">
        <f t="shared" si="92"/>
        <v>4.4198896235451883</v>
      </c>
      <c r="M979">
        <f t="shared" si="93"/>
        <v>0.79152746932955043</v>
      </c>
      <c r="N979">
        <f t="shared" si="94"/>
        <v>4.490204897220802</v>
      </c>
    </row>
    <row r="980" spans="10:14" x14ac:dyDescent="0.25">
      <c r="J980">
        <f t="shared" si="95"/>
        <v>231.75</v>
      </c>
      <c r="K980">
        <f t="shared" si="91"/>
        <v>760.14</v>
      </c>
      <c r="L980">
        <f t="shared" si="92"/>
        <v>4.438698906071167</v>
      </c>
      <c r="M980">
        <f t="shared" si="93"/>
        <v>0.79557517931334465</v>
      </c>
      <c r="N980">
        <f t="shared" si="94"/>
        <v>4.5094332065900291</v>
      </c>
    </row>
    <row r="981" spans="10:14" x14ac:dyDescent="0.25">
      <c r="J981">
        <f t="shared" si="95"/>
        <v>232</v>
      </c>
      <c r="K981">
        <f t="shared" si="91"/>
        <v>760.95999999999992</v>
      </c>
      <c r="L981">
        <f t="shared" si="92"/>
        <v>4.4564666338285139</v>
      </c>
      <c r="M981">
        <f t="shared" si="93"/>
        <v>0.79943559656685426</v>
      </c>
      <c r="N981">
        <f t="shared" si="94"/>
        <v>4.5276033540367742</v>
      </c>
    </row>
    <row r="982" spans="10:14" x14ac:dyDescent="0.25">
      <c r="J982">
        <f t="shared" si="95"/>
        <v>232.25</v>
      </c>
      <c r="K982">
        <f t="shared" si="91"/>
        <v>761.78</v>
      </c>
      <c r="L982">
        <f t="shared" si="92"/>
        <v>4.4731896422734323</v>
      </c>
      <c r="M982">
        <f t="shared" si="93"/>
        <v>0.80310799843483371</v>
      </c>
      <c r="N982">
        <f t="shared" si="94"/>
        <v>4.5447120957099489</v>
      </c>
    </row>
    <row r="983" spans="10:14" x14ac:dyDescent="0.25">
      <c r="J983">
        <f t="shared" si="95"/>
        <v>232.5</v>
      </c>
      <c r="K983">
        <f t="shared" si="91"/>
        <v>762.59999999999991</v>
      </c>
      <c r="L983">
        <f t="shared" si="92"/>
        <v>4.4888650108730621</v>
      </c>
      <c r="M983">
        <f t="shared" si="93"/>
        <v>0.80659170631381694</v>
      </c>
      <c r="N983">
        <f t="shared" si="94"/>
        <v>4.5607564357828458</v>
      </c>
    </row>
    <row r="984" spans="10:14" x14ac:dyDescent="0.25">
      <c r="J984">
        <f t="shared" si="95"/>
        <v>232.75</v>
      </c>
      <c r="K984">
        <f t="shared" si="91"/>
        <v>763.42</v>
      </c>
      <c r="L984">
        <f t="shared" si="92"/>
        <v>4.5034900635601476</v>
      </c>
      <c r="M984">
        <f t="shared" si="93"/>
        <v>0.80988608576910903</v>
      </c>
      <c r="N984">
        <f t="shared" si="94"/>
        <v>4.5757336269179163</v>
      </c>
    </row>
    <row r="985" spans="10:14" x14ac:dyDescent="0.25">
      <c r="J985">
        <f t="shared" si="95"/>
        <v>233</v>
      </c>
      <c r="K985">
        <f t="shared" si="91"/>
        <v>764.24</v>
      </c>
      <c r="L985">
        <f t="shared" si="92"/>
        <v>4.5170623691308638</v>
      </c>
      <c r="M985">
        <f t="shared" si="93"/>
        <v>0.81299054664154802</v>
      </c>
      <c r="N985">
        <f t="shared" si="94"/>
        <v>4.5896411706740929</v>
      </c>
    </row>
    <row r="986" spans="10:14" x14ac:dyDescent="0.25">
      <c r="J986">
        <f t="shared" si="95"/>
        <v>233.25</v>
      </c>
      <c r="K986">
        <f t="shared" si="91"/>
        <v>765.06</v>
      </c>
      <c r="L986">
        <f t="shared" si="92"/>
        <v>4.5295797415857688</v>
      </c>
      <c r="M986">
        <f t="shared" si="93"/>
        <v>0.81590454314387517</v>
      </c>
      <c r="N986">
        <f t="shared" si="94"/>
        <v>4.602476817856556</v>
      </c>
    </row>
    <row r="987" spans="10:14" x14ac:dyDescent="0.25">
      <c r="J987">
        <f t="shared" si="95"/>
        <v>233.5</v>
      </c>
      <c r="K987">
        <f t="shared" si="91"/>
        <v>765.88</v>
      </c>
      <c r="L987">
        <f t="shared" si="92"/>
        <v>4.5410402404138246</v>
      </c>
      <c r="M987">
        <f t="shared" si="93"/>
        <v>0.81862757394682029</v>
      </c>
      <c r="N987">
        <f t="shared" si="94"/>
        <v>4.6142385688089105</v>
      </c>
    </row>
    <row r="988" spans="10:14" x14ac:dyDescent="0.25">
      <c r="J988">
        <f t="shared" si="95"/>
        <v>233.75</v>
      </c>
      <c r="K988">
        <f t="shared" si="91"/>
        <v>766.69999999999993</v>
      </c>
      <c r="L988">
        <f t="shared" si="92"/>
        <v>4.5514421708195094</v>
      </c>
      <c r="M988">
        <f t="shared" si="93"/>
        <v>0.82115918225483875</v>
      </c>
      <c r="N988">
        <f t="shared" si="94"/>
        <v>4.6249246736477385</v>
      </c>
    </row>
    <row r="989" spans="10:14" x14ac:dyDescent="0.25">
      <c r="J989">
        <f t="shared" si="95"/>
        <v>234</v>
      </c>
      <c r="K989">
        <f t="shared" si="91"/>
        <v>767.52</v>
      </c>
      <c r="L989">
        <f t="shared" si="92"/>
        <v>4.5607840838930134</v>
      </c>
      <c r="M989">
        <f t="shared" si="93"/>
        <v>0.82349895587149113</v>
      </c>
      <c r="N989">
        <f t="shared" si="94"/>
        <v>4.6345336324395436</v>
      </c>
    </row>
    <row r="990" spans="10:14" x14ac:dyDescent="0.25">
      <c r="J990">
        <f t="shared" si="95"/>
        <v>234.25</v>
      </c>
      <c r="K990">
        <f t="shared" si="91"/>
        <v>768.33999999999992</v>
      </c>
      <c r="L990">
        <f t="shared" si="92"/>
        <v>4.5690647767234935</v>
      </c>
      <c r="M990">
        <f t="shared" si="93"/>
        <v>0.82564652725446064</v>
      </c>
      <c r="N990">
        <f t="shared" si="94"/>
        <v>4.6430641953200107</v>
      </c>
    </row>
    <row r="991" spans="10:14" x14ac:dyDescent="0.25">
      <c r="J991">
        <f t="shared" si="95"/>
        <v>234.5</v>
      </c>
      <c r="K991">
        <f t="shared" si="91"/>
        <v>769.16</v>
      </c>
      <c r="L991">
        <f t="shared" si="92"/>
        <v>4.5762832924554626</v>
      </c>
      <c r="M991">
        <f t="shared" si="93"/>
        <v>0.82760157356025921</v>
      </c>
      <c r="N991">
        <f t="shared" si="94"/>
        <v>4.6505153625556837</v>
      </c>
    </row>
    <row r="992" spans="10:14" x14ac:dyDescent="0.25">
      <c r="J992">
        <f t="shared" si="95"/>
        <v>234.75</v>
      </c>
      <c r="K992">
        <f t="shared" si="91"/>
        <v>769.9799999999999</v>
      </c>
      <c r="L992">
        <f t="shared" si="92"/>
        <v>4.58243892028832</v>
      </c>
      <c r="M992">
        <f t="shared" si="93"/>
        <v>0.82936381667851122</v>
      </c>
      <c r="N992">
        <f t="shared" si="94"/>
        <v>4.6568863845480202</v>
      </c>
    </row>
    <row r="993" spans="10:14" x14ac:dyDescent="0.25">
      <c r="J993">
        <f t="shared" si="95"/>
        <v>235</v>
      </c>
      <c r="K993">
        <f t="shared" si="91"/>
        <v>770.8</v>
      </c>
      <c r="L993">
        <f t="shared" si="92"/>
        <v>4.5875311954190847</v>
      </c>
      <c r="M993">
        <f t="shared" si="93"/>
        <v>0.83093302325593443</v>
      </c>
      <c r="N993">
        <f t="shared" si="94"/>
        <v>4.6621767617798984</v>
      </c>
    </row>
    <row r="994" spans="10:14" x14ac:dyDescent="0.25">
      <c r="J994">
        <f t="shared" si="95"/>
        <v>235.25</v>
      </c>
      <c r="K994">
        <f t="shared" si="91"/>
        <v>771.62</v>
      </c>
      <c r="L994">
        <f t="shared" si="92"/>
        <v>4.5915598989283914</v>
      </c>
      <c r="M994">
        <f t="shared" si="93"/>
        <v>0.83230900470991487</v>
      </c>
      <c r="N994">
        <f t="shared" si="94"/>
        <v>4.666386244704622</v>
      </c>
    </row>
    <row r="995" spans="10:14" x14ac:dyDescent="0.25">
      <c r="J995">
        <f t="shared" si="95"/>
        <v>235.5</v>
      </c>
      <c r="K995">
        <f t="shared" si="91"/>
        <v>772.43999999999994</v>
      </c>
      <c r="L995">
        <f t="shared" si="92"/>
        <v>4.5945250576098333</v>
      </c>
      <c r="M995">
        <f t="shared" si="93"/>
        <v>0.83349161723179466</v>
      </c>
      <c r="N995">
        <f t="shared" si="94"/>
        <v>4.6695148335775007</v>
      </c>
    </row>
    <row r="996" spans="10:14" x14ac:dyDescent="0.25">
      <c r="J996">
        <f t="shared" si="95"/>
        <v>235.75</v>
      </c>
      <c r="K996">
        <f t="shared" si="91"/>
        <v>773.26</v>
      </c>
      <c r="L996">
        <f t="shared" si="92"/>
        <v>4.5964269437427276</v>
      </c>
      <c r="M996">
        <f t="shared" si="93"/>
        <v>0.8344807617797787</v>
      </c>
      <c r="N996">
        <f t="shared" si="94"/>
        <v>4.6715627782300722</v>
      </c>
    </row>
    <row r="997" spans="10:14" x14ac:dyDescent="0.25">
      <c r="J997">
        <f t="shared" si="95"/>
        <v>236</v>
      </c>
      <c r="K997">
        <f t="shared" si="91"/>
        <v>774.07999999999993</v>
      </c>
      <c r="L997">
        <f t="shared" si="92"/>
        <v>4.59726607480843</v>
      </c>
      <c r="M997">
        <f t="shared" si="93"/>
        <v>0.83527638406151694</v>
      </c>
      <c r="N997">
        <f t="shared" si="94"/>
        <v>4.6725305777870938</v>
      </c>
    </row>
    <row r="998" spans="10:14" x14ac:dyDescent="0.25">
      <c r="J998">
        <f t="shared" si="95"/>
        <v>236.25</v>
      </c>
      <c r="K998">
        <f t="shared" si="91"/>
        <v>774.9</v>
      </c>
      <c r="L998">
        <f t="shared" si="92"/>
        <v>4.5970432131502967</v>
      </c>
      <c r="M998">
        <f t="shared" si="93"/>
        <v>0.8358784745064014</v>
      </c>
      <c r="N998">
        <f t="shared" si="94"/>
        <v>4.6724189803263956</v>
      </c>
    </row>
    <row r="999" spans="10:14" x14ac:dyDescent="0.25">
      <c r="J999">
        <f t="shared" si="95"/>
        <v>236.5</v>
      </c>
      <c r="K999">
        <f t="shared" si="91"/>
        <v>775.71999999999991</v>
      </c>
      <c r="L999">
        <f t="shared" si="92"/>
        <v>4.5957593655774271</v>
      </c>
      <c r="M999">
        <f t="shared" si="93"/>
        <v>0.83628706822750953</v>
      </c>
      <c r="N999">
        <f t="shared" si="94"/>
        <v>4.6712289824817192</v>
      </c>
    </row>
    <row r="1000" spans="10:14" x14ac:dyDescent="0.25">
      <c r="J1000">
        <f t="shared" si="95"/>
        <v>236.75</v>
      </c>
      <c r="K1000">
        <f t="shared" si="91"/>
        <v>776.54</v>
      </c>
      <c r="L1000">
        <f t="shared" si="92"/>
        <v>4.5934157829123299</v>
      </c>
      <c r="M1000">
        <f t="shared" si="93"/>
        <v>0.83650224497334469</v>
      </c>
      <c r="N1000">
        <f t="shared" si="94"/>
        <v>4.6689618289887029</v>
      </c>
    </row>
    <row r="1001" spans="10:14" x14ac:dyDescent="0.25">
      <c r="J1001">
        <f t="shared" si="95"/>
        <v>237</v>
      </c>
      <c r="K1001">
        <f t="shared" si="91"/>
        <v>777.3599999999999</v>
      </c>
      <c r="L1001">
        <f t="shared" si="92"/>
        <v>4.5900139594826648</v>
      </c>
      <c r="M1001">
        <f t="shared" si="93"/>
        <v>0.83652412906924023</v>
      </c>
      <c r="N1001">
        <f t="shared" si="94"/>
        <v>4.6656190121741385</v>
      </c>
    </row>
    <row r="1002" spans="10:14" x14ac:dyDescent="0.25">
      <c r="J1002">
        <f t="shared" si="95"/>
        <v>237.25</v>
      </c>
      <c r="K1002">
        <f t="shared" si="91"/>
        <v>778.18</v>
      </c>
      <c r="L1002">
        <f t="shared" si="92"/>
        <v>4.5855556325572415</v>
      </c>
      <c r="M1002">
        <f t="shared" si="93"/>
        <v>0.83635288934857122</v>
      </c>
      <c r="N1002">
        <f t="shared" si="94"/>
        <v>4.6612022713886967</v>
      </c>
    </row>
    <row r="1003" spans="10:14" x14ac:dyDescent="0.25">
      <c r="J1003">
        <f t="shared" si="95"/>
        <v>237.5</v>
      </c>
      <c r="K1003">
        <f t="shared" si="91"/>
        <v>779</v>
      </c>
      <c r="L1003">
        <f t="shared" si="92"/>
        <v>4.5800427817264318</v>
      </c>
      <c r="M1003">
        <f t="shared" si="93"/>
        <v>0.83598873907375015</v>
      </c>
      <c r="N1003">
        <f t="shared" si="94"/>
        <v>4.6557135923832886</v>
      </c>
    </row>
    <row r="1004" spans="10:14" x14ac:dyDescent="0.25">
      <c r="J1004">
        <f t="shared" si="95"/>
        <v>237.75</v>
      </c>
      <c r="K1004">
        <f t="shared" si="91"/>
        <v>779.81999999999994</v>
      </c>
      <c r="L1004">
        <f t="shared" si="92"/>
        <v>4.5734776282272165</v>
      </c>
      <c r="M1004">
        <f t="shared" si="93"/>
        <v>0.83543193584699971</v>
      </c>
      <c r="N1004">
        <f t="shared" si="94"/>
        <v>4.6491552066292545</v>
      </c>
    </row>
    <row r="1005" spans="10:14" x14ac:dyDescent="0.25">
      <c r="J1005">
        <f t="shared" si="95"/>
        <v>238</v>
      </c>
      <c r="K1005">
        <f t="shared" si="91"/>
        <v>780.64</v>
      </c>
      <c r="L1005">
        <f t="shared" si="92"/>
        <v>4.5658626342130351</v>
      </c>
      <c r="M1005">
        <f t="shared" si="93"/>
        <v>0.83468278151103892</v>
      </c>
      <c r="N1005">
        <f t="shared" si="94"/>
        <v>4.6415295905825911</v>
      </c>
    </row>
    <row r="1006" spans="10:14" x14ac:dyDescent="0.25">
      <c r="J1006">
        <f t="shared" si="95"/>
        <v>238.25</v>
      </c>
      <c r="K1006">
        <f t="shared" si="91"/>
        <v>781.45999999999992</v>
      </c>
      <c r="L1006">
        <f t="shared" si="92"/>
        <v>4.5572005019686994</v>
      </c>
      <c r="M1006">
        <f t="shared" si="93"/>
        <v>0.8337416220395778</v>
      </c>
      <c r="N1006">
        <f t="shared" si="94"/>
        <v>4.6328394648924487</v>
      </c>
    </row>
    <row r="1007" spans="10:14" x14ac:dyDescent="0.25">
      <c r="J1007">
        <f t="shared" si="95"/>
        <v>238.5</v>
      </c>
      <c r="K1007">
        <f t="shared" si="91"/>
        <v>782.28</v>
      </c>
      <c r="L1007">
        <f t="shared" si="92"/>
        <v>4.5474941730705822</v>
      </c>
      <c r="M1007">
        <f t="shared" si="93"/>
        <v>0.83260884741776287</v>
      </c>
      <c r="N1007">
        <f t="shared" si="94"/>
        <v>4.6230877935541344</v>
      </c>
    </row>
    <row r="1008" spans="10:14" x14ac:dyDescent="0.25">
      <c r="J1008">
        <f t="shared" si="95"/>
        <v>238.75</v>
      </c>
      <c r="K1008">
        <f t="shared" si="91"/>
        <v>783.09999999999991</v>
      </c>
      <c r="L1008">
        <f t="shared" si="92"/>
        <v>4.5367468274922995</v>
      </c>
      <c r="M1008">
        <f t="shared" si="93"/>
        <v>0.8312848915125689</v>
      </c>
      <c r="N1008">
        <f t="shared" si="94"/>
        <v>4.6122777830068422</v>
      </c>
    </row>
    <row r="1009" spans="10:14" x14ac:dyDescent="0.25">
      <c r="J1009">
        <f t="shared" si="95"/>
        <v>239</v>
      </c>
      <c r="K1009">
        <f t="shared" si="91"/>
        <v>783.92</v>
      </c>
      <c r="L1009">
        <f t="shared" si="92"/>
        <v>4.5249618826561919</v>
      </c>
      <c r="M1009">
        <f t="shared" si="93"/>
        <v>0.82977023193313793</v>
      </c>
      <c r="N1009">
        <f t="shared" si="94"/>
        <v>4.6004128811764105</v>
      </c>
    </row>
    <row r="1010" spans="10:14" x14ac:dyDescent="0.25">
      <c r="J1010">
        <f t="shared" si="95"/>
        <v>239.25</v>
      </c>
      <c r="K1010">
        <f t="shared" si="91"/>
        <v>784.74</v>
      </c>
      <c r="L1010">
        <f t="shared" si="92"/>
        <v>4.5121429924308325</v>
      </c>
      <c r="M1010">
        <f t="shared" si="93"/>
        <v>0.82806538988122047</v>
      </c>
      <c r="N1010">
        <f t="shared" si="94"/>
        <v>4.587496776463369</v>
      </c>
    </row>
    <row r="1011" spans="10:14" x14ac:dyDescent="0.25">
      <c r="J1011">
        <f t="shared" si="95"/>
        <v>239.5</v>
      </c>
      <c r="K1011">
        <f t="shared" si="91"/>
        <v>785.56</v>
      </c>
      <c r="L1011">
        <f t="shared" si="92"/>
        <v>4.4982940460748573</v>
      </c>
      <c r="M1011">
        <f t="shared" si="93"/>
        <v>0.82617092999161124</v>
      </c>
      <c r="N1011">
        <f t="shared" si="94"/>
        <v>4.573533396676547</v>
      </c>
    </row>
    <row r="1012" spans="10:14" x14ac:dyDescent="0.25">
      <c r="J1012">
        <f t="shared" si="95"/>
        <v>239.75</v>
      </c>
      <c r="K1012">
        <f t="shared" si="91"/>
        <v>786.38</v>
      </c>
      <c r="L1012">
        <f t="shared" si="92"/>
        <v>4.4834191671274066</v>
      </c>
      <c r="M1012">
        <f t="shared" si="93"/>
        <v>0.82408746016274925</v>
      </c>
      <c r="N1012">
        <f t="shared" si="94"/>
        <v>4.5585269079125661</v>
      </c>
    </row>
    <row r="1013" spans="10:14" x14ac:dyDescent="0.25">
      <c r="J1013">
        <f t="shared" si="95"/>
        <v>240</v>
      </c>
      <c r="K1013">
        <f t="shared" ref="K1013:K1052" si="96">J1013*3.28</f>
        <v>787.19999999999993</v>
      </c>
      <c r="L1013">
        <f t="shared" ref="L1013:L1052" si="97">$Y$7*EXP($Y$11*(J1013-$Y$4))*COS(PI()/180*($Y$8+$Y$5*(J1013-$Y$4)))+$Y$9*EXP($Y$12*(J1013-$Y$4))*COS(PI()/180*($Y$10+$Y$6*(J1013-$Y$4)))</f>
        <v>4.4675227122454935</v>
      </c>
      <c r="M1013">
        <f t="shared" ref="M1013:M1052" si="98">$Y$13+$Y$7*EXP($Y$11*(J1013-$Y$4))*SIN(PI()/180*($Y$8+$Y$5*(J1013-$Y$4)))+$Y$9*EXP($Y$12*(J1013-$Y$4))*SIN(PI()/180*($Y$10+$Y$6*(J1013-$Y$4)))</f>
        <v>0.8218156313774776</v>
      </c>
      <c r="N1013">
        <f t="shared" ref="N1013:N1052" si="99">SQRT(L1013*L1013+M1013*M1013)</f>
        <v>4.5424817133815401</v>
      </c>
    </row>
    <row r="1014" spans="10:14" x14ac:dyDescent="0.25">
      <c r="J1014">
        <f t="shared" ref="J1014:J1052" si="100">J1013+$I$52</f>
        <v>240.25</v>
      </c>
      <c r="K1014">
        <f t="shared" si="96"/>
        <v>788.02</v>
      </c>
      <c r="L1014">
        <f t="shared" si="97"/>
        <v>4.4506092699885897</v>
      </c>
      <c r="M1014">
        <f t="shared" si="98"/>
        <v>0.81935613751398539</v>
      </c>
      <c r="N1014">
        <f t="shared" si="99"/>
        <v>4.5254024521792759</v>
      </c>
    </row>
    <row r="1015" spans="10:14" x14ac:dyDescent="0.25">
      <c r="J1015">
        <f t="shared" si="100"/>
        <v>240.5</v>
      </c>
      <c r="K1015">
        <f t="shared" si="96"/>
        <v>788.83999999999992</v>
      </c>
      <c r="L1015">
        <f t="shared" si="97"/>
        <v>4.4326836595507748</v>
      </c>
      <c r="M1015">
        <f t="shared" si="98"/>
        <v>0.81670971514707191</v>
      </c>
      <c r="N1015">
        <f t="shared" si="99"/>
        <v>4.5072939980063493</v>
      </c>
    </row>
    <row r="1016" spans="10:14" x14ac:dyDescent="0.25">
      <c r="J1016">
        <f t="shared" si="100"/>
        <v>240.75</v>
      </c>
      <c r="K1016">
        <f t="shared" si="96"/>
        <v>789.66</v>
      </c>
      <c r="L1016">
        <f t="shared" si="97"/>
        <v>4.4137509294408046</v>
      </c>
      <c r="M1016">
        <f t="shared" si="98"/>
        <v>0.81387714333969718</v>
      </c>
      <c r="N1016">
        <f t="shared" si="99"/>
        <v>4.4881614578344164</v>
      </c>
    </row>
    <row r="1017" spans="10:14" x14ac:dyDescent="0.25">
      <c r="J1017">
        <f t="shared" si="100"/>
        <v>241</v>
      </c>
      <c r="K1017">
        <f t="shared" si="96"/>
        <v>790.4799999999999</v>
      </c>
      <c r="L1017">
        <f t="shared" si="97"/>
        <v>4.3938163561104053</v>
      </c>
      <c r="M1017">
        <f t="shared" si="98"/>
        <v>0.81085924342490823</v>
      </c>
      <c r="N1017">
        <f t="shared" si="99"/>
        <v>4.4680101705200865</v>
      </c>
    </row>
    <row r="1018" spans="10:14" x14ac:dyDescent="0.25">
      <c r="J1018">
        <f t="shared" si="100"/>
        <v>241.25</v>
      </c>
      <c r="K1018">
        <f t="shared" si="96"/>
        <v>791.3</v>
      </c>
      <c r="L1018">
        <f t="shared" si="97"/>
        <v>4.3728854425311958</v>
      </c>
      <c r="M1018">
        <f t="shared" si="98"/>
        <v>0.80765687877823611</v>
      </c>
      <c r="N1018">
        <f t="shared" si="99"/>
        <v>4.4468457053667887</v>
      </c>
    </row>
    <row r="1019" spans="10:14" x14ac:dyDescent="0.25">
      <c r="J1019">
        <f t="shared" si="100"/>
        <v>241.5</v>
      </c>
      <c r="K1019">
        <f t="shared" si="96"/>
        <v>792.12</v>
      </c>
      <c r="L1019">
        <f t="shared" si="97"/>
        <v>4.350963916720616</v>
      </c>
      <c r="M1019">
        <f t="shared" si="98"/>
        <v>0.80427095458054243</v>
      </c>
      <c r="N1019">
        <f t="shared" si="99"/>
        <v>4.4246738606350071</v>
      </c>
    </row>
    <row r="1020" spans="10:14" x14ac:dyDescent="0.25">
      <c r="J1020">
        <f t="shared" si="100"/>
        <v>241.75</v>
      </c>
      <c r="K1020">
        <f t="shared" si="96"/>
        <v>792.93999999999994</v>
      </c>
      <c r="L1020">
        <f t="shared" si="97"/>
        <v>4.3280577302171865</v>
      </c>
      <c r="M1020">
        <f t="shared" si="98"/>
        <v>0.80070241757149485</v>
      </c>
      <c r="N1020">
        <f t="shared" si="99"/>
        <v>4.4015006620012658</v>
      </c>
    </row>
    <row r="1021" spans="10:14" x14ac:dyDescent="0.25">
      <c r="J1021">
        <f t="shared" si="100"/>
        <v>242</v>
      </c>
      <c r="K1021">
        <f t="shared" si="96"/>
        <v>793.76</v>
      </c>
      <c r="L1021">
        <f t="shared" si="97"/>
        <v>4.3041730565056007</v>
      </c>
      <c r="M1021">
        <f t="shared" si="98"/>
        <v>0.79695225579360796</v>
      </c>
      <c r="N1021">
        <f t="shared" si="99"/>
        <v>4.3773323609663555</v>
      </c>
    </row>
    <row r="1022" spans="10:14" x14ac:dyDescent="0.25">
      <c r="J1022">
        <f t="shared" si="100"/>
        <v>242.25</v>
      </c>
      <c r="K1022">
        <f t="shared" si="96"/>
        <v>794.57999999999993</v>
      </c>
      <c r="L1022">
        <f t="shared" si="97"/>
        <v>4.2793162893919412</v>
      </c>
      <c r="M1022">
        <f t="shared" si="98"/>
        <v>0.79302149832701363</v>
      </c>
      <c r="N1022">
        <f t="shared" si="99"/>
        <v>4.3521754332131453</v>
      </c>
    </row>
    <row r="1023" spans="10:14" x14ac:dyDescent="0.25">
      <c r="J1023">
        <f t="shared" si="100"/>
        <v>242.5</v>
      </c>
      <c r="K1023">
        <f t="shared" si="96"/>
        <v>795.4</v>
      </c>
      <c r="L1023">
        <f t="shared" si="97"/>
        <v>4.2534940413295477</v>
      </c>
      <c r="M1023">
        <f t="shared" si="98"/>
        <v>0.78891121501500105</v>
      </c>
      <c r="N1023">
        <f t="shared" si="99"/>
        <v>4.3260365769145332</v>
      </c>
    </row>
    <row r="1024" spans="10:14" x14ac:dyDescent="0.25">
      <c r="J1024">
        <f t="shared" si="100"/>
        <v>242.75</v>
      </c>
      <c r="K1024">
        <f t="shared" si="96"/>
        <v>796.21999999999991</v>
      </c>
      <c r="L1024">
        <f t="shared" si="97"/>
        <v>4.2267131416958925</v>
      </c>
      <c r="M1024">
        <f t="shared" si="98"/>
        <v>0.78462251618035539</v>
      </c>
      <c r="N1024">
        <f t="shared" si="99"/>
        <v>4.298922710991901</v>
      </c>
    </row>
    <row r="1025" spans="10:14" x14ac:dyDescent="0.25">
      <c r="J1025">
        <f t="shared" si="100"/>
        <v>243</v>
      </c>
      <c r="K1025">
        <f t="shared" si="96"/>
        <v>797.04</v>
      </c>
      <c r="L1025">
        <f t="shared" si="97"/>
        <v>4.198980635020928</v>
      </c>
      <c r="M1025">
        <f t="shared" si="98"/>
        <v>0.78015655233266945</v>
      </c>
      <c r="N1025">
        <f t="shared" si="99"/>
        <v>4.2708409733246162</v>
      </c>
    </row>
    <row r="1026" spans="10:14" x14ac:dyDescent="0.25">
      <c r="J1026">
        <f t="shared" si="100"/>
        <v>243.25</v>
      </c>
      <c r="K1026">
        <f t="shared" si="96"/>
        <v>797.8599999999999</v>
      </c>
      <c r="L1026">
        <f t="shared" si="97"/>
        <v>4.1703037791673783</v>
      </c>
      <c r="M1026">
        <f t="shared" si="98"/>
        <v>0.77551451386657932</v>
      </c>
      <c r="N1026">
        <f t="shared" si="99"/>
        <v>4.2417987189110509</v>
      </c>
    </row>
    <row r="1027" spans="10:14" x14ac:dyDescent="0.25">
      <c r="J1027">
        <f t="shared" si="100"/>
        <v>243.5</v>
      </c>
      <c r="K1027">
        <f t="shared" si="96"/>
        <v>798.68</v>
      </c>
      <c r="L1027">
        <f t="shared" si="97"/>
        <v>4.1406900434634055</v>
      </c>
      <c r="M1027">
        <f t="shared" si="98"/>
        <v>0.77069763075110853</v>
      </c>
      <c r="N1027">
        <f t="shared" si="99"/>
        <v>4.21180351798162</v>
      </c>
    </row>
    <row r="1028" spans="10:14" x14ac:dyDescent="0.25">
      <c r="J1028">
        <f t="shared" si="100"/>
        <v>243.75</v>
      </c>
      <c r="K1028">
        <f t="shared" si="96"/>
        <v>799.5</v>
      </c>
      <c r="L1028">
        <f t="shared" si="97"/>
        <v>4.1101471067881583</v>
      </c>
      <c r="M1028">
        <f t="shared" si="98"/>
        <v>0.76570717221013251</v>
      </c>
      <c r="N1028">
        <f t="shared" si="99"/>
        <v>4.1808631540643741</v>
      </c>
    </row>
    <row r="1029" spans="10:14" x14ac:dyDescent="0.25">
      <c r="J1029">
        <f t="shared" si="100"/>
        <v>244</v>
      </c>
      <c r="K1029">
        <f t="shared" si="96"/>
        <v>800.31999999999994</v>
      </c>
      <c r="L1029">
        <f t="shared" si="97"/>
        <v>4.0786828556106496</v>
      </c>
      <c r="M1029">
        <f t="shared" si="98"/>
        <v>0.76054444639406449</v>
      </c>
      <c r="N1029">
        <f t="shared" si="99"/>
        <v>4.1489856220036598</v>
      </c>
    </row>
    <row r="1030" spans="10:14" x14ac:dyDescent="0.25">
      <c r="J1030">
        <f t="shared" si="100"/>
        <v>244.25</v>
      </c>
      <c r="K1030">
        <f t="shared" si="96"/>
        <v>801.14</v>
      </c>
      <c r="L1030">
        <f t="shared" si="97"/>
        <v>4.0463053819824983</v>
      </c>
      <c r="M1030">
        <f t="shared" si="98"/>
        <v>0.75521080004289354</v>
      </c>
      <c r="N1030">
        <f t="shared" si="99"/>
        <v>4.1161791259324421</v>
      </c>
    </row>
    <row r="1031" spans="10:14" x14ac:dyDescent="0.25">
      <c r="J1031">
        <f t="shared" si="100"/>
        <v>244.5</v>
      </c>
      <c r="K1031">
        <f t="shared" si="96"/>
        <v>801.95999999999992</v>
      </c>
      <c r="L1031">
        <f t="shared" si="97"/>
        <v>4.0130229814850029</v>
      </c>
      <c r="M1031">
        <f t="shared" si="98"/>
        <v>0.74970761814055786</v>
      </c>
      <c r="N1031">
        <f t="shared" si="99"/>
        <v>4.0824520771987967</v>
      </c>
    </row>
    <row r="1032" spans="10:14" x14ac:dyDescent="0.25">
      <c r="J1032">
        <f t="shared" si="100"/>
        <v>244.75</v>
      </c>
      <c r="K1032">
        <f t="shared" si="96"/>
        <v>802.78</v>
      </c>
      <c r="L1032">
        <f t="shared" si="97"/>
        <v>3.9788441511310895</v>
      </c>
      <c r="M1032">
        <f t="shared" si="98"/>
        <v>0.74403632356083993</v>
      </c>
      <c r="N1032">
        <f t="shared" si="99"/>
        <v>4.0478130922472211</v>
      </c>
    </row>
    <row r="1033" spans="10:14" x14ac:dyDescent="0.25">
      <c r="J1033">
        <f t="shared" si="100"/>
        <v>245</v>
      </c>
      <c r="K1033">
        <f t="shared" si="96"/>
        <v>803.59999999999991</v>
      </c>
      <c r="L1033">
        <f t="shared" si="97"/>
        <v>3.9437775872226446</v>
      </c>
      <c r="M1033">
        <f t="shared" si="98"/>
        <v>0.73819837670483124</v>
      </c>
      <c r="N1033">
        <f t="shared" si="99"/>
        <v>4.0122709904553195</v>
      </c>
    </row>
    <row r="1034" spans="10:14" x14ac:dyDescent="0.25">
      <c r="J1034">
        <f t="shared" si="100"/>
        <v>245.25</v>
      </c>
      <c r="K1034">
        <f t="shared" si="96"/>
        <v>804.42</v>
      </c>
      <c r="L1034">
        <f t="shared" si="97"/>
        <v>3.9078321831637832</v>
      </c>
      <c r="M1034">
        <f t="shared" si="98"/>
        <v>0.73219527513003002</v>
      </c>
      <c r="N1034">
        <f t="shared" si="99"/>
        <v>3.9758347919265158</v>
      </c>
    </row>
    <row r="1035" spans="10:14" x14ac:dyDescent="0.25">
      <c r="J1035">
        <f t="shared" si="100"/>
        <v>245.5</v>
      </c>
      <c r="K1035">
        <f t="shared" si="96"/>
        <v>805.2399999999999</v>
      </c>
      <c r="L1035">
        <f t="shared" si="97"/>
        <v>3.8710170272305433</v>
      </c>
      <c r="M1035">
        <f t="shared" si="98"/>
        <v>0.72602855317124559</v>
      </c>
      <c r="N1035">
        <f t="shared" si="99"/>
        <v>3.9385137152393828</v>
      </c>
    </row>
    <row r="1036" spans="10:14" x14ac:dyDescent="0.25">
      <c r="J1036">
        <f t="shared" si="100"/>
        <v>245.75</v>
      </c>
      <c r="K1036">
        <f t="shared" si="96"/>
        <v>806.06</v>
      </c>
      <c r="L1036">
        <f t="shared" si="97"/>
        <v>3.8333414002976669</v>
      </c>
      <c r="M1036">
        <f t="shared" si="98"/>
        <v>0.71969978155330483</v>
      </c>
      <c r="N1036">
        <f t="shared" si="99"/>
        <v>3.9003171751543428</v>
      </c>
    </row>
    <row r="1037" spans="10:14" x14ac:dyDescent="0.25">
      <c r="J1037">
        <f t="shared" si="100"/>
        <v>246</v>
      </c>
      <c r="K1037">
        <f t="shared" si="96"/>
        <v>806.88</v>
      </c>
      <c r="L1037">
        <f t="shared" si="97"/>
        <v>3.7948147735229112</v>
      </c>
      <c r="M1037">
        <f t="shared" si="98"/>
        <v>0.71321056699573726</v>
      </c>
      <c r="N1037">
        <f t="shared" si="99"/>
        <v>3.8612547802783133</v>
      </c>
    </row>
    <row r="1038" spans="10:14" x14ac:dyDescent="0.25">
      <c r="J1038">
        <f t="shared" si="100"/>
        <v>246.25</v>
      </c>
      <c r="K1038">
        <f t="shared" si="96"/>
        <v>807.69999999999993</v>
      </c>
      <c r="L1038">
        <f t="shared" si="97"/>
        <v>3.7554468059895481</v>
      </c>
      <c r="M1038">
        <f t="shared" si="98"/>
        <v>0.706562551809504</v>
      </c>
      <c r="N1038">
        <f t="shared" si="99"/>
        <v>3.8213363306880823</v>
      </c>
    </row>
    <row r="1039" spans="10:14" x14ac:dyDescent="0.25">
      <c r="J1039">
        <f t="shared" si="100"/>
        <v>246.5</v>
      </c>
      <c r="K1039">
        <f t="shared" si="96"/>
        <v>808.52</v>
      </c>
      <c r="L1039">
        <f t="shared" si="97"/>
        <v>3.7152473423075913</v>
      </c>
      <c r="M1039">
        <f t="shared" si="98"/>
        <v>0.69975741348584197</v>
      </c>
      <c r="N1039">
        <f t="shared" si="99"/>
        <v>3.7805718155130998</v>
      </c>
    </row>
    <row r="1040" spans="10:14" x14ac:dyDescent="0.25">
      <c r="J1040">
        <f t="shared" si="100"/>
        <v>246.75</v>
      </c>
      <c r="K1040">
        <f t="shared" si="96"/>
        <v>809.33999999999992</v>
      </c>
      <c r="L1040">
        <f t="shared" si="97"/>
        <v>3.6742264101743549</v>
      </c>
      <c r="M1040">
        <f t="shared" si="98"/>
        <v>0.69279686427741594</v>
      </c>
      <c r="N1040">
        <f t="shared" si="99"/>
        <v>3.7389714104784684</v>
      </c>
    </row>
    <row r="1041" spans="10:14" x14ac:dyDescent="0.25">
      <c r="J1041">
        <f t="shared" si="100"/>
        <v>247</v>
      </c>
      <c r="K1041">
        <f t="shared" si="96"/>
        <v>810.16</v>
      </c>
      <c r="L1041">
        <f t="shared" si="97"/>
        <v>3.6323942178949524</v>
      </c>
      <c r="M1041">
        <f t="shared" si="98"/>
        <v>0.68568265077176549</v>
      </c>
      <c r="N1041">
        <f t="shared" si="99"/>
        <v>3.6965454754089091</v>
      </c>
    </row>
    <row r="1042" spans="10:14" x14ac:dyDescent="0.25">
      <c r="J1042">
        <f t="shared" si="100"/>
        <v>247.25</v>
      </c>
      <c r="K1042">
        <f t="shared" si="96"/>
        <v>810.9799999999999</v>
      </c>
      <c r="L1042">
        <f t="shared" si="97"/>
        <v>3.5897611518633017</v>
      </c>
      <c r="M1042">
        <f t="shared" si="98"/>
        <v>0.67841655345723662</v>
      </c>
      <c r="N1042">
        <f t="shared" si="99"/>
        <v>3.6533045516944975</v>
      </c>
    </row>
    <row r="1043" spans="10:14" x14ac:dyDescent="0.25">
      <c r="J1043">
        <f t="shared" si="100"/>
        <v>247.5</v>
      </c>
      <c r="K1043">
        <f t="shared" si="96"/>
        <v>811.8</v>
      </c>
      <c r="L1043">
        <f t="shared" si="97"/>
        <v>3.5463377740043485</v>
      </c>
      <c r="M1043">
        <f t="shared" si="98"/>
        <v>0.67100038628149017</v>
      </c>
      <c r="N1043">
        <f t="shared" si="99"/>
        <v>3.6092593597191134</v>
      </c>
    </row>
    <row r="1044" spans="10:14" x14ac:dyDescent="0.25">
      <c r="J1044">
        <f t="shared" si="100"/>
        <v>247.75</v>
      </c>
      <c r="K1044">
        <f t="shared" si="96"/>
        <v>812.62</v>
      </c>
      <c r="L1044">
        <f t="shared" si="97"/>
        <v>3.5021348191780133</v>
      </c>
      <c r="M1044">
        <f t="shared" si="98"/>
        <v>0.66343599620263927</v>
      </c>
      <c r="N1044">
        <f t="shared" si="99"/>
        <v>3.5644207962523735</v>
      </c>
    </row>
    <row r="1045" spans="10:14" x14ac:dyDescent="0.25">
      <c r="J1045">
        <f t="shared" si="100"/>
        <v>248</v>
      </c>
      <c r="K1045">
        <f t="shared" si="96"/>
        <v>813.43999999999994</v>
      </c>
      <c r="L1045">
        <f t="shared" si="97"/>
        <v>3.4571631925455684</v>
      </c>
      <c r="M1045">
        <f t="shared" si="98"/>
        <v>0.6557252627332335</v>
      </c>
      <c r="N1045">
        <f t="shared" si="99"/>
        <v>3.5187999318060745</v>
      </c>
    </row>
    <row r="1046" spans="10:14" x14ac:dyDescent="0.25">
      <c r="J1046">
        <f t="shared" si="100"/>
        <v>248.25</v>
      </c>
      <c r="K1046">
        <f t="shared" si="96"/>
        <v>814.26</v>
      </c>
      <c r="L1046">
        <f t="shared" si="97"/>
        <v>3.4114339668990832</v>
      </c>
      <c r="M1046">
        <f t="shared" si="98"/>
        <v>0.64787009747707702</v>
      </c>
      <c r="N1046">
        <f t="shared" si="99"/>
        <v>3.4724080079561173</v>
      </c>
    </row>
    <row r="1047" spans="10:14" x14ac:dyDescent="0.25">
      <c r="J1047">
        <f t="shared" si="100"/>
        <v>248.5</v>
      </c>
      <c r="K1047">
        <f t="shared" si="96"/>
        <v>815.07999999999993</v>
      </c>
      <c r="L1047">
        <f t="shared" si="97"/>
        <v>3.3649583799545724</v>
      </c>
      <c r="M1047">
        <f t="shared" si="98"/>
        <v>0.63987244365910123</v>
      </c>
      <c r="N1047">
        <f t="shared" si="99"/>
        <v>3.4252564346309562</v>
      </c>
    </row>
    <row r="1048" spans="10:14" x14ac:dyDescent="0.25">
      <c r="J1048">
        <f t="shared" si="100"/>
        <v>248.75</v>
      </c>
      <c r="K1048">
        <f t="shared" si="96"/>
        <v>815.9</v>
      </c>
      <c r="L1048">
        <f t="shared" si="97"/>
        <v>3.3177478316095002</v>
      </c>
      <c r="M1048">
        <f t="shared" si="98"/>
        <v>0.63173427564833307</v>
      </c>
      <c r="N1048">
        <f t="shared" si="99"/>
        <v>3.3773567873676691</v>
      </c>
    </row>
    <row r="1049" spans="10:14" x14ac:dyDescent="0.25">
      <c r="J1049">
        <f t="shared" si="100"/>
        <v>249</v>
      </c>
      <c r="K1049">
        <f t="shared" si="96"/>
        <v>816.71999999999991</v>
      </c>
      <c r="L1049">
        <f t="shared" si="97"/>
        <v>3.2698138811653119</v>
      </c>
      <c r="M1049">
        <f t="shared" si="98"/>
        <v>0.62345759847410243</v>
      </c>
      <c r="N1049">
        <f t="shared" si="99"/>
        <v>3.3287208045368506</v>
      </c>
    </row>
    <row r="1050" spans="10:14" x14ac:dyDescent="0.25">
      <c r="J1050">
        <f t="shared" si="100"/>
        <v>249.25</v>
      </c>
      <c r="K1050">
        <f t="shared" si="96"/>
        <v>817.54</v>
      </c>
      <c r="L1050">
        <f t="shared" si="97"/>
        <v>3.2211682445156908</v>
      </c>
      <c r="M1050">
        <f t="shared" si="98"/>
        <v>0.61504444733564645</v>
      </c>
      <c r="N1050">
        <f t="shared" si="99"/>
        <v>3.2793603845376174</v>
      </c>
    </row>
    <row r="1051" spans="10:14" x14ac:dyDescent="0.25">
      <c r="J1051">
        <f t="shared" si="100"/>
        <v>249.5</v>
      </c>
      <c r="K1051">
        <f t="shared" si="96"/>
        <v>818.3599999999999</v>
      </c>
      <c r="L1051">
        <f t="shared" si="97"/>
        <v>3.1718227913011603</v>
      </c>
      <c r="M1051">
        <f t="shared" si="98"/>
        <v>0.60649688710513128</v>
      </c>
      <c r="N1051">
        <f t="shared" si="99"/>
        <v>3.2292875829640346</v>
      </c>
    </row>
    <row r="1052" spans="10:14" x14ac:dyDescent="0.25">
      <c r="J1052">
        <f t="shared" si="100"/>
        <v>249.75</v>
      </c>
      <c r="K1052">
        <f t="shared" si="96"/>
        <v>819.18</v>
      </c>
      <c r="L1052">
        <f t="shared" si="97"/>
        <v>3.1217895420307888</v>
      </c>
      <c r="M1052">
        <f t="shared" si="98"/>
        <v>0.59781701182432245</v>
      </c>
      <c r="N1052">
        <f t="shared" si="99"/>
        <v>3.1785146097445209</v>
      </c>
    </row>
  </sheetData>
  <mergeCells count="8">
    <mergeCell ref="E5:F6"/>
    <mergeCell ref="S1:X1"/>
    <mergeCell ref="S2:X2"/>
    <mergeCell ref="A1:C2"/>
    <mergeCell ref="D1:K1"/>
    <mergeCell ref="D2:K2"/>
    <mergeCell ref="L2:R2"/>
    <mergeCell ref="L1:R1"/>
  </mergeCells>
  <dataValidations disablePrompts="1" count="1">
    <dataValidation type="list" allowBlank="1" showInputMessage="1" showErrorMessage="1" sqref="E5" xr:uid="{54C45AEE-365D-477A-9F48-4412FCA62362}">
      <formula1>INDIRECT("Penetrator_List[Penetrators]")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321DB-8A07-4A8E-9AC8-3CE444A3D57E}">
  <sheetPr codeName="Sheet3"/>
  <dimension ref="A1:K229"/>
  <sheetViews>
    <sheetView workbookViewId="0">
      <selection activeCell="E13" sqref="E13"/>
    </sheetView>
  </sheetViews>
  <sheetFormatPr defaultRowHeight="12.5" x14ac:dyDescent="0.25"/>
  <cols>
    <col min="1" max="1" width="23.453125" customWidth="1"/>
  </cols>
  <sheetData>
    <row r="1" spans="1:11" ht="15.5" x14ac:dyDescent="0.35">
      <c r="A1" s="72" t="s">
        <v>101</v>
      </c>
      <c r="B1" s="157" t="s">
        <v>97</v>
      </c>
      <c r="C1" s="158"/>
      <c r="D1" s="159" t="s">
        <v>98</v>
      </c>
      <c r="E1" s="158"/>
      <c r="F1" s="159" t="s">
        <v>102</v>
      </c>
      <c r="G1" s="157"/>
      <c r="H1" s="159" t="s">
        <v>103</v>
      </c>
      <c r="I1" s="158"/>
      <c r="J1" s="159" t="s">
        <v>99</v>
      </c>
      <c r="K1" s="158"/>
    </row>
    <row r="2" spans="1:11" x14ac:dyDescent="0.25">
      <c r="A2" s="68" t="str">
        <f>B1</f>
        <v>DM53</v>
      </c>
      <c r="B2" s="72" t="s">
        <v>65</v>
      </c>
      <c r="C2" s="93" t="s">
        <v>100</v>
      </c>
      <c r="D2" s="92" t="s">
        <v>65</v>
      </c>
      <c r="E2" s="93" t="s">
        <v>100</v>
      </c>
      <c r="F2" s="72" t="s">
        <v>65</v>
      </c>
      <c r="G2" s="72" t="s">
        <v>100</v>
      </c>
      <c r="H2" s="92" t="s">
        <v>65</v>
      </c>
      <c r="I2" s="93" t="s">
        <v>100</v>
      </c>
      <c r="J2" s="92" t="s">
        <v>65</v>
      </c>
      <c r="K2" s="93" t="s">
        <v>100</v>
      </c>
    </row>
    <row r="3" spans="1:11" x14ac:dyDescent="0.25">
      <c r="A3" s="68" t="str">
        <f>D1</f>
        <v>M829 A1/A2</v>
      </c>
      <c r="B3" s="98"/>
      <c r="C3" s="94"/>
      <c r="D3" s="95"/>
      <c r="E3" s="94"/>
      <c r="H3" s="99"/>
      <c r="I3" s="94"/>
      <c r="J3" s="99"/>
      <c r="K3" s="94"/>
    </row>
    <row r="4" spans="1:11" x14ac:dyDescent="0.25">
      <c r="A4" s="68" t="str">
        <f>F1</f>
        <v>M829 A3</v>
      </c>
      <c r="B4" s="98"/>
      <c r="C4" s="94"/>
      <c r="D4" s="95"/>
      <c r="E4" s="94"/>
      <c r="H4" s="99"/>
      <c r="I4" s="94"/>
      <c r="J4" s="99"/>
      <c r="K4" s="94"/>
    </row>
    <row r="5" spans="1:11" x14ac:dyDescent="0.25">
      <c r="A5" s="68" t="str">
        <f>H1</f>
        <v>M829 A4</v>
      </c>
      <c r="B5" s="98"/>
      <c r="C5" s="94"/>
      <c r="D5" s="95"/>
      <c r="E5" s="94"/>
      <c r="H5" s="99"/>
      <c r="I5" s="94"/>
      <c r="J5" s="99"/>
      <c r="K5" s="94"/>
    </row>
    <row r="6" spans="1:11" x14ac:dyDescent="0.25">
      <c r="A6" s="68" t="str">
        <f>J1</f>
        <v>KEWA1</v>
      </c>
      <c r="B6" s="95"/>
      <c r="C6" s="94"/>
      <c r="D6" s="95"/>
      <c r="E6" s="94"/>
      <c r="H6" s="99"/>
      <c r="I6" s="94"/>
      <c r="J6" s="99"/>
      <c r="K6" s="94"/>
    </row>
    <row r="7" spans="1:11" x14ac:dyDescent="0.25">
      <c r="B7" s="95"/>
      <c r="C7" s="94"/>
      <c r="D7" s="95"/>
      <c r="E7" s="94"/>
      <c r="H7" s="99"/>
      <c r="I7" s="94"/>
      <c r="J7" s="99"/>
      <c r="K7" s="94"/>
    </row>
    <row r="8" spans="1:11" x14ac:dyDescent="0.25">
      <c r="B8" s="95"/>
      <c r="C8" s="94"/>
      <c r="D8" s="95"/>
      <c r="E8" s="94"/>
      <c r="H8" s="99"/>
      <c r="I8" s="94"/>
      <c r="J8" s="99"/>
      <c r="K8" s="94"/>
    </row>
    <row r="9" spans="1:11" x14ac:dyDescent="0.25">
      <c r="B9" s="95"/>
      <c r="C9" s="94"/>
      <c r="D9" s="95"/>
      <c r="E9" s="94"/>
      <c r="H9" s="99"/>
      <c r="I9" s="94"/>
      <c r="J9" s="99"/>
      <c r="K9" s="94"/>
    </row>
    <row r="10" spans="1:11" x14ac:dyDescent="0.25">
      <c r="B10" s="95"/>
      <c r="C10" s="94"/>
      <c r="D10" s="95"/>
      <c r="E10" s="94"/>
      <c r="H10" s="99"/>
      <c r="I10" s="94"/>
      <c r="J10" s="99"/>
      <c r="K10" s="94"/>
    </row>
    <row r="11" spans="1:11" x14ac:dyDescent="0.25">
      <c r="B11" s="95"/>
      <c r="C11" s="94"/>
      <c r="D11" s="95"/>
      <c r="E11" s="94"/>
      <c r="H11" s="99"/>
      <c r="I11" s="94"/>
      <c r="J11" s="99"/>
      <c r="K11" s="94"/>
    </row>
    <row r="12" spans="1:11" x14ac:dyDescent="0.25">
      <c r="B12" s="95"/>
      <c r="C12" s="94"/>
      <c r="D12" s="95"/>
      <c r="E12" s="94"/>
      <c r="H12" s="99"/>
      <c r="I12" s="94"/>
      <c r="J12" s="99"/>
      <c r="K12" s="94"/>
    </row>
    <row r="13" spans="1:11" x14ac:dyDescent="0.25">
      <c r="B13" s="95"/>
      <c r="C13" s="94"/>
      <c r="D13" s="95"/>
      <c r="E13" s="94"/>
      <c r="H13" s="99"/>
      <c r="I13" s="94"/>
      <c r="J13" s="99"/>
      <c r="K13" s="94"/>
    </row>
    <row r="14" spans="1:11" x14ac:dyDescent="0.25">
      <c r="B14" s="95"/>
      <c r="C14" s="94"/>
      <c r="D14" s="95"/>
      <c r="E14" s="94"/>
      <c r="H14" s="99"/>
      <c r="I14" s="94"/>
      <c r="J14" s="99"/>
      <c r="K14" s="94"/>
    </row>
    <row r="15" spans="1:11" x14ac:dyDescent="0.25">
      <c r="B15" s="95"/>
      <c r="C15" s="94"/>
      <c r="D15" s="95"/>
      <c r="E15" s="94"/>
      <c r="H15" s="99"/>
      <c r="I15" s="94"/>
      <c r="J15" s="99"/>
      <c r="K15" s="94"/>
    </row>
    <row r="16" spans="1:11" x14ac:dyDescent="0.25">
      <c r="B16" s="95"/>
      <c r="C16" s="94"/>
      <c r="D16" s="95"/>
      <c r="E16" s="94"/>
      <c r="H16" s="99"/>
      <c r="I16" s="94"/>
      <c r="J16" s="99"/>
      <c r="K16" s="94"/>
    </row>
    <row r="17" spans="2:11" x14ac:dyDescent="0.25">
      <c r="B17" s="95"/>
      <c r="C17" s="94"/>
      <c r="D17" s="95"/>
      <c r="E17" s="94"/>
      <c r="H17" s="99"/>
      <c r="I17" s="94"/>
      <c r="J17" s="99"/>
      <c r="K17" s="94"/>
    </row>
    <row r="18" spans="2:11" x14ac:dyDescent="0.25">
      <c r="B18" s="95"/>
      <c r="C18" s="94"/>
      <c r="D18" s="95"/>
      <c r="E18" s="94"/>
      <c r="H18" s="99"/>
      <c r="I18" s="94"/>
      <c r="J18" s="99"/>
      <c r="K18" s="94"/>
    </row>
    <row r="19" spans="2:11" x14ac:dyDescent="0.25">
      <c r="B19" s="95"/>
      <c r="C19" s="94"/>
      <c r="D19" s="95"/>
      <c r="E19" s="94"/>
      <c r="H19" s="99"/>
      <c r="I19" s="94"/>
      <c r="J19" s="99"/>
      <c r="K19" s="94"/>
    </row>
    <row r="20" spans="2:11" x14ac:dyDescent="0.25">
      <c r="B20" s="95"/>
      <c r="C20" s="94"/>
      <c r="D20" s="95"/>
      <c r="E20" s="94"/>
      <c r="H20" s="99"/>
      <c r="I20" s="94"/>
      <c r="J20" s="99"/>
      <c r="K20" s="94"/>
    </row>
    <row r="21" spans="2:11" x14ac:dyDescent="0.25">
      <c r="B21" s="95"/>
      <c r="C21" s="94"/>
      <c r="D21" s="95"/>
      <c r="E21" s="94"/>
      <c r="H21" s="99"/>
      <c r="I21" s="94"/>
      <c r="J21" s="99"/>
      <c r="K21" s="94"/>
    </row>
    <row r="22" spans="2:11" x14ac:dyDescent="0.25">
      <c r="B22" s="95"/>
      <c r="C22" s="94"/>
      <c r="D22" s="95"/>
      <c r="E22" s="94"/>
      <c r="H22" s="99"/>
      <c r="I22" s="94"/>
      <c r="J22" s="99"/>
      <c r="K22" s="94"/>
    </row>
    <row r="23" spans="2:11" x14ac:dyDescent="0.25">
      <c r="B23" s="95"/>
      <c r="C23" s="94"/>
      <c r="D23" s="95"/>
      <c r="E23" s="94"/>
      <c r="H23" s="99"/>
      <c r="I23" s="94"/>
      <c r="J23" s="99"/>
      <c r="K23" s="94"/>
    </row>
    <row r="24" spans="2:11" x14ac:dyDescent="0.25">
      <c r="B24" s="95"/>
      <c r="C24" s="94"/>
      <c r="D24" s="95"/>
      <c r="E24" s="94"/>
      <c r="H24" s="99"/>
      <c r="I24" s="94"/>
      <c r="J24" s="99"/>
      <c r="K24" s="94"/>
    </row>
    <row r="25" spans="2:11" x14ac:dyDescent="0.25">
      <c r="B25" s="95"/>
      <c r="C25" s="94"/>
      <c r="D25" s="95"/>
      <c r="E25" s="94"/>
      <c r="H25" s="99"/>
      <c r="I25" s="94"/>
      <c r="J25" s="99"/>
      <c r="K25" s="94"/>
    </row>
    <row r="26" spans="2:11" x14ac:dyDescent="0.25">
      <c r="B26" s="95"/>
      <c r="C26" s="94"/>
      <c r="D26" s="95"/>
      <c r="E26" s="94"/>
      <c r="H26" s="99"/>
      <c r="I26" s="94"/>
      <c r="J26" s="99"/>
      <c r="K26" s="94"/>
    </row>
    <row r="27" spans="2:11" x14ac:dyDescent="0.25">
      <c r="B27" s="95"/>
      <c r="C27" s="94"/>
      <c r="D27" s="95"/>
      <c r="E27" s="94"/>
      <c r="H27" s="99"/>
      <c r="I27" s="94"/>
      <c r="J27" s="99"/>
      <c r="K27" s="94"/>
    </row>
    <row r="28" spans="2:11" x14ac:dyDescent="0.25">
      <c r="B28" s="95"/>
      <c r="C28" s="94"/>
      <c r="D28" s="95"/>
      <c r="E28" s="94"/>
      <c r="H28" s="99"/>
      <c r="I28" s="94"/>
      <c r="J28" s="99"/>
      <c r="K28" s="94"/>
    </row>
    <row r="29" spans="2:11" x14ac:dyDescent="0.25">
      <c r="B29" s="95"/>
      <c r="C29" s="94"/>
      <c r="D29" s="95"/>
      <c r="E29" s="94"/>
      <c r="H29" s="99"/>
      <c r="I29" s="94"/>
      <c r="J29" s="99"/>
      <c r="K29" s="94"/>
    </row>
    <row r="30" spans="2:11" x14ac:dyDescent="0.25">
      <c r="B30" s="95"/>
      <c r="C30" s="94"/>
      <c r="D30" s="95"/>
      <c r="E30" s="94"/>
      <c r="H30" s="99"/>
      <c r="I30" s="94"/>
      <c r="J30" s="99"/>
      <c r="K30" s="94"/>
    </row>
    <row r="31" spans="2:11" x14ac:dyDescent="0.25">
      <c r="B31" s="95"/>
      <c r="C31" s="94"/>
      <c r="D31" s="95"/>
      <c r="E31" s="94"/>
      <c r="H31" s="99"/>
      <c r="I31" s="94"/>
      <c r="J31" s="99"/>
      <c r="K31" s="94"/>
    </row>
    <row r="32" spans="2:11" x14ac:dyDescent="0.25">
      <c r="B32" s="95"/>
      <c r="C32" s="94"/>
      <c r="D32" s="95"/>
      <c r="E32" s="94"/>
      <c r="H32" s="99"/>
      <c r="I32" s="94"/>
      <c r="J32" s="99"/>
      <c r="K32" s="94"/>
    </row>
    <row r="33" spans="2:11" x14ac:dyDescent="0.25">
      <c r="B33" s="95"/>
      <c r="C33" s="94"/>
      <c r="D33" s="95"/>
      <c r="E33" s="94"/>
      <c r="H33" s="99"/>
      <c r="I33" s="94"/>
      <c r="J33" s="99"/>
      <c r="K33" s="94"/>
    </row>
    <row r="34" spans="2:11" x14ac:dyDescent="0.25">
      <c r="B34" s="95"/>
      <c r="C34" s="94"/>
      <c r="D34" s="95"/>
      <c r="E34" s="94"/>
      <c r="H34" s="99"/>
      <c r="I34" s="94"/>
      <c r="J34" s="99"/>
      <c r="K34" s="94"/>
    </row>
    <row r="35" spans="2:11" x14ac:dyDescent="0.25">
      <c r="B35" s="95"/>
      <c r="C35" s="94"/>
      <c r="D35" s="95"/>
      <c r="E35" s="94"/>
      <c r="H35" s="99"/>
      <c r="I35" s="94"/>
      <c r="J35" s="99"/>
      <c r="K35" s="94"/>
    </row>
    <row r="36" spans="2:11" x14ac:dyDescent="0.25">
      <c r="B36" s="95"/>
      <c r="C36" s="94"/>
      <c r="D36" s="95"/>
      <c r="E36" s="94"/>
      <c r="H36" s="99"/>
      <c r="I36" s="94"/>
      <c r="J36" s="99"/>
      <c r="K36" s="94"/>
    </row>
    <row r="37" spans="2:11" x14ac:dyDescent="0.25">
      <c r="B37" s="95"/>
      <c r="C37" s="94"/>
      <c r="D37" s="95"/>
      <c r="E37" s="94"/>
      <c r="H37" s="99"/>
      <c r="I37" s="94"/>
      <c r="J37" s="99"/>
      <c r="K37" s="94"/>
    </row>
    <row r="38" spans="2:11" x14ac:dyDescent="0.25">
      <c r="B38" s="95"/>
      <c r="C38" s="94"/>
      <c r="D38" s="95"/>
      <c r="E38" s="94"/>
      <c r="H38" s="99"/>
      <c r="I38" s="94"/>
      <c r="J38" s="99"/>
      <c r="K38" s="94"/>
    </row>
    <row r="39" spans="2:11" x14ac:dyDescent="0.25">
      <c r="B39" s="95"/>
      <c r="C39" s="94"/>
      <c r="D39" s="95"/>
      <c r="E39" s="94"/>
      <c r="H39" s="99"/>
      <c r="I39" s="94"/>
      <c r="J39" s="99"/>
      <c r="K39" s="94"/>
    </row>
    <row r="40" spans="2:11" x14ac:dyDescent="0.25">
      <c r="B40" s="95"/>
      <c r="C40" s="94"/>
      <c r="D40" s="95"/>
      <c r="E40" s="94"/>
      <c r="H40" s="99"/>
      <c r="I40" s="94"/>
      <c r="J40" s="99"/>
      <c r="K40" s="94"/>
    </row>
    <row r="41" spans="2:11" x14ac:dyDescent="0.25">
      <c r="B41" s="95"/>
      <c r="C41" s="94"/>
      <c r="D41" s="95"/>
      <c r="E41" s="94"/>
      <c r="H41" s="99"/>
      <c r="I41" s="94"/>
      <c r="J41" s="99"/>
      <c r="K41" s="94"/>
    </row>
    <row r="42" spans="2:11" x14ac:dyDescent="0.25">
      <c r="B42" s="95"/>
      <c r="C42" s="94"/>
      <c r="D42" s="95"/>
      <c r="E42" s="94"/>
      <c r="H42" s="99"/>
      <c r="I42" s="94"/>
      <c r="J42" s="99"/>
      <c r="K42" s="94"/>
    </row>
    <row r="43" spans="2:11" x14ac:dyDescent="0.25">
      <c r="B43" s="95"/>
      <c r="C43" s="94"/>
      <c r="D43" s="95"/>
      <c r="E43" s="94"/>
      <c r="H43" s="99"/>
      <c r="I43" s="94"/>
      <c r="J43" s="99"/>
      <c r="K43" s="94"/>
    </row>
    <row r="44" spans="2:11" x14ac:dyDescent="0.25">
      <c r="B44" s="95"/>
      <c r="C44" s="94"/>
      <c r="D44" s="95"/>
      <c r="E44" s="94"/>
      <c r="H44" s="99"/>
      <c r="I44" s="94"/>
      <c r="J44" s="99"/>
      <c r="K44" s="94"/>
    </row>
    <row r="45" spans="2:11" x14ac:dyDescent="0.25">
      <c r="B45" s="95"/>
      <c r="C45" s="94"/>
      <c r="D45" s="95"/>
      <c r="E45" s="94"/>
      <c r="H45" s="99"/>
      <c r="I45" s="94"/>
      <c r="J45" s="99"/>
      <c r="K45" s="94"/>
    </row>
    <row r="46" spans="2:11" x14ac:dyDescent="0.25">
      <c r="B46" s="95"/>
      <c r="C46" s="94"/>
      <c r="D46" s="95"/>
      <c r="E46" s="94"/>
      <c r="H46" s="99"/>
      <c r="I46" s="94"/>
      <c r="J46" s="99"/>
      <c r="K46" s="94"/>
    </row>
    <row r="47" spans="2:11" x14ac:dyDescent="0.25">
      <c r="B47" s="95"/>
      <c r="C47" s="94"/>
      <c r="D47" s="95"/>
      <c r="E47" s="94"/>
      <c r="H47" s="99"/>
      <c r="I47" s="94"/>
      <c r="J47" s="99"/>
      <c r="K47" s="94"/>
    </row>
    <row r="48" spans="2:11" x14ac:dyDescent="0.25">
      <c r="B48" s="95"/>
      <c r="C48" s="94"/>
      <c r="D48" s="95"/>
      <c r="E48" s="94"/>
      <c r="H48" s="99"/>
      <c r="I48" s="94"/>
      <c r="J48" s="99"/>
      <c r="K48" s="94"/>
    </row>
    <row r="49" spans="2:11" x14ac:dyDescent="0.25">
      <c r="B49" s="95"/>
      <c r="C49" s="94"/>
      <c r="D49" s="95"/>
      <c r="E49" s="94"/>
      <c r="H49" s="99"/>
      <c r="I49" s="94"/>
      <c r="J49" s="99"/>
      <c r="K49" s="94"/>
    </row>
    <row r="50" spans="2:11" x14ac:dyDescent="0.25">
      <c r="B50" s="95"/>
      <c r="C50" s="94"/>
      <c r="D50" s="95"/>
      <c r="E50" s="94"/>
      <c r="H50" s="99"/>
      <c r="I50" s="94"/>
      <c r="J50" s="99"/>
      <c r="K50" s="94"/>
    </row>
    <row r="51" spans="2:11" x14ac:dyDescent="0.25">
      <c r="B51" s="95"/>
      <c r="C51" s="94"/>
      <c r="D51" s="95"/>
      <c r="E51" s="94"/>
      <c r="H51" s="99"/>
      <c r="I51" s="94"/>
      <c r="J51" s="99"/>
      <c r="K51" s="94"/>
    </row>
    <row r="52" spans="2:11" x14ac:dyDescent="0.25">
      <c r="B52" s="95"/>
      <c r="C52" s="94"/>
      <c r="D52" s="95"/>
      <c r="E52" s="94"/>
      <c r="H52" s="99"/>
      <c r="I52" s="94"/>
      <c r="J52" s="99"/>
      <c r="K52" s="94"/>
    </row>
    <row r="53" spans="2:11" x14ac:dyDescent="0.25">
      <c r="B53" s="95"/>
      <c r="C53" s="94"/>
      <c r="D53" s="95"/>
      <c r="E53" s="94"/>
      <c r="H53" s="99"/>
      <c r="I53" s="94"/>
      <c r="J53" s="99"/>
      <c r="K53" s="94"/>
    </row>
    <row r="54" spans="2:11" x14ac:dyDescent="0.25">
      <c r="B54" s="95"/>
      <c r="C54" s="94"/>
      <c r="D54" s="95"/>
      <c r="E54" s="94"/>
      <c r="H54" s="99"/>
      <c r="I54" s="94"/>
      <c r="J54" s="99"/>
      <c r="K54" s="94"/>
    </row>
    <row r="55" spans="2:11" x14ac:dyDescent="0.25">
      <c r="B55" s="95"/>
      <c r="C55" s="94"/>
      <c r="D55" s="95"/>
      <c r="E55" s="94"/>
      <c r="H55" s="99"/>
      <c r="I55" s="94"/>
      <c r="J55" s="99"/>
      <c r="K55" s="94"/>
    </row>
    <row r="56" spans="2:11" x14ac:dyDescent="0.25">
      <c r="B56" s="95"/>
      <c r="C56" s="94"/>
      <c r="D56" s="95"/>
      <c r="E56" s="94"/>
      <c r="H56" s="99"/>
      <c r="I56" s="94"/>
      <c r="J56" s="99"/>
      <c r="K56" s="94"/>
    </row>
    <row r="57" spans="2:11" x14ac:dyDescent="0.25">
      <c r="B57" s="95"/>
      <c r="C57" s="94"/>
      <c r="D57" s="95"/>
      <c r="E57" s="94"/>
      <c r="H57" s="99"/>
      <c r="I57" s="94"/>
      <c r="J57" s="99"/>
      <c r="K57" s="94"/>
    </row>
    <row r="58" spans="2:11" x14ac:dyDescent="0.25">
      <c r="B58" s="95"/>
      <c r="C58" s="94"/>
      <c r="D58" s="95"/>
      <c r="E58" s="94"/>
      <c r="H58" s="99"/>
      <c r="I58" s="94"/>
      <c r="J58" s="99"/>
      <c r="K58" s="94"/>
    </row>
    <row r="59" spans="2:11" x14ac:dyDescent="0.25">
      <c r="B59" s="95"/>
      <c r="C59" s="94"/>
      <c r="D59" s="95"/>
      <c r="E59" s="94"/>
      <c r="H59" s="99"/>
      <c r="I59" s="94"/>
      <c r="J59" s="99"/>
      <c r="K59" s="94"/>
    </row>
    <row r="60" spans="2:11" x14ac:dyDescent="0.25">
      <c r="B60" s="95"/>
      <c r="C60" s="94"/>
      <c r="D60" s="95"/>
      <c r="E60" s="94"/>
      <c r="H60" s="99"/>
      <c r="I60" s="94"/>
      <c r="J60" s="99"/>
      <c r="K60" s="94"/>
    </row>
    <row r="61" spans="2:11" x14ac:dyDescent="0.25">
      <c r="B61" s="95"/>
      <c r="C61" s="94"/>
      <c r="D61" s="95"/>
      <c r="E61" s="94"/>
      <c r="H61" s="99"/>
      <c r="I61" s="94"/>
      <c r="J61" s="99"/>
      <c r="K61" s="94"/>
    </row>
    <row r="62" spans="2:11" x14ac:dyDescent="0.25">
      <c r="B62" s="95"/>
      <c r="C62" s="94"/>
      <c r="D62" s="95"/>
      <c r="E62" s="94"/>
      <c r="H62" s="99"/>
      <c r="I62" s="94"/>
      <c r="J62" s="99"/>
      <c r="K62" s="94"/>
    </row>
    <row r="63" spans="2:11" x14ac:dyDescent="0.25">
      <c r="B63" s="95"/>
      <c r="C63" s="94"/>
      <c r="D63" s="95"/>
      <c r="E63" s="94"/>
      <c r="H63" s="99"/>
      <c r="I63" s="94"/>
      <c r="J63" s="99"/>
      <c r="K63" s="94"/>
    </row>
    <row r="64" spans="2:11" x14ac:dyDescent="0.25">
      <c r="B64" s="95"/>
      <c r="C64" s="94"/>
      <c r="D64" s="95"/>
      <c r="E64" s="94"/>
      <c r="H64" s="99"/>
      <c r="I64" s="94"/>
      <c r="J64" s="99"/>
      <c r="K64" s="94"/>
    </row>
    <row r="65" spans="2:11" x14ac:dyDescent="0.25">
      <c r="B65" s="95"/>
      <c r="C65" s="94"/>
      <c r="D65" s="95"/>
      <c r="E65" s="94"/>
      <c r="H65" s="99"/>
      <c r="I65" s="94"/>
      <c r="J65" s="99"/>
      <c r="K65" s="94"/>
    </row>
    <row r="66" spans="2:11" x14ac:dyDescent="0.25">
      <c r="B66" s="95"/>
      <c r="C66" s="94"/>
      <c r="D66" s="95"/>
      <c r="E66" s="94"/>
      <c r="H66" s="99"/>
      <c r="I66" s="94"/>
      <c r="J66" s="99"/>
      <c r="K66" s="94"/>
    </row>
    <row r="67" spans="2:11" x14ac:dyDescent="0.25">
      <c r="B67" s="95"/>
      <c r="C67" s="94"/>
      <c r="D67" s="95"/>
      <c r="E67" s="94"/>
      <c r="H67" s="99"/>
      <c r="I67" s="94"/>
      <c r="J67" s="99"/>
      <c r="K67" s="94"/>
    </row>
    <row r="68" spans="2:11" x14ac:dyDescent="0.25">
      <c r="B68" s="95"/>
      <c r="C68" s="94"/>
      <c r="D68" s="95"/>
      <c r="E68" s="94"/>
      <c r="H68" s="99"/>
      <c r="I68" s="94"/>
      <c r="J68" s="99"/>
      <c r="K68" s="94"/>
    </row>
    <row r="69" spans="2:11" x14ac:dyDescent="0.25">
      <c r="B69" s="95"/>
      <c r="C69" s="94"/>
      <c r="D69" s="95"/>
      <c r="E69" s="94"/>
      <c r="H69" s="99"/>
      <c r="I69" s="94"/>
      <c r="J69" s="99"/>
      <c r="K69" s="94"/>
    </row>
    <row r="70" spans="2:11" x14ac:dyDescent="0.25">
      <c r="B70" s="95"/>
      <c r="C70" s="94"/>
      <c r="D70" s="95"/>
      <c r="E70" s="94"/>
      <c r="H70" s="99"/>
      <c r="I70" s="94"/>
      <c r="J70" s="99"/>
      <c r="K70" s="94"/>
    </row>
    <row r="71" spans="2:11" x14ac:dyDescent="0.25">
      <c r="B71" s="95"/>
      <c r="C71" s="94"/>
      <c r="D71" s="95"/>
      <c r="E71" s="94"/>
      <c r="H71" s="99"/>
      <c r="I71" s="94"/>
      <c r="J71" s="99"/>
      <c r="K71" s="94"/>
    </row>
    <row r="72" spans="2:11" x14ac:dyDescent="0.25">
      <c r="B72" s="95"/>
      <c r="C72" s="94"/>
      <c r="D72" s="95"/>
      <c r="E72" s="94"/>
      <c r="H72" s="99"/>
      <c r="I72" s="94"/>
      <c r="J72" s="99"/>
      <c r="K72" s="94"/>
    </row>
    <row r="73" spans="2:11" x14ac:dyDescent="0.25">
      <c r="B73" s="95"/>
      <c r="C73" s="94"/>
      <c r="D73" s="95"/>
      <c r="E73" s="94"/>
      <c r="H73" s="99"/>
      <c r="I73" s="94"/>
      <c r="J73" s="99"/>
      <c r="K73" s="94"/>
    </row>
    <row r="74" spans="2:11" x14ac:dyDescent="0.25">
      <c r="B74" s="95"/>
      <c r="C74" s="94"/>
      <c r="D74" s="95"/>
      <c r="E74" s="94"/>
      <c r="H74" s="99"/>
      <c r="I74" s="94"/>
      <c r="J74" s="99"/>
      <c r="K74" s="94"/>
    </row>
    <row r="75" spans="2:11" x14ac:dyDescent="0.25">
      <c r="B75" s="95"/>
      <c r="C75" s="94"/>
      <c r="D75" s="95"/>
      <c r="E75" s="94"/>
      <c r="H75" s="99"/>
      <c r="I75" s="94"/>
      <c r="J75" s="99"/>
      <c r="K75" s="94"/>
    </row>
    <row r="76" spans="2:11" x14ac:dyDescent="0.25">
      <c r="B76" s="95"/>
      <c r="C76" s="94"/>
      <c r="D76" s="95"/>
      <c r="E76" s="94"/>
      <c r="H76" s="99"/>
      <c r="I76" s="94"/>
      <c r="J76" s="99"/>
      <c r="K76" s="94"/>
    </row>
    <row r="77" spans="2:11" x14ac:dyDescent="0.25">
      <c r="B77" s="95"/>
      <c r="C77" s="94"/>
      <c r="D77" s="95"/>
      <c r="E77" s="94"/>
      <c r="H77" s="99"/>
      <c r="I77" s="94"/>
      <c r="J77" s="99"/>
      <c r="K77" s="94"/>
    </row>
    <row r="78" spans="2:11" x14ac:dyDescent="0.25">
      <c r="B78" s="95"/>
      <c r="C78" s="94"/>
      <c r="D78" s="95"/>
      <c r="E78" s="94"/>
      <c r="H78" s="99"/>
      <c r="I78" s="94"/>
      <c r="J78" s="99"/>
      <c r="K78" s="94"/>
    </row>
    <row r="79" spans="2:11" x14ac:dyDescent="0.25">
      <c r="B79" s="95"/>
      <c r="C79" s="94"/>
      <c r="D79" s="95"/>
      <c r="E79" s="94"/>
      <c r="H79" s="99"/>
      <c r="I79" s="94"/>
      <c r="J79" s="99"/>
      <c r="K79" s="94"/>
    </row>
    <row r="80" spans="2:11" x14ac:dyDescent="0.25">
      <c r="B80" s="95"/>
      <c r="C80" s="94"/>
      <c r="D80" s="95"/>
      <c r="E80" s="94"/>
      <c r="H80" s="99"/>
      <c r="I80" s="94"/>
      <c r="J80" s="99"/>
      <c r="K80" s="94"/>
    </row>
    <row r="81" spans="2:11" x14ac:dyDescent="0.25">
      <c r="B81" s="95"/>
      <c r="C81" s="94"/>
      <c r="D81" s="95"/>
      <c r="E81" s="94"/>
      <c r="H81" s="99"/>
      <c r="I81" s="94"/>
      <c r="J81" s="99"/>
      <c r="K81" s="94"/>
    </row>
    <row r="82" spans="2:11" x14ac:dyDescent="0.25">
      <c r="B82" s="95"/>
      <c r="C82" s="94"/>
      <c r="D82" s="95"/>
      <c r="E82" s="94"/>
      <c r="H82" s="99"/>
      <c r="I82" s="94"/>
      <c r="J82" s="99"/>
      <c r="K82" s="94"/>
    </row>
    <row r="83" spans="2:11" x14ac:dyDescent="0.25">
      <c r="B83" s="95"/>
      <c r="C83" s="94"/>
      <c r="D83" s="95"/>
      <c r="E83" s="94"/>
      <c r="H83" s="99"/>
      <c r="I83" s="94"/>
      <c r="J83" s="99"/>
      <c r="K83" s="94"/>
    </row>
    <row r="84" spans="2:11" ht="13" thickBot="1" x14ac:dyDescent="0.3">
      <c r="B84" s="95"/>
      <c r="C84" s="94"/>
      <c r="D84" s="95"/>
      <c r="E84" s="94"/>
      <c r="H84" s="99"/>
      <c r="I84" s="94"/>
      <c r="J84" s="100"/>
      <c r="K84" s="97"/>
    </row>
    <row r="85" spans="2:11" x14ac:dyDescent="0.25">
      <c r="B85" s="95"/>
      <c r="C85" s="94"/>
      <c r="D85" s="95"/>
      <c r="E85" s="94"/>
      <c r="H85" s="99"/>
      <c r="I85" s="94"/>
    </row>
    <row r="86" spans="2:11" x14ac:dyDescent="0.25">
      <c r="B86" s="95"/>
      <c r="C86" s="94"/>
      <c r="D86" s="95"/>
      <c r="E86" s="94"/>
      <c r="H86" s="99"/>
      <c r="I86" s="94"/>
    </row>
    <row r="87" spans="2:11" x14ac:dyDescent="0.25">
      <c r="B87" s="95"/>
      <c r="C87" s="94"/>
      <c r="D87" s="95"/>
      <c r="E87" s="94"/>
      <c r="H87" s="99"/>
      <c r="I87" s="94"/>
    </row>
    <row r="88" spans="2:11" x14ac:dyDescent="0.25">
      <c r="B88" s="95"/>
      <c r="C88" s="94"/>
      <c r="D88" s="95"/>
      <c r="E88" s="94"/>
      <c r="H88" s="99"/>
      <c r="I88" s="94"/>
    </row>
    <row r="89" spans="2:11" x14ac:dyDescent="0.25">
      <c r="B89" s="95"/>
      <c r="C89" s="94"/>
      <c r="D89" s="95"/>
      <c r="E89" s="94"/>
      <c r="H89" s="99"/>
      <c r="I89" s="94"/>
    </row>
    <row r="90" spans="2:11" x14ac:dyDescent="0.25">
      <c r="B90" s="95"/>
      <c r="C90" s="94"/>
      <c r="D90" s="95"/>
      <c r="E90" s="94"/>
      <c r="H90" s="99"/>
      <c r="I90" s="94"/>
    </row>
    <row r="91" spans="2:11" x14ac:dyDescent="0.25">
      <c r="B91" s="95"/>
      <c r="C91" s="94"/>
      <c r="D91" s="95"/>
      <c r="E91" s="94"/>
      <c r="H91" s="99"/>
      <c r="I91" s="94"/>
    </row>
    <row r="92" spans="2:11" x14ac:dyDescent="0.25">
      <c r="B92" s="95"/>
      <c r="C92" s="94"/>
      <c r="D92" s="95"/>
      <c r="E92" s="94"/>
      <c r="H92" s="99"/>
      <c r="I92" s="94"/>
    </row>
    <row r="93" spans="2:11" x14ac:dyDescent="0.25">
      <c r="B93" s="95"/>
      <c r="C93" s="94"/>
      <c r="D93" s="95"/>
      <c r="E93" s="94"/>
      <c r="H93" s="99"/>
      <c r="I93" s="94"/>
    </row>
    <row r="94" spans="2:11" x14ac:dyDescent="0.25">
      <c r="B94" s="95"/>
      <c r="C94" s="94"/>
      <c r="D94" s="95"/>
      <c r="E94" s="94"/>
      <c r="H94" s="99"/>
      <c r="I94" s="94"/>
    </row>
    <row r="95" spans="2:11" x14ac:dyDescent="0.25">
      <c r="B95" s="95"/>
      <c r="C95" s="94"/>
      <c r="D95" s="95"/>
      <c r="E95" s="94"/>
      <c r="H95" s="99"/>
      <c r="I95" s="94"/>
    </row>
    <row r="96" spans="2:11" x14ac:dyDescent="0.25">
      <c r="B96" s="95"/>
      <c r="C96" s="94"/>
      <c r="D96" s="95"/>
      <c r="E96" s="94"/>
      <c r="H96" s="99"/>
      <c r="I96" s="94"/>
    </row>
    <row r="97" spans="2:9" x14ac:dyDescent="0.25">
      <c r="B97" s="95"/>
      <c r="C97" s="94"/>
      <c r="D97" s="95"/>
      <c r="E97" s="94"/>
      <c r="H97" s="99"/>
      <c r="I97" s="94"/>
    </row>
    <row r="98" spans="2:9" x14ac:dyDescent="0.25">
      <c r="B98" s="95"/>
      <c r="C98" s="94"/>
      <c r="D98" s="95"/>
      <c r="E98" s="94"/>
      <c r="H98" s="99"/>
      <c r="I98" s="94"/>
    </row>
    <row r="99" spans="2:9" x14ac:dyDescent="0.25">
      <c r="B99" s="95"/>
      <c r="C99" s="94"/>
      <c r="D99" s="95"/>
      <c r="E99" s="94"/>
      <c r="H99" s="99"/>
      <c r="I99" s="94"/>
    </row>
    <row r="100" spans="2:9" x14ac:dyDescent="0.25">
      <c r="B100" s="95"/>
      <c r="C100" s="94"/>
      <c r="D100" s="95"/>
      <c r="E100" s="94"/>
      <c r="H100" s="99"/>
      <c r="I100" s="94"/>
    </row>
    <row r="101" spans="2:9" x14ac:dyDescent="0.25">
      <c r="B101" s="95"/>
      <c r="C101" s="94"/>
      <c r="D101" s="95"/>
      <c r="E101" s="94"/>
      <c r="H101" s="99"/>
      <c r="I101" s="94"/>
    </row>
    <row r="102" spans="2:9" x14ac:dyDescent="0.25">
      <c r="B102" s="95"/>
      <c r="C102" s="94"/>
      <c r="D102" s="95"/>
      <c r="E102" s="94"/>
      <c r="H102" s="99"/>
      <c r="I102" s="94"/>
    </row>
    <row r="103" spans="2:9" x14ac:dyDescent="0.25">
      <c r="B103" s="95"/>
      <c r="C103" s="94"/>
      <c r="D103" s="95"/>
      <c r="E103" s="94"/>
      <c r="H103" s="99"/>
      <c r="I103" s="94"/>
    </row>
    <row r="104" spans="2:9" x14ac:dyDescent="0.25">
      <c r="B104" s="95"/>
      <c r="C104" s="94"/>
      <c r="D104" s="95"/>
      <c r="E104" s="94"/>
      <c r="H104" s="99"/>
      <c r="I104" s="94"/>
    </row>
    <row r="105" spans="2:9" x14ac:dyDescent="0.25">
      <c r="B105" s="95"/>
      <c r="C105" s="94"/>
      <c r="D105" s="95"/>
      <c r="E105" s="94"/>
      <c r="H105" s="99"/>
      <c r="I105" s="94"/>
    </row>
    <row r="106" spans="2:9" x14ac:dyDescent="0.25">
      <c r="B106" s="95"/>
      <c r="C106" s="94"/>
      <c r="D106" s="95"/>
      <c r="E106" s="94"/>
      <c r="H106" s="99"/>
      <c r="I106" s="94"/>
    </row>
    <row r="107" spans="2:9" x14ac:dyDescent="0.25">
      <c r="B107" s="95"/>
      <c r="C107" s="94"/>
      <c r="D107" s="95"/>
      <c r="E107" s="94"/>
      <c r="H107" s="99"/>
      <c r="I107" s="94"/>
    </row>
    <row r="108" spans="2:9" x14ac:dyDescent="0.25">
      <c r="B108" s="95"/>
      <c r="C108" s="94"/>
      <c r="D108" s="95"/>
      <c r="E108" s="94"/>
      <c r="H108" s="99"/>
      <c r="I108" s="94"/>
    </row>
    <row r="109" spans="2:9" x14ac:dyDescent="0.25">
      <c r="B109" s="95"/>
      <c r="C109" s="94"/>
      <c r="D109" s="95"/>
      <c r="E109" s="94"/>
      <c r="H109" s="99"/>
      <c r="I109" s="94"/>
    </row>
    <row r="110" spans="2:9" x14ac:dyDescent="0.25">
      <c r="B110" s="95"/>
      <c r="C110" s="94"/>
      <c r="D110" s="95"/>
      <c r="E110" s="94"/>
      <c r="H110" s="99"/>
      <c r="I110" s="94"/>
    </row>
    <row r="111" spans="2:9" x14ac:dyDescent="0.25">
      <c r="B111" s="95"/>
      <c r="C111" s="94"/>
      <c r="D111" s="95"/>
      <c r="E111" s="94"/>
      <c r="H111" s="99"/>
      <c r="I111" s="94"/>
    </row>
    <row r="112" spans="2:9" x14ac:dyDescent="0.25">
      <c r="B112" s="95"/>
      <c r="C112" s="94"/>
      <c r="D112" s="95"/>
      <c r="E112" s="94"/>
      <c r="H112" s="99"/>
      <c r="I112" s="94"/>
    </row>
    <row r="113" spans="2:9" x14ac:dyDescent="0.25">
      <c r="B113" s="95"/>
      <c r="C113" s="94"/>
      <c r="D113" s="95"/>
      <c r="E113" s="94"/>
      <c r="H113" s="99"/>
      <c r="I113" s="94"/>
    </row>
    <row r="114" spans="2:9" x14ac:dyDescent="0.25">
      <c r="B114" s="95"/>
      <c r="C114" s="94"/>
      <c r="D114" s="95"/>
      <c r="E114" s="94"/>
      <c r="H114" s="99"/>
      <c r="I114" s="94"/>
    </row>
    <row r="115" spans="2:9" x14ac:dyDescent="0.25">
      <c r="B115" s="95"/>
      <c r="C115" s="94"/>
      <c r="D115" s="95"/>
      <c r="E115" s="94"/>
      <c r="H115" s="99"/>
      <c r="I115" s="94"/>
    </row>
    <row r="116" spans="2:9" x14ac:dyDescent="0.25">
      <c r="B116" s="95"/>
      <c r="C116" s="94"/>
      <c r="D116" s="95"/>
      <c r="E116" s="94"/>
      <c r="H116" s="99"/>
      <c r="I116" s="94"/>
    </row>
    <row r="117" spans="2:9" x14ac:dyDescent="0.25">
      <c r="B117" s="95"/>
      <c r="C117" s="94"/>
      <c r="D117" s="95"/>
      <c r="E117" s="94"/>
      <c r="H117" s="99"/>
      <c r="I117" s="94"/>
    </row>
    <row r="118" spans="2:9" x14ac:dyDescent="0.25">
      <c r="B118" s="95"/>
      <c r="C118" s="94"/>
      <c r="D118" s="95"/>
      <c r="E118" s="94"/>
      <c r="H118" s="99"/>
      <c r="I118" s="94"/>
    </row>
    <row r="119" spans="2:9" x14ac:dyDescent="0.25">
      <c r="B119" s="95"/>
      <c r="C119" s="94"/>
      <c r="D119" s="95"/>
      <c r="E119" s="94"/>
      <c r="H119" s="99"/>
      <c r="I119" s="94"/>
    </row>
    <row r="120" spans="2:9" x14ac:dyDescent="0.25">
      <c r="B120" s="95"/>
      <c r="C120" s="94"/>
      <c r="D120" s="95"/>
      <c r="E120" s="94"/>
      <c r="H120" s="99"/>
      <c r="I120" s="94"/>
    </row>
    <row r="121" spans="2:9" x14ac:dyDescent="0.25">
      <c r="B121" s="95"/>
      <c r="C121" s="94"/>
      <c r="D121" s="95"/>
      <c r="E121" s="94"/>
      <c r="H121" s="99"/>
      <c r="I121" s="94"/>
    </row>
    <row r="122" spans="2:9" x14ac:dyDescent="0.25">
      <c r="B122" s="95"/>
      <c r="C122" s="94"/>
      <c r="D122" s="95"/>
      <c r="E122" s="94"/>
      <c r="H122" s="99"/>
      <c r="I122" s="94"/>
    </row>
    <row r="123" spans="2:9" x14ac:dyDescent="0.25">
      <c r="B123" s="95"/>
      <c r="C123" s="94"/>
      <c r="D123" s="95"/>
      <c r="E123" s="94"/>
      <c r="H123" s="99"/>
      <c r="I123" s="94"/>
    </row>
    <row r="124" spans="2:9" x14ac:dyDescent="0.25">
      <c r="B124" s="95"/>
      <c r="C124" s="94"/>
      <c r="D124" s="95"/>
      <c r="E124" s="94"/>
      <c r="H124" s="99"/>
      <c r="I124" s="94"/>
    </row>
    <row r="125" spans="2:9" x14ac:dyDescent="0.25">
      <c r="B125" s="95"/>
      <c r="C125" s="94"/>
      <c r="D125" s="95"/>
      <c r="E125" s="94"/>
      <c r="H125" s="99"/>
      <c r="I125" s="94"/>
    </row>
    <row r="126" spans="2:9" x14ac:dyDescent="0.25">
      <c r="B126" s="95"/>
      <c r="C126" s="94"/>
      <c r="D126" s="95"/>
      <c r="E126" s="94"/>
      <c r="H126" s="99"/>
      <c r="I126" s="94"/>
    </row>
    <row r="127" spans="2:9" x14ac:dyDescent="0.25">
      <c r="B127" s="95"/>
      <c r="C127" s="94"/>
      <c r="D127" s="95"/>
      <c r="E127" s="94"/>
      <c r="H127" s="99"/>
      <c r="I127" s="94"/>
    </row>
    <row r="128" spans="2:9" x14ac:dyDescent="0.25">
      <c r="B128" s="95"/>
      <c r="C128" s="94"/>
      <c r="D128" s="95"/>
      <c r="E128" s="94"/>
      <c r="H128" s="99"/>
      <c r="I128" s="94"/>
    </row>
    <row r="129" spans="2:9" x14ac:dyDescent="0.25">
      <c r="B129" s="95"/>
      <c r="C129" s="94"/>
      <c r="D129" s="95"/>
      <c r="E129" s="94"/>
      <c r="H129" s="99"/>
      <c r="I129" s="94"/>
    </row>
    <row r="130" spans="2:9" x14ac:dyDescent="0.25">
      <c r="B130" s="95"/>
      <c r="C130" s="94"/>
      <c r="D130" s="95"/>
      <c r="E130" s="94"/>
      <c r="H130" s="99"/>
      <c r="I130" s="94"/>
    </row>
    <row r="131" spans="2:9" x14ac:dyDescent="0.25">
      <c r="B131" s="95"/>
      <c r="C131" s="94"/>
      <c r="D131" s="95"/>
      <c r="E131" s="94"/>
      <c r="H131" s="99"/>
      <c r="I131" s="94"/>
    </row>
    <row r="132" spans="2:9" x14ac:dyDescent="0.25">
      <c r="B132" s="95"/>
      <c r="C132" s="94"/>
      <c r="D132" s="95"/>
      <c r="E132" s="94"/>
      <c r="H132" s="99"/>
      <c r="I132" s="94"/>
    </row>
    <row r="133" spans="2:9" x14ac:dyDescent="0.25">
      <c r="B133" s="95"/>
      <c r="C133" s="94"/>
      <c r="D133" s="95"/>
      <c r="E133" s="94"/>
      <c r="H133" s="99"/>
      <c r="I133" s="94"/>
    </row>
    <row r="134" spans="2:9" x14ac:dyDescent="0.25">
      <c r="B134" s="95"/>
      <c r="C134" s="94"/>
      <c r="D134" s="95"/>
      <c r="E134" s="94"/>
      <c r="H134" s="99"/>
      <c r="I134" s="94"/>
    </row>
    <row r="135" spans="2:9" x14ac:dyDescent="0.25">
      <c r="B135" s="95"/>
      <c r="C135" s="94"/>
      <c r="D135" s="95"/>
      <c r="E135" s="94"/>
      <c r="H135" s="99"/>
      <c r="I135" s="94"/>
    </row>
    <row r="136" spans="2:9" x14ac:dyDescent="0.25">
      <c r="B136" s="95"/>
      <c r="C136" s="94"/>
      <c r="D136" s="95"/>
      <c r="E136" s="94"/>
      <c r="H136" s="99"/>
      <c r="I136" s="94"/>
    </row>
    <row r="137" spans="2:9" x14ac:dyDescent="0.25">
      <c r="B137" s="95"/>
      <c r="C137" s="94"/>
      <c r="D137" s="95"/>
      <c r="E137" s="94"/>
      <c r="H137" s="99"/>
      <c r="I137" s="94"/>
    </row>
    <row r="138" spans="2:9" x14ac:dyDescent="0.25">
      <c r="B138" s="95"/>
      <c r="C138" s="94"/>
      <c r="D138" s="95"/>
      <c r="E138" s="94"/>
      <c r="H138" s="99"/>
      <c r="I138" s="94"/>
    </row>
    <row r="139" spans="2:9" x14ac:dyDescent="0.25">
      <c r="B139" s="95"/>
      <c r="C139" s="94"/>
      <c r="D139" s="95"/>
      <c r="E139" s="94"/>
      <c r="H139" s="99"/>
      <c r="I139" s="94"/>
    </row>
    <row r="140" spans="2:9" x14ac:dyDescent="0.25">
      <c r="B140" s="95"/>
      <c r="C140" s="94"/>
      <c r="D140" s="95"/>
      <c r="E140" s="94"/>
      <c r="H140" s="99"/>
      <c r="I140" s="94"/>
    </row>
    <row r="141" spans="2:9" x14ac:dyDescent="0.25">
      <c r="B141" s="95"/>
      <c r="C141" s="94"/>
      <c r="D141" s="95"/>
      <c r="E141" s="94"/>
      <c r="H141" s="99"/>
      <c r="I141" s="94"/>
    </row>
    <row r="142" spans="2:9" x14ac:dyDescent="0.25">
      <c r="B142" s="95"/>
      <c r="C142" s="94"/>
      <c r="D142" s="95"/>
      <c r="E142" s="94"/>
      <c r="H142" s="99"/>
      <c r="I142" s="94"/>
    </row>
    <row r="143" spans="2:9" x14ac:dyDescent="0.25">
      <c r="B143" s="95"/>
      <c r="C143" s="94"/>
      <c r="D143" s="95"/>
      <c r="E143" s="94"/>
      <c r="H143" s="99"/>
      <c r="I143" s="94"/>
    </row>
    <row r="144" spans="2:9" x14ac:dyDescent="0.25">
      <c r="B144" s="95"/>
      <c r="C144" s="94"/>
      <c r="D144" s="95"/>
      <c r="E144" s="94"/>
      <c r="H144" s="99"/>
      <c r="I144" s="94"/>
    </row>
    <row r="145" spans="2:9" x14ac:dyDescent="0.25">
      <c r="B145" s="95"/>
      <c r="C145" s="94"/>
      <c r="D145" s="95"/>
      <c r="E145" s="94"/>
      <c r="H145" s="99"/>
      <c r="I145" s="94"/>
    </row>
    <row r="146" spans="2:9" x14ac:dyDescent="0.25">
      <c r="B146" s="95"/>
      <c r="C146" s="94"/>
      <c r="D146" s="95"/>
      <c r="E146" s="94"/>
      <c r="H146" s="99"/>
      <c r="I146" s="94"/>
    </row>
    <row r="147" spans="2:9" x14ac:dyDescent="0.25">
      <c r="B147" s="95"/>
      <c r="C147" s="94"/>
      <c r="D147" s="95"/>
      <c r="E147" s="94"/>
      <c r="H147" s="99"/>
      <c r="I147" s="94"/>
    </row>
    <row r="148" spans="2:9" x14ac:dyDescent="0.25">
      <c r="B148" s="95"/>
      <c r="C148" s="94"/>
      <c r="D148" s="95"/>
      <c r="E148" s="94"/>
      <c r="H148" s="99"/>
      <c r="I148" s="94"/>
    </row>
    <row r="149" spans="2:9" x14ac:dyDescent="0.25">
      <c r="B149" s="95"/>
      <c r="C149" s="94"/>
      <c r="D149" s="95"/>
      <c r="E149" s="94"/>
      <c r="H149" s="99"/>
      <c r="I149" s="94"/>
    </row>
    <row r="150" spans="2:9" x14ac:dyDescent="0.25">
      <c r="B150" s="95"/>
      <c r="C150" s="94"/>
      <c r="D150" s="95"/>
      <c r="E150" s="94"/>
      <c r="H150" s="99"/>
      <c r="I150" s="94"/>
    </row>
    <row r="151" spans="2:9" x14ac:dyDescent="0.25">
      <c r="B151" s="95"/>
      <c r="C151" s="94"/>
      <c r="D151" s="95"/>
      <c r="E151" s="94"/>
      <c r="H151" s="99"/>
      <c r="I151" s="94"/>
    </row>
    <row r="152" spans="2:9" x14ac:dyDescent="0.25">
      <c r="B152" s="95"/>
      <c r="C152" s="94"/>
      <c r="D152" s="95"/>
      <c r="E152" s="94"/>
      <c r="H152" s="99"/>
      <c r="I152" s="94"/>
    </row>
    <row r="153" spans="2:9" x14ac:dyDescent="0.25">
      <c r="B153" s="95"/>
      <c r="C153" s="94"/>
      <c r="D153" s="95"/>
      <c r="E153" s="94"/>
      <c r="H153" s="99"/>
      <c r="I153" s="94"/>
    </row>
    <row r="154" spans="2:9" x14ac:dyDescent="0.25">
      <c r="B154" s="95"/>
      <c r="C154" s="94"/>
      <c r="D154" s="95"/>
      <c r="E154" s="94"/>
      <c r="H154" s="99"/>
      <c r="I154" s="94"/>
    </row>
    <row r="155" spans="2:9" x14ac:dyDescent="0.25">
      <c r="B155" s="95"/>
      <c r="C155" s="94"/>
      <c r="D155" s="95"/>
      <c r="E155" s="94"/>
      <c r="H155" s="99"/>
      <c r="I155" s="94"/>
    </row>
    <row r="156" spans="2:9" x14ac:dyDescent="0.25">
      <c r="B156" s="95"/>
      <c r="C156" s="94"/>
      <c r="D156" s="95"/>
      <c r="E156" s="94"/>
      <c r="H156" s="99"/>
      <c r="I156" s="94"/>
    </row>
    <row r="157" spans="2:9" x14ac:dyDescent="0.25">
      <c r="B157" s="95"/>
      <c r="C157" s="94"/>
      <c r="D157" s="95"/>
      <c r="E157" s="94"/>
      <c r="H157" s="99"/>
      <c r="I157" s="94"/>
    </row>
    <row r="158" spans="2:9" x14ac:dyDescent="0.25">
      <c r="B158" s="95"/>
      <c r="C158" s="94"/>
      <c r="D158" s="95"/>
      <c r="E158" s="94"/>
      <c r="H158" s="99"/>
      <c r="I158" s="94"/>
    </row>
    <row r="159" spans="2:9" x14ac:dyDescent="0.25">
      <c r="B159" s="95"/>
      <c r="C159" s="94"/>
      <c r="D159" s="95"/>
      <c r="E159" s="94"/>
      <c r="H159" s="99"/>
      <c r="I159" s="94"/>
    </row>
    <row r="160" spans="2:9" x14ac:dyDescent="0.25">
      <c r="B160" s="95"/>
      <c r="C160" s="94"/>
      <c r="D160" s="95"/>
      <c r="E160" s="94"/>
      <c r="H160" s="99"/>
      <c r="I160" s="94"/>
    </row>
    <row r="161" spans="2:9" x14ac:dyDescent="0.25">
      <c r="B161" s="95"/>
      <c r="C161" s="94"/>
      <c r="D161" s="95"/>
      <c r="E161" s="94"/>
      <c r="H161" s="99"/>
      <c r="I161" s="94"/>
    </row>
    <row r="162" spans="2:9" x14ac:dyDescent="0.25">
      <c r="B162" s="95"/>
      <c r="C162" s="94"/>
      <c r="D162" s="95"/>
      <c r="E162" s="94"/>
      <c r="H162" s="99"/>
      <c r="I162" s="94"/>
    </row>
    <row r="163" spans="2:9" x14ac:dyDescent="0.25">
      <c r="B163" s="95"/>
      <c r="C163" s="94"/>
      <c r="D163" s="95"/>
      <c r="E163" s="94"/>
      <c r="H163" s="99"/>
      <c r="I163" s="94"/>
    </row>
    <row r="164" spans="2:9" x14ac:dyDescent="0.25">
      <c r="B164" s="95"/>
      <c r="C164" s="94"/>
      <c r="D164" s="95"/>
      <c r="E164" s="94"/>
      <c r="H164" s="99"/>
      <c r="I164" s="94"/>
    </row>
    <row r="165" spans="2:9" x14ac:dyDescent="0.25">
      <c r="B165" s="95"/>
      <c r="C165" s="94"/>
      <c r="D165" s="95"/>
      <c r="E165" s="94"/>
      <c r="H165" s="99"/>
      <c r="I165" s="94"/>
    </row>
    <row r="166" spans="2:9" x14ac:dyDescent="0.25">
      <c r="B166" s="95"/>
      <c r="C166" s="94"/>
      <c r="D166" s="95"/>
      <c r="E166" s="94"/>
      <c r="H166" s="99"/>
      <c r="I166" s="94"/>
    </row>
    <row r="167" spans="2:9" x14ac:dyDescent="0.25">
      <c r="B167" s="95"/>
      <c r="C167" s="94"/>
      <c r="D167" s="95"/>
      <c r="E167" s="94"/>
      <c r="H167" s="99"/>
      <c r="I167" s="94"/>
    </row>
    <row r="168" spans="2:9" x14ac:dyDescent="0.25">
      <c r="B168" s="95"/>
      <c r="C168" s="94"/>
      <c r="D168" s="95"/>
      <c r="E168" s="94"/>
      <c r="H168" s="99"/>
      <c r="I168" s="94"/>
    </row>
    <row r="169" spans="2:9" x14ac:dyDescent="0.25">
      <c r="B169" s="95"/>
      <c r="C169" s="94"/>
      <c r="D169" s="95"/>
      <c r="E169" s="94"/>
      <c r="H169" s="99"/>
      <c r="I169" s="94"/>
    </row>
    <row r="170" spans="2:9" x14ac:dyDescent="0.25">
      <c r="B170" s="95"/>
      <c r="C170" s="94"/>
      <c r="D170" s="95"/>
      <c r="E170" s="94"/>
      <c r="H170" s="99"/>
      <c r="I170" s="94"/>
    </row>
    <row r="171" spans="2:9" x14ac:dyDescent="0.25">
      <c r="B171" s="95"/>
      <c r="C171" s="94"/>
      <c r="D171" s="95"/>
      <c r="E171" s="94"/>
      <c r="H171" s="99"/>
      <c r="I171" s="94"/>
    </row>
    <row r="172" spans="2:9" x14ac:dyDescent="0.25">
      <c r="B172" s="95"/>
      <c r="C172" s="94"/>
      <c r="D172" s="95"/>
      <c r="E172" s="94"/>
      <c r="H172" s="99"/>
      <c r="I172" s="94"/>
    </row>
    <row r="173" spans="2:9" x14ac:dyDescent="0.25">
      <c r="B173" s="95"/>
      <c r="C173" s="94"/>
      <c r="D173" s="95"/>
      <c r="E173" s="94"/>
      <c r="H173" s="99"/>
      <c r="I173" s="94"/>
    </row>
    <row r="174" spans="2:9" x14ac:dyDescent="0.25">
      <c r="B174" s="95"/>
      <c r="C174" s="94"/>
      <c r="D174" s="95"/>
      <c r="E174" s="94"/>
      <c r="H174" s="99"/>
      <c r="I174" s="94"/>
    </row>
    <row r="175" spans="2:9" x14ac:dyDescent="0.25">
      <c r="B175" s="95"/>
      <c r="C175" s="94"/>
      <c r="D175" s="95"/>
      <c r="E175" s="94"/>
      <c r="H175" s="99"/>
      <c r="I175" s="94"/>
    </row>
    <row r="176" spans="2:9" x14ac:dyDescent="0.25">
      <c r="B176" s="95"/>
      <c r="C176" s="94"/>
      <c r="D176" s="95"/>
      <c r="E176" s="94"/>
      <c r="H176" s="99"/>
      <c r="I176" s="94"/>
    </row>
    <row r="177" spans="2:9" x14ac:dyDescent="0.25">
      <c r="B177" s="95"/>
      <c r="C177" s="94"/>
      <c r="D177" s="95"/>
      <c r="E177" s="94"/>
      <c r="H177" s="99"/>
      <c r="I177" s="94"/>
    </row>
    <row r="178" spans="2:9" x14ac:dyDescent="0.25">
      <c r="B178" s="95"/>
      <c r="C178" s="94"/>
      <c r="D178" s="95"/>
      <c r="E178" s="94"/>
      <c r="H178" s="99"/>
      <c r="I178" s="94"/>
    </row>
    <row r="179" spans="2:9" x14ac:dyDescent="0.25">
      <c r="B179" s="95"/>
      <c r="C179" s="94"/>
      <c r="D179" s="95"/>
      <c r="E179" s="94"/>
      <c r="H179" s="99"/>
      <c r="I179" s="94"/>
    </row>
    <row r="180" spans="2:9" x14ac:dyDescent="0.25">
      <c r="B180" s="95"/>
      <c r="C180" s="94"/>
      <c r="D180" s="95"/>
      <c r="E180" s="94"/>
      <c r="H180" s="99"/>
      <c r="I180" s="94"/>
    </row>
    <row r="181" spans="2:9" x14ac:dyDescent="0.25">
      <c r="B181" s="95"/>
      <c r="C181" s="94"/>
      <c r="D181" s="95"/>
      <c r="E181" s="94"/>
      <c r="H181" s="99"/>
      <c r="I181" s="94"/>
    </row>
    <row r="182" spans="2:9" x14ac:dyDescent="0.25">
      <c r="B182" s="95"/>
      <c r="C182" s="94"/>
      <c r="D182" s="95"/>
      <c r="E182" s="94"/>
      <c r="H182" s="99"/>
      <c r="I182" s="94"/>
    </row>
    <row r="183" spans="2:9" x14ac:dyDescent="0.25">
      <c r="B183" s="95"/>
      <c r="C183" s="94"/>
      <c r="D183" s="95"/>
      <c r="E183" s="94"/>
      <c r="H183" s="99"/>
      <c r="I183" s="94"/>
    </row>
    <row r="184" spans="2:9" x14ac:dyDescent="0.25">
      <c r="B184" s="95"/>
      <c r="C184" s="94"/>
      <c r="D184" s="95"/>
      <c r="E184" s="94"/>
      <c r="H184" s="99"/>
      <c r="I184" s="94"/>
    </row>
    <row r="185" spans="2:9" x14ac:dyDescent="0.25">
      <c r="B185" s="95"/>
      <c r="C185" s="94"/>
      <c r="D185" s="95"/>
      <c r="E185" s="94"/>
      <c r="H185" s="99"/>
      <c r="I185" s="94"/>
    </row>
    <row r="186" spans="2:9" x14ac:dyDescent="0.25">
      <c r="B186" s="95"/>
      <c r="C186" s="94"/>
      <c r="D186" s="95"/>
      <c r="E186" s="94"/>
      <c r="H186" s="99"/>
      <c r="I186" s="94"/>
    </row>
    <row r="187" spans="2:9" x14ac:dyDescent="0.25">
      <c r="B187" s="95"/>
      <c r="C187" s="94"/>
      <c r="D187" s="95"/>
      <c r="E187" s="94"/>
      <c r="H187" s="99"/>
      <c r="I187" s="94"/>
    </row>
    <row r="188" spans="2:9" x14ac:dyDescent="0.25">
      <c r="B188" s="95"/>
      <c r="C188" s="94"/>
      <c r="D188" s="95"/>
      <c r="E188" s="94"/>
      <c r="H188" s="99"/>
      <c r="I188" s="94"/>
    </row>
    <row r="189" spans="2:9" x14ac:dyDescent="0.25">
      <c r="B189" s="95"/>
      <c r="C189" s="94"/>
      <c r="D189" s="95"/>
      <c r="E189" s="94"/>
      <c r="H189" s="99"/>
      <c r="I189" s="94"/>
    </row>
    <row r="190" spans="2:9" x14ac:dyDescent="0.25">
      <c r="B190" s="95"/>
      <c r="C190" s="94"/>
      <c r="D190" s="95"/>
      <c r="E190" s="94"/>
      <c r="H190" s="99"/>
      <c r="I190" s="94"/>
    </row>
    <row r="191" spans="2:9" x14ac:dyDescent="0.25">
      <c r="B191" s="95"/>
      <c r="C191" s="94"/>
      <c r="D191" s="95"/>
      <c r="E191" s="94"/>
      <c r="H191" s="99"/>
      <c r="I191" s="94"/>
    </row>
    <row r="192" spans="2:9" x14ac:dyDescent="0.25">
      <c r="B192" s="95"/>
      <c r="C192" s="94"/>
      <c r="D192" s="95"/>
      <c r="E192" s="94"/>
      <c r="H192" s="99"/>
      <c r="I192" s="94"/>
    </row>
    <row r="193" spans="2:9" x14ac:dyDescent="0.25">
      <c r="B193" s="95"/>
      <c r="C193" s="94"/>
      <c r="D193" s="95"/>
      <c r="E193" s="94"/>
      <c r="H193" s="99"/>
      <c r="I193" s="94"/>
    </row>
    <row r="194" spans="2:9" x14ac:dyDescent="0.25">
      <c r="B194" s="95"/>
      <c r="C194" s="94"/>
      <c r="D194" s="95"/>
      <c r="E194" s="94"/>
      <c r="H194" s="99"/>
      <c r="I194" s="94"/>
    </row>
    <row r="195" spans="2:9" x14ac:dyDescent="0.25">
      <c r="B195" s="95"/>
      <c r="C195" s="94"/>
      <c r="D195" s="95"/>
      <c r="E195" s="94"/>
      <c r="H195" s="99"/>
      <c r="I195" s="94"/>
    </row>
    <row r="196" spans="2:9" x14ac:dyDescent="0.25">
      <c r="B196" s="95"/>
      <c r="C196" s="94"/>
      <c r="D196" s="95"/>
      <c r="E196" s="94"/>
      <c r="H196" s="99"/>
      <c r="I196" s="94"/>
    </row>
    <row r="197" spans="2:9" x14ac:dyDescent="0.25">
      <c r="B197" s="95"/>
      <c r="C197" s="94"/>
      <c r="D197" s="95"/>
      <c r="E197" s="94"/>
      <c r="H197" s="99"/>
      <c r="I197" s="94"/>
    </row>
    <row r="198" spans="2:9" x14ac:dyDescent="0.25">
      <c r="B198" s="95"/>
      <c r="C198" s="94"/>
      <c r="D198" s="95"/>
      <c r="E198" s="94"/>
      <c r="H198" s="99"/>
      <c r="I198" s="94"/>
    </row>
    <row r="199" spans="2:9" x14ac:dyDescent="0.25">
      <c r="B199" s="95"/>
      <c r="C199" s="94"/>
      <c r="D199" s="95"/>
      <c r="E199" s="94"/>
      <c r="H199" s="99"/>
      <c r="I199" s="94"/>
    </row>
    <row r="200" spans="2:9" ht="13" thickBot="1" x14ac:dyDescent="0.3">
      <c r="B200" s="95"/>
      <c r="C200" s="94"/>
      <c r="D200" s="96"/>
      <c r="E200" s="97"/>
      <c r="H200" s="99"/>
      <c r="I200" s="94"/>
    </row>
    <row r="201" spans="2:9" x14ac:dyDescent="0.25">
      <c r="B201" s="95"/>
      <c r="C201" s="94"/>
      <c r="D201" s="46"/>
      <c r="E201" s="46"/>
      <c r="H201" s="99"/>
      <c r="I201" s="94"/>
    </row>
    <row r="202" spans="2:9" x14ac:dyDescent="0.25">
      <c r="B202" s="95"/>
      <c r="C202" s="94"/>
      <c r="D202" s="46"/>
      <c r="E202" s="46"/>
      <c r="H202" s="99"/>
      <c r="I202" s="94"/>
    </row>
    <row r="203" spans="2:9" x14ac:dyDescent="0.25">
      <c r="B203" s="95"/>
      <c r="C203" s="94"/>
      <c r="D203" s="46"/>
      <c r="E203" s="46"/>
      <c r="H203" s="99"/>
      <c r="I203" s="94"/>
    </row>
    <row r="204" spans="2:9" x14ac:dyDescent="0.25">
      <c r="B204" s="95"/>
      <c r="C204" s="94"/>
      <c r="D204" s="46"/>
      <c r="E204" s="46"/>
      <c r="H204" s="99"/>
      <c r="I204" s="94"/>
    </row>
    <row r="205" spans="2:9" x14ac:dyDescent="0.25">
      <c r="B205" s="95"/>
      <c r="C205" s="94"/>
      <c r="D205" s="46"/>
      <c r="E205" s="46"/>
      <c r="H205" s="99"/>
      <c r="I205" s="94"/>
    </row>
    <row r="206" spans="2:9" x14ac:dyDescent="0.25">
      <c r="B206" s="95"/>
      <c r="C206" s="94"/>
      <c r="D206" s="46"/>
      <c r="E206" s="46"/>
      <c r="H206" s="99"/>
      <c r="I206" s="94"/>
    </row>
    <row r="207" spans="2:9" ht="13" thickBot="1" x14ac:dyDescent="0.3">
      <c r="B207" s="95"/>
      <c r="C207" s="94"/>
      <c r="D207" s="46"/>
      <c r="E207" s="46"/>
      <c r="H207" s="100"/>
      <c r="I207" s="97"/>
    </row>
    <row r="208" spans="2:9" x14ac:dyDescent="0.25">
      <c r="B208" s="95"/>
      <c r="C208" s="94"/>
      <c r="D208" s="46"/>
      <c r="E208" s="46"/>
    </row>
    <row r="209" spans="2:5" x14ac:dyDescent="0.25">
      <c r="B209" s="95"/>
      <c r="C209" s="94"/>
      <c r="D209" s="46"/>
      <c r="E209" s="46"/>
    </row>
    <row r="210" spans="2:5" x14ac:dyDescent="0.25">
      <c r="B210" s="95"/>
      <c r="C210" s="94"/>
      <c r="D210" s="46"/>
      <c r="E210" s="46"/>
    </row>
    <row r="211" spans="2:5" x14ac:dyDescent="0.25">
      <c r="B211" s="95"/>
      <c r="C211" s="94"/>
      <c r="D211" s="46"/>
      <c r="E211" s="46"/>
    </row>
    <row r="212" spans="2:5" x14ac:dyDescent="0.25">
      <c r="B212" s="95"/>
      <c r="C212" s="94"/>
      <c r="D212" s="46"/>
      <c r="E212" s="46"/>
    </row>
    <row r="213" spans="2:5" x14ac:dyDescent="0.25">
      <c r="B213" s="95"/>
      <c r="C213" s="94"/>
      <c r="D213" s="46"/>
      <c r="E213" s="46"/>
    </row>
    <row r="214" spans="2:5" x14ac:dyDescent="0.25">
      <c r="B214" s="95"/>
      <c r="C214" s="94"/>
      <c r="D214" s="46"/>
      <c r="E214" s="46"/>
    </row>
    <row r="215" spans="2:5" x14ac:dyDescent="0.25">
      <c r="B215" s="95"/>
      <c r="C215" s="94"/>
      <c r="D215" s="46"/>
      <c r="E215" s="46"/>
    </row>
    <row r="216" spans="2:5" x14ac:dyDescent="0.25">
      <c r="B216" s="95"/>
      <c r="C216" s="94"/>
      <c r="D216" s="46"/>
      <c r="E216" s="46"/>
    </row>
    <row r="217" spans="2:5" x14ac:dyDescent="0.25">
      <c r="B217" s="95"/>
      <c r="C217" s="94"/>
      <c r="D217" s="46"/>
      <c r="E217" s="46"/>
    </row>
    <row r="218" spans="2:5" x14ac:dyDescent="0.25">
      <c r="B218" s="95"/>
      <c r="C218" s="94"/>
      <c r="D218" s="46"/>
      <c r="E218" s="46"/>
    </row>
    <row r="219" spans="2:5" x14ac:dyDescent="0.25">
      <c r="B219" s="95"/>
      <c r="C219" s="94"/>
      <c r="D219" s="46"/>
      <c r="E219" s="46"/>
    </row>
    <row r="220" spans="2:5" x14ac:dyDescent="0.25">
      <c r="B220" s="95"/>
      <c r="C220" s="94"/>
      <c r="D220" s="46"/>
      <c r="E220" s="46"/>
    </row>
    <row r="221" spans="2:5" x14ac:dyDescent="0.25">
      <c r="B221" s="95"/>
      <c r="C221" s="94"/>
      <c r="D221" s="46"/>
      <c r="E221" s="46"/>
    </row>
    <row r="222" spans="2:5" x14ac:dyDescent="0.25">
      <c r="B222" s="95"/>
      <c r="C222" s="94"/>
      <c r="D222" s="46"/>
      <c r="E222" s="46"/>
    </row>
    <row r="223" spans="2:5" x14ac:dyDescent="0.25">
      <c r="B223" s="95"/>
      <c r="C223" s="94"/>
      <c r="D223" s="46"/>
      <c r="E223" s="46"/>
    </row>
    <row r="224" spans="2:5" x14ac:dyDescent="0.25">
      <c r="B224" s="95"/>
      <c r="C224" s="94"/>
      <c r="D224" s="46"/>
      <c r="E224" s="46"/>
    </row>
    <row r="225" spans="2:5" x14ac:dyDescent="0.25">
      <c r="B225" s="95"/>
      <c r="C225" s="94"/>
      <c r="D225" s="46"/>
      <c r="E225" s="46"/>
    </row>
    <row r="226" spans="2:5" x14ac:dyDescent="0.25">
      <c r="B226" s="95"/>
      <c r="C226" s="94"/>
      <c r="D226" s="46"/>
      <c r="E226" s="46"/>
    </row>
    <row r="227" spans="2:5" x14ac:dyDescent="0.25">
      <c r="B227" s="95"/>
      <c r="C227" s="94"/>
      <c r="D227" s="46"/>
      <c r="E227" s="46"/>
    </row>
    <row r="228" spans="2:5" x14ac:dyDescent="0.25">
      <c r="B228" s="95"/>
      <c r="C228" s="94"/>
      <c r="D228" s="46"/>
      <c r="E228" s="46"/>
    </row>
    <row r="229" spans="2:5" ht="13" thickBot="1" x14ac:dyDescent="0.3">
      <c r="B229" s="96"/>
      <c r="C229" s="97"/>
      <c r="D229" s="46"/>
      <c r="E229" s="46"/>
    </row>
  </sheetData>
  <mergeCells count="5">
    <mergeCell ref="B1:C1"/>
    <mergeCell ref="D1:E1"/>
    <mergeCell ref="F1:G1"/>
    <mergeCell ref="H1:I1"/>
    <mergeCell ref="J1:K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ABCD</vt:lpstr>
      <vt:lpstr>Conversion 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Kennedy, Edward</dc:creator>
  <cp:lastModifiedBy>Jonathan Baldauf</cp:lastModifiedBy>
  <cp:lastPrinted>2013-07-25T15:21:00Z</cp:lastPrinted>
  <dcterms:created xsi:type="dcterms:W3CDTF">2006-06-06T17:06:43Z</dcterms:created>
  <dcterms:modified xsi:type="dcterms:W3CDTF">2023-08-07T01:53:33Z</dcterms:modified>
</cp:coreProperties>
</file>